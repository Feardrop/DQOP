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4" activeTab="4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12" r:id="rId13"/>
    <sheet name="dict_zul_Var_Meth" sheetId="2" r:id="rId14"/>
    <sheet name="dict_zuord_Var_DQ" sheetId="9" r:id="rId15"/>
    <sheet name="dict_zuord_Meth_Pers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</sheets>
  <definedNames>
    <definedName name="x">GET.WORKBOOK(1+0*NOW())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8" i="5" l="1"/>
  <c r="I27" i="5"/>
  <c r="I26" i="5"/>
  <c r="C13" i="19" l="1"/>
  <c r="C12" i="19"/>
  <c r="C9" i="19"/>
  <c r="C11" i="19"/>
  <c r="C26" i="18"/>
  <c r="C27" i="18"/>
  <c r="C28" i="18"/>
  <c r="C29" i="18"/>
  <c r="C30" i="18"/>
  <c r="C31" i="18"/>
  <c r="C32" i="18"/>
  <c r="C33" i="18"/>
  <c r="C34" i="18"/>
  <c r="C25" i="18"/>
  <c r="C24" i="18"/>
  <c r="C23" i="18"/>
  <c r="C22" i="18"/>
  <c r="C21" i="18"/>
  <c r="C20" i="18"/>
  <c r="C13" i="11"/>
  <c r="C12" i="11"/>
  <c r="C20" i="10"/>
  <c r="C19" i="10"/>
  <c r="C18" i="10"/>
  <c r="C17" i="10"/>
  <c r="G34" i="5"/>
  <c r="G33" i="5"/>
  <c r="C34" i="2"/>
  <c r="F71" i="12"/>
  <c r="G71" i="12"/>
  <c r="H71" i="12"/>
  <c r="F70" i="12"/>
  <c r="G70" i="12"/>
  <c r="H70" i="12"/>
  <c r="F69" i="12"/>
  <c r="G69" i="12"/>
  <c r="H69" i="12"/>
  <c r="F68" i="12"/>
  <c r="G68" i="12"/>
  <c r="H68" i="12"/>
  <c r="C33" i="2"/>
  <c r="C32" i="2"/>
  <c r="C31" i="2"/>
  <c r="D2" i="1"/>
  <c r="A22" i="15"/>
  <c r="C7" i="11" l="1"/>
  <c r="C8" i="19" l="1"/>
  <c r="C4" i="19"/>
  <c r="C10" i="19"/>
  <c r="C16" i="18"/>
  <c r="C17" i="18"/>
  <c r="C18" i="18"/>
  <c r="C19" i="18"/>
  <c r="C12" i="18"/>
  <c r="C13" i="18"/>
  <c r="C14" i="18"/>
  <c r="C15" i="18"/>
  <c r="C9" i="18"/>
  <c r="C10" i="18"/>
  <c r="C11" i="18"/>
  <c r="C8" i="18"/>
  <c r="C11" i="11"/>
  <c r="C10" i="11"/>
  <c r="C9" i="11"/>
  <c r="C8" i="11"/>
  <c r="C16" i="10"/>
  <c r="C15" i="10"/>
  <c r="H5" i="12"/>
  <c r="H6" i="12"/>
  <c r="H7" i="12"/>
  <c r="H11" i="12"/>
  <c r="H12" i="12"/>
  <c r="H13" i="12"/>
  <c r="H17" i="12"/>
  <c r="H18" i="12"/>
  <c r="H19" i="12"/>
  <c r="H22" i="12"/>
  <c r="H23" i="12"/>
  <c r="H25" i="12"/>
  <c r="H27" i="12"/>
  <c r="H29" i="12"/>
  <c r="H31" i="12"/>
  <c r="H33" i="12"/>
  <c r="H35" i="12"/>
  <c r="H37" i="12"/>
  <c r="H39" i="12"/>
  <c r="H41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1" i="12"/>
  <c r="H63" i="12"/>
  <c r="H64" i="12"/>
  <c r="H65" i="12"/>
  <c r="H66" i="12"/>
  <c r="H67" i="12"/>
  <c r="C17" i="8"/>
  <c r="G32" i="5" l="1"/>
  <c r="G31" i="5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H6" i="4" l="1"/>
  <c r="I6" i="4"/>
  <c r="G60" i="12"/>
  <c r="F62" i="12"/>
  <c r="G62" i="12"/>
  <c r="F60" i="12"/>
  <c r="G51" i="12"/>
  <c r="F53" i="12"/>
  <c r="G53" i="12"/>
  <c r="F51" i="12"/>
  <c r="H5" i="4"/>
  <c r="G52" i="12"/>
  <c r="I5" i="4"/>
  <c r="F52" i="12"/>
  <c r="H10" i="4"/>
  <c r="G66" i="12"/>
  <c r="F64" i="12"/>
  <c r="G64" i="12"/>
  <c r="F66" i="12"/>
  <c r="I10" i="4"/>
  <c r="F9" i="12"/>
  <c r="F21" i="12"/>
  <c r="I16" i="4"/>
  <c r="I20" i="4"/>
  <c r="G10" i="12"/>
  <c r="G26" i="12"/>
  <c r="F8" i="12"/>
  <c r="F20" i="12"/>
  <c r="F28" i="12"/>
  <c r="G8" i="12"/>
  <c r="G20" i="12"/>
  <c r="G28" i="12"/>
  <c r="F10" i="12"/>
  <c r="F26" i="12"/>
  <c r="H16" i="4"/>
  <c r="H20" i="4"/>
  <c r="G9" i="12"/>
  <c r="G21" i="12"/>
  <c r="G59" i="12"/>
  <c r="F57" i="12"/>
  <c r="I8" i="4"/>
  <c r="F59" i="12"/>
  <c r="H8" i="4"/>
  <c r="G58" i="12"/>
  <c r="H13" i="4"/>
  <c r="F58" i="12"/>
  <c r="I13" i="4"/>
  <c r="G57" i="12"/>
  <c r="G5" i="12"/>
  <c r="G7" i="12"/>
  <c r="G11" i="12"/>
  <c r="G19" i="12"/>
  <c r="G23" i="12"/>
  <c r="G27" i="12"/>
  <c r="G31" i="12"/>
  <c r="G35" i="12"/>
  <c r="G39" i="12"/>
  <c r="F5" i="12"/>
  <c r="F13" i="12"/>
  <c r="F17" i="12"/>
  <c r="F25" i="12"/>
  <c r="F29" i="12"/>
  <c r="F33" i="12"/>
  <c r="F37" i="12"/>
  <c r="F41" i="12"/>
  <c r="H15" i="4"/>
  <c r="H19" i="4"/>
  <c r="H23" i="4"/>
  <c r="G13" i="12"/>
  <c r="G17" i="12"/>
  <c r="G25" i="12"/>
  <c r="G37" i="12"/>
  <c r="F11" i="12"/>
  <c r="F19" i="12"/>
  <c r="F27" i="12"/>
  <c r="F35" i="12"/>
  <c r="H17" i="4"/>
  <c r="G18" i="12"/>
  <c r="I15" i="4"/>
  <c r="I19" i="4"/>
  <c r="I23" i="4"/>
  <c r="G12" i="12"/>
  <c r="F6" i="12"/>
  <c r="F18" i="12"/>
  <c r="F22" i="12"/>
  <c r="I17" i="4"/>
  <c r="I21" i="4"/>
  <c r="G29" i="12"/>
  <c r="G33" i="12"/>
  <c r="G41" i="12"/>
  <c r="F7" i="12"/>
  <c r="F23" i="12"/>
  <c r="F31" i="12"/>
  <c r="F39" i="12"/>
  <c r="H21" i="4"/>
  <c r="G6" i="12"/>
  <c r="G22" i="12"/>
  <c r="F12" i="12"/>
  <c r="G15" i="12"/>
  <c r="G43" i="12"/>
  <c r="F43" i="12"/>
  <c r="G42" i="12"/>
  <c r="F16" i="12"/>
  <c r="F44" i="12"/>
  <c r="H18" i="4"/>
  <c r="G16" i="12"/>
  <c r="G44" i="12"/>
  <c r="F14" i="12"/>
  <c r="F30" i="12"/>
  <c r="F42" i="12"/>
  <c r="F15" i="12"/>
  <c r="I2" i="4"/>
  <c r="I18" i="4"/>
  <c r="G14" i="12"/>
  <c r="G30" i="12"/>
  <c r="H2" i="4"/>
  <c r="G55" i="12"/>
  <c r="I12" i="4"/>
  <c r="F56" i="12"/>
  <c r="G56" i="12"/>
  <c r="F54" i="12"/>
  <c r="F55" i="12"/>
  <c r="H12" i="4"/>
  <c r="G54" i="12"/>
  <c r="G47" i="12"/>
  <c r="G63" i="12"/>
  <c r="G67" i="12"/>
  <c r="F45" i="12"/>
  <c r="F49" i="12"/>
  <c r="F61" i="12"/>
  <c r="F65" i="12"/>
  <c r="I4" i="4"/>
  <c r="G45" i="12"/>
  <c r="G61" i="12"/>
  <c r="F67" i="12"/>
  <c r="G50" i="12"/>
  <c r="I7" i="4"/>
  <c r="I11" i="4"/>
  <c r="H9" i="4"/>
  <c r="G48" i="12"/>
  <c r="F46" i="12"/>
  <c r="F50" i="12"/>
  <c r="I9" i="4"/>
  <c r="H3" i="4"/>
  <c r="H7" i="4"/>
  <c r="H11" i="4"/>
  <c r="G49" i="12"/>
  <c r="G65" i="12"/>
  <c r="F47" i="12"/>
  <c r="F63" i="12"/>
  <c r="H4" i="4"/>
  <c r="G46" i="12"/>
  <c r="F48" i="12"/>
  <c r="I3" i="4"/>
  <c r="H14" i="4"/>
  <c r="G2" i="12"/>
  <c r="G3" i="12"/>
  <c r="F3" i="12"/>
  <c r="I14" i="4"/>
  <c r="G4" i="12"/>
  <c r="G24" i="12"/>
  <c r="F2" i="12"/>
  <c r="F4" i="12"/>
  <c r="F24" i="12"/>
  <c r="I22" i="4"/>
  <c r="G34" i="12"/>
  <c r="F36" i="12"/>
  <c r="H22" i="4"/>
  <c r="G32" i="12"/>
  <c r="G36" i="12"/>
  <c r="G40" i="12"/>
  <c r="F34" i="12"/>
  <c r="F38" i="12"/>
  <c r="G38" i="12"/>
  <c r="F32" i="12"/>
  <c r="F40" i="12"/>
  <c r="C5" i="8"/>
  <c r="C3" i="13"/>
  <c r="C2" i="13"/>
  <c r="C3" i="14"/>
  <c r="C2" i="14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C346" i="21" s="1"/>
  <c r="A347" i="21"/>
  <c r="A348" i="21"/>
  <c r="A349" i="21"/>
  <c r="A350" i="21"/>
  <c r="A351" i="21"/>
  <c r="A352" i="21"/>
  <c r="A353" i="21"/>
  <c r="A354" i="21"/>
  <c r="C354" i="21" s="1"/>
  <c r="A355" i="21"/>
  <c r="A356" i="21"/>
  <c r="A357" i="21"/>
  <c r="A358" i="21"/>
  <c r="A359" i="21"/>
  <c r="A360" i="21"/>
  <c r="A361" i="21"/>
  <c r="A362" i="21"/>
  <c r="C362" i="21" s="1"/>
  <c r="A363" i="21"/>
  <c r="A364" i="21"/>
  <c r="A365" i="21"/>
  <c r="A366" i="21"/>
  <c r="A367" i="21"/>
  <c r="A368" i="21"/>
  <c r="A369" i="21"/>
  <c r="A370" i="21"/>
  <c r="C370" i="21" s="1"/>
  <c r="A371" i="21"/>
  <c r="A372" i="21"/>
  <c r="A373" i="21"/>
  <c r="A374" i="21"/>
  <c r="A375" i="21"/>
  <c r="A376" i="21"/>
  <c r="A377" i="21"/>
  <c r="A378" i="21"/>
  <c r="C378" i="21" s="1"/>
  <c r="A379" i="21"/>
  <c r="A380" i="21"/>
  <c r="A381" i="21"/>
  <c r="A382" i="21"/>
  <c r="A383" i="21"/>
  <c r="A384" i="21"/>
  <c r="C384" i="21" s="1"/>
  <c r="A385" i="21"/>
  <c r="A386" i="21"/>
  <c r="C386" i="21" s="1"/>
  <c r="A387" i="21"/>
  <c r="A388" i="21"/>
  <c r="A389" i="21"/>
  <c r="A390" i="21"/>
  <c r="A391" i="21"/>
  <c r="A392" i="21"/>
  <c r="A393" i="21"/>
  <c r="A394" i="21"/>
  <c r="C394" i="21" s="1"/>
  <c r="A395" i="21"/>
  <c r="A396" i="21"/>
  <c r="A397" i="21"/>
  <c r="A398" i="21"/>
  <c r="A399" i="21"/>
  <c r="A400" i="21"/>
  <c r="A401" i="21"/>
  <c r="A402" i="21"/>
  <c r="C402" i="21" s="1"/>
  <c r="A403" i="21"/>
  <c r="A404" i="21"/>
  <c r="A405" i="21"/>
  <c r="A406" i="21"/>
  <c r="A407" i="21"/>
  <c r="A408" i="21"/>
  <c r="A409" i="21"/>
  <c r="A410" i="21"/>
  <c r="C410" i="21" s="1"/>
  <c r="A411" i="21"/>
  <c r="A412" i="21"/>
  <c r="A413" i="21"/>
  <c r="A414" i="21"/>
  <c r="A415" i="21"/>
  <c r="A416" i="21"/>
  <c r="A417" i="21"/>
  <c r="A418" i="21"/>
  <c r="C418" i="21" s="1"/>
  <c r="A419" i="21"/>
  <c r="A420" i="21"/>
  <c r="A421" i="21"/>
  <c r="A422" i="21"/>
  <c r="A423" i="21"/>
  <c r="A424" i="21"/>
  <c r="A425" i="21"/>
  <c r="A426" i="21"/>
  <c r="C426" i="21" s="1"/>
  <c r="A427" i="21"/>
  <c r="A428" i="21"/>
  <c r="A429" i="21"/>
  <c r="A430" i="21"/>
  <c r="A431" i="21"/>
  <c r="A432" i="21"/>
  <c r="A433" i="21"/>
  <c r="A434" i="21"/>
  <c r="C434" i="21" s="1"/>
  <c r="A435" i="21"/>
  <c r="A436" i="21"/>
  <c r="A437" i="21"/>
  <c r="A438" i="21"/>
  <c r="A439" i="21"/>
  <c r="A440" i="21"/>
  <c r="A441" i="21"/>
  <c r="A442" i="21"/>
  <c r="C442" i="21" s="1"/>
  <c r="A443" i="21"/>
  <c r="A444" i="21"/>
  <c r="A445" i="21"/>
  <c r="A446" i="21"/>
  <c r="A447" i="21"/>
  <c r="A448" i="21"/>
  <c r="A449" i="21"/>
  <c r="A450" i="21"/>
  <c r="C450" i="21" s="1"/>
  <c r="A451" i="21"/>
  <c r="A452" i="21"/>
  <c r="A453" i="21"/>
  <c r="A454" i="21"/>
  <c r="A455" i="21"/>
  <c r="A456" i="21"/>
  <c r="A457" i="21"/>
  <c r="A458" i="21"/>
  <c r="C458" i="21" s="1"/>
  <c r="A459" i="21"/>
  <c r="A460" i="21"/>
  <c r="A461" i="21"/>
  <c r="A462" i="21"/>
  <c r="A463" i="21"/>
  <c r="A464" i="21"/>
  <c r="A465" i="21"/>
  <c r="A466" i="21"/>
  <c r="C466" i="21" s="1"/>
  <c r="A467" i="21"/>
  <c r="A468" i="21"/>
  <c r="A469" i="21"/>
  <c r="A470" i="21"/>
  <c r="A471" i="21"/>
  <c r="A472" i="21"/>
  <c r="A473" i="21"/>
  <c r="A474" i="21"/>
  <c r="C474" i="21" s="1"/>
  <c r="A475" i="21"/>
  <c r="A476" i="21"/>
  <c r="A477" i="21"/>
  <c r="A478" i="21"/>
  <c r="A479" i="21"/>
  <c r="A480" i="21"/>
  <c r="A481" i="21"/>
  <c r="A482" i="21"/>
  <c r="C482" i="21" s="1"/>
  <c r="A483" i="21"/>
  <c r="A484" i="21"/>
  <c r="A485" i="21"/>
  <c r="A486" i="21"/>
  <c r="A487" i="21"/>
  <c r="A488" i="21"/>
  <c r="A489" i="21"/>
  <c r="A490" i="21"/>
  <c r="C490" i="21" s="1"/>
  <c r="A491" i="21"/>
  <c r="A492" i="21"/>
  <c r="A493" i="21"/>
  <c r="A494" i="21"/>
  <c r="A495" i="21"/>
  <c r="A496" i="21"/>
  <c r="A497" i="21"/>
  <c r="A498" i="21"/>
  <c r="C498" i="21" s="1"/>
  <c r="A499" i="21"/>
  <c r="A500" i="21"/>
  <c r="A501" i="21"/>
  <c r="A502" i="21"/>
  <c r="A503" i="21"/>
  <c r="A504" i="21"/>
  <c r="A505" i="21"/>
  <c r="A506" i="21"/>
  <c r="C506" i="21" s="1"/>
  <c r="A507" i="21"/>
  <c r="A508" i="21"/>
  <c r="A509" i="21"/>
  <c r="A510" i="21"/>
  <c r="A511" i="21"/>
  <c r="A512" i="21"/>
  <c r="A513" i="21"/>
  <c r="A514" i="21"/>
  <c r="C514" i="21" s="1"/>
  <c r="A515" i="21"/>
  <c r="A516" i="21"/>
  <c r="A517" i="21"/>
  <c r="A518" i="21"/>
  <c r="A519" i="21"/>
  <c r="A520" i="21"/>
  <c r="A521" i="21"/>
  <c r="A522" i="21"/>
  <c r="C522" i="21" s="1"/>
  <c r="A523" i="21"/>
  <c r="A524" i="21"/>
  <c r="A525" i="21"/>
  <c r="A526" i="21"/>
  <c r="A527" i="21"/>
  <c r="A528" i="21"/>
  <c r="A529" i="21"/>
  <c r="A530" i="21"/>
  <c r="C530" i="21" s="1"/>
  <c r="A531" i="21"/>
  <c r="A532" i="21"/>
  <c r="A533" i="21"/>
  <c r="A534" i="21"/>
  <c r="A535" i="21"/>
  <c r="A536" i="21"/>
  <c r="A537" i="21"/>
  <c r="A538" i="21"/>
  <c r="C538" i="21" s="1"/>
  <c r="A539" i="21"/>
  <c r="A540" i="21"/>
  <c r="A541" i="21"/>
  <c r="A542" i="21"/>
  <c r="A543" i="21"/>
  <c r="A544" i="21"/>
  <c r="A545" i="21"/>
  <c r="A546" i="21"/>
  <c r="C546" i="21" s="1"/>
  <c r="A547" i="21"/>
  <c r="A548" i="21"/>
  <c r="A549" i="21"/>
  <c r="A550" i="21"/>
  <c r="A551" i="21"/>
  <c r="A552" i="21"/>
  <c r="A553" i="21"/>
  <c r="A554" i="21"/>
  <c r="C554" i="21" s="1"/>
  <c r="A555" i="21"/>
  <c r="A556" i="21"/>
  <c r="A557" i="21"/>
  <c r="A558" i="21"/>
  <c r="A559" i="21"/>
  <c r="A560" i="21"/>
  <c r="A561" i="21"/>
  <c r="A562" i="21"/>
  <c r="C562" i="21" s="1"/>
  <c r="A563" i="21"/>
  <c r="A564" i="21"/>
  <c r="A565" i="21"/>
  <c r="A566" i="21"/>
  <c r="A567" i="21"/>
  <c r="A568" i="21"/>
  <c r="A569" i="21"/>
  <c r="A570" i="21"/>
  <c r="C570" i="21" s="1"/>
  <c r="A571" i="21"/>
  <c r="A572" i="21"/>
  <c r="A573" i="21"/>
  <c r="A574" i="21"/>
  <c r="A575" i="21"/>
  <c r="A576" i="21"/>
  <c r="A577" i="21"/>
  <c r="A578" i="21"/>
  <c r="C578" i="21" s="1"/>
  <c r="A579" i="21"/>
  <c r="A580" i="21"/>
  <c r="A581" i="21"/>
  <c r="A582" i="21"/>
  <c r="A583" i="21"/>
  <c r="A584" i="21"/>
  <c r="A585" i="21"/>
  <c r="A586" i="21"/>
  <c r="C586" i="21" s="1"/>
  <c r="A587" i="21"/>
  <c r="A588" i="21"/>
  <c r="A589" i="21"/>
  <c r="A590" i="21"/>
  <c r="A591" i="21"/>
  <c r="A592" i="21"/>
  <c r="A593" i="21"/>
  <c r="A594" i="21"/>
  <c r="C594" i="21" s="1"/>
  <c r="A595" i="21"/>
  <c r="A596" i="21"/>
  <c r="A597" i="21"/>
  <c r="A598" i="21"/>
  <c r="A599" i="21"/>
  <c r="A600" i="21"/>
  <c r="A601" i="21"/>
  <c r="A602" i="21"/>
  <c r="C602" i="21" s="1"/>
  <c r="A603" i="21"/>
  <c r="A604" i="21"/>
  <c r="A605" i="21"/>
  <c r="A606" i="21"/>
  <c r="A607" i="21"/>
  <c r="A608" i="21"/>
  <c r="A609" i="21"/>
  <c r="A610" i="21"/>
  <c r="C610" i="21" s="1"/>
  <c r="A611" i="21"/>
  <c r="A612" i="21"/>
  <c r="A613" i="21"/>
  <c r="A614" i="21"/>
  <c r="A615" i="21"/>
  <c r="A616" i="21"/>
  <c r="A617" i="21"/>
  <c r="A618" i="21"/>
  <c r="C618" i="21" s="1"/>
  <c r="A619" i="21"/>
  <c r="A620" i="21"/>
  <c r="A621" i="21"/>
  <c r="A622" i="21"/>
  <c r="A623" i="21"/>
  <c r="A624" i="21"/>
  <c r="A625" i="21"/>
  <c r="A626" i="21"/>
  <c r="C626" i="21" s="1"/>
  <c r="A627" i="21"/>
  <c r="A628" i="21"/>
  <c r="A629" i="21"/>
  <c r="A630" i="21"/>
  <c r="A631" i="21"/>
  <c r="A632" i="21"/>
  <c r="A633" i="21"/>
  <c r="A634" i="21"/>
  <c r="C634" i="21" s="1"/>
  <c r="A635" i="21"/>
  <c r="A636" i="21"/>
  <c r="A637" i="21"/>
  <c r="A638" i="21"/>
  <c r="A639" i="21"/>
  <c r="A640" i="21"/>
  <c r="C640" i="21" s="1"/>
  <c r="A641" i="21"/>
  <c r="A642" i="21"/>
  <c r="C642" i="21" s="1"/>
  <c r="A643" i="21"/>
  <c r="A644" i="21"/>
  <c r="A645" i="21"/>
  <c r="A646" i="21"/>
  <c r="A647" i="21"/>
  <c r="A648" i="21"/>
  <c r="C648" i="21" s="1"/>
  <c r="A649" i="21"/>
  <c r="A650" i="21"/>
  <c r="C650" i="21" s="1"/>
  <c r="A651" i="21"/>
  <c r="A652" i="21"/>
  <c r="A653" i="21"/>
  <c r="A654" i="21"/>
  <c r="A655" i="21"/>
  <c r="A656" i="21"/>
  <c r="C656" i="21" s="1"/>
  <c r="A657" i="21"/>
  <c r="A658" i="21"/>
  <c r="C658" i="21" s="1"/>
  <c r="A659" i="21"/>
  <c r="A660" i="21"/>
  <c r="A661" i="21"/>
  <c r="A662" i="21"/>
  <c r="A663" i="21"/>
  <c r="A664" i="21"/>
  <c r="C664" i="21" s="1"/>
  <c r="A665" i="21"/>
  <c r="A666" i="21"/>
  <c r="C666" i="21" s="1"/>
  <c r="A667" i="21"/>
  <c r="A668" i="21"/>
  <c r="A669" i="21"/>
  <c r="A670" i="21"/>
  <c r="A671" i="21"/>
  <c r="A672" i="21"/>
  <c r="C672" i="21" s="1"/>
  <c r="A673" i="21"/>
  <c r="A674" i="21"/>
  <c r="C674" i="21" s="1"/>
  <c r="A675" i="21"/>
  <c r="A676" i="21"/>
  <c r="A677" i="21"/>
  <c r="A678" i="21"/>
  <c r="A679" i="21"/>
  <c r="A680" i="21"/>
  <c r="C680" i="21" s="1"/>
  <c r="A681" i="21"/>
  <c r="A682" i="21"/>
  <c r="C682" i="21" s="1"/>
  <c r="A683" i="21"/>
  <c r="A684" i="21"/>
  <c r="A685" i="21"/>
  <c r="A686" i="21"/>
  <c r="A687" i="21"/>
  <c r="A688" i="21"/>
  <c r="C688" i="21" s="1"/>
  <c r="A689" i="21"/>
  <c r="A690" i="21"/>
  <c r="C690" i="21" s="1"/>
  <c r="A691" i="21"/>
  <c r="A692" i="21"/>
  <c r="A693" i="21"/>
  <c r="A694" i="21"/>
  <c r="A695" i="21"/>
  <c r="A696" i="21"/>
  <c r="C696" i="21" s="1"/>
  <c r="A697" i="21"/>
  <c r="A698" i="21"/>
  <c r="C698" i="21" s="1"/>
  <c r="A699" i="21"/>
  <c r="A700" i="21"/>
  <c r="A701" i="21"/>
  <c r="A702" i="21"/>
  <c r="A703" i="21"/>
  <c r="A704" i="21"/>
  <c r="C704" i="21" s="1"/>
  <c r="A705" i="21"/>
  <c r="A706" i="21"/>
  <c r="C706" i="21" s="1"/>
  <c r="A707" i="21"/>
  <c r="A708" i="21"/>
  <c r="A709" i="21"/>
  <c r="A710" i="21"/>
  <c r="A711" i="21"/>
  <c r="A712" i="21"/>
  <c r="C712" i="21" s="1"/>
  <c r="A713" i="21"/>
  <c r="A714" i="21"/>
  <c r="C714" i="21" s="1"/>
  <c r="A715" i="21"/>
  <c r="A716" i="21"/>
  <c r="A717" i="21"/>
  <c r="A718" i="21"/>
  <c r="A719" i="21"/>
  <c r="A720" i="21"/>
  <c r="C720" i="21" s="1"/>
  <c r="A721" i="21"/>
  <c r="A722" i="21"/>
  <c r="C722" i="21" s="1"/>
  <c r="A723" i="21"/>
  <c r="A724" i="21"/>
  <c r="A725" i="21"/>
  <c r="A726" i="21"/>
  <c r="A727" i="21"/>
  <c r="A728" i="21"/>
  <c r="C728" i="21" s="1"/>
  <c r="A729" i="21"/>
  <c r="A730" i="21"/>
  <c r="C730" i="21" s="1"/>
  <c r="A731" i="21"/>
  <c r="A732" i="21"/>
  <c r="A733" i="21"/>
  <c r="A734" i="21"/>
  <c r="A735" i="21"/>
  <c r="A736" i="21"/>
  <c r="C736" i="21" s="1"/>
  <c r="A737" i="21"/>
  <c r="A738" i="21"/>
  <c r="C738" i="21" s="1"/>
  <c r="A739" i="21"/>
  <c r="A740" i="21"/>
  <c r="A741" i="21"/>
  <c r="A742" i="21"/>
  <c r="A743" i="21"/>
  <c r="A744" i="21"/>
  <c r="C744" i="21" s="1"/>
  <c r="A745" i="21"/>
  <c r="A746" i="21"/>
  <c r="C746" i="21" s="1"/>
  <c r="A747" i="21"/>
  <c r="A748" i="21"/>
  <c r="A749" i="21"/>
  <c r="A750" i="21"/>
  <c r="A751" i="21"/>
  <c r="A752" i="21"/>
  <c r="C752" i="21" s="1"/>
  <c r="A753" i="21"/>
  <c r="A754" i="21"/>
  <c r="C754" i="21" s="1"/>
  <c r="A755" i="21"/>
  <c r="A756" i="21"/>
  <c r="A757" i="21"/>
  <c r="A758" i="21"/>
  <c r="A759" i="21"/>
  <c r="A760" i="21"/>
  <c r="C760" i="21" s="1"/>
  <c r="A761" i="21"/>
  <c r="A762" i="21"/>
  <c r="C762" i="21" s="1"/>
  <c r="A763" i="21"/>
  <c r="A764" i="21"/>
  <c r="A765" i="21"/>
  <c r="A766" i="21"/>
  <c r="A767" i="21"/>
  <c r="A768" i="21"/>
  <c r="C768" i="21" s="1"/>
  <c r="A769" i="21"/>
  <c r="A770" i="21"/>
  <c r="C770" i="21" s="1"/>
  <c r="A771" i="21"/>
  <c r="A772" i="21"/>
  <c r="A773" i="21"/>
  <c r="A774" i="21"/>
  <c r="A775" i="21"/>
  <c r="A776" i="21"/>
  <c r="C776" i="21" s="1"/>
  <c r="A777" i="21"/>
  <c r="A778" i="21"/>
  <c r="C778" i="21" s="1"/>
  <c r="A779" i="21"/>
  <c r="A780" i="21"/>
  <c r="A781" i="21"/>
  <c r="A782" i="21"/>
  <c r="A783" i="21"/>
  <c r="A784" i="21"/>
  <c r="C784" i="21" s="1"/>
  <c r="A785" i="21"/>
  <c r="A786" i="21"/>
  <c r="C786" i="21" s="1"/>
  <c r="A787" i="21"/>
  <c r="A788" i="21"/>
  <c r="A789" i="21"/>
  <c r="A790" i="21"/>
  <c r="A791" i="21"/>
  <c r="A792" i="21"/>
  <c r="C792" i="21" s="1"/>
  <c r="A793" i="21"/>
  <c r="A794" i="21"/>
  <c r="C794" i="21" s="1"/>
  <c r="A795" i="21"/>
  <c r="A796" i="21"/>
  <c r="A797" i="21"/>
  <c r="A798" i="21"/>
  <c r="A799" i="21"/>
  <c r="A800" i="21"/>
  <c r="C800" i="21" s="1"/>
  <c r="A801" i="21"/>
  <c r="A802" i="21"/>
  <c r="C802" i="21" s="1"/>
  <c r="A803" i="21"/>
  <c r="A804" i="21"/>
  <c r="A805" i="21"/>
  <c r="A806" i="21"/>
  <c r="A807" i="21"/>
  <c r="A808" i="21"/>
  <c r="C808" i="21" s="1"/>
  <c r="A809" i="21"/>
  <c r="A810" i="21"/>
  <c r="C810" i="21" s="1"/>
  <c r="A811" i="21"/>
  <c r="A812" i="21"/>
  <c r="A813" i="21"/>
  <c r="A814" i="21"/>
  <c r="A815" i="21"/>
  <c r="A816" i="21"/>
  <c r="C816" i="21" s="1"/>
  <c r="A817" i="21"/>
  <c r="A818" i="21"/>
  <c r="C818" i="21" s="1"/>
  <c r="A819" i="21"/>
  <c r="A820" i="21"/>
  <c r="A821" i="21"/>
  <c r="A822" i="21"/>
  <c r="A823" i="21"/>
  <c r="A824" i="21"/>
  <c r="C824" i="21" s="1"/>
  <c r="A825" i="21"/>
  <c r="A826" i="21"/>
  <c r="C826" i="21" s="1"/>
  <c r="A827" i="21"/>
  <c r="A828" i="21"/>
  <c r="A829" i="21"/>
  <c r="A830" i="21"/>
  <c r="A831" i="21"/>
  <c r="A832" i="21"/>
  <c r="C832" i="21" s="1"/>
  <c r="A833" i="21"/>
  <c r="A834" i="21"/>
  <c r="C834" i="21" s="1"/>
  <c r="A835" i="21"/>
  <c r="A836" i="21"/>
  <c r="A837" i="21"/>
  <c r="A838" i="21"/>
  <c r="A839" i="21"/>
  <c r="A840" i="21"/>
  <c r="C840" i="21" s="1"/>
  <c r="A841" i="21"/>
  <c r="A842" i="21"/>
  <c r="C842" i="21" s="1"/>
  <c r="A843" i="21"/>
  <c r="A844" i="21"/>
  <c r="A845" i="21"/>
  <c r="A846" i="21"/>
  <c r="A847" i="21"/>
  <c r="A848" i="21"/>
  <c r="C848" i="21" s="1"/>
  <c r="A849" i="21"/>
  <c r="A850" i="21"/>
  <c r="C850" i="21" s="1"/>
  <c r="A851" i="21"/>
  <c r="A852" i="21"/>
  <c r="A853" i="21"/>
  <c r="A854" i="21"/>
  <c r="A855" i="21"/>
  <c r="A856" i="21"/>
  <c r="C856" i="21" s="1"/>
  <c r="A857" i="21"/>
  <c r="A858" i="21"/>
  <c r="C858" i="21" s="1"/>
  <c r="A859" i="21"/>
  <c r="A860" i="21"/>
  <c r="A861" i="21"/>
  <c r="A862" i="21"/>
  <c r="A863" i="21"/>
  <c r="A864" i="21"/>
  <c r="C864" i="21" s="1"/>
  <c r="A865" i="21"/>
  <c r="A866" i="21"/>
  <c r="C866" i="21" s="1"/>
  <c r="A867" i="21"/>
  <c r="A868" i="21"/>
  <c r="A869" i="21"/>
  <c r="A870" i="21"/>
  <c r="A871" i="21"/>
  <c r="A872" i="21"/>
  <c r="C872" i="21" s="1"/>
  <c r="A873" i="21"/>
  <c r="A874" i="21"/>
  <c r="C874" i="21" s="1"/>
  <c r="A875" i="21"/>
  <c r="A876" i="21"/>
  <c r="A877" i="21"/>
  <c r="A878" i="21"/>
  <c r="A879" i="21"/>
  <c r="A880" i="21"/>
  <c r="C880" i="21" s="1"/>
  <c r="A881" i="21"/>
  <c r="A882" i="21"/>
  <c r="C882" i="21" s="1"/>
  <c r="A883" i="21"/>
  <c r="A884" i="21"/>
  <c r="A885" i="21"/>
  <c r="A886" i="21"/>
  <c r="A887" i="21"/>
  <c r="A888" i="21"/>
  <c r="C888" i="21" s="1"/>
  <c r="A889" i="21"/>
  <c r="A890" i="21"/>
  <c r="C890" i="21" s="1"/>
  <c r="A891" i="21"/>
  <c r="A892" i="21"/>
  <c r="A893" i="21"/>
  <c r="A894" i="21"/>
  <c r="A895" i="21"/>
  <c r="A896" i="21"/>
  <c r="C896" i="21" s="1"/>
  <c r="A897" i="21"/>
  <c r="A898" i="21"/>
  <c r="C898" i="21" s="1"/>
  <c r="A899" i="21"/>
  <c r="A900" i="21"/>
  <c r="A901" i="21"/>
  <c r="A902" i="21"/>
  <c r="A903" i="21"/>
  <c r="A904" i="21"/>
  <c r="C904" i="21" s="1"/>
  <c r="A905" i="21"/>
  <c r="A906" i="21"/>
  <c r="C906" i="21" s="1"/>
  <c r="A907" i="21"/>
  <c r="A908" i="21"/>
  <c r="A909" i="21"/>
  <c r="A910" i="21"/>
  <c r="A911" i="21"/>
  <c r="A912" i="21"/>
  <c r="C912" i="21" s="1"/>
  <c r="A913" i="21"/>
  <c r="A914" i="21"/>
  <c r="C914" i="21" s="1"/>
  <c r="A915" i="21"/>
  <c r="A916" i="21"/>
  <c r="A917" i="21"/>
  <c r="A918" i="21"/>
  <c r="A919" i="21"/>
  <c r="A920" i="21"/>
  <c r="C920" i="21" s="1"/>
  <c r="A921" i="21"/>
  <c r="A922" i="21"/>
  <c r="C922" i="21" s="1"/>
  <c r="A923" i="21"/>
  <c r="A924" i="21"/>
  <c r="A925" i="21"/>
  <c r="A926" i="21"/>
  <c r="A927" i="21"/>
  <c r="A928" i="21"/>
  <c r="C928" i="21" s="1"/>
  <c r="A929" i="21"/>
  <c r="A930" i="21"/>
  <c r="C930" i="21" s="1"/>
  <c r="A931" i="21"/>
  <c r="A932" i="21"/>
  <c r="A933" i="21"/>
  <c r="A934" i="21"/>
  <c r="A935" i="21"/>
  <c r="A936" i="21"/>
  <c r="C936" i="21" s="1"/>
  <c r="A937" i="21"/>
  <c r="A938" i="21"/>
  <c r="C938" i="21" s="1"/>
  <c r="A939" i="21"/>
  <c r="A940" i="21"/>
  <c r="A941" i="21"/>
  <c r="A942" i="21"/>
  <c r="A943" i="21"/>
  <c r="A944" i="21"/>
  <c r="C944" i="21" s="1"/>
  <c r="A945" i="21"/>
  <c r="A946" i="21"/>
  <c r="C946" i="21" s="1"/>
  <c r="A947" i="21"/>
  <c r="A948" i="21"/>
  <c r="A949" i="21"/>
  <c r="A950" i="21"/>
  <c r="A951" i="21"/>
  <c r="A952" i="21"/>
  <c r="C952" i="21" s="1"/>
  <c r="A953" i="21"/>
  <c r="A954" i="21"/>
  <c r="C954" i="21" s="1"/>
  <c r="A955" i="21"/>
  <c r="A956" i="21"/>
  <c r="A957" i="21"/>
  <c r="A958" i="21"/>
  <c r="A959" i="21"/>
  <c r="A960" i="21"/>
  <c r="C960" i="21" s="1"/>
  <c r="A961" i="21"/>
  <c r="A962" i="21"/>
  <c r="C962" i="21" s="1"/>
  <c r="A963" i="21"/>
  <c r="A964" i="21"/>
  <c r="A965" i="21"/>
  <c r="A966" i="21"/>
  <c r="A967" i="21"/>
  <c r="A968" i="21"/>
  <c r="C968" i="21" s="1"/>
  <c r="A969" i="21"/>
  <c r="A970" i="21"/>
  <c r="C970" i="21" s="1"/>
  <c r="A971" i="21"/>
  <c r="A972" i="21"/>
  <c r="A973" i="21"/>
  <c r="A974" i="21"/>
  <c r="A975" i="21"/>
  <c r="A976" i="21"/>
  <c r="C976" i="21" s="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C27" i="21" s="1"/>
  <c r="A28" i="21"/>
  <c r="C28" i="21" s="1"/>
  <c r="A29" i="21"/>
  <c r="C29" i="21" s="1"/>
  <c r="A30" i="21"/>
  <c r="A31" i="2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B14" i="8"/>
  <c r="B14" i="22" s="1"/>
  <c r="B15" i="8"/>
  <c r="B15" i="22" s="1"/>
  <c r="B17" i="8"/>
  <c r="B16" i="8"/>
  <c r="D3" i="4"/>
  <c r="D4" i="4"/>
  <c r="D5" i="4"/>
  <c r="D6" i="4"/>
  <c r="D7" i="4"/>
  <c r="D8" i="4"/>
  <c r="D9" i="4"/>
  <c r="D10" i="4"/>
  <c r="D11" i="4"/>
  <c r="D12" i="4"/>
  <c r="D13" i="4"/>
  <c r="D15" i="4"/>
  <c r="D17" i="4"/>
  <c r="D19" i="4"/>
  <c r="D21" i="4"/>
  <c r="D23" i="4"/>
  <c r="C9" i="2"/>
  <c r="G30" i="5"/>
  <c r="G29" i="5"/>
  <c r="C8" i="2"/>
  <c r="C13" i="9"/>
  <c r="N13" i="4" s="1"/>
  <c r="C12" i="9"/>
  <c r="N12" i="4" s="1"/>
  <c r="C993" i="21" l="1"/>
  <c r="C985" i="21"/>
  <c r="C977" i="21"/>
  <c r="C969" i="21"/>
  <c r="C961" i="21"/>
  <c r="C26" i="21"/>
  <c r="C624" i="21"/>
  <c r="C592" i="21"/>
  <c r="C552" i="21"/>
  <c r="C520" i="21"/>
  <c r="C488" i="21"/>
  <c r="C432" i="21"/>
  <c r="C711" i="21"/>
  <c r="C608" i="21"/>
  <c r="C576" i="21"/>
  <c r="C544" i="21"/>
  <c r="C512" i="21"/>
  <c r="C472" i="21"/>
  <c r="C448" i="21"/>
  <c r="C408" i="21"/>
  <c r="C352" i="21"/>
  <c r="C616" i="21"/>
  <c r="C584" i="21"/>
  <c r="C536" i="21"/>
  <c r="C504" i="21"/>
  <c r="C464" i="21"/>
  <c r="C440" i="21"/>
  <c r="C400" i="21"/>
  <c r="C376" i="21"/>
  <c r="C568" i="21"/>
  <c r="C496" i="21"/>
  <c r="C424" i="21"/>
  <c r="C360" i="21"/>
  <c r="C632" i="21"/>
  <c r="C600" i="21"/>
  <c r="C560" i="21"/>
  <c r="C528" i="21"/>
  <c r="C480" i="21"/>
  <c r="C456" i="21"/>
  <c r="C416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14" i="21"/>
  <c r="C106" i="21"/>
  <c r="C98" i="21"/>
  <c r="C90" i="21"/>
  <c r="C82" i="21"/>
  <c r="C74" i="21"/>
  <c r="C66" i="21"/>
  <c r="C58" i="21"/>
  <c r="C50" i="21"/>
  <c r="C42" i="21"/>
  <c r="C34" i="21"/>
  <c r="L34" i="12"/>
  <c r="L36" i="12"/>
  <c r="L38" i="12"/>
  <c r="L40" i="12"/>
  <c r="L32" i="12"/>
  <c r="M18" i="12"/>
  <c r="M19" i="12"/>
  <c r="M31" i="12"/>
  <c r="M17" i="12"/>
  <c r="M20" i="12"/>
  <c r="M21" i="12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M11" i="12"/>
  <c r="M27" i="12"/>
  <c r="M12" i="12"/>
  <c r="M13" i="12"/>
  <c r="M29" i="12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470" i="21"/>
  <c r="C462" i="21"/>
  <c r="C454" i="21"/>
  <c r="C446" i="21"/>
  <c r="C438" i="21"/>
  <c r="C430" i="21"/>
  <c r="C422" i="21"/>
  <c r="C414" i="21"/>
  <c r="C406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120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112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73" i="21"/>
  <c r="C465" i="21"/>
  <c r="C457" i="21"/>
  <c r="C449" i="21"/>
  <c r="C441" i="21"/>
  <c r="C433" i="21"/>
  <c r="C425" i="21"/>
  <c r="C417" i="21"/>
  <c r="C409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21" i="21"/>
  <c r="C113" i="21"/>
  <c r="C105" i="21"/>
  <c r="C97" i="21"/>
  <c r="C89" i="21"/>
  <c r="C81" i="21"/>
  <c r="C73" i="21"/>
  <c r="C65" i="21"/>
  <c r="C57" i="21"/>
  <c r="C49" i="21"/>
  <c r="C41" i="21"/>
  <c r="C33" i="21"/>
  <c r="M2" i="12"/>
  <c r="M3" i="12"/>
  <c r="M4" i="12"/>
  <c r="M24" i="12"/>
  <c r="M71" i="12"/>
  <c r="M69" i="12"/>
  <c r="L22" i="12"/>
  <c r="L23" i="12"/>
  <c r="M22" i="12"/>
  <c r="M23" i="12"/>
  <c r="M5" i="12"/>
  <c r="M6" i="12"/>
  <c r="M7" i="12"/>
  <c r="M25" i="12"/>
  <c r="M10" i="12"/>
  <c r="M26" i="12"/>
  <c r="M28" i="12"/>
  <c r="M8" i="12"/>
  <c r="M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471" i="21"/>
  <c r="C463" i="21"/>
  <c r="C455" i="21"/>
  <c r="C447" i="21"/>
  <c r="C439" i="21"/>
  <c r="C431" i="21"/>
  <c r="C423" i="21"/>
  <c r="C415" i="21"/>
  <c r="C407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19" i="21"/>
  <c r="C111" i="21"/>
  <c r="C103" i="21"/>
  <c r="C95" i="21"/>
  <c r="C87" i="21"/>
  <c r="C79" i="21"/>
  <c r="C71" i="21"/>
  <c r="C63" i="21"/>
  <c r="C55" i="21"/>
  <c r="C47" i="21"/>
  <c r="C39" i="21"/>
  <c r="M34" i="12"/>
  <c r="M36" i="12"/>
  <c r="M38" i="12"/>
  <c r="M32" i="12"/>
  <c r="M40" i="12"/>
  <c r="L11" i="12"/>
  <c r="L27" i="12"/>
  <c r="L12" i="12"/>
  <c r="L13" i="12"/>
  <c r="L29" i="12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18" i="21"/>
  <c r="C110" i="21"/>
  <c r="C102" i="21"/>
  <c r="C94" i="21"/>
  <c r="C86" i="21"/>
  <c r="C78" i="21"/>
  <c r="C70" i="21"/>
  <c r="C62" i="21"/>
  <c r="C54" i="21"/>
  <c r="C46" i="21"/>
  <c r="C38" i="21"/>
  <c r="L35" i="12"/>
  <c r="L37" i="12"/>
  <c r="L39" i="12"/>
  <c r="L41" i="12"/>
  <c r="L33" i="12"/>
  <c r="L20" i="12"/>
  <c r="L21" i="12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469" i="21"/>
  <c r="C461" i="21"/>
  <c r="C453" i="21"/>
  <c r="C445" i="21"/>
  <c r="C437" i="21"/>
  <c r="C429" i="21"/>
  <c r="C421" i="21"/>
  <c r="C413" i="21"/>
  <c r="C405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17" i="21"/>
  <c r="C109" i="21"/>
  <c r="C101" i="21"/>
  <c r="C93" i="21"/>
  <c r="C85" i="21"/>
  <c r="C77" i="21"/>
  <c r="C69" i="21"/>
  <c r="C61" i="21"/>
  <c r="C53" i="21"/>
  <c r="C45" i="21"/>
  <c r="C37" i="21"/>
  <c r="L2" i="12"/>
  <c r="L3" i="12"/>
  <c r="L4" i="12"/>
  <c r="L24" i="12"/>
  <c r="L71" i="12"/>
  <c r="L69" i="12"/>
  <c r="L18" i="12"/>
  <c r="L19" i="12"/>
  <c r="L31" i="12"/>
  <c r="L17" i="12"/>
  <c r="L70" i="12"/>
  <c r="L68" i="12"/>
  <c r="L10" i="12"/>
  <c r="L26" i="12"/>
  <c r="L28" i="12"/>
  <c r="L8" i="12"/>
  <c r="L9" i="12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468" i="21"/>
  <c r="C460" i="21"/>
  <c r="C452" i="21"/>
  <c r="C444" i="21"/>
  <c r="C436" i="21"/>
  <c r="C428" i="21"/>
  <c r="C420" i="21"/>
  <c r="C412" i="21"/>
  <c r="C404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16" i="21"/>
  <c r="C108" i="21"/>
  <c r="C100" i="21"/>
  <c r="C92" i="21"/>
  <c r="C84" i="21"/>
  <c r="C76" i="21"/>
  <c r="C68" i="21"/>
  <c r="C60" i="21"/>
  <c r="C52" i="21"/>
  <c r="C44" i="21"/>
  <c r="C36" i="21"/>
  <c r="L5" i="12"/>
  <c r="L6" i="12"/>
  <c r="L7" i="12"/>
  <c r="L25" i="12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467" i="21"/>
  <c r="C459" i="21"/>
  <c r="C451" i="21"/>
  <c r="C443" i="21"/>
  <c r="C435" i="21"/>
  <c r="C427" i="21"/>
  <c r="C419" i="21"/>
  <c r="C411" i="21"/>
  <c r="C403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15" i="21"/>
  <c r="C107" i="21"/>
  <c r="C99" i="21"/>
  <c r="C91" i="21"/>
  <c r="C83" i="21"/>
  <c r="C75" i="21"/>
  <c r="C67" i="21"/>
  <c r="C59" i="21"/>
  <c r="C51" i="21"/>
  <c r="C43" i="21"/>
  <c r="C35" i="21"/>
  <c r="M14" i="12"/>
  <c r="M30" i="12"/>
  <c r="M15" i="12"/>
  <c r="M16" i="12"/>
  <c r="L14" i="12"/>
  <c r="L30" i="12"/>
  <c r="L15" i="12"/>
  <c r="L16" i="12"/>
  <c r="M35" i="12"/>
  <c r="M37" i="12"/>
  <c r="M39" i="12"/>
  <c r="M33" i="12"/>
  <c r="M41" i="12"/>
  <c r="M68" i="12"/>
  <c r="M70" i="12"/>
  <c r="M54" i="12"/>
  <c r="M55" i="12"/>
  <c r="M56" i="12"/>
  <c r="L54" i="12"/>
  <c r="L55" i="12"/>
  <c r="L56" i="12"/>
  <c r="L65" i="12"/>
  <c r="L67" i="12"/>
  <c r="M65" i="12"/>
  <c r="M67" i="12"/>
  <c r="M57" i="12"/>
  <c r="M58" i="12"/>
  <c r="M59" i="12"/>
  <c r="L57" i="12"/>
  <c r="L58" i="12"/>
  <c r="L59" i="12"/>
  <c r="M60" i="12"/>
  <c r="M62" i="12"/>
  <c r="L62" i="12"/>
  <c r="L60" i="12"/>
  <c r="L61" i="12"/>
  <c r="L63" i="12"/>
  <c r="M61" i="12"/>
  <c r="M63" i="12"/>
  <c r="M52" i="12"/>
  <c r="M53" i="12"/>
  <c r="M51" i="12"/>
  <c r="L51" i="12"/>
  <c r="L52" i="12"/>
  <c r="L53" i="12"/>
  <c r="M48" i="12"/>
  <c r="M49" i="12"/>
  <c r="M50" i="12"/>
  <c r="L48" i="12"/>
  <c r="L49" i="12"/>
  <c r="L50" i="12"/>
  <c r="L45" i="12"/>
  <c r="L46" i="12"/>
  <c r="L47" i="12"/>
  <c r="M45" i="12"/>
  <c r="M46" i="12"/>
  <c r="M47" i="12"/>
  <c r="M42" i="12"/>
  <c r="M43" i="12"/>
  <c r="M44" i="12"/>
  <c r="L42" i="12"/>
  <c r="L43" i="12"/>
  <c r="L44" i="12"/>
  <c r="L66" i="12"/>
  <c r="L64" i="12"/>
  <c r="M64" i="12"/>
  <c r="M66" i="12"/>
  <c r="C12" i="21"/>
  <c r="C54" i="12"/>
  <c r="C55" i="12"/>
  <c r="C56" i="12"/>
  <c r="C13" i="21"/>
  <c r="C58" i="12"/>
  <c r="C59" i="12"/>
  <c r="C57" i="12"/>
  <c r="H2" i="12"/>
  <c r="H24" i="12"/>
  <c r="H3" i="12"/>
  <c r="H4" i="12"/>
  <c r="B17" i="22"/>
  <c r="D14" i="4"/>
  <c r="H62" i="12"/>
  <c r="H60" i="12"/>
  <c r="B16" i="22"/>
  <c r="F5" i="8"/>
  <c r="E5" i="8"/>
  <c r="C5" i="22"/>
  <c r="B13" i="8"/>
  <c r="H34" i="12" l="1"/>
  <c r="H38" i="12"/>
  <c r="H32" i="12"/>
  <c r="H40" i="12"/>
  <c r="H36" i="12"/>
  <c r="B13" i="22"/>
  <c r="D22" i="4"/>
  <c r="B12" i="8"/>
  <c r="B12" i="22" s="1"/>
  <c r="B11" i="8"/>
  <c r="B10" i="8"/>
  <c r="H14" i="12" l="1"/>
  <c r="H30" i="12"/>
  <c r="H42" i="12"/>
  <c r="H16" i="12"/>
  <c r="H15" i="12"/>
  <c r="H43" i="12"/>
  <c r="H44" i="12"/>
  <c r="B10" i="22"/>
  <c r="D2" i="4"/>
  <c r="D18" i="4"/>
  <c r="H10" i="12"/>
  <c r="H26" i="12"/>
  <c r="H8" i="12"/>
  <c r="H9" i="12"/>
  <c r="H20" i="12"/>
  <c r="H28" i="12"/>
  <c r="H21" i="12"/>
  <c r="B11" i="22"/>
  <c r="D20" i="4"/>
  <c r="D16" i="4"/>
  <c r="C14" i="10" l="1"/>
  <c r="C13" i="10"/>
  <c r="C12" i="10"/>
  <c r="C11" i="10"/>
  <c r="C10" i="10"/>
  <c r="C9" i="10"/>
  <c r="C8" i="10"/>
  <c r="C7" i="10"/>
  <c r="C6" i="10"/>
  <c r="D2" i="6"/>
  <c r="C7" i="19" l="1"/>
  <c r="C6" i="19"/>
  <c r="C3" i="19"/>
  <c r="C2" i="19"/>
  <c r="C7" i="18"/>
  <c r="C6" i="18"/>
  <c r="C5" i="18"/>
  <c r="C4" i="18"/>
  <c r="C3" i="18"/>
  <c r="C2" i="18"/>
  <c r="C6" i="11"/>
  <c r="C5" i="11"/>
  <c r="C4" i="11"/>
  <c r="C3" i="11"/>
  <c r="C2" i="11"/>
  <c r="C5" i="10"/>
  <c r="C4" i="10"/>
  <c r="C3" i="10"/>
  <c r="C7" i="2" l="1"/>
  <c r="C4" i="2"/>
  <c r="C6" i="2"/>
  <c r="C5" i="2"/>
  <c r="C3" i="2"/>
  <c r="C2" i="2"/>
  <c r="G25" i="5"/>
  <c r="G26" i="5"/>
  <c r="G27" i="5"/>
  <c r="G28" i="5"/>
  <c r="G24" i="5"/>
  <c r="C14" i="9" l="1"/>
  <c r="N14" i="4" s="1"/>
  <c r="C15" i="9"/>
  <c r="N15" i="4" s="1"/>
  <c r="C16" i="9"/>
  <c r="N16" i="4" s="1"/>
  <c r="C17" i="9"/>
  <c r="N17" i="4" s="1"/>
  <c r="C18" i="9"/>
  <c r="N18" i="4" s="1"/>
  <c r="C19" i="9"/>
  <c r="N19" i="4" s="1"/>
  <c r="C20" i="9"/>
  <c r="N20" i="4" s="1"/>
  <c r="C21" i="9"/>
  <c r="N21" i="4" s="1"/>
  <c r="C22" i="9"/>
  <c r="N22" i="4" s="1"/>
  <c r="C23" i="9"/>
  <c r="N23" i="4" s="1"/>
  <c r="C17" i="21" l="1"/>
  <c r="C11" i="12"/>
  <c r="C27" i="12"/>
  <c r="C12" i="12"/>
  <c r="C13" i="12"/>
  <c r="C29" i="12"/>
  <c r="C20" i="21"/>
  <c r="C20" i="12"/>
  <c r="C21" i="12"/>
  <c r="C16" i="21"/>
  <c r="C10" i="12"/>
  <c r="C26" i="12"/>
  <c r="C8" i="12"/>
  <c r="C28" i="12"/>
  <c r="C9" i="12"/>
  <c r="C21" i="21"/>
  <c r="C22" i="12"/>
  <c r="C23" i="12"/>
  <c r="C23" i="21"/>
  <c r="C35" i="12"/>
  <c r="C39" i="12"/>
  <c r="C33" i="12"/>
  <c r="C37" i="12"/>
  <c r="C41" i="12"/>
  <c r="C19" i="21"/>
  <c r="C18" i="12"/>
  <c r="C19" i="12"/>
  <c r="C31" i="12"/>
  <c r="C17" i="12"/>
  <c r="C15" i="21"/>
  <c r="C6" i="12"/>
  <c r="C7" i="12"/>
  <c r="C5" i="12"/>
  <c r="C25" i="12"/>
  <c r="C22" i="21"/>
  <c r="C34" i="12"/>
  <c r="C38" i="12"/>
  <c r="C32" i="12"/>
  <c r="C36" i="12"/>
  <c r="C40" i="12"/>
  <c r="C18" i="21"/>
  <c r="C14" i="12"/>
  <c r="C30" i="12"/>
  <c r="C15" i="12"/>
  <c r="C16" i="12"/>
  <c r="C14" i="21"/>
  <c r="C2" i="12"/>
  <c r="C3" i="12"/>
  <c r="C4" i="12"/>
  <c r="C24" i="12"/>
  <c r="C30" i="2"/>
  <c r="C15" i="2"/>
  <c r="C16" i="2"/>
  <c r="C20" i="2"/>
  <c r="C21" i="2"/>
  <c r="C22" i="2"/>
  <c r="C24" i="2"/>
  <c r="C25" i="2"/>
  <c r="C13" i="2"/>
  <c r="C17" i="2"/>
  <c r="C18" i="2"/>
  <c r="C23" i="2"/>
  <c r="C26" i="2"/>
  <c r="C27" i="2"/>
  <c r="C28" i="2"/>
  <c r="C29" i="2"/>
  <c r="C14" i="2"/>
  <c r="C12" i="2"/>
  <c r="C11" i="2"/>
  <c r="C10" i="2"/>
  <c r="G11" i="5" l="1"/>
  <c r="C5" i="19"/>
  <c r="C2" i="10"/>
  <c r="C2" i="9"/>
  <c r="N2" i="4" s="1"/>
  <c r="C3" i="9"/>
  <c r="N3" i="4" s="1"/>
  <c r="C4" i="9"/>
  <c r="N4" i="4" s="1"/>
  <c r="C5" i="9"/>
  <c r="N5" i="4" s="1"/>
  <c r="C6" i="9"/>
  <c r="N6" i="4" s="1"/>
  <c r="C7" i="9"/>
  <c r="N7" i="4" s="1"/>
  <c r="C8" i="9"/>
  <c r="N8" i="4" s="1"/>
  <c r="C70" i="12" s="1"/>
  <c r="C9" i="9"/>
  <c r="N9" i="4" s="1"/>
  <c r="C71" i="12" s="1"/>
  <c r="C10" i="9"/>
  <c r="N10" i="4" s="1"/>
  <c r="C11" i="9"/>
  <c r="N11" i="4" s="1"/>
  <c r="C19" i="2"/>
  <c r="G6" i="5"/>
  <c r="C9" i="21" l="1"/>
  <c r="C69" i="12"/>
  <c r="C8" i="21"/>
  <c r="C68" i="12"/>
  <c r="C10" i="21"/>
  <c r="C66" i="12"/>
  <c r="C64" i="12"/>
  <c r="C2" i="21"/>
  <c r="C42" i="12"/>
  <c r="C43" i="12"/>
  <c r="C44" i="12"/>
  <c r="C5" i="21"/>
  <c r="C51" i="12"/>
  <c r="C52" i="12"/>
  <c r="C53" i="12"/>
  <c r="C6" i="21"/>
  <c r="C62" i="12"/>
  <c r="C60" i="12"/>
  <c r="C4" i="21"/>
  <c r="C50" i="12"/>
  <c r="C48" i="12"/>
  <c r="C49" i="12"/>
  <c r="C11" i="21"/>
  <c r="C67" i="12"/>
  <c r="C65" i="12"/>
  <c r="C7" i="21"/>
  <c r="C63" i="12"/>
  <c r="C61" i="12"/>
  <c r="C3" i="21"/>
  <c r="C46" i="12"/>
  <c r="C47" i="12"/>
  <c r="C45" i="12"/>
  <c r="D7" i="1"/>
  <c r="D8" i="1"/>
  <c r="D9" i="1"/>
  <c r="D10" i="1"/>
  <c r="D11" i="1"/>
  <c r="D6" i="1"/>
  <c r="D3" i="1"/>
  <c r="D4" i="1"/>
  <c r="D5" i="1"/>
  <c r="G2" i="5"/>
  <c r="E3" i="7"/>
  <c r="E4" i="7"/>
  <c r="E5" i="7"/>
  <c r="E6" i="7"/>
  <c r="E7" i="7"/>
  <c r="E8" i="7"/>
  <c r="E9" i="7"/>
  <c r="E10" i="7"/>
  <c r="E11" i="7"/>
  <c r="E2" i="7"/>
  <c r="G3" i="5"/>
  <c r="G4" i="5"/>
  <c r="G5" i="5"/>
  <c r="G7" i="5"/>
  <c r="G8" i="5"/>
  <c r="G9" i="5"/>
  <c r="G10" i="5"/>
  <c r="G12" i="5"/>
  <c r="G13" i="5"/>
  <c r="G14" i="5"/>
  <c r="G15" i="5"/>
  <c r="G16" i="5"/>
  <c r="G17" i="5"/>
  <c r="G18" i="5"/>
  <c r="G19" i="5"/>
  <c r="G20" i="5"/>
  <c r="G21" i="5"/>
  <c r="G22" i="5"/>
  <c r="G23" i="5"/>
</calcChain>
</file>

<file path=xl/sharedStrings.xml><?xml version="1.0" encoding="utf-8"?>
<sst xmlns="http://schemas.openxmlformats.org/spreadsheetml/2006/main" count="327" uniqueCount="236">
  <si>
    <t>ID</t>
  </si>
  <si>
    <t>name</t>
  </si>
  <si>
    <t>investcost</t>
  </si>
  <si>
    <t>position</t>
  </si>
  <si>
    <t>weight</t>
  </si>
  <si>
    <t>Messgröße 1</t>
  </si>
  <si>
    <t>Messgröße 2</t>
  </si>
  <si>
    <t>c(z)</t>
  </si>
  <si>
    <t>f(z)</t>
  </si>
  <si>
    <t>Methode 0</t>
  </si>
  <si>
    <t>Methode 1</t>
  </si>
  <si>
    <t>Methode 2</t>
  </si>
  <si>
    <t>Methode 3</t>
  </si>
  <si>
    <t>Person 0</t>
  </si>
  <si>
    <t>Position 0</t>
  </si>
  <si>
    <t>Position 1</t>
  </si>
  <si>
    <t>Position 2</t>
  </si>
  <si>
    <t>Position 3</t>
  </si>
  <si>
    <t>Position 4</t>
  </si>
  <si>
    <t>Position 5</t>
  </si>
  <si>
    <t>Position 6</t>
  </si>
  <si>
    <t>Position 7</t>
  </si>
  <si>
    <t>Position 8</t>
  </si>
  <si>
    <t>Position 9</t>
  </si>
  <si>
    <t>Messgröße 3</t>
  </si>
  <si>
    <t>Messgröße 4</t>
  </si>
  <si>
    <t>Person 1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</si>
  <si>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</si>
  <si>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</si>
  <si>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</si>
  <si>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</si>
  <si>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</si>
  <si>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</si>
  <si>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</si>
  <si>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</si>
  <si>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</si>
  <si>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</si>
  <si>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</si>
  <si>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</si>
  <si>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</si>
  <si>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 xml:space="preserve"> Größe4Sensor1</t>
  </si>
  <si>
    <t xml:space="preserve"> Größe4Sensor2</t>
  </si>
  <si>
    <t xml:space="preserve"> Größe4Sensor3</t>
  </si>
  <si>
    <t xml:space="preserve"> Größe4Sensor4</t>
  </si>
  <si>
    <t xml:space="preserve"> Größe4Sensor5</t>
  </si>
  <si>
    <t>unit_factor</t>
  </si>
  <si>
    <t>soll</t>
  </si>
  <si>
    <t>dyn</t>
  </si>
  <si>
    <t>Schichtdickenmesser1</t>
  </si>
  <si>
    <t>Schichtdickenmesser2</t>
  </si>
  <si>
    <t>Schichtdickenmesser3</t>
  </si>
  <si>
    <t>Laserleistungssensor1</t>
  </si>
  <si>
    <t>Laserleistungssensor2</t>
  </si>
  <si>
    <t>Laserleistungssensor3</t>
  </si>
  <si>
    <t>Temperatursensor1</t>
  </si>
  <si>
    <t>Temperatursensor2</t>
  </si>
  <si>
    <t>Temperatursensor3</t>
  </si>
  <si>
    <t>KombiSchichtLeistung1</t>
  </si>
  <si>
    <t>KombiLeistungTemperatur1</t>
  </si>
  <si>
    <t>RakelgeschwSensor1</t>
  </si>
  <si>
    <t>RakelgeschwSensor2</t>
  </si>
  <si>
    <t>Schichtdicke_Qualität</t>
  </si>
  <si>
    <t>Schichtdicke_Frequenz</t>
  </si>
  <si>
    <t>Laserleistung_Qualität</t>
  </si>
  <si>
    <t>Laserleistung_Frequenz</t>
  </si>
  <si>
    <t>Bauraumtemperatur_Qualität</t>
  </si>
  <si>
    <t>Bauraumtemperatur_Frequenz</t>
  </si>
  <si>
    <t>Rakelgeschwindigkeit_Qualität</t>
  </si>
  <si>
    <t>Rakelgeschwindigkeit_Frequenz</t>
  </si>
  <si>
    <t>Größe4_Qualität</t>
  </si>
  <si>
    <t>Größe4_Frequenz</t>
  </si>
  <si>
    <t>processcost_per_unit</t>
  </si>
  <si>
    <t>quality_function</t>
  </si>
  <si>
    <t>Schichtdicke</t>
  </si>
  <si>
    <t>Laserleistung</t>
  </si>
  <si>
    <t>Bauraumtemperatur</t>
  </si>
  <si>
    <t>Rakelgeschwindigkeit</t>
  </si>
  <si>
    <t>Größe4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</si>
  <si>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</si>
  <si>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</si>
  <si>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</si>
  <si>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</si>
  <si>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</si>
  <si>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</si>
  <si>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</si>
  <si>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</si>
  <si>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</si>
  <si>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</si>
  <si>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</si>
  <si>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</si>
  <si>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</si>
  <si>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</si>
  <si>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</si>
  <si>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</si>
  <si>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</si>
  <si>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</si>
  <si>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</si>
  <si>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</si>
  <si>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</si>
  <si>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</si>
  <si>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</si>
  <si>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</si>
  <si>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</si>
  <si>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</si>
  <si>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</si>
  <si>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</si>
  <si>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</si>
  <si>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</si>
  <si>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</si>
  <si>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</si>
  <si>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</si>
  <si>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</si>
  <si>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</si>
  <si>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</si>
  <si>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</si>
  <si>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</si>
  <si>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</si>
  <si>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</si>
  <si>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FireWire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</si>
  <si>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</si>
  <si>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</si>
  <si>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</si>
  <si>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</si>
  <si>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</si>
  <si>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</si>
  <si>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</si>
  <si>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</si>
  <si>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</si>
  <si>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</si>
  <si>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</si>
  <si>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</si>
  <si>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dict_zuord_Meth_Pers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</si>
  <si>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</si>
  <si>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</si>
  <si>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</si>
  <si>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</si>
  <si>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</si>
  <si>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</si>
  <si>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</si>
  <si>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</si>
  <si>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</si>
  <si>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</si>
  <si>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</si>
  <si>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</si>
  <si>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</si>
  <si>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</si>
  <si>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</si>
  <si>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HDD1</t>
  </si>
  <si>
    <t>bandwidth_ub</t>
  </si>
  <si>
    <t>Messgröße0_Frequenz</t>
  </si>
  <si>
    <t>Messgröße1_Frequenz</t>
  </si>
  <si>
    <t>Messgröße2_Frequenz</t>
  </si>
  <si>
    <t>Messgröße3_Oualität</t>
  </si>
  <si>
    <t>Messgröße3_Frequenz</t>
  </si>
  <si>
    <t>Messgröße4_Frequenz</t>
  </si>
  <si>
    <t>J_0</t>
  </si>
  <si>
    <t>J_1</t>
  </si>
  <si>
    <t>J_2</t>
  </si>
  <si>
    <t>J_3</t>
  </si>
  <si>
    <t>J_4</t>
  </si>
  <si>
    <t>SSD1</t>
  </si>
  <si>
    <t>WiFi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</si>
  <si>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</si>
  <si>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</si>
  <si>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</si>
  <si>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</si>
  <si>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</si>
  <si>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</si>
  <si>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</si>
  <si>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</si>
  <si>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Messgröße1_Auflösung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</si>
  <si>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</si>
  <si>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</si>
  <si>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</si>
  <si>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</si>
  <si>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</si>
  <si>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</si>
  <si>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</si>
  <si>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</si>
  <si>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</si>
  <si>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Durchflussmessgenauigkeit liter/h</t>
  </si>
  <si>
    <t>Fläche mm²</t>
  </si>
  <si>
    <t>Länge mm</t>
  </si>
  <si>
    <t>Breite mm</t>
  </si>
  <si>
    <t>Farbtiefe bit</t>
  </si>
  <si>
    <t>Frequenz Hz</t>
  </si>
  <si>
    <t>unit_name</t>
  </si>
  <si>
    <t>Messgröße0_Temperatur</t>
  </si>
  <si>
    <t>Messgröße1_Farbtiefe</t>
  </si>
  <si>
    <t>Messgröße1_Fläche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</si>
  <si>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</si>
  <si>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</si>
  <si>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</si>
  <si>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</si>
  <si>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</si>
  <si>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</si>
  <si>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</si>
  <si>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Messgröße2_Längenmessgenauigkeit</t>
  </si>
  <si>
    <t>J_5</t>
  </si>
  <si>
    <t>J_6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</si>
  <si>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</si>
  <si>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</si>
  <si>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</si>
  <si>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</si>
  <si>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</si>
  <si>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</si>
  <si>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</si>
  <si>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</si>
  <si>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</si>
  <si>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</si>
  <si>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</si>
  <si>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</si>
  <si>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</si>
  <si>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Extreme</t>
  </si>
  <si>
    <t>direction_normal</t>
  </si>
  <si>
    <t>direction_invers</t>
  </si>
  <si>
    <t>Bildgröße</t>
  </si>
  <si>
    <t>Messgröße4_Bildqualität</t>
  </si>
  <si>
    <t>J_7</t>
  </si>
  <si>
    <t>J_8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</si>
  <si>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</si>
  <si>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</si>
  <si>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</si>
  <si>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</si>
  <si>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</si>
  <si>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</si>
  <si>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</si>
  <si>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</si>
  <si>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</si>
  <si>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</si>
  <si>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</si>
  <si>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J_9</t>
  </si>
  <si>
    <t>J_10</t>
  </si>
  <si>
    <t>dict_zuord_Transfers_Storages</t>
  </si>
  <si>
    <t>Extreme2</t>
  </si>
  <si>
    <t>func_factor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</si>
</sst>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</cellXfs>
  <cellStyles count="2">
    <cellStyle name="Link" xfId="1" builtinId="8"/>
    <cellStyle name="Standard" xfId="0" builtinId="0"/>
  </cellStyles>
  <dxfs count="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11" totalsRowShown="0">
  <autoFilter ref="A1:D11">
    <filterColumn colId="1">
      <filters>
        <filter val="Messgröße 0"/>
        <filter val="Messgröße 1"/>
        <filter val="Messgröße 2"/>
        <filter val="Messgröße 3"/>
        <filter val="Messgröße 4"/>
      </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23" totalsRowShown="0">
  <autoFilter ref="A1:O23"/>
  <sortState ref="A2:I23">
    <sortCondition ref="A1:A23"/>
  </sortState>
  <tableColumns count="15">
    <tableColumn id="1" name="ID"/>
    <tableColumn id="2" name="name"/>
    <tableColumn id="3" name="unit_ID"/>
    <tableColumn id="10" name="ignore_unit_name" dataDxfId="26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25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24">
      <calculatedColumnFormula>IF(VLOOKUP(table_DataQualities[[#This Row],[unit_ID]],table_Units[],5)&gt;0,table_DataQualities[[#This Row],[z_best]],IF(VLOOKUP(table_DataQualities[[#This Row],[unit_ID]],table_Units[],6)=1,table_DataQualities[[#This Row],[z_worst]]))</calculatedColumnFormula>
    </tableColumn>
    <tableColumn id="6" name="processcost_per_unit"/>
    <tableColumn id="9" name="weight_factor"/>
    <tableColumn id="7" name="quality_function"/>
    <tableColumn id="11" name="kval_Unit" dataDxfId="23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22">
      <calculatedColumnFormula>VLOOKUP(table_DataQualities[[#This Row],[ID]],dict_zuord_Var_DQ!B:C,2,FALSE)</calculatedColumnFormula>
    </tableColumn>
    <tableColumn id="15" name="func_factor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21">
      <calculatedColumnFormula>IF(table_Units[[#This Row],[unit_factor]]&gt;0,1,0)</calculatedColumnFormula>
    </tableColumn>
    <tableColumn id="6" name="direction_invers" dataDxfId="20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19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34" totalsRowShown="0">
  <autoFilter ref="A1:I34"/>
  <tableColumns count="9">
    <tableColumn id="1" name="ID"/>
    <tableColumn id="2" name="name"/>
    <tableColumn id="3" name="investcost"/>
    <tableColumn id="4" name="processcost_per_build"/>
    <tableColumn id="6" name="betrieb_temp_min"/>
    <tableColumn id="7" name="betrieb_temp_max"/>
    <tableColumn id="5" name="kval_used" dataDxfId="18">
      <calculatedColumnFormula>COUNTIF(dict_zul_Var_Meth[ID_Methods], table_Methods[[#This Row],[ID]]) &gt; 0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D11" totalsRowShown="0">
  <autoFilter ref="A1:D11"/>
  <tableColumns count="4">
    <tableColumn id="1" name="ID"/>
    <tableColumn id="2" name="name"/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E11" totalsRowShown="0">
  <autoFilter ref="A1:E11"/>
  <tableColumns count="5">
    <tableColumn id="1" name="ID"/>
    <tableColumn id="2" name="position"/>
    <tableColumn id="4" name="temp_lb"/>
    <tableColumn id="5" name="temp_ub"/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E5" totalsRowShown="0">
  <autoFilter ref="A1:E5"/>
  <tableColumns count="5">
    <tableColumn id="1" name="ID"/>
    <tableColumn id="2" name="name"/>
    <tableColumn id="3" name="bandwidth_ub">
      <calculatedColumnFormula>400*1000</calculatedColumnFormula>
    </tableColumn>
    <tableColumn id="4" name="investcost"/>
    <tableColumn id="5" name="cost_per_bandwidt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E5" totalsRowShown="0">
  <autoFilter ref="A1:E5"/>
  <tableColumns count="5">
    <tableColumn id="1" name="ID"/>
    <tableColumn id="2" name="name"/>
    <tableColumn id="3" name="bandwidth_ub" dataDxfId="17">
      <calculatedColumnFormula>160*8*1000</calculatedColumnFormula>
    </tableColumn>
    <tableColumn id="4" name="investcost"/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12" name="dict_DQ_Meth_max" displayName="dict_DQ_Meth_max" ref="A1:M71" totalsRowShown="0">
  <autoFilter ref="A1:M71">
    <filterColumn colId="0">
      <customFilters>
        <customFilter operator="lessThan" val="99"/>
      </customFilters>
    </filterColumn>
  </autoFilter>
  <tableColumns count="13">
    <tableColumn id="1" name="ID_DataQualities"/>
    <tableColumn id="2" name="ID_Methods"/>
    <tableColumn id="5" name="kval_active" dataDxfId="13">
      <calculatedColumnFormula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calculatedColumnFormula>
    </tableColumn>
    <tableColumn id="8" name="z_J_worst"/>
    <tableColumn id="3" name="z_J_best"/>
    <tableColumn id="7" name="z_J_lb" dataDxfId="12">
      <calculatedColumnFormula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calculatedColumnFormula>
    </tableColumn>
    <tableColumn id="11" name="z_J_ub" dataDxfId="11">
      <calculatedColumnFormula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calculatedColumnFormula>
    </tableColumn>
    <tableColumn id="4" name="ignore_unit" dataDxfId="10">
      <calculatedColumnFormula>VLOOKUP(VLOOKUP(dict_DQ_Meth_max[[#This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9">
      <calculatedColumnFormula>VLOOKUP($A2,table_DataQualities!$A:$I,8,FALSE)</calculatedColumnFormula>
    </tableColumn>
    <tableColumn id="15" name="Vergleich_ub" dataDxfId="8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C34" totalsRowShown="0">
  <autoFilter ref="A1:C34"/>
  <sortState ref="A2:C35">
    <sortCondition descending="1" ref="C1:C35"/>
  </sortState>
  <tableColumns count="3">
    <tableColumn id="1" name="ID_Variables"/>
    <tableColumn id="2" name="ID_Methods"/>
    <tableColumn id="6" name="kval_active" dataDxfId="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7" name="dict_zuord_Var_DQ" displayName="dict_zuord_Var_DQ" ref="A1:C23" totalsRowShown="0">
  <autoFilter ref="A1:C23"/>
  <sortState ref="A2:C23">
    <sortCondition ref="B1:B23"/>
  </sortState>
  <tableColumns count="3">
    <tableColumn id="1" name="ID_Variables"/>
    <tableColumn id="2" name="ID_DataQualities"/>
    <tableColumn id="3" name="kval_active" dataDxfId="6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id="8" name="table_zuord_Meth_Pers" displayName="table_zuord_Meth_Pers" ref="A1:D20" totalsRowShown="0">
  <autoFilter ref="A1:D20"/>
  <tableColumns count="4">
    <tableColumn id="1" name="ID_Methods"/>
    <tableColumn id="2" name="ID_Persons"/>
    <tableColumn id="4" name="kval_active">
      <calculatedColumnFormula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calculatedColumnFormula>
    </tableColumn>
    <tableColumn id="3" name="time_in_minutes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9" name="dict_zuord_Meth_Pos" displayName="dict_zuord_Meth_Pos" ref="A1:C13" totalsRowShown="0">
  <autoFilter ref="A1:C13"/>
  <sortState ref="A2:C14">
    <sortCondition ref="A1:A14"/>
  </sortState>
  <tableColumns count="3">
    <tableColumn id="1" name="ID_Methods"/>
    <tableColumn id="2" name="ID_Positions"/>
    <tableColumn id="3" name="kval_active" dataDxfId="5">
      <calculatedColumnFormula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14" name="dict_zuord_Meth_Transfers" displayName="dict_zuord_Meth_Transfers" ref="A1:C34" totalsRowShown="0">
  <autoFilter ref="A1:C34"/>
  <tableColumns count="3">
    <tableColumn id="1" name="ID_Methods"/>
    <tableColumn id="2" name="ID_Transfers"/>
    <tableColumn id="3" name="kval_active" dataDxfId="4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5" name="dict_zuord_Meth_Storages" displayName="dict_zuord_Meth_Storages" ref="A1:C13" totalsRowShown="0">
  <autoFilter ref="A1:C13"/>
  <sortState ref="A2:C13">
    <sortCondition ref="A1:A13"/>
  </sortState>
  <tableColumns count="3">
    <tableColumn id="1" name="ID_Transfers"/>
    <tableColumn id="2" name="ID_Storages"/>
    <tableColumn id="3" name="kval_active" dataDxfId="3">
      <calculatedColumnFormula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2">
      <calculatedColumnFormula>IFERROR(table_DataQualities[ID],"")</calculatedColumnFormula>
    </tableColumn>
    <tableColumn id="2" name="ID_Units" dataDxfId="1">
      <calculatedColumnFormula>IFERROR(table_DataQualities[unit_ID],"")</calculatedColumnFormula>
    </tableColumn>
    <tableColumn id="3" name="kval_active" dataDxfId="0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27</v>
      </c>
    </row>
    <row r="2" spans="1:6" x14ac:dyDescent="0.45">
      <c r="F2" t="s">
        <v>28</v>
      </c>
    </row>
    <row r="3" spans="1:6" x14ac:dyDescent="0.45">
      <c r="A3" t="s">
        <v>34</v>
      </c>
      <c r="D3">
        <v>5</v>
      </c>
      <c r="F3" t="s">
        <v>29</v>
      </c>
    </row>
    <row r="4" spans="1:6" x14ac:dyDescent="0.45">
      <c r="F4" t="s">
        <v>30</v>
      </c>
    </row>
    <row r="5" spans="1:6" x14ac:dyDescent="0.45">
      <c r="F5" t="s">
        <v>31</v>
      </c>
    </row>
    <row r="9" spans="1:6" x14ac:dyDescent="0.45">
      <c r="A9" t="s">
        <v>35</v>
      </c>
      <c r="B9" t="s">
        <v>37</v>
      </c>
    </row>
    <row r="10" spans="1:6" x14ac:dyDescent="0.45">
      <c r="B10" t="s">
        <v>36</v>
      </c>
    </row>
    <row r="11" spans="1:6" x14ac:dyDescent="0.45">
      <c r="B11" t="s">
        <v>38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25" x14ac:dyDescent="0.4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topLeftCell="A4" workbookViewId="0">
      <selection activeCell="A19" sqref="A19"/>
    </sheetView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84</v>
      </c>
      <c r="B1" t="s">
        <v>104</v>
      </c>
      <c r="C1" t="s">
        <v>103</v>
      </c>
    </row>
    <row r="2" spans="1:16384" x14ac:dyDescent="0.45">
      <c r="A2" t="s">
        <v>108</v>
      </c>
      <c r="B2" t="s">
        <v>108</v>
      </c>
    </row>
    <row r="3" spans="1:16384" s="6" customFormat="1" x14ac:dyDescent="0.45">
      <c r="A3" s="5" t="s">
        <v>203</v>
      </c>
      <c r="B3" s="5" t="s">
        <v>203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107</v>
      </c>
      <c r="B4" t="s">
        <v>107</v>
      </c>
    </row>
    <row r="5" spans="1:16384" x14ac:dyDescent="0.45">
      <c r="A5" t="s">
        <v>120</v>
      </c>
      <c r="B5" t="s">
        <v>85</v>
      </c>
      <c r="C5" t="s">
        <v>96</v>
      </c>
    </row>
    <row r="6" spans="1:16384" x14ac:dyDescent="0.45">
      <c r="A6" t="s">
        <v>121</v>
      </c>
      <c r="B6" t="s">
        <v>89</v>
      </c>
      <c r="C6" t="s">
        <v>97</v>
      </c>
    </row>
    <row r="7" spans="1:16384" x14ac:dyDescent="0.45">
      <c r="A7" t="s">
        <v>122</v>
      </c>
      <c r="B7" t="s">
        <v>207</v>
      </c>
      <c r="C7" t="s">
        <v>208</v>
      </c>
    </row>
    <row r="8" spans="1:16384" x14ac:dyDescent="0.45">
      <c r="A8" t="s">
        <v>123</v>
      </c>
      <c r="B8" t="s">
        <v>90</v>
      </c>
      <c r="C8" t="s">
        <v>98</v>
      </c>
    </row>
    <row r="9" spans="1:16384" x14ac:dyDescent="0.45">
      <c r="A9" t="s">
        <v>124</v>
      </c>
      <c r="B9" t="s">
        <v>91</v>
      </c>
      <c r="C9" t="s">
        <v>99</v>
      </c>
    </row>
    <row r="10" spans="1:16384" x14ac:dyDescent="0.45">
      <c r="A10" t="s">
        <v>125</v>
      </c>
      <c r="B10" t="s">
        <v>88</v>
      </c>
      <c r="C10" t="s">
        <v>100</v>
      </c>
    </row>
    <row r="11" spans="1:16384" x14ac:dyDescent="0.45">
      <c r="A11" t="s">
        <v>126</v>
      </c>
      <c r="B11" t="s">
        <v>86</v>
      </c>
      <c r="C11" t="s">
        <v>101</v>
      </c>
    </row>
    <row r="12" spans="1:16384" x14ac:dyDescent="0.45">
      <c r="A12" t="s">
        <v>127</v>
      </c>
      <c r="B12" t="s">
        <v>87</v>
      </c>
      <c r="C12" t="s">
        <v>102</v>
      </c>
    </row>
    <row r="13" spans="1:16384" x14ac:dyDescent="0.45">
      <c r="A13" t="s">
        <v>128</v>
      </c>
      <c r="B13" t="s">
        <v>228</v>
      </c>
      <c r="C13" t="s">
        <v>109</v>
      </c>
    </row>
    <row r="14" spans="1:16384" x14ac:dyDescent="0.45">
      <c r="A14" t="s">
        <v>129</v>
      </c>
      <c r="B14" t="s">
        <v>135</v>
      </c>
      <c r="C14" t="s">
        <v>93</v>
      </c>
    </row>
    <row r="15" spans="1:16384" x14ac:dyDescent="0.45">
      <c r="A15" t="s">
        <v>130</v>
      </c>
      <c r="B15" t="s">
        <v>134</v>
      </c>
      <c r="C15" t="s">
        <v>92</v>
      </c>
    </row>
    <row r="16" spans="1:16384" x14ac:dyDescent="0.45">
      <c r="A16" t="s">
        <v>131</v>
      </c>
      <c r="B16" t="s">
        <v>139</v>
      </c>
      <c r="C16" t="s">
        <v>94</v>
      </c>
    </row>
    <row r="17" spans="1:3" x14ac:dyDescent="0.45">
      <c r="A17" t="s">
        <v>132</v>
      </c>
      <c r="B17" t="s">
        <v>136</v>
      </c>
      <c r="C17" t="s">
        <v>95</v>
      </c>
    </row>
    <row r="18" spans="1:3" x14ac:dyDescent="0.45">
      <c r="A18" t="s">
        <v>133</v>
      </c>
      <c r="B18" t="s">
        <v>137</v>
      </c>
      <c r="C18" t="s">
        <v>116</v>
      </c>
    </row>
    <row r="19" spans="1:3" x14ac:dyDescent="0.45">
      <c r="A19" t="s">
        <v>233</v>
      </c>
      <c r="B19" t="s">
        <v>138</v>
      </c>
      <c r="C19" t="s">
        <v>117</v>
      </c>
    </row>
    <row r="20" spans="1:3" x14ac:dyDescent="0.45">
      <c r="A20" s="5" t="s">
        <v>204</v>
      </c>
      <c r="B20" t="s">
        <v>206</v>
      </c>
      <c r="C20" t="s">
        <v>205</v>
      </c>
    </row>
    <row r="21" spans="1:3" x14ac:dyDescent="0.45">
      <c r="A21" s="5" t="s">
        <v>211</v>
      </c>
      <c r="B21" t="s">
        <v>210</v>
      </c>
      <c r="C21" t="s">
        <v>208</v>
      </c>
    </row>
    <row r="22" spans="1:3" x14ac:dyDescent="0.45">
      <c r="A22" s="4" t="str">
        <f ca="1">IF(ROW(A21)&gt;COUNTA(x),"",HYPERLINK("#'"&amp;INDEX(x,ROW(A21))&amp;"'!A1",MID(INDEX(x,ROW(A21)),FIND("]",INDEX(x,ROW(A21)))+1,31)))</f>
        <v/>
      </c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8 A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11"/>
  <sheetViews>
    <sheetView workbookViewId="0">
      <selection activeCell="C19" sqref="C19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105</v>
      </c>
    </row>
    <row r="2" spans="1:4" x14ac:dyDescent="0.45">
      <c r="A2">
        <v>0</v>
      </c>
      <c r="B2" t="s">
        <v>32</v>
      </c>
      <c r="C2">
        <v>0.9</v>
      </c>
      <c r="D2" t="b">
        <f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0.2</v>
      </c>
      <c r="D3" t="b">
        <f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0.5</v>
      </c>
      <c r="D4" t="b">
        <f>COUNTIF(dict_zul_Var_Meth[ID_Variables], table_Variables[[#This Row],[ID]]) &gt; 0</f>
        <v>1</v>
      </c>
    </row>
    <row r="5" spans="1:4" x14ac:dyDescent="0.45">
      <c r="A5">
        <v>3</v>
      </c>
      <c r="B5" t="s">
        <v>24</v>
      </c>
      <c r="C5">
        <v>0.7</v>
      </c>
      <c r="D5" t="b">
        <f>COUNTIF(dict_zul_Var_Meth[ID_Variables], table_Variables[[#This Row],[ID]]) &gt; 0</f>
        <v>1</v>
      </c>
    </row>
    <row r="6" spans="1:4" x14ac:dyDescent="0.45">
      <c r="A6">
        <v>4</v>
      </c>
      <c r="B6" t="s">
        <v>25</v>
      </c>
      <c r="C6">
        <v>0.8</v>
      </c>
      <c r="D6" t="b">
        <f>COUNTIF(dict_zul_Var_Meth[ID_Variables], table_Variables[[#This Row],[ID]]) &gt; 0</f>
        <v>1</v>
      </c>
    </row>
    <row r="7" spans="1:4" hidden="1" x14ac:dyDescent="0.45">
      <c r="A7">
        <v>5</v>
      </c>
      <c r="B7" t="s">
        <v>73</v>
      </c>
      <c r="C7">
        <v>0.8</v>
      </c>
      <c r="D7" t="b">
        <f>COUNTIF(dict_zul_Var_Meth[ID_Variables], table_Variables[[#This Row],[ID]]) &gt; 0</f>
        <v>1</v>
      </c>
    </row>
    <row r="8" spans="1:4" hidden="1" x14ac:dyDescent="0.45">
      <c r="A8">
        <v>6</v>
      </c>
      <c r="B8" t="s">
        <v>74</v>
      </c>
      <c r="C8">
        <v>0.7</v>
      </c>
      <c r="D8" t="b">
        <f>COUNTIF(dict_zul_Var_Meth[ID_Variables], table_Variables[[#This Row],[ID]]) &gt; 0</f>
        <v>1</v>
      </c>
    </row>
    <row r="9" spans="1:4" hidden="1" x14ac:dyDescent="0.45">
      <c r="A9">
        <v>7</v>
      </c>
      <c r="B9" t="s">
        <v>75</v>
      </c>
      <c r="C9">
        <v>0.9</v>
      </c>
      <c r="D9" t="b">
        <f>COUNTIF(dict_zul_Var_Meth[ID_Variables], table_Variables[[#This Row],[ID]]) &gt; 0</f>
        <v>1</v>
      </c>
    </row>
    <row r="10" spans="1:4" hidden="1" x14ac:dyDescent="0.45">
      <c r="A10">
        <v>8</v>
      </c>
      <c r="B10" t="s">
        <v>76</v>
      </c>
      <c r="C10">
        <v>0.2</v>
      </c>
      <c r="D10" t="b">
        <f>COUNTIF(dict_zul_Var_Meth[ID_Variables], table_Variables[[#This Row],[ID]]) &gt; 0</f>
        <v>1</v>
      </c>
    </row>
    <row r="11" spans="1:4" hidden="1" x14ac:dyDescent="0.45">
      <c r="A11">
        <v>9</v>
      </c>
      <c r="B11" t="s">
        <v>77</v>
      </c>
      <c r="C11">
        <v>0.3</v>
      </c>
      <c r="D11" t="b">
        <f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23"/>
  <sheetViews>
    <sheetView tabSelected="1" workbookViewId="0">
      <selection activeCell="O3" sqref="O3"/>
    </sheetView>
  </sheetViews>
  <sheetFormatPr baseColWidth="10" defaultRowHeight="14.25" x14ac:dyDescent="0.45"/>
  <cols>
    <col min="1" max="1" width="5.1328125" bestFit="1" customWidth="1"/>
    <col min="2" max="2" width="30.3984375" bestFit="1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33</v>
      </c>
      <c r="D1" t="s">
        <v>200</v>
      </c>
      <c r="E1" s="1" t="s">
        <v>46</v>
      </c>
      <c r="F1" t="s">
        <v>222</v>
      </c>
      <c r="G1" t="s">
        <v>223</v>
      </c>
      <c r="H1" s="7" t="s">
        <v>220</v>
      </c>
      <c r="I1" s="7" t="s">
        <v>221</v>
      </c>
      <c r="J1" t="s">
        <v>71</v>
      </c>
      <c r="K1" t="s">
        <v>140</v>
      </c>
      <c r="L1" t="s">
        <v>72</v>
      </c>
      <c r="M1" t="s">
        <v>201</v>
      </c>
      <c r="N1" t="s">
        <v>119</v>
      </c>
      <c r="O1" t="s">
        <v>235</v>
      </c>
    </row>
    <row r="2" spans="1:15" x14ac:dyDescent="0.45">
      <c r="A2">
        <v>0</v>
      </c>
      <c r="B2" t="s">
        <v>187</v>
      </c>
      <c r="C2">
        <v>500</v>
      </c>
      <c r="D2" t="str">
        <f>VLOOKUP(table_DataQualities[[#This Row],[unit_ID]],table_Units[#All],2)</f>
        <v>+/- °C</v>
      </c>
      <c r="E2">
        <v>1</v>
      </c>
      <c r="F2">
        <v>50</v>
      </c>
      <c r="G2">
        <v>1E-3</v>
      </c>
      <c r="H2" s="8">
        <f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" s="8">
        <f>IF(VLOOKUP(table_DataQualities[[#This Row],[unit_ID]],table_Units[],5)&gt;0,table_DataQualities[[#This Row],[z_best]],IF(VLOOKUP(table_DataQualities[[#This Row],[unit_ID]],table_Units[],6)=1,table_DataQualities[[#This Row],[z_worst]]))</f>
        <v>50</v>
      </c>
      <c r="J2" t="s">
        <v>7</v>
      </c>
      <c r="K2">
        <v>0.1</v>
      </c>
      <c r="L2" t="s">
        <v>8</v>
      </c>
      <c r="M2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t="b">
        <f ca="1">VLOOKUP(table_DataQualities[[#This Row],[ID]],dict_zuord_Var_DQ!B:C,2,FALSE)</f>
        <v>1</v>
      </c>
      <c r="O2">
        <v>2</v>
      </c>
    </row>
    <row r="3" spans="1:15" x14ac:dyDescent="0.45">
      <c r="A3">
        <v>1</v>
      </c>
      <c r="B3" t="s">
        <v>149</v>
      </c>
      <c r="C3">
        <v>100</v>
      </c>
      <c r="D3" t="str">
        <f>VLOOKUP(table_DataQualities[[#This Row],[unit_ID]],table_Units[#All],2)</f>
        <v>Hz</v>
      </c>
      <c r="F3">
        <v>1.0000000000000001E-5</v>
      </c>
      <c r="G3">
        <v>100000</v>
      </c>
      <c r="H3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3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3" t="s">
        <v>7</v>
      </c>
      <c r="K3">
        <v>0.9</v>
      </c>
      <c r="L3" t="s">
        <v>8</v>
      </c>
      <c r="M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t="b">
        <f ca="1">VLOOKUP(table_DataQualities[[#This Row],[ID]],dict_zuord_Var_DQ!B:C,2,FALSE)</f>
        <v>1</v>
      </c>
      <c r="O3">
        <v>10</v>
      </c>
    </row>
    <row r="4" spans="1:15" x14ac:dyDescent="0.45">
      <c r="A4">
        <v>2</v>
      </c>
      <c r="B4" t="s">
        <v>150</v>
      </c>
      <c r="C4">
        <v>100</v>
      </c>
      <c r="D4" t="str">
        <f>VLOOKUP(table_DataQualities[[#This Row],[unit_ID]],table_Units[#All],2)</f>
        <v>Hz</v>
      </c>
      <c r="F4">
        <v>1.0000000000000001E-5</v>
      </c>
      <c r="G4">
        <v>100000</v>
      </c>
      <c r="H4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4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4" t="s">
        <v>7</v>
      </c>
      <c r="K4">
        <v>0.95</v>
      </c>
      <c r="L4" t="s">
        <v>8</v>
      </c>
      <c r="M4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t="b">
        <f ca="1">VLOOKUP(table_DataQualities[[#This Row],[ID]],dict_zuord_Var_DQ!B:C,2,FALSE)</f>
        <v>1</v>
      </c>
      <c r="O4">
        <v>2</v>
      </c>
    </row>
    <row r="5" spans="1:15" x14ac:dyDescent="0.45">
      <c r="A5">
        <v>3</v>
      </c>
      <c r="B5" t="s">
        <v>170</v>
      </c>
      <c r="C5">
        <v>200</v>
      </c>
      <c r="D5" t="str">
        <f>VLOOKUP(table_DataQualities[[#This Row],[unit_ID]],table_Units[#All],2)</f>
        <v>px/mm</v>
      </c>
      <c r="F5">
        <v>1.0000000000000001E-5</v>
      </c>
      <c r="G5">
        <v>100000</v>
      </c>
      <c r="H5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5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5" t="s">
        <v>7</v>
      </c>
      <c r="K5">
        <v>0.8</v>
      </c>
      <c r="L5" t="s">
        <v>8</v>
      </c>
      <c r="M5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t="b">
        <f ca="1">VLOOKUP(table_DataQualities[[#This Row],[ID]],dict_zuord_Var_DQ!B:C,2,FALSE)</f>
        <v>1</v>
      </c>
      <c r="O5">
        <v>2</v>
      </c>
    </row>
    <row r="6" spans="1:15" x14ac:dyDescent="0.45">
      <c r="A6">
        <v>4</v>
      </c>
      <c r="B6" t="s">
        <v>197</v>
      </c>
      <c r="C6">
        <v>900</v>
      </c>
      <c r="D6" t="str">
        <f>VLOOKUP(table_DataQualities[[#This Row],[unit_ID]],table_Units[#All],2)</f>
        <v>+/- mm</v>
      </c>
      <c r="F6">
        <v>3</v>
      </c>
      <c r="G6">
        <v>1.0000000000000001E-5</v>
      </c>
      <c r="H6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6" s="8">
        <f>IF(VLOOKUP(table_DataQualities[[#This Row],[unit_ID]],table_Units[],5)&gt;0,table_DataQualities[[#This Row],[z_best]],IF(VLOOKUP(table_DataQualities[[#This Row],[unit_ID]],table_Units[],6)=1,table_DataQualities[[#This Row],[z_worst]]))</f>
        <v>3</v>
      </c>
      <c r="J6" t="s">
        <v>7</v>
      </c>
      <c r="K6">
        <v>0.1</v>
      </c>
      <c r="L6" t="s">
        <v>8</v>
      </c>
      <c r="M6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t="b">
        <f ca="1">VLOOKUP(table_DataQualities[[#This Row],[ID]],dict_zuord_Var_DQ!B:C,2,FALSE)</f>
        <v>1</v>
      </c>
      <c r="O6">
        <v>10</v>
      </c>
    </row>
    <row r="7" spans="1:15" x14ac:dyDescent="0.45">
      <c r="A7">
        <v>5</v>
      </c>
      <c r="B7" t="s">
        <v>151</v>
      </c>
      <c r="C7">
        <v>100</v>
      </c>
      <c r="D7" t="str">
        <f>VLOOKUP(table_DataQualities[[#This Row],[unit_ID]],table_Units[#All],2)</f>
        <v>Hz</v>
      </c>
      <c r="F7">
        <v>1.0000000000000001E-5</v>
      </c>
      <c r="G7">
        <v>50000</v>
      </c>
      <c r="H7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7" s="8">
        <f>IF(VLOOKUP(table_DataQualities[[#This Row],[unit_ID]],table_Units[],5)&gt;0,table_DataQualities[[#This Row],[z_best]],IF(VLOOKUP(table_DataQualities[[#This Row],[unit_ID]],table_Units[],6)=1,table_DataQualities[[#This Row],[z_worst]]))</f>
        <v>50000</v>
      </c>
      <c r="J7" t="s">
        <v>7</v>
      </c>
      <c r="K7">
        <v>0.9</v>
      </c>
      <c r="L7" t="s">
        <v>8</v>
      </c>
      <c r="M7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t="b">
        <f ca="1">VLOOKUP(table_DataQualities[[#This Row],[ID]],dict_zuord_Var_DQ!B:C,2,FALSE)</f>
        <v>1</v>
      </c>
      <c r="O7">
        <v>2</v>
      </c>
    </row>
    <row r="8" spans="1:15" x14ac:dyDescent="0.45">
      <c r="A8">
        <v>6</v>
      </c>
      <c r="B8" t="s">
        <v>152</v>
      </c>
      <c r="C8">
        <v>400</v>
      </c>
      <c r="D8" t="str">
        <f>VLOOKUP(table_DataQualities[[#This Row],[unit_ID]],table_Units[#All],2)</f>
        <v>mm²</v>
      </c>
      <c r="F8">
        <v>1.0000000000000001E-5</v>
      </c>
      <c r="G8">
        <v>100000</v>
      </c>
      <c r="H8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8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8" t="s">
        <v>7</v>
      </c>
      <c r="K8">
        <v>0.95</v>
      </c>
      <c r="L8" t="s">
        <v>8</v>
      </c>
      <c r="M8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t="b">
        <f ca="1">VLOOKUP(table_DataQualities[[#This Row],[ID]],dict_zuord_Var_DQ!B:C,2,FALSE)</f>
        <v>1</v>
      </c>
      <c r="O8">
        <v>10</v>
      </c>
    </row>
    <row r="9" spans="1:15" x14ac:dyDescent="0.45">
      <c r="A9">
        <v>7</v>
      </c>
      <c r="B9" t="s">
        <v>153</v>
      </c>
      <c r="C9">
        <v>100</v>
      </c>
      <c r="D9" t="str">
        <f>VLOOKUP(table_DataQualities[[#This Row],[unit_ID]],table_Units[#All],2)</f>
        <v>Hz</v>
      </c>
      <c r="F9">
        <v>1</v>
      </c>
      <c r="G9">
        <v>100000</v>
      </c>
      <c r="H9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9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9" t="s">
        <v>7</v>
      </c>
      <c r="K9">
        <v>0.8</v>
      </c>
      <c r="L9" t="s">
        <v>8</v>
      </c>
      <c r="M9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t="b">
        <f ca="1">VLOOKUP(table_DataQualities[[#This Row],[ID]],dict_zuord_Var_DQ!B:C,2,FALSE)</f>
        <v>1</v>
      </c>
      <c r="O9">
        <v>2</v>
      </c>
    </row>
    <row r="10" spans="1:15" x14ac:dyDescent="0.45">
      <c r="A10">
        <v>8</v>
      </c>
      <c r="B10" t="s">
        <v>217</v>
      </c>
      <c r="C10">
        <v>1000</v>
      </c>
      <c r="D10" t="str">
        <f>VLOOKUP(table_DataQualities[[#This Row],[unit_ID]],table_Units[#All],2)</f>
        <v>bit</v>
      </c>
      <c r="F10">
        <v>1</v>
      </c>
      <c r="G10">
        <v>200000</v>
      </c>
      <c r="H10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0" s="8">
        <f>IF(VLOOKUP(table_DataQualities[[#This Row],[unit_ID]],table_Units[],5)&gt;0,table_DataQualities[[#This Row],[z_best]],IF(VLOOKUP(table_DataQualities[[#This Row],[unit_ID]],table_Units[],6)=1,table_DataQualities[[#This Row],[z_worst]]))</f>
        <v>200000</v>
      </c>
      <c r="J10" t="s">
        <v>7</v>
      </c>
      <c r="K10">
        <v>0.1</v>
      </c>
      <c r="L10" t="s">
        <v>8</v>
      </c>
      <c r="M10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t="b">
        <f ca="1">VLOOKUP(table_DataQualities[[#This Row],[ID]],dict_zuord_Var_DQ!B:C,2,FALSE)</f>
        <v>1</v>
      </c>
      <c r="O10">
        <v>10</v>
      </c>
    </row>
    <row r="11" spans="1:15" x14ac:dyDescent="0.45">
      <c r="A11">
        <v>9</v>
      </c>
      <c r="B11" t="s">
        <v>154</v>
      </c>
      <c r="C11">
        <v>100</v>
      </c>
      <c r="D11" t="str">
        <f>VLOOKUP(table_DataQualities[[#This Row],[unit_ID]],table_Units[#All],2)</f>
        <v>Hz</v>
      </c>
      <c r="F11">
        <v>1E-4</v>
      </c>
      <c r="G11">
        <v>500</v>
      </c>
      <c r="H11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1" s="8">
        <f>IF(VLOOKUP(table_DataQualities[[#This Row],[unit_ID]],table_Units[],5)&gt;0,table_DataQualities[[#This Row],[z_best]],IF(VLOOKUP(table_DataQualities[[#This Row],[unit_ID]],table_Units[],6)=1,table_DataQualities[[#This Row],[z_worst]]))</f>
        <v>500</v>
      </c>
      <c r="J11" t="s">
        <v>7</v>
      </c>
      <c r="K11">
        <v>0.9</v>
      </c>
      <c r="L11" t="s">
        <v>8</v>
      </c>
      <c r="M11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t="b">
        <f ca="1">VLOOKUP(table_DataQualities[[#This Row],[ID]],dict_zuord_Var_DQ!B:C,2,FALSE)</f>
        <v>1</v>
      </c>
      <c r="O11">
        <v>2</v>
      </c>
    </row>
    <row r="12" spans="1:15" x14ac:dyDescent="0.45">
      <c r="A12">
        <v>10</v>
      </c>
      <c r="B12" t="s">
        <v>188</v>
      </c>
      <c r="C12">
        <v>300</v>
      </c>
      <c r="D12" t="str">
        <f>VLOOKUP(table_DataQualities[[#This Row],[unit_ID]],table_Units[#All],2)</f>
        <v>bit</v>
      </c>
      <c r="E12">
        <v>400</v>
      </c>
      <c r="F12">
        <v>1</v>
      </c>
      <c r="G12">
        <v>48</v>
      </c>
      <c r="H12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2" s="8">
        <f>IF(VLOOKUP(table_DataQualities[[#This Row],[unit_ID]],table_Units[],5)&gt;0,table_DataQualities[[#This Row],[z_best]],IF(VLOOKUP(table_DataQualities[[#This Row],[unit_ID]],table_Units[],6)=1,table_DataQualities[[#This Row],[z_worst]]))</f>
        <v>48</v>
      </c>
      <c r="J12" t="s">
        <v>7</v>
      </c>
      <c r="K12">
        <v>0.95</v>
      </c>
      <c r="L12" t="s">
        <v>8</v>
      </c>
      <c r="M12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t="b">
        <f ca="1">VLOOKUP(table_DataQualities[[#This Row],[ID]],dict_zuord_Var_DQ!B:C,2,FALSE)</f>
        <v>1</v>
      </c>
      <c r="O12">
        <v>2</v>
      </c>
    </row>
    <row r="13" spans="1:15" x14ac:dyDescent="0.45">
      <c r="A13">
        <v>11</v>
      </c>
      <c r="B13" t="s">
        <v>189</v>
      </c>
      <c r="C13">
        <v>400</v>
      </c>
      <c r="D13" t="str">
        <f>VLOOKUP(table_DataQualities[[#This Row],[unit_ID]],table_Units[#All],2)</f>
        <v>mm²</v>
      </c>
      <c r="F13">
        <v>1.0000000000000001E-5</v>
      </c>
      <c r="G13">
        <v>60</v>
      </c>
      <c r="H13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13" s="8">
        <f>IF(VLOOKUP(table_DataQualities[[#This Row],[unit_ID]],table_Units[],5)&gt;0,table_DataQualities[[#This Row],[z_best]],IF(VLOOKUP(table_DataQualities[[#This Row],[unit_ID]],table_Units[],6)=1,table_DataQualities[[#This Row],[z_worst]]))</f>
        <v>60</v>
      </c>
      <c r="J13" t="s">
        <v>7</v>
      </c>
      <c r="K13">
        <v>0.8</v>
      </c>
      <c r="L13" t="s">
        <v>8</v>
      </c>
      <c r="M1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t="b">
        <f ca="1">VLOOKUP(table_DataQualities[[#This Row],[ID]],dict_zuord_Var_DQ!B:C,2,FALSE)</f>
        <v>1</v>
      </c>
      <c r="O13">
        <v>2</v>
      </c>
    </row>
    <row r="14" spans="1:15" x14ac:dyDescent="0.45">
      <c r="A14">
        <v>110</v>
      </c>
      <c r="B14" t="s">
        <v>61</v>
      </c>
      <c r="C14">
        <v>901</v>
      </c>
      <c r="D14" t="str">
        <f>VLOOKUP(table_DataQualities[[#This Row],[unit_ID]],table_Units[#All],2)</f>
        <v>+/- µm</v>
      </c>
      <c r="E14">
        <v>900</v>
      </c>
      <c r="F14">
        <v>50</v>
      </c>
      <c r="G14">
        <v>5</v>
      </c>
      <c r="H14" s="8">
        <f>IF(VLOOKUP(table_DataQualities[[#This Row],[unit_ID]],table_Units[],5)&gt;0,table_DataQualities[[#This Row],[z_worst]],IF(VLOOKUP(table_DataQualities[[#This Row],[unit_ID]],table_Units[],6)=1,table_DataQualities[[#This Row],[z_best]]))</f>
        <v>5</v>
      </c>
      <c r="I14" s="8">
        <f>IF(VLOOKUP(table_DataQualities[[#This Row],[unit_ID]],table_Units[],5)&gt;0,table_DataQualities[[#This Row],[z_best]],IF(VLOOKUP(table_DataQualities[[#This Row],[unit_ID]],table_Units[],6)=1,table_DataQualities[[#This Row],[z_worst]]))</f>
        <v>50</v>
      </c>
      <c r="J14" t="s">
        <v>7</v>
      </c>
      <c r="K14">
        <v>0.8</v>
      </c>
      <c r="L14" t="s">
        <v>8</v>
      </c>
      <c r="M14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t="b">
        <f ca="1">VLOOKUP(table_DataQualities[[#This Row],[ID]],dict_zuord_Var_DQ!B:C,2,FALSE)</f>
        <v>0</v>
      </c>
      <c r="O14">
        <v>2</v>
      </c>
    </row>
    <row r="15" spans="1:15" x14ac:dyDescent="0.45">
      <c r="A15">
        <v>111</v>
      </c>
      <c r="B15" t="s">
        <v>62</v>
      </c>
      <c r="C15">
        <v>101</v>
      </c>
      <c r="D15" t="str">
        <f>VLOOKUP(table_DataQualities[[#This Row],[unit_ID]],table_Units[#All],2)</f>
        <v>s</v>
      </c>
      <c r="E15">
        <v>1E-4</v>
      </c>
      <c r="F15">
        <v>0.02</v>
      </c>
      <c r="G15">
        <v>1E-4</v>
      </c>
      <c r="H15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5" s="8">
        <f>IF(VLOOKUP(table_DataQualities[[#This Row],[unit_ID]],table_Units[],5)&gt;0,table_DataQualities[[#This Row],[z_best]],IF(VLOOKUP(table_DataQualities[[#This Row],[unit_ID]],table_Units[],6)=1,table_DataQualities[[#This Row],[z_worst]]))</f>
        <v>0.02</v>
      </c>
      <c r="J15" t="s">
        <v>7</v>
      </c>
      <c r="K15">
        <v>0.8</v>
      </c>
      <c r="L15" t="s">
        <v>8</v>
      </c>
      <c r="M15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t="b">
        <f ca="1">VLOOKUP(table_DataQualities[[#This Row],[ID]],dict_zuord_Var_DQ!B:C,2,FALSE)</f>
        <v>0</v>
      </c>
      <c r="O15">
        <v>2</v>
      </c>
    </row>
    <row r="16" spans="1:15" x14ac:dyDescent="0.45">
      <c r="A16">
        <v>112</v>
      </c>
      <c r="B16" t="s">
        <v>63</v>
      </c>
      <c r="C16">
        <v>600</v>
      </c>
      <c r="D16" t="str">
        <f>VLOOKUP(table_DataQualities[[#This Row],[unit_ID]],table_Units[#All],2)</f>
        <v>+/- W</v>
      </c>
      <c r="E16">
        <v>400</v>
      </c>
      <c r="F16">
        <v>2</v>
      </c>
      <c r="G16">
        <v>0.01</v>
      </c>
      <c r="H16" s="8">
        <f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6" s="8">
        <f>IF(VLOOKUP(table_DataQualities[[#This Row],[unit_ID]],table_Units[],5)&gt;0,table_DataQualities[[#This Row],[z_best]],IF(VLOOKUP(table_DataQualities[[#This Row],[unit_ID]],table_Units[],6)=1,table_DataQualities[[#This Row],[z_worst]]))</f>
        <v>2</v>
      </c>
      <c r="J16" t="s">
        <v>7</v>
      </c>
      <c r="K16">
        <v>0.7</v>
      </c>
      <c r="L16" t="s">
        <v>8</v>
      </c>
      <c r="M16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t="b">
        <f ca="1">VLOOKUP(table_DataQualities[[#This Row],[ID]],dict_zuord_Var_DQ!B:C,2,FALSE)</f>
        <v>0</v>
      </c>
      <c r="O16">
        <v>2</v>
      </c>
    </row>
    <row r="17" spans="1:15" x14ac:dyDescent="0.45">
      <c r="A17">
        <v>113</v>
      </c>
      <c r="B17" t="s">
        <v>64</v>
      </c>
      <c r="C17">
        <v>101</v>
      </c>
      <c r="D17" t="str">
        <f>VLOOKUP(table_DataQualities[[#This Row],[unit_ID]],table_Units[#All],2)</f>
        <v>s</v>
      </c>
      <c r="E17">
        <v>1E-4</v>
      </c>
      <c r="F17">
        <v>100</v>
      </c>
      <c r="G17">
        <v>1E-4</v>
      </c>
      <c r="H17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7" s="8">
        <f>IF(VLOOKUP(table_DataQualities[[#This Row],[unit_ID]],table_Units[],5)&gt;0,table_DataQualities[[#This Row],[z_best]],IF(VLOOKUP(table_DataQualities[[#This Row],[unit_ID]],table_Units[],6)=1,table_DataQualities[[#This Row],[z_worst]]))</f>
        <v>100</v>
      </c>
      <c r="J17" t="s">
        <v>7</v>
      </c>
      <c r="K17">
        <v>0.7</v>
      </c>
      <c r="L17" t="s">
        <v>8</v>
      </c>
      <c r="M17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t="b">
        <f ca="1">VLOOKUP(table_DataQualities[[#This Row],[ID]],dict_zuord_Var_DQ!B:C,2,FALSE)</f>
        <v>0</v>
      </c>
      <c r="O17">
        <v>2</v>
      </c>
    </row>
    <row r="18" spans="1:15" x14ac:dyDescent="0.45">
      <c r="A18">
        <v>114</v>
      </c>
      <c r="B18" t="s">
        <v>65</v>
      </c>
      <c r="C18">
        <v>500</v>
      </c>
      <c r="D18" t="str">
        <f>VLOOKUP(table_DataQualities[[#This Row],[unit_ID]],table_Units[#All],2)</f>
        <v>+/- °C</v>
      </c>
      <c r="E18" t="s">
        <v>47</v>
      </c>
      <c r="F18">
        <v>5</v>
      </c>
      <c r="G18">
        <v>0.01</v>
      </c>
      <c r="H18" s="8">
        <f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8" s="8">
        <f>IF(VLOOKUP(table_DataQualities[[#This Row],[unit_ID]],table_Units[],5)&gt;0,table_DataQualities[[#This Row],[z_best]],IF(VLOOKUP(table_DataQualities[[#This Row],[unit_ID]],table_Units[],6)=1,table_DataQualities[[#This Row],[z_worst]]))</f>
        <v>5</v>
      </c>
      <c r="J18" t="s">
        <v>7</v>
      </c>
      <c r="K18">
        <v>0.9</v>
      </c>
      <c r="L18" t="s">
        <v>8</v>
      </c>
      <c r="M18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t="b">
        <f ca="1">VLOOKUP(table_DataQualities[[#This Row],[ID]],dict_zuord_Var_DQ!B:C,2,FALSE)</f>
        <v>0</v>
      </c>
      <c r="O18">
        <v>2</v>
      </c>
    </row>
    <row r="19" spans="1:15" x14ac:dyDescent="0.45">
      <c r="A19">
        <v>115</v>
      </c>
      <c r="B19" t="s">
        <v>66</v>
      </c>
      <c r="C19">
        <v>101</v>
      </c>
      <c r="D19" t="str">
        <f>VLOOKUP(table_DataQualities[[#This Row],[unit_ID]],table_Units[#All],2)</f>
        <v>s</v>
      </c>
      <c r="E19">
        <v>1E-4</v>
      </c>
      <c r="F19">
        <v>0.02</v>
      </c>
      <c r="G19">
        <v>1E-4</v>
      </c>
      <c r="H19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9" s="8">
        <f>IF(VLOOKUP(table_DataQualities[[#This Row],[unit_ID]],table_Units[],5)&gt;0,table_DataQualities[[#This Row],[z_best]],IF(VLOOKUP(table_DataQualities[[#This Row],[unit_ID]],table_Units[],6)=1,table_DataQualities[[#This Row],[z_worst]]))</f>
        <v>0.02</v>
      </c>
      <c r="J19" t="s">
        <v>7</v>
      </c>
      <c r="K19">
        <v>0.9</v>
      </c>
      <c r="L19" t="s">
        <v>8</v>
      </c>
      <c r="M19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t="b">
        <f ca="1">VLOOKUP(table_DataQualities[[#This Row],[ID]],dict_zuord_Var_DQ!B:C,2,FALSE)</f>
        <v>0</v>
      </c>
      <c r="O19">
        <v>2</v>
      </c>
    </row>
    <row r="20" spans="1:15" x14ac:dyDescent="0.45">
      <c r="A20">
        <v>116</v>
      </c>
      <c r="B20" t="s">
        <v>67</v>
      </c>
      <c r="C20">
        <v>600</v>
      </c>
      <c r="D20" t="str">
        <f>VLOOKUP(table_DataQualities[[#This Row],[unit_ID]],table_Units[#All],2)</f>
        <v>+/- W</v>
      </c>
      <c r="E20" t="s">
        <v>47</v>
      </c>
      <c r="F20">
        <v>0.05</v>
      </c>
      <c r="G20">
        <v>1E-4</v>
      </c>
      <c r="H20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20" s="8">
        <f>IF(VLOOKUP(table_DataQualities[[#This Row],[unit_ID]],table_Units[],5)&gt;0,table_DataQualities[[#This Row],[z_best]],IF(VLOOKUP(table_DataQualities[[#This Row],[unit_ID]],table_Units[],6)=1,table_DataQualities[[#This Row],[z_worst]]))</f>
        <v>0.05</v>
      </c>
      <c r="J20" t="s">
        <v>7</v>
      </c>
      <c r="K20">
        <v>0.2</v>
      </c>
      <c r="L20" t="s">
        <v>8</v>
      </c>
      <c r="M20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t="b">
        <f ca="1">VLOOKUP(table_DataQualities[[#This Row],[ID]],dict_zuord_Var_DQ!B:C,2,FALSE)</f>
        <v>0</v>
      </c>
      <c r="O20">
        <v>2</v>
      </c>
    </row>
    <row r="21" spans="1:15" x14ac:dyDescent="0.45">
      <c r="A21">
        <v>117</v>
      </c>
      <c r="B21" t="s">
        <v>68</v>
      </c>
      <c r="C21">
        <v>101</v>
      </c>
      <c r="D21" t="str">
        <f>VLOOKUP(table_DataQualities[[#This Row],[unit_ID]],table_Units[#All],2)</f>
        <v>s</v>
      </c>
      <c r="E21">
        <v>1E-4</v>
      </c>
      <c r="F21">
        <v>10</v>
      </c>
      <c r="G21">
        <v>1E-4</v>
      </c>
      <c r="H21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21" s="8">
        <f>IF(VLOOKUP(table_DataQualities[[#This Row],[unit_ID]],table_Units[],5)&gt;0,table_DataQualities[[#This Row],[z_best]],IF(VLOOKUP(table_DataQualities[[#This Row],[unit_ID]],table_Units[],6)=1,table_DataQualities[[#This Row],[z_worst]]))</f>
        <v>10</v>
      </c>
      <c r="J21" t="s">
        <v>7</v>
      </c>
      <c r="K21">
        <v>0.2</v>
      </c>
      <c r="L21" t="s">
        <v>8</v>
      </c>
      <c r="M21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t="b">
        <f ca="1">VLOOKUP(table_DataQualities[[#This Row],[ID]],dict_zuord_Var_DQ!B:C,2,FALSE)</f>
        <v>0</v>
      </c>
      <c r="O21">
        <v>2</v>
      </c>
    </row>
    <row r="22" spans="1:15" x14ac:dyDescent="0.45">
      <c r="A22">
        <v>118</v>
      </c>
      <c r="B22" t="s">
        <v>69</v>
      </c>
      <c r="C22">
        <v>800</v>
      </c>
      <c r="D22" t="str">
        <f>VLOOKUP(table_DataQualities[[#This Row],[unit_ID]],table_Units[#All],2)</f>
        <v>+/- liter/min</v>
      </c>
      <c r="F22">
        <v>100</v>
      </c>
      <c r="G22">
        <v>1</v>
      </c>
      <c r="H22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2" s="8">
        <f>IF(VLOOKUP(table_DataQualities[[#This Row],[unit_ID]],table_Units[],5)&gt;0,table_DataQualities[[#This Row],[z_best]],IF(VLOOKUP(table_DataQualities[[#This Row],[unit_ID]],table_Units[],6)=1,table_DataQualities[[#This Row],[z_worst]]))</f>
        <v>100</v>
      </c>
      <c r="J22" t="s">
        <v>7</v>
      </c>
      <c r="K22">
        <v>0.3</v>
      </c>
      <c r="L22" t="s">
        <v>8</v>
      </c>
      <c r="M22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t="b">
        <f ca="1">VLOOKUP(table_DataQualities[[#This Row],[ID]],dict_zuord_Var_DQ!B:C,2,FALSE)</f>
        <v>0</v>
      </c>
      <c r="O22">
        <v>2</v>
      </c>
    </row>
    <row r="23" spans="1:15" x14ac:dyDescent="0.45">
      <c r="A23">
        <v>119</v>
      </c>
      <c r="B23" t="s">
        <v>70</v>
      </c>
      <c r="C23">
        <v>101</v>
      </c>
      <c r="D23" t="str">
        <f>VLOOKUP(table_DataQualities[[#This Row],[unit_ID]],table_Units[#All],2)</f>
        <v>s</v>
      </c>
      <c r="E23">
        <v>1E-4</v>
      </c>
      <c r="F23">
        <v>0.02</v>
      </c>
      <c r="G23">
        <v>1E-4</v>
      </c>
      <c r="H23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23" s="8">
        <f>IF(VLOOKUP(table_DataQualities[[#This Row],[unit_ID]],table_Units[],5)&gt;0,table_DataQualities[[#This Row],[z_best]],IF(VLOOKUP(table_DataQualities[[#This Row],[unit_ID]],table_Units[],6)=1,table_DataQualities[[#This Row],[z_worst]]))</f>
        <v>0.02</v>
      </c>
      <c r="J23" t="s">
        <v>7</v>
      </c>
      <c r="K23">
        <v>0.3</v>
      </c>
      <c r="L23" t="s">
        <v>8</v>
      </c>
      <c r="M2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t="b">
        <f ca="1">VLOOKUP(table_DataQualities[[#This Row],[ID]],dict_zuord_Var_DQ!B:C,2,FALSE)</f>
        <v>0</v>
      </c>
      <c r="O23">
        <v>2</v>
      </c>
    </row>
  </sheetData>
  <conditionalFormatting sqref="I1:I1048576">
    <cfRule type="cellIs" dxfId="28" priority="2" operator="lessThan">
      <formula>$H1</formula>
    </cfRule>
  </conditionalFormatting>
  <conditionalFormatting sqref="H1:H1048576">
    <cfRule type="cellIs" dxfId="27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45</v>
      </c>
      <c r="D1" t="s">
        <v>186</v>
      </c>
      <c r="E1" t="s">
        <v>214</v>
      </c>
      <c r="F1" t="s">
        <v>215</v>
      </c>
    </row>
    <row r="2" spans="1:6" x14ac:dyDescent="0.45">
      <c r="A2">
        <v>100</v>
      </c>
      <c r="B2" t="s">
        <v>172</v>
      </c>
      <c r="C2">
        <v>1</v>
      </c>
      <c r="D2" t="s">
        <v>185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102</v>
      </c>
      <c r="C3">
        <v>-1</v>
      </c>
      <c r="D3" t="s">
        <v>190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171</v>
      </c>
      <c r="C4">
        <v>1</v>
      </c>
      <c r="D4" t="s">
        <v>177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173</v>
      </c>
      <c r="C5">
        <f>1/25.4</f>
        <v>3.937007874015748E-2</v>
      </c>
      <c r="D5" t="s">
        <v>178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174</v>
      </c>
      <c r="C6">
        <v>1</v>
      </c>
      <c r="D6" t="s">
        <v>184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175</v>
      </c>
      <c r="C7">
        <v>1</v>
      </c>
      <c r="D7" t="s">
        <v>181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176</v>
      </c>
      <c r="C8">
        <v>1</v>
      </c>
      <c r="D8" t="s">
        <v>182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176</v>
      </c>
      <c r="C9">
        <v>1</v>
      </c>
      <c r="D9" t="s">
        <v>183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196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195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194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liter/min"</f>
        <v>+/- liter/min</v>
      </c>
      <c r="C13">
        <v>-1</v>
      </c>
      <c r="D13" t="s">
        <v>179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180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191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192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193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174</v>
      </c>
      <c r="C18">
        <v>1</v>
      </c>
      <c r="D18" t="s">
        <v>216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45</v>
      </c>
      <c r="D1" t="s">
        <v>186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liter/min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liter/h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34"/>
  <sheetViews>
    <sheetView topLeftCell="A7" workbookViewId="0"/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39</v>
      </c>
      <c r="E1" t="s">
        <v>110</v>
      </c>
      <c r="F1" t="s">
        <v>111</v>
      </c>
      <c r="G1" s="1" t="s">
        <v>106</v>
      </c>
      <c r="H1" t="s">
        <v>209</v>
      </c>
      <c r="I1" t="s">
        <v>212</v>
      </c>
    </row>
    <row r="2" spans="1:9" x14ac:dyDescent="0.45">
      <c r="A2">
        <v>0</v>
      </c>
      <c r="B2" t="s">
        <v>9</v>
      </c>
      <c r="C2">
        <v>2000</v>
      </c>
      <c r="D2">
        <v>20</v>
      </c>
      <c r="G2" t="b">
        <f>COUNTIF(dict_zul_Var_Meth[ID_Methods], table_Methods[[#This Row],[ID]]) &gt; 0</f>
        <v>0</v>
      </c>
    </row>
    <row r="3" spans="1:9" x14ac:dyDescent="0.45">
      <c r="A3">
        <v>1</v>
      </c>
      <c r="B3" t="s">
        <v>10</v>
      </c>
      <c r="C3">
        <v>30000</v>
      </c>
      <c r="D3">
        <v>10</v>
      </c>
      <c r="G3" t="b">
        <f>COUNTIF(dict_zul_Var_Meth[ID_Methods], table_Methods[[#This Row],[ID]]) &gt; 0</f>
        <v>0</v>
      </c>
    </row>
    <row r="4" spans="1:9" x14ac:dyDescent="0.45">
      <c r="A4">
        <v>2</v>
      </c>
      <c r="B4" t="s">
        <v>11</v>
      </c>
      <c r="C4">
        <v>100</v>
      </c>
      <c r="D4">
        <v>50</v>
      </c>
      <c r="G4" t="b">
        <f>COUNTIF(dict_zul_Var_Meth[ID_Methods], table_Methods[[#This Row],[ID]]) &gt; 0</f>
        <v>0</v>
      </c>
    </row>
    <row r="5" spans="1:9" x14ac:dyDescent="0.45">
      <c r="A5">
        <v>3</v>
      </c>
      <c r="B5" t="s">
        <v>12</v>
      </c>
      <c r="C5">
        <v>750</v>
      </c>
      <c r="D5">
        <v>30</v>
      </c>
      <c r="G5" t="b">
        <f>COUNTIF(dict_zul_Var_Meth[ID_Methods], table_Methods[[#This Row],[ID]]) &gt; 0</f>
        <v>0</v>
      </c>
    </row>
    <row r="6" spans="1:9" x14ac:dyDescent="0.45">
      <c r="A6">
        <v>4</v>
      </c>
      <c r="B6" t="s">
        <v>48</v>
      </c>
      <c r="C6">
        <v>600</v>
      </c>
      <c r="D6">
        <v>5</v>
      </c>
      <c r="E6">
        <v>-50</v>
      </c>
      <c r="F6">
        <v>400</v>
      </c>
      <c r="G6" t="b">
        <f>COUNTIF(dict_zul_Var_Meth[ID_Methods], table_Methods[[#This Row],[ID]]) &gt; 0</f>
        <v>1</v>
      </c>
    </row>
    <row r="7" spans="1:9" x14ac:dyDescent="0.45">
      <c r="A7">
        <v>5</v>
      </c>
      <c r="B7" t="s">
        <v>49</v>
      </c>
      <c r="C7">
        <v>400</v>
      </c>
      <c r="D7">
        <v>5</v>
      </c>
      <c r="E7">
        <v>-50</v>
      </c>
      <c r="F7">
        <v>500</v>
      </c>
      <c r="G7" t="b">
        <f>COUNTIF(dict_zul_Var_Meth[ID_Methods], table_Methods[[#This Row],[ID]]) &gt; 0</f>
        <v>1</v>
      </c>
    </row>
    <row r="8" spans="1:9" x14ac:dyDescent="0.45">
      <c r="A8">
        <v>6</v>
      </c>
      <c r="B8" t="s">
        <v>50</v>
      </c>
      <c r="C8">
        <v>800</v>
      </c>
      <c r="D8">
        <v>1</v>
      </c>
      <c r="E8">
        <v>-50</v>
      </c>
      <c r="F8">
        <v>600</v>
      </c>
      <c r="G8" t="b">
        <f>COUNTIF(dict_zul_Var_Meth[ID_Methods], table_Methods[[#This Row],[ID]]) &gt; 0</f>
        <v>1</v>
      </c>
    </row>
    <row r="9" spans="1:9" x14ac:dyDescent="0.45">
      <c r="A9">
        <v>7</v>
      </c>
      <c r="B9" t="s">
        <v>51</v>
      </c>
      <c r="C9">
        <v>400</v>
      </c>
      <c r="D9">
        <v>30</v>
      </c>
      <c r="E9">
        <v>-50</v>
      </c>
      <c r="F9">
        <v>700</v>
      </c>
      <c r="G9" t="b">
        <f>COUNTIF(dict_zul_Var_Meth[ID_Methods], table_Methods[[#This Row],[ID]]) &gt; 0</f>
        <v>1</v>
      </c>
    </row>
    <row r="10" spans="1:9" x14ac:dyDescent="0.45">
      <c r="A10">
        <v>8</v>
      </c>
      <c r="B10" t="s">
        <v>52</v>
      </c>
      <c r="C10">
        <v>1900</v>
      </c>
      <c r="D10">
        <v>20</v>
      </c>
      <c r="E10">
        <v>-50</v>
      </c>
      <c r="F10">
        <v>500</v>
      </c>
      <c r="G10" t="b">
        <f>COUNTIF(dict_zul_Var_Meth[ID_Methods], table_Methods[[#This Row],[ID]]) &gt; 0</f>
        <v>1</v>
      </c>
    </row>
    <row r="11" spans="1:9" x14ac:dyDescent="0.45">
      <c r="A11">
        <v>9</v>
      </c>
      <c r="B11" t="s">
        <v>53</v>
      </c>
      <c r="C11">
        <v>5000</v>
      </c>
      <c r="D11">
        <v>80</v>
      </c>
      <c r="E11">
        <v>-50</v>
      </c>
      <c r="F11">
        <v>600</v>
      </c>
      <c r="G11" t="b">
        <f>COUNTIF(dict_zul_Var_Meth[ID_Methods], table_Methods[[#This Row],[ID]]) &gt; 0</f>
        <v>1</v>
      </c>
    </row>
    <row r="12" spans="1:9" x14ac:dyDescent="0.45">
      <c r="A12">
        <v>10</v>
      </c>
      <c r="B12" t="s">
        <v>54</v>
      </c>
      <c r="C12">
        <v>100</v>
      </c>
      <c r="D12">
        <v>0.5</v>
      </c>
      <c r="E12">
        <v>-50</v>
      </c>
      <c r="F12">
        <v>1200</v>
      </c>
      <c r="G12" t="b">
        <f>COUNTIF(dict_zul_Var_Meth[ID_Methods], table_Methods[[#This Row],[ID]]) &gt; 0</f>
        <v>1</v>
      </c>
    </row>
    <row r="13" spans="1:9" x14ac:dyDescent="0.45">
      <c r="A13">
        <v>11</v>
      </c>
      <c r="B13" t="s">
        <v>55</v>
      </c>
      <c r="C13">
        <v>10</v>
      </c>
      <c r="D13">
        <v>0.3</v>
      </c>
      <c r="E13">
        <v>-50</v>
      </c>
      <c r="F13">
        <v>500</v>
      </c>
      <c r="G13" t="b">
        <f>COUNTIF(dict_zul_Var_Meth[ID_Methods], table_Methods[[#This Row],[ID]]) &gt; 0</f>
        <v>1</v>
      </c>
    </row>
    <row r="14" spans="1:9" x14ac:dyDescent="0.45">
      <c r="A14">
        <v>12</v>
      </c>
      <c r="B14" t="s">
        <v>56</v>
      </c>
      <c r="C14">
        <v>1000</v>
      </c>
      <c r="D14">
        <v>0.7</v>
      </c>
      <c r="E14">
        <v>-50</v>
      </c>
      <c r="F14">
        <v>130</v>
      </c>
      <c r="G14" t="b">
        <f>COUNTIF(dict_zul_Var_Meth[ID_Methods], table_Methods[[#This Row],[ID]]) &gt; 0</f>
        <v>1</v>
      </c>
    </row>
    <row r="15" spans="1:9" x14ac:dyDescent="0.45">
      <c r="A15">
        <v>13</v>
      </c>
      <c r="B15" t="s">
        <v>57</v>
      </c>
      <c r="C15">
        <v>2000</v>
      </c>
      <c r="D15">
        <v>8.3000000000000007</v>
      </c>
      <c r="E15">
        <v>-50</v>
      </c>
      <c r="F15">
        <v>400</v>
      </c>
      <c r="G15" t="b">
        <f>COUNTIF(dict_zul_Var_Meth[ID_Methods], table_Methods[[#This Row],[ID]]) &gt; 0</f>
        <v>1</v>
      </c>
    </row>
    <row r="16" spans="1:9" x14ac:dyDescent="0.45">
      <c r="A16">
        <v>14</v>
      </c>
      <c r="B16" t="s">
        <v>58</v>
      </c>
      <c r="C16">
        <v>2500</v>
      </c>
      <c r="D16">
        <v>43.2</v>
      </c>
      <c r="E16">
        <v>-50</v>
      </c>
      <c r="F16">
        <v>800</v>
      </c>
      <c r="G16" t="b">
        <f>COUNTIF(dict_zul_Var_Meth[ID_Methods], table_Methods[[#This Row],[ID]]) &gt; 0</f>
        <v>1</v>
      </c>
    </row>
    <row r="17" spans="1:9" x14ac:dyDescent="0.45">
      <c r="A17">
        <v>15</v>
      </c>
      <c r="B17" t="s">
        <v>59</v>
      </c>
      <c r="C17">
        <v>30</v>
      </c>
      <c r="D17">
        <v>0.05</v>
      </c>
      <c r="E17">
        <v>-50</v>
      </c>
      <c r="F17">
        <v>230</v>
      </c>
      <c r="G17" t="b">
        <f>COUNTIF(dict_zul_Var_Meth[ID_Methods], table_Methods[[#This Row],[ID]]) &gt; 0</f>
        <v>1</v>
      </c>
    </row>
    <row r="18" spans="1:9" x14ac:dyDescent="0.45">
      <c r="A18">
        <v>16</v>
      </c>
      <c r="B18" t="s">
        <v>60</v>
      </c>
      <c r="C18">
        <v>10</v>
      </c>
      <c r="D18">
        <v>0.09</v>
      </c>
      <c r="E18">
        <v>-50</v>
      </c>
      <c r="F18">
        <v>180</v>
      </c>
      <c r="G18" t="b">
        <f>COUNTIF(dict_zul_Var_Meth[ID_Methods], table_Methods[[#This Row],[ID]]) &gt; 0</f>
        <v>1</v>
      </c>
    </row>
    <row r="19" spans="1:9" x14ac:dyDescent="0.45">
      <c r="A19">
        <v>17</v>
      </c>
      <c r="B19" t="s">
        <v>40</v>
      </c>
      <c r="C19">
        <v>15</v>
      </c>
      <c r="D19">
        <v>1</v>
      </c>
      <c r="E19">
        <v>-50</v>
      </c>
      <c r="F19">
        <v>160</v>
      </c>
      <c r="G19" t="b">
        <f>COUNTIF(dict_zul_Var_Meth[ID_Methods], table_Methods[[#This Row],[ID]]) &gt; 0</f>
        <v>1</v>
      </c>
    </row>
    <row r="20" spans="1:9" x14ac:dyDescent="0.45">
      <c r="A20">
        <v>18</v>
      </c>
      <c r="B20" t="s">
        <v>41</v>
      </c>
      <c r="C20">
        <v>60</v>
      </c>
      <c r="D20">
        <v>5</v>
      </c>
      <c r="E20">
        <v>-50</v>
      </c>
      <c r="F20">
        <v>178</v>
      </c>
      <c r="G20" t="b">
        <f>COUNTIF(dict_zul_Var_Meth[ID_Methods], table_Methods[[#This Row],[ID]]) &gt; 0</f>
        <v>1</v>
      </c>
    </row>
    <row r="21" spans="1:9" x14ac:dyDescent="0.45">
      <c r="A21">
        <v>19</v>
      </c>
      <c r="B21" t="s">
        <v>42</v>
      </c>
      <c r="C21">
        <v>80</v>
      </c>
      <c r="D21">
        <v>2</v>
      </c>
      <c r="E21">
        <v>-50</v>
      </c>
      <c r="F21">
        <v>109</v>
      </c>
      <c r="G21" t="b">
        <f>COUNTIF(dict_zul_Var_Meth[ID_Methods], table_Methods[[#This Row],[ID]]) &gt; 0</f>
        <v>1</v>
      </c>
    </row>
    <row r="22" spans="1:9" x14ac:dyDescent="0.45">
      <c r="A22">
        <v>20</v>
      </c>
      <c r="B22" t="s">
        <v>43</v>
      </c>
      <c r="C22">
        <v>200</v>
      </c>
      <c r="D22">
        <v>0.1</v>
      </c>
      <c r="E22">
        <v>-50</v>
      </c>
      <c r="F22">
        <v>162</v>
      </c>
      <c r="G22" t="b">
        <f>COUNTIF(dict_zul_Var_Meth[ID_Methods], table_Methods[[#This Row],[ID]]) &gt; 0</f>
        <v>1</v>
      </c>
    </row>
    <row r="23" spans="1:9" x14ac:dyDescent="0.45">
      <c r="A23">
        <v>21</v>
      </c>
      <c r="B23" t="s">
        <v>44</v>
      </c>
      <c r="C23">
        <v>45</v>
      </c>
      <c r="D23">
        <v>8</v>
      </c>
      <c r="E23">
        <v>-50</v>
      </c>
      <c r="F23">
        <v>821</v>
      </c>
      <c r="G23" t="b">
        <f>COUNTIF(dict_zul_Var_Meth[ID_Methods], table_Methods[[#This Row],[ID]]) &gt; 0</f>
        <v>1</v>
      </c>
    </row>
    <row r="24" spans="1:9" x14ac:dyDescent="0.45">
      <c r="A24">
        <v>22</v>
      </c>
      <c r="B24" t="s">
        <v>155</v>
      </c>
      <c r="C24">
        <v>10</v>
      </c>
      <c r="D24">
        <v>0.1</v>
      </c>
      <c r="E24">
        <v>-50</v>
      </c>
      <c r="F24">
        <v>200</v>
      </c>
      <c r="G24" s="3" t="b">
        <f>COUNTIF(dict_zul_Var_Meth[ID_Methods], table_Methods[[#This Row],[ID]]) &gt; 0</f>
        <v>1</v>
      </c>
      <c r="H24">
        <v>32000</v>
      </c>
      <c r="I24">
        <v>12</v>
      </c>
    </row>
    <row r="25" spans="1:9" x14ac:dyDescent="0.45">
      <c r="A25">
        <v>23</v>
      </c>
      <c r="B25" t="s">
        <v>156</v>
      </c>
      <c r="C25">
        <v>20</v>
      </c>
      <c r="D25">
        <v>0.1</v>
      </c>
      <c r="E25">
        <v>-50</v>
      </c>
      <c r="F25">
        <v>200</v>
      </c>
      <c r="G25" s="3" t="b">
        <f>COUNTIF(dict_zul_Var_Meth[ID_Methods], table_Methods[[#This Row],[ID]]) &gt; 0</f>
        <v>1</v>
      </c>
      <c r="H25">
        <v>32000</v>
      </c>
      <c r="I25">
        <v>12</v>
      </c>
    </row>
    <row r="26" spans="1:9" x14ac:dyDescent="0.45">
      <c r="A26">
        <v>24</v>
      </c>
      <c r="B26" t="s">
        <v>157</v>
      </c>
      <c r="C26">
        <v>10</v>
      </c>
      <c r="D26">
        <v>0.3</v>
      </c>
      <c r="E26">
        <v>-50</v>
      </c>
      <c r="F26">
        <v>200</v>
      </c>
      <c r="G26" s="3" t="b">
        <f>COUNTIF(dict_zul_Var_Meth[ID_Methods], table_Methods[[#This Row],[ID]]) &gt; 0</f>
        <v>1</v>
      </c>
      <c r="H26">
        <v>64000</v>
      </c>
      <c r="I26">
        <f>200*8*10</f>
        <v>16000</v>
      </c>
    </row>
    <row r="27" spans="1:9" x14ac:dyDescent="0.45">
      <c r="A27">
        <v>25</v>
      </c>
      <c r="B27" t="s">
        <v>158</v>
      </c>
      <c r="C27">
        <v>35</v>
      </c>
      <c r="D27">
        <v>0.2</v>
      </c>
      <c r="E27">
        <v>-50</v>
      </c>
      <c r="F27">
        <v>200</v>
      </c>
      <c r="G27" s="3" t="b">
        <f>COUNTIF(dict_zul_Var_Meth[ID_Methods], table_Methods[[#This Row],[ID]]) &gt; 0</f>
        <v>1</v>
      </c>
      <c r="H27">
        <v>64000</v>
      </c>
      <c r="I27">
        <f>125*24*40</f>
        <v>120000</v>
      </c>
    </row>
    <row r="28" spans="1:9" x14ac:dyDescent="0.45">
      <c r="A28">
        <v>26</v>
      </c>
      <c r="B28" t="s">
        <v>159</v>
      </c>
      <c r="C28">
        <v>40</v>
      </c>
      <c r="D28">
        <v>0.5</v>
      </c>
      <c r="E28">
        <v>-50</v>
      </c>
      <c r="F28">
        <v>200</v>
      </c>
      <c r="G28" s="3" t="b">
        <f>COUNTIF(dict_zul_Var_Meth[ID_Methods], table_Methods[[#This Row],[ID]]) &gt; 0</f>
        <v>1</v>
      </c>
      <c r="H28">
        <v>96000</v>
      </c>
      <c r="I28">
        <f>130*8*30</f>
        <v>31200</v>
      </c>
    </row>
    <row r="29" spans="1:9" x14ac:dyDescent="0.45">
      <c r="A29">
        <v>27</v>
      </c>
      <c r="B29" t="s">
        <v>198</v>
      </c>
      <c r="C29">
        <v>200</v>
      </c>
      <c r="D29">
        <v>5</v>
      </c>
      <c r="E29">
        <v>-50</v>
      </c>
      <c r="F29">
        <v>400</v>
      </c>
      <c r="G29" s="3" t="b">
        <f>COUNTIF(dict_zul_Var_Meth[ID_Methods], table_Methods[[#This Row],[ID]]) &gt; 0</f>
        <v>1</v>
      </c>
      <c r="H29">
        <v>256000</v>
      </c>
      <c r="I29">
        <v>200</v>
      </c>
    </row>
    <row r="30" spans="1:9" x14ac:dyDescent="0.45">
      <c r="A30">
        <v>28</v>
      </c>
      <c r="B30" t="s">
        <v>199</v>
      </c>
      <c r="C30">
        <v>300</v>
      </c>
      <c r="D30">
        <v>1</v>
      </c>
      <c r="E30">
        <v>-50</v>
      </c>
      <c r="F30">
        <v>230</v>
      </c>
      <c r="G30" s="3" t="b">
        <f>COUNTIF(dict_zul_Var_Meth[ID_Methods], table_Methods[[#This Row],[ID]]) &gt; 0</f>
        <v>1</v>
      </c>
      <c r="H30">
        <v>256000</v>
      </c>
      <c r="I30">
        <v>152</v>
      </c>
    </row>
    <row r="31" spans="1:9" x14ac:dyDescent="0.45">
      <c r="A31">
        <v>29</v>
      </c>
      <c r="B31" t="s">
        <v>218</v>
      </c>
      <c r="C31">
        <v>100</v>
      </c>
      <c r="D31">
        <v>3</v>
      </c>
      <c r="E31">
        <v>-50</v>
      </c>
      <c r="F31">
        <v>230</v>
      </c>
      <c r="G31" s="3" t="b">
        <f>COUNTIF(dict_zul_Var_Meth[ID_Methods], table_Methods[[#This Row],[ID]]) &gt; 0</f>
        <v>1</v>
      </c>
      <c r="H31">
        <v>1000</v>
      </c>
      <c r="I31">
        <v>20000</v>
      </c>
    </row>
    <row r="32" spans="1:9" x14ac:dyDescent="0.45">
      <c r="A32">
        <v>30</v>
      </c>
      <c r="B32" t="s">
        <v>219</v>
      </c>
      <c r="C32">
        <v>130</v>
      </c>
      <c r="D32">
        <v>12</v>
      </c>
      <c r="E32">
        <v>-50</v>
      </c>
      <c r="F32">
        <v>230</v>
      </c>
      <c r="G32" s="3" t="b">
        <f>COUNTIF(dict_zul_Var_Meth[ID_Methods], table_Methods[[#This Row],[ID]]) &gt; 0</f>
        <v>1</v>
      </c>
      <c r="H32">
        <v>1200</v>
      </c>
      <c r="I32">
        <v>130000</v>
      </c>
    </row>
    <row r="33" spans="1:9" x14ac:dyDescent="0.45">
      <c r="A33">
        <v>31</v>
      </c>
      <c r="B33" t="s">
        <v>231</v>
      </c>
      <c r="C33">
        <v>2003</v>
      </c>
      <c r="D33">
        <v>13</v>
      </c>
      <c r="E33">
        <v>-50</v>
      </c>
      <c r="F33">
        <v>230</v>
      </c>
      <c r="G33" s="3" t="b">
        <f>COUNTIF(dict_zul_Var_Meth[ID_Methods], table_Methods[[#This Row],[ID]]) &gt; 0</f>
        <v>1</v>
      </c>
      <c r="H33">
        <v>210</v>
      </c>
      <c r="I33">
        <v>500</v>
      </c>
    </row>
    <row r="34" spans="1:9" x14ac:dyDescent="0.45">
      <c r="A34">
        <v>32</v>
      </c>
      <c r="B34" t="s">
        <v>232</v>
      </c>
      <c r="C34">
        <v>1900</v>
      </c>
      <c r="D34">
        <v>25</v>
      </c>
      <c r="E34">
        <v>-50</v>
      </c>
      <c r="F34">
        <v>230</v>
      </c>
      <c r="G34" s="3" t="b">
        <f>COUNTIF(dict_zul_Var_Meth[ID_Methods], table_Methods[[#This Row],[ID]]) &gt; 0</f>
        <v>1</v>
      </c>
      <c r="H34">
        <v>240</v>
      </c>
      <c r="I34">
        <v>3100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6.86328125" bestFit="1" customWidth="1"/>
    <col min="4" max="4" width="18.1328125" bestFit="1" customWidth="1"/>
  </cols>
  <sheetData>
    <row r="1" spans="1:4" x14ac:dyDescent="0.45">
      <c r="A1" t="s">
        <v>0</v>
      </c>
      <c r="B1" t="s">
        <v>1</v>
      </c>
      <c r="C1" t="s">
        <v>141</v>
      </c>
      <c r="D1" s="2" t="s">
        <v>142</v>
      </c>
    </row>
    <row r="2" spans="1:4" x14ac:dyDescent="0.45">
      <c r="A2">
        <v>0</v>
      </c>
      <c r="B2" t="s">
        <v>13</v>
      </c>
      <c r="C2">
        <v>5</v>
      </c>
      <c r="D2">
        <f>600</f>
        <v>600</v>
      </c>
    </row>
    <row r="3" spans="1:4" x14ac:dyDescent="0.45">
      <c r="A3">
        <v>1</v>
      </c>
      <c r="B3" t="s">
        <v>26</v>
      </c>
      <c r="C3">
        <v>10</v>
      </c>
      <c r="D3">
        <v>480</v>
      </c>
    </row>
    <row r="4" spans="1:4" x14ac:dyDescent="0.45">
      <c r="A4">
        <v>2</v>
      </c>
      <c r="B4" t="s">
        <v>162</v>
      </c>
      <c r="C4">
        <v>15</v>
      </c>
      <c r="D4">
        <v>400</v>
      </c>
    </row>
    <row r="5" spans="1:4" x14ac:dyDescent="0.45">
      <c r="A5">
        <v>3</v>
      </c>
      <c r="B5" t="s">
        <v>163</v>
      </c>
      <c r="C5">
        <v>20</v>
      </c>
      <c r="D5">
        <v>400</v>
      </c>
    </row>
    <row r="6" spans="1:4" x14ac:dyDescent="0.45">
      <c r="A6">
        <v>4</v>
      </c>
      <c r="B6" t="s">
        <v>164</v>
      </c>
      <c r="C6">
        <v>25</v>
      </c>
      <c r="D6">
        <v>300</v>
      </c>
    </row>
    <row r="7" spans="1:4" x14ac:dyDescent="0.45">
      <c r="A7">
        <v>5</v>
      </c>
      <c r="B7" t="s">
        <v>165</v>
      </c>
      <c r="C7">
        <v>30</v>
      </c>
      <c r="D7">
        <v>200</v>
      </c>
    </row>
    <row r="8" spans="1:4" x14ac:dyDescent="0.45">
      <c r="A8">
        <v>6</v>
      </c>
      <c r="B8" t="s">
        <v>166</v>
      </c>
      <c r="C8">
        <v>35</v>
      </c>
      <c r="D8">
        <v>120</v>
      </c>
    </row>
    <row r="9" spans="1:4" x14ac:dyDescent="0.45">
      <c r="A9">
        <v>7</v>
      </c>
      <c r="B9" t="s">
        <v>167</v>
      </c>
      <c r="C9">
        <v>40</v>
      </c>
      <c r="D9">
        <v>120</v>
      </c>
    </row>
    <row r="10" spans="1:4" x14ac:dyDescent="0.45">
      <c r="A10">
        <v>8</v>
      </c>
      <c r="B10" t="s">
        <v>168</v>
      </c>
      <c r="C10">
        <v>45</v>
      </c>
      <c r="D10">
        <v>60</v>
      </c>
    </row>
    <row r="11" spans="1:4" x14ac:dyDescent="0.45">
      <c r="A11">
        <v>9</v>
      </c>
      <c r="B11" t="s">
        <v>169</v>
      </c>
      <c r="C11">
        <v>50</v>
      </c>
      <c r="D11">
        <v>30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2.3984375" bestFit="1" customWidth="1"/>
    <col min="4" max="5" width="12.73046875" bestFit="1" customWidth="1"/>
  </cols>
  <sheetData>
    <row r="1" spans="1:5" x14ac:dyDescent="0.45">
      <c r="A1" t="s">
        <v>0</v>
      </c>
      <c r="B1" t="s">
        <v>3</v>
      </c>
      <c r="C1" t="s">
        <v>143</v>
      </c>
      <c r="D1" t="s">
        <v>144</v>
      </c>
      <c r="E1" s="1" t="s">
        <v>106</v>
      </c>
    </row>
    <row r="2" spans="1:5" x14ac:dyDescent="0.45">
      <c r="A2">
        <v>0</v>
      </c>
      <c r="B2" t="s">
        <v>14</v>
      </c>
      <c r="C2">
        <v>20</v>
      </c>
      <c r="D2">
        <v>25</v>
      </c>
      <c r="E2" t="b">
        <f>COUNTIF(dict_zuord_Meth_Pos[ID_Positions], table_Positions[[#This Row],[ID]]) &gt; 0</f>
        <v>0</v>
      </c>
    </row>
    <row r="3" spans="1:5" x14ac:dyDescent="0.45">
      <c r="A3">
        <v>1</v>
      </c>
      <c r="B3" t="s">
        <v>15</v>
      </c>
      <c r="C3">
        <v>20</v>
      </c>
      <c r="D3">
        <v>25</v>
      </c>
      <c r="E3" t="b">
        <f>COUNTIF(dict_zuord_Meth_Pos[ID_Positions], table_Positions[[#This Row],[ID]]) &gt; 0</f>
        <v>1</v>
      </c>
    </row>
    <row r="4" spans="1:5" x14ac:dyDescent="0.45">
      <c r="A4">
        <v>2</v>
      </c>
      <c r="B4" t="s">
        <v>16</v>
      </c>
      <c r="C4">
        <v>20</v>
      </c>
      <c r="D4">
        <v>25</v>
      </c>
      <c r="E4" t="b">
        <f>COUNTIF(dict_zuord_Meth_Pos[ID_Positions], table_Positions[[#This Row],[ID]]) &gt; 0</f>
        <v>1</v>
      </c>
    </row>
    <row r="5" spans="1:5" x14ac:dyDescent="0.45">
      <c r="A5">
        <v>3</v>
      </c>
      <c r="B5" t="s">
        <v>17</v>
      </c>
      <c r="C5">
        <v>20</v>
      </c>
      <c r="D5">
        <v>25</v>
      </c>
      <c r="E5" t="b">
        <f>COUNTIF(dict_zuord_Meth_Pos[ID_Positions], table_Positions[[#This Row],[ID]]) &gt; 0</f>
        <v>1</v>
      </c>
    </row>
    <row r="6" spans="1:5" x14ac:dyDescent="0.45">
      <c r="A6">
        <v>4</v>
      </c>
      <c r="B6" t="s">
        <v>18</v>
      </c>
      <c r="C6">
        <v>20</v>
      </c>
      <c r="D6">
        <v>25</v>
      </c>
      <c r="E6" t="b">
        <f>COUNTIF(dict_zuord_Meth_Pos[ID_Positions], table_Positions[[#This Row],[ID]]) &gt; 0</f>
        <v>1</v>
      </c>
    </row>
    <row r="7" spans="1:5" x14ac:dyDescent="0.45">
      <c r="A7">
        <v>5</v>
      </c>
      <c r="B7" t="s">
        <v>19</v>
      </c>
      <c r="C7">
        <v>20</v>
      </c>
      <c r="D7">
        <v>25</v>
      </c>
      <c r="E7" t="b">
        <f>COUNTIF(dict_zuord_Meth_Pos[ID_Positions], table_Positions[[#This Row],[ID]]) &gt; 0</f>
        <v>1</v>
      </c>
    </row>
    <row r="8" spans="1:5" x14ac:dyDescent="0.45">
      <c r="A8">
        <v>6</v>
      </c>
      <c r="B8" t="s">
        <v>20</v>
      </c>
      <c r="C8">
        <v>20</v>
      </c>
      <c r="D8">
        <v>25</v>
      </c>
      <c r="E8" t="b">
        <f>COUNTIF(dict_zuord_Meth_Pos[ID_Positions], table_Positions[[#This Row],[ID]]) &gt; 0</f>
        <v>1</v>
      </c>
    </row>
    <row r="9" spans="1:5" x14ac:dyDescent="0.45">
      <c r="A9">
        <v>7</v>
      </c>
      <c r="B9" t="s">
        <v>21</v>
      </c>
      <c r="C9">
        <v>20</v>
      </c>
      <c r="D9">
        <v>25</v>
      </c>
      <c r="E9" t="b">
        <f>COUNTIF(dict_zuord_Meth_Pos[ID_Positions], table_Positions[[#This Row],[ID]]) &gt; 0</f>
        <v>1</v>
      </c>
    </row>
    <row r="10" spans="1:5" x14ac:dyDescent="0.45">
      <c r="A10">
        <v>8</v>
      </c>
      <c r="B10" t="s">
        <v>22</v>
      </c>
      <c r="C10">
        <v>20</v>
      </c>
      <c r="D10">
        <v>25</v>
      </c>
      <c r="E10" t="b">
        <f>COUNTIF(dict_zuord_Meth_Pos[ID_Positions], table_Positions[[#This Row],[ID]]) &gt; 0</f>
        <v>1</v>
      </c>
    </row>
    <row r="11" spans="1:5" x14ac:dyDescent="0.45">
      <c r="A11">
        <v>9</v>
      </c>
      <c r="B11" t="s">
        <v>23</v>
      </c>
      <c r="C11">
        <v>20</v>
      </c>
      <c r="D11">
        <v>25</v>
      </c>
      <c r="E11" t="b">
        <f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/>
  </sheetViews>
  <sheetFormatPr baseColWidth="10" defaultRowHeight="14.25" x14ac:dyDescent="0.45"/>
  <cols>
    <col min="3" max="3" width="18" bestFit="1" customWidth="1"/>
    <col min="4" max="4" width="12.265625" bestFit="1" customWidth="1"/>
    <col min="5" max="5" width="21.59765625" bestFit="1" customWidth="1"/>
  </cols>
  <sheetData>
    <row r="1" spans="1:5" x14ac:dyDescent="0.45">
      <c r="A1" t="s">
        <v>0</v>
      </c>
      <c r="B1" t="s">
        <v>1</v>
      </c>
      <c r="C1" t="s">
        <v>148</v>
      </c>
      <c r="D1" s="2" t="s">
        <v>2</v>
      </c>
      <c r="E1" t="s">
        <v>83</v>
      </c>
    </row>
    <row r="2" spans="1:5" x14ac:dyDescent="0.45">
      <c r="A2">
        <v>0</v>
      </c>
      <c r="B2" t="s">
        <v>118</v>
      </c>
      <c r="C2">
        <f>400/8*1024</f>
        <v>51200</v>
      </c>
      <c r="D2">
        <v>40</v>
      </c>
      <c r="E2">
        <v>0.1</v>
      </c>
    </row>
    <row r="3" spans="1:5" x14ac:dyDescent="0.45">
      <c r="A3">
        <v>1</v>
      </c>
      <c r="B3" t="s">
        <v>161</v>
      </c>
      <c r="C3">
        <f>300/8*1024</f>
        <v>38400</v>
      </c>
      <c r="D3">
        <v>20</v>
      </c>
      <c r="E3">
        <v>0.4</v>
      </c>
    </row>
    <row r="4" spans="1:5" x14ac:dyDescent="0.45">
      <c r="A4">
        <v>2</v>
      </c>
      <c r="B4" t="s">
        <v>213</v>
      </c>
      <c r="C4">
        <v>1000000000</v>
      </c>
      <c r="D4">
        <v>60</v>
      </c>
      <c r="E4">
        <v>1E-4</v>
      </c>
    </row>
    <row r="5" spans="1:5" x14ac:dyDescent="0.45">
      <c r="A5">
        <v>3</v>
      </c>
      <c r="B5" t="s">
        <v>234</v>
      </c>
      <c r="C5">
        <v>1000000000</v>
      </c>
      <c r="D5">
        <v>60</v>
      </c>
      <c r="E5">
        <v>1E-4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/>
  </sheetViews>
  <sheetFormatPr baseColWidth="10" defaultRowHeight="14.25" x14ac:dyDescent="0.45"/>
  <cols>
    <col min="3" max="3" width="16.1328125" bestFit="1" customWidth="1"/>
    <col min="4" max="4" width="12.265625" bestFit="1" customWidth="1"/>
    <col min="5" max="5" width="21.59765625" bestFit="1" customWidth="1"/>
  </cols>
  <sheetData>
    <row r="1" spans="1:5" x14ac:dyDescent="0.45">
      <c r="A1" t="s">
        <v>0</v>
      </c>
      <c r="B1" t="s">
        <v>1</v>
      </c>
      <c r="C1" t="s">
        <v>148</v>
      </c>
      <c r="D1" s="2" t="s">
        <v>2</v>
      </c>
      <c r="E1" t="s">
        <v>83</v>
      </c>
    </row>
    <row r="2" spans="1:5" x14ac:dyDescent="0.45">
      <c r="A2">
        <v>0</v>
      </c>
      <c r="B2" t="s">
        <v>147</v>
      </c>
      <c r="C2">
        <f>160*1024</f>
        <v>163840</v>
      </c>
      <c r="D2">
        <v>90</v>
      </c>
      <c r="E2">
        <v>0.02</v>
      </c>
    </row>
    <row r="3" spans="1:5" x14ac:dyDescent="0.45">
      <c r="A3">
        <v>1</v>
      </c>
      <c r="B3" t="s">
        <v>160</v>
      </c>
      <c r="C3">
        <f>900*1024</f>
        <v>921600</v>
      </c>
      <c r="D3">
        <v>240</v>
      </c>
      <c r="E3">
        <v>0.9</v>
      </c>
    </row>
    <row r="4" spans="1:5" x14ac:dyDescent="0.45">
      <c r="A4">
        <v>2</v>
      </c>
      <c r="B4" t="s">
        <v>213</v>
      </c>
      <c r="C4" s="3">
        <v>1000000000</v>
      </c>
      <c r="D4">
        <v>10000</v>
      </c>
      <c r="E4">
        <v>1.0000000000000001E-5</v>
      </c>
    </row>
    <row r="5" spans="1:5" x14ac:dyDescent="0.45">
      <c r="A5">
        <v>3</v>
      </c>
      <c r="B5" t="s">
        <v>234</v>
      </c>
      <c r="C5" s="3">
        <v>1000000000</v>
      </c>
      <c r="D5">
        <v>60</v>
      </c>
      <c r="E5">
        <v>1E-4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1"/>
  <sheetViews>
    <sheetView workbookViewId="0">
      <selection activeCell="E50" sqref="E50"/>
    </sheetView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3" width="0" hidden="1" customWidth="1"/>
  </cols>
  <sheetData>
    <row r="1" spans="1:13" x14ac:dyDescent="0.45">
      <c r="A1" t="s">
        <v>80</v>
      </c>
      <c r="B1" t="s">
        <v>79</v>
      </c>
      <c r="C1" t="s">
        <v>119</v>
      </c>
      <c r="D1" t="s">
        <v>224</v>
      </c>
      <c r="E1" t="s">
        <v>225</v>
      </c>
      <c r="F1" s="7" t="s">
        <v>226</v>
      </c>
      <c r="G1" s="7" t="s">
        <v>227</v>
      </c>
      <c r="H1" s="7" t="s">
        <v>82</v>
      </c>
      <c r="I1" t="s">
        <v>71</v>
      </c>
      <c r="J1" t="s">
        <v>145</v>
      </c>
      <c r="K1" t="s">
        <v>146</v>
      </c>
      <c r="L1" t="s">
        <v>230</v>
      </c>
      <c r="M1" t="s">
        <v>229</v>
      </c>
    </row>
    <row r="2" spans="1:13" hidden="1" x14ac:dyDescent="0.45">
      <c r="A2">
        <v>110</v>
      </c>
      <c r="B2">
        <v>4</v>
      </c>
      <c r="C2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">
        <v>10000000</v>
      </c>
      <c r="E2">
        <v>10</v>
      </c>
      <c r="F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" s="8" t="str">
        <f>VLOOKUP(VLOOKUP(dict_DQ_Meth_max[[#This Row],[ID_DataQualities]],table_DataQualities[],3),table_Units[],2)</f>
        <v>+/- µm</v>
      </c>
      <c r="I2">
        <v>0</v>
      </c>
      <c r="J2">
        <v>1</v>
      </c>
      <c r="K2">
        <v>0.02</v>
      </c>
      <c r="L2">
        <f>VLOOKUP($A2,table_DataQualities!$A:$I,8,FALSE)</f>
        <v>5</v>
      </c>
      <c r="M2">
        <f>VLOOKUP($A2,table_DataQualities!$A:$I,9,FALSE)</f>
        <v>50</v>
      </c>
    </row>
    <row r="3" spans="1:13" hidden="1" x14ac:dyDescent="0.45">
      <c r="A3">
        <v>110</v>
      </c>
      <c r="B3">
        <v>5</v>
      </c>
      <c r="C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">
        <v>10000000</v>
      </c>
      <c r="E3">
        <v>20</v>
      </c>
      <c r="F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" s="8" t="str">
        <f>VLOOKUP(VLOOKUP(dict_DQ_Meth_max[[#This Row],[ID_DataQualities]],table_DataQualities[],3),table_Units[],2)</f>
        <v>+/- µm</v>
      </c>
      <c r="I3">
        <v>0</v>
      </c>
      <c r="J3">
        <v>1</v>
      </c>
      <c r="K3">
        <v>0.02</v>
      </c>
      <c r="L3">
        <f>VLOOKUP($A3,table_DataQualities!$A:$I,8,FALSE)</f>
        <v>5</v>
      </c>
      <c r="M3">
        <f>VLOOKUP($A3,table_DataQualities!$A:$I,9,FALSE)</f>
        <v>50</v>
      </c>
    </row>
    <row r="4" spans="1:13" hidden="1" x14ac:dyDescent="0.45">
      <c r="A4">
        <v>110</v>
      </c>
      <c r="B4">
        <v>6</v>
      </c>
      <c r="C4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">
        <v>10000000</v>
      </c>
      <c r="E4">
        <v>5</v>
      </c>
      <c r="F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</v>
      </c>
      <c r="G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4" s="8" t="str">
        <f>VLOOKUP(VLOOKUP(dict_DQ_Meth_max[[#This Row],[ID_DataQualities]],table_DataQualities[],3),table_Units[],2)</f>
        <v>+/- µm</v>
      </c>
      <c r="I4">
        <v>0.3</v>
      </c>
      <c r="J4">
        <v>1</v>
      </c>
      <c r="K4">
        <v>0.02</v>
      </c>
      <c r="L4">
        <f>VLOOKUP($A4,table_DataQualities!$A:$I,8,FALSE)</f>
        <v>5</v>
      </c>
      <c r="M4">
        <f>VLOOKUP($A4,table_DataQualities!$A:$I,9,FALSE)</f>
        <v>50</v>
      </c>
    </row>
    <row r="5" spans="1:13" hidden="1" x14ac:dyDescent="0.45">
      <c r="A5">
        <v>111</v>
      </c>
      <c r="B5">
        <v>4</v>
      </c>
      <c r="C5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">
        <v>10000000</v>
      </c>
      <c r="E5">
        <v>1.25E-4</v>
      </c>
      <c r="F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1.25E-4</v>
      </c>
      <c r="G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5" s="8" t="str">
        <f>VLOOKUP(VLOOKUP(dict_DQ_Meth_max[[#This Row],[ID_DataQualities]],table_DataQualities[],3),table_Units[],2)</f>
        <v>s</v>
      </c>
      <c r="I5">
        <v>0</v>
      </c>
      <c r="J5">
        <v>1</v>
      </c>
      <c r="K5">
        <v>0.02</v>
      </c>
      <c r="L5">
        <f>VLOOKUP($A5,table_DataQualities!$A:$I,8,FALSE)</f>
        <v>1E-4</v>
      </c>
      <c r="M5">
        <f>VLOOKUP($A5,table_DataQualities!$A:$I,9,FALSE)</f>
        <v>0.02</v>
      </c>
    </row>
    <row r="6" spans="1:13" hidden="1" x14ac:dyDescent="0.45">
      <c r="A6">
        <v>111</v>
      </c>
      <c r="B6">
        <v>5</v>
      </c>
      <c r="C6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">
        <v>10000000</v>
      </c>
      <c r="E6">
        <v>1.6666666666666666E-4</v>
      </c>
      <c r="F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1.6666666666666666E-4</v>
      </c>
      <c r="G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6" s="8" t="str">
        <f>VLOOKUP(VLOOKUP(dict_DQ_Meth_max[[#This Row],[ID_DataQualities]],table_DataQualities[],3),table_Units[],2)</f>
        <v>s</v>
      </c>
      <c r="I6">
        <v>0.5</v>
      </c>
      <c r="J6">
        <v>1</v>
      </c>
      <c r="K6">
        <v>0.02</v>
      </c>
      <c r="L6">
        <f>VLOOKUP($A6,table_DataQualities!$A:$I,8,FALSE)</f>
        <v>1E-4</v>
      </c>
      <c r="M6">
        <f>VLOOKUP($A6,table_DataQualities!$A:$I,9,FALSE)</f>
        <v>0.02</v>
      </c>
    </row>
    <row r="7" spans="1:13" hidden="1" x14ac:dyDescent="0.45">
      <c r="A7">
        <v>111</v>
      </c>
      <c r="B7">
        <v>6</v>
      </c>
      <c r="C7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">
        <v>10000000</v>
      </c>
      <c r="E7">
        <v>1.4285714285714287E-4</v>
      </c>
      <c r="F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1.4285714285714287E-4</v>
      </c>
      <c r="G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7" s="8" t="str">
        <f>VLOOKUP(VLOOKUP(dict_DQ_Meth_max[[#This Row],[ID_DataQualities]],table_DataQualities[],3),table_Units[],2)</f>
        <v>s</v>
      </c>
      <c r="I7">
        <v>1.2</v>
      </c>
      <c r="J7">
        <v>1</v>
      </c>
      <c r="K7">
        <v>0.02</v>
      </c>
      <c r="L7">
        <f>VLOOKUP($A7,table_DataQualities!$A:$I,8,FALSE)</f>
        <v>1E-4</v>
      </c>
      <c r="M7">
        <f>VLOOKUP($A7,table_DataQualities!$A:$I,9,FALSE)</f>
        <v>0.02</v>
      </c>
    </row>
    <row r="8" spans="1:13" hidden="1" x14ac:dyDescent="0.45">
      <c r="A8">
        <v>112</v>
      </c>
      <c r="B8">
        <v>7</v>
      </c>
      <c r="C8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">
        <v>10000000</v>
      </c>
      <c r="E8">
        <v>10</v>
      </c>
      <c r="F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8" s="8" t="str">
        <f>VLOOKUP(VLOOKUP(dict_DQ_Meth_max[[#This Row],[ID_DataQualities]],table_DataQualities[],3),table_Units[],2)</f>
        <v>+/- W</v>
      </c>
      <c r="I8">
        <v>2.41</v>
      </c>
      <c r="J8">
        <v>1</v>
      </c>
      <c r="K8">
        <v>0.02</v>
      </c>
      <c r="L8">
        <f>VLOOKUP($A8,table_DataQualities!$A:$I,8,FALSE)</f>
        <v>0.01</v>
      </c>
      <c r="M8">
        <f>VLOOKUP($A8,table_DataQualities!$A:$I,9,FALSE)</f>
        <v>2</v>
      </c>
    </row>
    <row r="9" spans="1:13" hidden="1" x14ac:dyDescent="0.45">
      <c r="A9">
        <v>112</v>
      </c>
      <c r="B9">
        <v>8</v>
      </c>
      <c r="C9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">
        <v>10000000</v>
      </c>
      <c r="E9">
        <v>5</v>
      </c>
      <c r="F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</v>
      </c>
      <c r="G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9" s="8" t="str">
        <f>VLOOKUP(VLOOKUP(dict_DQ_Meth_max[[#This Row],[ID_DataQualities]],table_DataQualities[],3),table_Units[],2)</f>
        <v>+/- W</v>
      </c>
      <c r="I9">
        <v>0</v>
      </c>
      <c r="J9">
        <v>1</v>
      </c>
      <c r="K9">
        <v>0.02</v>
      </c>
      <c r="L9">
        <f>VLOOKUP($A9,table_DataQualities!$A:$I,8,FALSE)</f>
        <v>0.01</v>
      </c>
      <c r="M9">
        <f>VLOOKUP($A9,table_DataQualities!$A:$I,9,FALSE)</f>
        <v>2</v>
      </c>
    </row>
    <row r="10" spans="1:13" hidden="1" x14ac:dyDescent="0.45">
      <c r="A10">
        <v>112</v>
      </c>
      <c r="B10">
        <v>9</v>
      </c>
      <c r="C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">
        <v>10000000</v>
      </c>
      <c r="E10">
        <v>2</v>
      </c>
      <c r="F1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</v>
      </c>
      <c r="G1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0" s="8" t="str">
        <f>VLOOKUP(VLOOKUP(dict_DQ_Meth_max[[#This Row],[ID_DataQualities]],table_DataQualities[],3),table_Units[],2)</f>
        <v>+/- W</v>
      </c>
      <c r="I10">
        <v>50.2</v>
      </c>
      <c r="J10">
        <v>1</v>
      </c>
      <c r="K10">
        <v>0.02</v>
      </c>
      <c r="L10">
        <f>VLOOKUP($A10,table_DataQualities!$A:$I,8,FALSE)</f>
        <v>0.01</v>
      </c>
      <c r="M10">
        <f>VLOOKUP($A10,table_DataQualities!$A:$I,9,FALSE)</f>
        <v>2</v>
      </c>
    </row>
    <row r="11" spans="1:13" hidden="1" x14ac:dyDescent="0.45">
      <c r="A11">
        <v>113</v>
      </c>
      <c r="B11">
        <v>7</v>
      </c>
      <c r="C11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">
        <v>10000000</v>
      </c>
      <c r="E11">
        <v>2.5000000000000001E-3</v>
      </c>
      <c r="F1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2.5000000000000001E-3</v>
      </c>
      <c r="G1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1" s="8" t="str">
        <f>VLOOKUP(VLOOKUP(dict_DQ_Meth_max[[#This Row],[ID_DataQualities]],table_DataQualities[],3),table_Units[],2)</f>
        <v>s</v>
      </c>
      <c r="I11">
        <v>0</v>
      </c>
      <c r="J11">
        <v>1</v>
      </c>
      <c r="K11">
        <v>0.02</v>
      </c>
      <c r="L11">
        <f>VLOOKUP($A11,table_DataQualities!$A:$I,8,FALSE)</f>
        <v>1E-4</v>
      </c>
      <c r="M11">
        <f>VLOOKUP($A11,table_DataQualities!$A:$I,9,FALSE)</f>
        <v>100</v>
      </c>
    </row>
    <row r="12" spans="1:13" hidden="1" x14ac:dyDescent="0.45">
      <c r="A12">
        <v>113</v>
      </c>
      <c r="B12">
        <v>8</v>
      </c>
      <c r="C12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">
        <v>10000000</v>
      </c>
      <c r="E12">
        <v>5.0000000000000001E-4</v>
      </c>
      <c r="F1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5.0000000000000001E-4</v>
      </c>
      <c r="G1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2" s="8" t="str">
        <f>VLOOKUP(VLOOKUP(dict_DQ_Meth_max[[#This Row],[ID_DataQualities]],table_DataQualities[],3),table_Units[],2)</f>
        <v>s</v>
      </c>
      <c r="I12">
        <v>0</v>
      </c>
      <c r="J12">
        <v>1</v>
      </c>
      <c r="K12">
        <v>0.02</v>
      </c>
      <c r="L12">
        <f>VLOOKUP($A12,table_DataQualities!$A:$I,8,FALSE)</f>
        <v>1E-4</v>
      </c>
      <c r="M12">
        <f>VLOOKUP($A12,table_DataQualities!$A:$I,9,FALSE)</f>
        <v>100</v>
      </c>
    </row>
    <row r="13" spans="1:13" hidden="1" x14ac:dyDescent="0.45">
      <c r="A13">
        <v>113</v>
      </c>
      <c r="B13">
        <v>9</v>
      </c>
      <c r="C1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">
        <v>10000000</v>
      </c>
      <c r="E13">
        <v>1E-4</v>
      </c>
      <c r="F1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1E-4</v>
      </c>
      <c r="G1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3" s="8" t="str">
        <f>VLOOKUP(VLOOKUP(dict_DQ_Meth_max[[#This Row],[ID_DataQualities]],table_DataQualities[],3),table_Units[],2)</f>
        <v>s</v>
      </c>
      <c r="I13">
        <v>0</v>
      </c>
      <c r="J13">
        <v>1</v>
      </c>
      <c r="K13">
        <v>0.02</v>
      </c>
      <c r="L13">
        <f>VLOOKUP($A13,table_DataQualities!$A:$I,8,FALSE)</f>
        <v>1E-4</v>
      </c>
      <c r="M13">
        <f>VLOOKUP($A13,table_DataQualities!$A:$I,9,FALSE)</f>
        <v>100</v>
      </c>
    </row>
    <row r="14" spans="1:13" hidden="1" x14ac:dyDescent="0.45">
      <c r="A14">
        <v>114</v>
      </c>
      <c r="B14">
        <v>10</v>
      </c>
      <c r="C14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">
        <v>10000000</v>
      </c>
      <c r="E14">
        <v>0.5</v>
      </c>
      <c r="F1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0.5</v>
      </c>
      <c r="G1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4" s="9" t="str">
        <f>VLOOKUP(VLOOKUP(dict_DQ_Meth_max[[#This Row],[ID_DataQualities]],table_DataQualities[],3),table_Units[],2)</f>
        <v>+/- °C</v>
      </c>
      <c r="I14">
        <v>5.1999999999999998E-2</v>
      </c>
      <c r="J14">
        <v>1</v>
      </c>
      <c r="K14">
        <v>0.02</v>
      </c>
      <c r="L14">
        <f>VLOOKUP($A14,table_DataQualities!$A:$I,8,FALSE)</f>
        <v>0.01</v>
      </c>
      <c r="M14">
        <f>VLOOKUP($A14,table_DataQualities!$A:$I,9,FALSE)</f>
        <v>5</v>
      </c>
    </row>
    <row r="15" spans="1:13" hidden="1" x14ac:dyDescent="0.45">
      <c r="A15">
        <v>114</v>
      </c>
      <c r="B15">
        <v>11</v>
      </c>
      <c r="C15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">
        <v>10000000</v>
      </c>
      <c r="E15">
        <v>1</v>
      </c>
      <c r="F1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1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5" s="9" t="str">
        <f>VLOOKUP(VLOOKUP(dict_DQ_Meth_max[[#This Row],[ID_DataQualities]],table_DataQualities[],3),table_Units[],2)</f>
        <v>+/- °C</v>
      </c>
      <c r="I15">
        <v>0</v>
      </c>
      <c r="J15">
        <v>1</v>
      </c>
      <c r="K15">
        <v>0.02</v>
      </c>
      <c r="L15">
        <f>VLOOKUP($A15,table_DataQualities!$A:$I,8,FALSE)</f>
        <v>0.01</v>
      </c>
      <c r="M15">
        <f>VLOOKUP($A15,table_DataQualities!$A:$I,9,FALSE)</f>
        <v>5</v>
      </c>
    </row>
    <row r="16" spans="1:13" hidden="1" x14ac:dyDescent="0.45">
      <c r="A16">
        <v>114</v>
      </c>
      <c r="B16">
        <v>12</v>
      </c>
      <c r="C16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">
        <v>10000000</v>
      </c>
      <c r="E16">
        <v>0.01</v>
      </c>
      <c r="F1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1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6" s="9" t="str">
        <f>VLOOKUP(VLOOKUP(dict_DQ_Meth_max[[#This Row],[ID_DataQualities]],table_DataQualities[],3),table_Units[],2)</f>
        <v>+/- °C</v>
      </c>
      <c r="I16">
        <v>50</v>
      </c>
      <c r="J16">
        <v>1</v>
      </c>
      <c r="K16">
        <v>0.02</v>
      </c>
      <c r="L16">
        <f>VLOOKUP($A16,table_DataQualities!$A:$I,8,FALSE)</f>
        <v>0.01</v>
      </c>
      <c r="M16">
        <f>VLOOKUP($A16,table_DataQualities!$A:$I,9,FALSE)</f>
        <v>5</v>
      </c>
    </row>
    <row r="17" spans="1:13" hidden="1" x14ac:dyDescent="0.45">
      <c r="A17">
        <v>115</v>
      </c>
      <c r="B17">
        <v>10</v>
      </c>
      <c r="C17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">
        <v>10000000</v>
      </c>
      <c r="E17">
        <v>1</v>
      </c>
      <c r="F1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1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7" s="9" t="str">
        <f>VLOOKUP(VLOOKUP(dict_DQ_Meth_max[[#This Row],[ID_DataQualities]],table_DataQualities[],3),table_Units[],2)</f>
        <v>s</v>
      </c>
      <c r="I17">
        <v>5</v>
      </c>
      <c r="J17">
        <v>1</v>
      </c>
      <c r="K17">
        <v>0.02</v>
      </c>
      <c r="L17">
        <f>VLOOKUP($A17,table_DataQualities!$A:$I,8,FALSE)</f>
        <v>1E-4</v>
      </c>
      <c r="M17">
        <f>VLOOKUP($A17,table_DataQualities!$A:$I,9,FALSE)</f>
        <v>0.02</v>
      </c>
    </row>
    <row r="18" spans="1:13" hidden="1" x14ac:dyDescent="0.45">
      <c r="A18">
        <v>115</v>
      </c>
      <c r="B18">
        <v>11</v>
      </c>
      <c r="C18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">
        <v>10000000</v>
      </c>
      <c r="E18">
        <v>100</v>
      </c>
      <c r="F1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100</v>
      </c>
      <c r="G1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8" s="9" t="str">
        <f>VLOOKUP(VLOOKUP(dict_DQ_Meth_max[[#This Row],[ID_DataQualities]],table_DataQualities[],3),table_Units[],2)</f>
        <v>s</v>
      </c>
      <c r="I18">
        <v>320</v>
      </c>
      <c r="J18">
        <v>1</v>
      </c>
      <c r="K18">
        <v>0.02</v>
      </c>
      <c r="L18">
        <f>VLOOKUP($A18,table_DataQualities!$A:$I,8,FALSE)</f>
        <v>1E-4</v>
      </c>
      <c r="M18">
        <f>VLOOKUP($A18,table_DataQualities!$A:$I,9,FALSE)</f>
        <v>0.02</v>
      </c>
    </row>
    <row r="19" spans="1:13" hidden="1" x14ac:dyDescent="0.45">
      <c r="A19">
        <v>115</v>
      </c>
      <c r="B19">
        <v>12</v>
      </c>
      <c r="C19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">
        <v>10000000</v>
      </c>
      <c r="E19">
        <v>0.05</v>
      </c>
      <c r="F1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0.05</v>
      </c>
      <c r="G1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9" s="9" t="str">
        <f>VLOOKUP(VLOOKUP(dict_DQ_Meth_max[[#This Row],[ID_DataQualities]],table_DataQualities[],3),table_Units[],2)</f>
        <v>s</v>
      </c>
      <c r="I19">
        <v>2</v>
      </c>
      <c r="J19">
        <v>1</v>
      </c>
      <c r="K19">
        <v>0.02</v>
      </c>
      <c r="L19">
        <f>VLOOKUP($A19,table_DataQualities!$A:$I,8,FALSE)</f>
        <v>1E-4</v>
      </c>
      <c r="M19">
        <f>VLOOKUP($A19,table_DataQualities!$A:$I,9,FALSE)</f>
        <v>0.02</v>
      </c>
    </row>
    <row r="20" spans="1:13" hidden="1" x14ac:dyDescent="0.45">
      <c r="A20">
        <v>116</v>
      </c>
      <c r="B20">
        <v>15</v>
      </c>
      <c r="C2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">
        <v>10000000</v>
      </c>
      <c r="E20">
        <v>20</v>
      </c>
      <c r="F2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2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0" s="9" t="str">
        <f>VLOOKUP(VLOOKUP(dict_DQ_Meth_max[[#This Row],[ID_DataQualities]],table_DataQualities[],3),table_Units[],2)</f>
        <v>+/- W</v>
      </c>
      <c r="I20">
        <v>0</v>
      </c>
      <c r="J20">
        <v>1</v>
      </c>
      <c r="K20">
        <v>0.02</v>
      </c>
      <c r="L20">
        <f>VLOOKUP($A20,table_DataQualities!$A:$I,8,FALSE)</f>
        <v>1E-4</v>
      </c>
      <c r="M20">
        <f>VLOOKUP($A20,table_DataQualities!$A:$I,9,FALSE)</f>
        <v>0.05</v>
      </c>
    </row>
    <row r="21" spans="1:13" hidden="1" x14ac:dyDescent="0.45">
      <c r="A21">
        <v>116</v>
      </c>
      <c r="B21">
        <v>16</v>
      </c>
      <c r="C21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">
        <v>10000000</v>
      </c>
      <c r="E21">
        <v>5</v>
      </c>
      <c r="F2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</v>
      </c>
      <c r="G2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1" s="9" t="str">
        <f>VLOOKUP(VLOOKUP(dict_DQ_Meth_max[[#This Row],[ID_DataQualities]],table_DataQualities[],3),table_Units[],2)</f>
        <v>+/- W</v>
      </c>
      <c r="I21">
        <v>2</v>
      </c>
      <c r="J21">
        <v>1</v>
      </c>
      <c r="K21">
        <v>0.02</v>
      </c>
      <c r="L21">
        <f>VLOOKUP($A21,table_DataQualities!$A:$I,8,FALSE)</f>
        <v>1E-4</v>
      </c>
      <c r="M21">
        <f>VLOOKUP($A21,table_DataQualities!$A:$I,9,FALSE)</f>
        <v>0.05</v>
      </c>
    </row>
    <row r="22" spans="1:13" hidden="1" x14ac:dyDescent="0.45">
      <c r="A22">
        <v>117</v>
      </c>
      <c r="B22">
        <v>15</v>
      </c>
      <c r="C22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">
        <v>10000000</v>
      </c>
      <c r="E22">
        <v>0.01</v>
      </c>
      <c r="F2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2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2" s="9" t="str">
        <f>VLOOKUP(VLOOKUP(dict_DQ_Meth_max[[#This Row],[ID_DataQualities]],table_DataQualities[],3),table_Units[],2)</f>
        <v>s</v>
      </c>
      <c r="I22">
        <v>0</v>
      </c>
      <c r="J22">
        <v>1</v>
      </c>
      <c r="K22">
        <v>0.02</v>
      </c>
      <c r="L22">
        <f>VLOOKUP($A22,table_DataQualities!$A:$I,8,FALSE)</f>
        <v>1E-4</v>
      </c>
      <c r="M22">
        <f>VLOOKUP($A22,table_DataQualities!$A:$I,9,FALSE)</f>
        <v>10</v>
      </c>
    </row>
    <row r="23" spans="1:13" hidden="1" x14ac:dyDescent="0.45">
      <c r="A23">
        <v>117</v>
      </c>
      <c r="B23">
        <v>16</v>
      </c>
      <c r="C2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">
        <v>10000000</v>
      </c>
      <c r="E23">
        <v>1.6666666666666668E-3</v>
      </c>
      <c r="F2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1.6666666666666668E-3</v>
      </c>
      <c r="G2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3" s="9" t="str">
        <f>VLOOKUP(VLOOKUP(dict_DQ_Meth_max[[#This Row],[ID_DataQualities]],table_DataQualities[],3),table_Units[],2)</f>
        <v>s</v>
      </c>
      <c r="I23">
        <v>0.03</v>
      </c>
      <c r="J23">
        <v>1</v>
      </c>
      <c r="K23">
        <v>0.02</v>
      </c>
      <c r="L23">
        <f>VLOOKUP($A23,table_DataQualities!$A:$I,8,FALSE)</f>
        <v>1E-4</v>
      </c>
      <c r="M23">
        <f>VLOOKUP($A23,table_DataQualities!$A:$I,9,FALSE)</f>
        <v>10</v>
      </c>
    </row>
    <row r="24" spans="1:13" hidden="1" x14ac:dyDescent="0.45">
      <c r="A24">
        <v>110</v>
      </c>
      <c r="B24">
        <v>13</v>
      </c>
      <c r="C24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">
        <v>10000000</v>
      </c>
      <c r="E24">
        <v>8</v>
      </c>
      <c r="F2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8</v>
      </c>
      <c r="G2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4" s="9" t="str">
        <f>VLOOKUP(VLOOKUP(dict_DQ_Meth_max[[#This Row],[ID_DataQualities]],table_DataQualities[],3),table_Units[],2)</f>
        <v>+/- µm</v>
      </c>
      <c r="I24">
        <v>0</v>
      </c>
      <c r="J24">
        <v>1</v>
      </c>
      <c r="K24">
        <v>0.02</v>
      </c>
      <c r="L24">
        <f>VLOOKUP($A24,table_DataQualities!$A:$I,8,FALSE)</f>
        <v>5</v>
      </c>
      <c r="M24">
        <f>VLOOKUP($A24,table_DataQualities!$A:$I,9,FALSE)</f>
        <v>50</v>
      </c>
    </row>
    <row r="25" spans="1:13" hidden="1" x14ac:dyDescent="0.45">
      <c r="A25">
        <v>111</v>
      </c>
      <c r="B25">
        <v>13</v>
      </c>
      <c r="C25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">
        <v>10000000</v>
      </c>
      <c r="E25">
        <v>2.0000000000000001E-4</v>
      </c>
      <c r="F2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2.0000000000000001E-4</v>
      </c>
      <c r="G2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5" s="9" t="str">
        <f>VLOOKUP(VLOOKUP(dict_DQ_Meth_max[[#This Row],[ID_DataQualities]],table_DataQualities[],3),table_Units[],2)</f>
        <v>s</v>
      </c>
      <c r="I25">
        <v>0</v>
      </c>
      <c r="J25">
        <v>1</v>
      </c>
      <c r="K25">
        <v>0.02</v>
      </c>
      <c r="L25">
        <f>VLOOKUP($A25,table_DataQualities!$A:$I,8,FALSE)</f>
        <v>1E-4</v>
      </c>
      <c r="M25">
        <f>VLOOKUP($A25,table_DataQualities!$A:$I,9,FALSE)</f>
        <v>0.02</v>
      </c>
    </row>
    <row r="26" spans="1:13" hidden="1" x14ac:dyDescent="0.45">
      <c r="A26">
        <v>112</v>
      </c>
      <c r="B26">
        <v>13</v>
      </c>
      <c r="C26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">
        <v>10000000</v>
      </c>
      <c r="E26">
        <v>6</v>
      </c>
      <c r="F2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6</v>
      </c>
      <c r="G2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6" s="9" t="str">
        <f>VLOOKUP(VLOOKUP(dict_DQ_Meth_max[[#This Row],[ID_DataQualities]],table_DataQualities[],3),table_Units[],2)</f>
        <v>+/- W</v>
      </c>
      <c r="I26">
        <v>2</v>
      </c>
      <c r="J26">
        <v>1</v>
      </c>
      <c r="K26">
        <v>0.02</v>
      </c>
      <c r="L26">
        <f>VLOOKUP($A26,table_DataQualities!$A:$I,8,FALSE)</f>
        <v>0.01</v>
      </c>
      <c r="M26">
        <f>VLOOKUP($A26,table_DataQualities!$A:$I,9,FALSE)</f>
        <v>2</v>
      </c>
    </row>
    <row r="27" spans="1:13" hidden="1" x14ac:dyDescent="0.45">
      <c r="A27">
        <v>113</v>
      </c>
      <c r="B27">
        <v>13</v>
      </c>
      <c r="C27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">
        <v>10000000</v>
      </c>
      <c r="E27">
        <v>3.3333333333333332E-4</v>
      </c>
      <c r="F2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3.3333333333333332E-4</v>
      </c>
      <c r="G2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7" s="9" t="str">
        <f>VLOOKUP(VLOOKUP(dict_DQ_Meth_max[[#This Row],[ID_DataQualities]],table_DataQualities[],3),table_Units[],2)</f>
        <v>s</v>
      </c>
      <c r="I27">
        <v>0</v>
      </c>
      <c r="J27">
        <v>1</v>
      </c>
      <c r="K27">
        <v>0.02</v>
      </c>
      <c r="L27">
        <f>VLOOKUP($A27,table_DataQualities!$A:$I,8,FALSE)</f>
        <v>1E-4</v>
      </c>
      <c r="M27">
        <f>VLOOKUP($A27,table_DataQualities!$A:$I,9,FALSE)</f>
        <v>100</v>
      </c>
    </row>
    <row r="28" spans="1:13" hidden="1" x14ac:dyDescent="0.45">
      <c r="A28">
        <v>112</v>
      </c>
      <c r="B28">
        <v>14</v>
      </c>
      <c r="C28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">
        <v>10000000</v>
      </c>
      <c r="E28">
        <v>4</v>
      </c>
      <c r="F2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4</v>
      </c>
      <c r="G2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8" s="9" t="str">
        <f>VLOOKUP(VLOOKUP(dict_DQ_Meth_max[[#This Row],[ID_DataQualities]],table_DataQualities[],3),table_Units[],2)</f>
        <v>+/- W</v>
      </c>
      <c r="I28">
        <v>0</v>
      </c>
      <c r="J28">
        <v>1</v>
      </c>
      <c r="K28">
        <v>0.02</v>
      </c>
      <c r="L28">
        <f>VLOOKUP($A28,table_DataQualities!$A:$I,8,FALSE)</f>
        <v>0.01</v>
      </c>
      <c r="M28">
        <f>VLOOKUP($A28,table_DataQualities!$A:$I,9,FALSE)</f>
        <v>2</v>
      </c>
    </row>
    <row r="29" spans="1:13" hidden="1" x14ac:dyDescent="0.45">
      <c r="A29">
        <v>113</v>
      </c>
      <c r="B29">
        <v>14</v>
      </c>
      <c r="C29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">
        <v>10000000</v>
      </c>
      <c r="E29">
        <v>4.0000000000000002E-4</v>
      </c>
      <c r="F2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4.0000000000000002E-4</v>
      </c>
      <c r="G2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9" s="9" t="str">
        <f>VLOOKUP(VLOOKUP(dict_DQ_Meth_max[[#This Row],[ID_DataQualities]],table_DataQualities[],3),table_Units[],2)</f>
        <v>s</v>
      </c>
      <c r="I29">
        <v>0</v>
      </c>
      <c r="J29">
        <v>1</v>
      </c>
      <c r="K29">
        <v>0.02</v>
      </c>
      <c r="L29">
        <f>VLOOKUP($A29,table_DataQualities!$A:$I,8,FALSE)</f>
        <v>1E-4</v>
      </c>
      <c r="M29">
        <f>VLOOKUP($A29,table_DataQualities!$A:$I,9,FALSE)</f>
        <v>100</v>
      </c>
    </row>
    <row r="30" spans="1:13" hidden="1" x14ac:dyDescent="0.45">
      <c r="A30">
        <v>114</v>
      </c>
      <c r="B30">
        <v>14</v>
      </c>
      <c r="C3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">
        <v>10000000</v>
      </c>
      <c r="E30">
        <v>0.2</v>
      </c>
      <c r="F3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0.2</v>
      </c>
      <c r="G3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0" s="9" t="str">
        <f>VLOOKUP(VLOOKUP(dict_DQ_Meth_max[[#This Row],[ID_DataQualities]],table_DataQualities[],3),table_Units[],2)</f>
        <v>+/- °C</v>
      </c>
      <c r="I30">
        <v>0</v>
      </c>
      <c r="J30">
        <v>1</v>
      </c>
      <c r="K30">
        <v>0.02</v>
      </c>
      <c r="L30">
        <f>VLOOKUP($A30,table_DataQualities!$A:$I,8,FALSE)</f>
        <v>0.01</v>
      </c>
      <c r="M30">
        <f>VLOOKUP($A30,table_DataQualities!$A:$I,9,FALSE)</f>
        <v>5</v>
      </c>
    </row>
    <row r="31" spans="1:13" hidden="1" x14ac:dyDescent="0.45">
      <c r="A31">
        <v>115</v>
      </c>
      <c r="B31">
        <v>14</v>
      </c>
      <c r="C31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">
        <v>10000000</v>
      </c>
      <c r="E31">
        <v>2.5000000000000001E-3</v>
      </c>
      <c r="F3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2.5000000000000001E-3</v>
      </c>
      <c r="G3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1" s="9" t="str">
        <f>VLOOKUP(VLOOKUP(dict_DQ_Meth_max[[#This Row],[ID_DataQualities]],table_DataQualities[],3),table_Units[],2)</f>
        <v>s</v>
      </c>
      <c r="I31">
        <v>0</v>
      </c>
      <c r="J31">
        <v>1</v>
      </c>
      <c r="K31">
        <v>0.02</v>
      </c>
      <c r="L31">
        <f>VLOOKUP($A31,table_DataQualities!$A:$I,8,FALSE)</f>
        <v>1E-4</v>
      </c>
      <c r="M31">
        <f>VLOOKUP($A31,table_DataQualities!$A:$I,9,FALSE)</f>
        <v>0.02</v>
      </c>
    </row>
    <row r="32" spans="1:13" hidden="1" x14ac:dyDescent="0.45">
      <c r="A32">
        <v>118</v>
      </c>
      <c r="B32">
        <v>17</v>
      </c>
      <c r="C32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">
        <v>10000000</v>
      </c>
      <c r="E32">
        <v>60</v>
      </c>
      <c r="F3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60</v>
      </c>
      <c r="G3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2" s="9" t="str">
        <f>VLOOKUP(VLOOKUP(dict_DQ_Meth_max[[#This Row],[ID_DataQualities]],table_DataQualities[],3),table_Units[],2)</f>
        <v>+/- liter/min</v>
      </c>
      <c r="I32">
        <v>0</v>
      </c>
      <c r="J32">
        <v>1</v>
      </c>
      <c r="K32">
        <v>0.02</v>
      </c>
      <c r="L32">
        <f>VLOOKUP($A32,table_DataQualities!$A:$I,8,FALSE)</f>
        <v>1</v>
      </c>
      <c r="M32">
        <f>VLOOKUP($A32,table_DataQualities!$A:$I,9,FALSE)</f>
        <v>100</v>
      </c>
    </row>
    <row r="33" spans="1:13" hidden="1" x14ac:dyDescent="0.45">
      <c r="A33">
        <v>119</v>
      </c>
      <c r="B33">
        <v>17</v>
      </c>
      <c r="C3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">
        <v>10000000</v>
      </c>
      <c r="E33">
        <v>20</v>
      </c>
      <c r="F3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3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3" s="9" t="str">
        <f>VLOOKUP(VLOOKUP(dict_DQ_Meth_max[[#This Row],[ID_DataQualities]],table_DataQualities[],3),table_Units[],2)</f>
        <v>s</v>
      </c>
      <c r="I33">
        <v>0</v>
      </c>
      <c r="J33">
        <v>1</v>
      </c>
      <c r="K33">
        <v>0.02</v>
      </c>
      <c r="L33">
        <f>VLOOKUP($A33,table_DataQualities!$A:$I,8,FALSE)</f>
        <v>1E-4</v>
      </c>
      <c r="M33">
        <f>VLOOKUP($A33,table_DataQualities!$A:$I,9,FALSE)</f>
        <v>0.02</v>
      </c>
    </row>
    <row r="34" spans="1:13" hidden="1" x14ac:dyDescent="0.45">
      <c r="A34">
        <v>118</v>
      </c>
      <c r="B34">
        <v>18</v>
      </c>
      <c r="C34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">
        <v>10000000</v>
      </c>
      <c r="E34">
        <v>10</v>
      </c>
      <c r="F3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3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4" s="9" t="str">
        <f>VLOOKUP(VLOOKUP(dict_DQ_Meth_max[[#This Row],[ID_DataQualities]],table_DataQualities[],3),table_Units[],2)</f>
        <v>+/- liter/min</v>
      </c>
      <c r="I34">
        <v>0</v>
      </c>
      <c r="J34">
        <v>1</v>
      </c>
      <c r="K34">
        <v>0.02</v>
      </c>
      <c r="L34">
        <f>VLOOKUP($A34,table_DataQualities!$A:$I,8,FALSE)</f>
        <v>1</v>
      </c>
      <c r="M34">
        <f>VLOOKUP($A34,table_DataQualities!$A:$I,9,FALSE)</f>
        <v>100</v>
      </c>
    </row>
    <row r="35" spans="1:13" hidden="1" x14ac:dyDescent="0.45">
      <c r="A35">
        <v>119</v>
      </c>
      <c r="B35">
        <v>18</v>
      </c>
      <c r="C35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">
        <v>10000000</v>
      </c>
      <c r="E35">
        <v>2.5</v>
      </c>
      <c r="F3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2.5</v>
      </c>
      <c r="G3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5" s="9" t="str">
        <f>VLOOKUP(VLOOKUP(dict_DQ_Meth_max[[#This Row],[ID_DataQualities]],table_DataQualities[],3),table_Units[],2)</f>
        <v>s</v>
      </c>
      <c r="I35">
        <v>0</v>
      </c>
      <c r="J35">
        <v>1</v>
      </c>
      <c r="K35">
        <v>0.02</v>
      </c>
      <c r="L35">
        <f>VLOOKUP($A35,table_DataQualities!$A:$I,8,FALSE)</f>
        <v>1E-4</v>
      </c>
      <c r="M35">
        <f>VLOOKUP($A35,table_DataQualities!$A:$I,9,FALSE)</f>
        <v>0.02</v>
      </c>
    </row>
    <row r="36" spans="1:13" hidden="1" x14ac:dyDescent="0.45">
      <c r="A36">
        <v>118</v>
      </c>
      <c r="B36">
        <v>19</v>
      </c>
      <c r="C36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">
        <v>10000000</v>
      </c>
      <c r="E36">
        <v>5</v>
      </c>
      <c r="F3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</v>
      </c>
      <c r="G3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6" s="9" t="str">
        <f>VLOOKUP(VLOOKUP(dict_DQ_Meth_max[[#This Row],[ID_DataQualities]],table_DataQualities[],3),table_Units[],2)</f>
        <v>+/- liter/min</v>
      </c>
      <c r="I36">
        <v>0</v>
      </c>
      <c r="J36">
        <v>1</v>
      </c>
      <c r="K36">
        <v>0.02</v>
      </c>
      <c r="L36">
        <f>VLOOKUP($A36,table_DataQualities!$A:$I,8,FALSE)</f>
        <v>1</v>
      </c>
      <c r="M36">
        <f>VLOOKUP($A36,table_DataQualities!$A:$I,9,FALSE)</f>
        <v>100</v>
      </c>
    </row>
    <row r="37" spans="1:13" hidden="1" x14ac:dyDescent="0.45">
      <c r="A37">
        <v>119</v>
      </c>
      <c r="B37">
        <v>19</v>
      </c>
      <c r="C37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">
        <v>10000000</v>
      </c>
      <c r="E37">
        <v>0.5</v>
      </c>
      <c r="F3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0.5</v>
      </c>
      <c r="G3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7" s="9" t="str">
        <f>VLOOKUP(VLOOKUP(dict_DQ_Meth_max[[#This Row],[ID_DataQualities]],table_DataQualities[],3),table_Units[],2)</f>
        <v>s</v>
      </c>
      <c r="I37">
        <v>0</v>
      </c>
      <c r="J37">
        <v>1</v>
      </c>
      <c r="K37">
        <v>0.02</v>
      </c>
      <c r="L37">
        <f>VLOOKUP($A37,table_DataQualities!$A:$I,8,FALSE)</f>
        <v>1E-4</v>
      </c>
      <c r="M37">
        <f>VLOOKUP($A37,table_DataQualities!$A:$I,9,FALSE)</f>
        <v>0.02</v>
      </c>
    </row>
    <row r="38" spans="1:13" hidden="1" x14ac:dyDescent="0.45">
      <c r="A38">
        <v>118</v>
      </c>
      <c r="B38">
        <v>20</v>
      </c>
      <c r="C38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">
        <v>10000000</v>
      </c>
      <c r="E38">
        <v>1</v>
      </c>
      <c r="F3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3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8" s="9" t="str">
        <f>VLOOKUP(VLOOKUP(dict_DQ_Meth_max[[#This Row],[ID_DataQualities]],table_DataQualities[],3),table_Units[],2)</f>
        <v>+/- liter/min</v>
      </c>
      <c r="I38">
        <v>0</v>
      </c>
      <c r="J38">
        <v>1</v>
      </c>
      <c r="K38">
        <v>0.02</v>
      </c>
      <c r="L38">
        <f>VLOOKUP($A38,table_DataQualities!$A:$I,8,FALSE)</f>
        <v>1</v>
      </c>
      <c r="M38">
        <f>VLOOKUP($A38,table_DataQualities!$A:$I,9,FALSE)</f>
        <v>100</v>
      </c>
    </row>
    <row r="39" spans="1:13" hidden="1" x14ac:dyDescent="0.45">
      <c r="A39">
        <v>119</v>
      </c>
      <c r="B39">
        <v>20</v>
      </c>
      <c r="C39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">
        <v>10000000</v>
      </c>
      <c r="E39">
        <v>2</v>
      </c>
      <c r="F3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</v>
      </c>
      <c r="G3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9" s="9" t="str">
        <f>VLOOKUP(VLOOKUP(dict_DQ_Meth_max[[#This Row],[ID_DataQualities]],table_DataQualities[],3),table_Units[],2)</f>
        <v>s</v>
      </c>
      <c r="I39">
        <v>0</v>
      </c>
      <c r="J39">
        <v>1</v>
      </c>
      <c r="K39">
        <v>0.02</v>
      </c>
      <c r="L39">
        <f>VLOOKUP($A39,table_DataQualities!$A:$I,8,FALSE)</f>
        <v>1E-4</v>
      </c>
      <c r="M39">
        <f>VLOOKUP($A39,table_DataQualities!$A:$I,9,FALSE)</f>
        <v>0.02</v>
      </c>
    </row>
    <row r="40" spans="1:13" hidden="1" x14ac:dyDescent="0.45">
      <c r="A40">
        <v>118</v>
      </c>
      <c r="B40">
        <v>21</v>
      </c>
      <c r="C4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">
        <v>10000000</v>
      </c>
      <c r="E40">
        <v>20</v>
      </c>
      <c r="F4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4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40" s="9" t="str">
        <f>VLOOKUP(VLOOKUP(dict_DQ_Meth_max[[#This Row],[ID_DataQualities]],table_DataQualities[],3),table_Units[],2)</f>
        <v>+/- liter/min</v>
      </c>
      <c r="I40">
        <v>0</v>
      </c>
      <c r="J40">
        <v>1</v>
      </c>
      <c r="K40">
        <v>0.02</v>
      </c>
      <c r="L40">
        <f>VLOOKUP($A40,table_DataQualities!$A:$I,8,FALSE)</f>
        <v>1</v>
      </c>
      <c r="M40">
        <f>VLOOKUP($A40,table_DataQualities!$A:$I,9,FALSE)</f>
        <v>100</v>
      </c>
    </row>
    <row r="41" spans="1:13" hidden="1" x14ac:dyDescent="0.45">
      <c r="A41">
        <v>119</v>
      </c>
      <c r="B41">
        <v>21</v>
      </c>
      <c r="C41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">
        <v>10000000</v>
      </c>
      <c r="E41">
        <v>0.25</v>
      </c>
      <c r="F4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0.25</v>
      </c>
      <c r="G4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41" s="9" t="str">
        <f>VLOOKUP(VLOOKUP(dict_DQ_Meth_max[[#This Row],[ID_DataQualities]],table_DataQualities[],3),table_Units[],2)</f>
        <v>s</v>
      </c>
      <c r="I41">
        <v>0</v>
      </c>
      <c r="J41">
        <v>1</v>
      </c>
      <c r="K41">
        <v>0.02</v>
      </c>
      <c r="L41">
        <f>VLOOKUP($A41,table_DataQualities!$A:$I,8,FALSE)</f>
        <v>1E-4</v>
      </c>
      <c r="M41">
        <f>VLOOKUP($A41,table_DataQualities!$A:$I,9,FALSE)</f>
        <v>0.02</v>
      </c>
    </row>
    <row r="42" spans="1:13" x14ac:dyDescent="0.45">
      <c r="A42">
        <v>0</v>
      </c>
      <c r="B42">
        <v>22</v>
      </c>
      <c r="C4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>
        <v>50</v>
      </c>
      <c r="E42">
        <v>0.01</v>
      </c>
      <c r="F4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4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42" s="9" t="str">
        <f>VLOOKUP(VLOOKUP(dict_DQ_Meth_max[[#This Row],[ID_DataQualities]],table_DataQualities[],3),table_Units[],2)</f>
        <v>+/- °C</v>
      </c>
      <c r="I42">
        <v>0</v>
      </c>
      <c r="J42">
        <v>10</v>
      </c>
      <c r="K42">
        <v>0.02</v>
      </c>
      <c r="L42">
        <f>VLOOKUP($A42,table_DataQualities!$A:$I,8,FALSE)</f>
        <v>1E-3</v>
      </c>
      <c r="M42">
        <f>VLOOKUP($A42,table_DataQualities!$A:$I,9,FALSE)</f>
        <v>50</v>
      </c>
    </row>
    <row r="43" spans="1:13" x14ac:dyDescent="0.45">
      <c r="A43">
        <v>0</v>
      </c>
      <c r="B43">
        <v>23</v>
      </c>
      <c r="C4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>
        <v>50</v>
      </c>
      <c r="E43">
        <v>10</v>
      </c>
      <c r="F4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4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43" s="9" t="str">
        <f>VLOOKUP(VLOOKUP(dict_DQ_Meth_max[[#This Row],[ID_DataQualities]],table_DataQualities[],3),table_Units[],2)</f>
        <v>+/- °C</v>
      </c>
      <c r="I43">
        <v>0</v>
      </c>
      <c r="J43">
        <v>20</v>
      </c>
      <c r="K43">
        <v>0.02</v>
      </c>
      <c r="L43">
        <f>VLOOKUP($A43,table_DataQualities!$A:$I,8,FALSE)</f>
        <v>1E-3</v>
      </c>
      <c r="M43">
        <f>VLOOKUP($A43,table_DataQualities!$A:$I,9,FALSE)</f>
        <v>50</v>
      </c>
    </row>
    <row r="44" spans="1:13" x14ac:dyDescent="0.45">
      <c r="A44">
        <v>0</v>
      </c>
      <c r="B44">
        <v>26</v>
      </c>
      <c r="C4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>
        <v>50</v>
      </c>
      <c r="E44">
        <v>1</v>
      </c>
      <c r="F4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4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44" s="9" t="str">
        <f>VLOOKUP(VLOOKUP(dict_DQ_Meth_max[[#This Row],[ID_DataQualities]],table_DataQualities[],3),table_Units[],2)</f>
        <v>+/- °C</v>
      </c>
      <c r="I44">
        <v>0</v>
      </c>
      <c r="J44">
        <v>10</v>
      </c>
      <c r="K44">
        <v>0.02</v>
      </c>
      <c r="L44">
        <f>VLOOKUP($A44,table_DataQualities!$A:$I,8,FALSE)</f>
        <v>1E-3</v>
      </c>
      <c r="M44">
        <f>VLOOKUP($A44,table_DataQualities!$A:$I,9,FALSE)</f>
        <v>50</v>
      </c>
    </row>
    <row r="45" spans="1:13" x14ac:dyDescent="0.45">
      <c r="A45">
        <v>1</v>
      </c>
      <c r="B45">
        <v>22</v>
      </c>
      <c r="C4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>
        <v>0.01</v>
      </c>
      <c r="E45">
        <v>10</v>
      </c>
      <c r="F4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4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45" s="9" t="str">
        <f>VLOOKUP(VLOOKUP(dict_DQ_Meth_max[[#This Row],[ID_DataQualities]],table_DataQualities[],3),table_Units[],2)</f>
        <v>Hz</v>
      </c>
      <c r="I45">
        <v>0</v>
      </c>
      <c r="J45">
        <v>300</v>
      </c>
      <c r="K45">
        <v>0.02</v>
      </c>
      <c r="L45">
        <f>VLOOKUP($A45,table_DataQualities!$A:$I,8,FALSE)</f>
        <v>1.0000000000000001E-5</v>
      </c>
      <c r="M45">
        <f>VLOOKUP($A45,table_DataQualities!$A:$I,9,FALSE)</f>
        <v>100000</v>
      </c>
    </row>
    <row r="46" spans="1:13" x14ac:dyDescent="0.45">
      <c r="A46">
        <v>1</v>
      </c>
      <c r="B46">
        <v>23</v>
      </c>
      <c r="C4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>
        <v>0.01</v>
      </c>
      <c r="E46">
        <v>1000</v>
      </c>
      <c r="F4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4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</v>
      </c>
      <c r="H46" s="9" t="str">
        <f>VLOOKUP(VLOOKUP(dict_DQ_Meth_max[[#This Row],[ID_DataQualities]],table_DataQualities[],3),table_Units[],2)</f>
        <v>Hz</v>
      </c>
      <c r="I46">
        <v>0</v>
      </c>
      <c r="J46">
        <v>300</v>
      </c>
      <c r="K46">
        <v>0.02</v>
      </c>
      <c r="L46">
        <f>VLOOKUP($A46,table_DataQualities!$A:$I,8,FALSE)</f>
        <v>1.0000000000000001E-5</v>
      </c>
      <c r="M46">
        <f>VLOOKUP($A46,table_DataQualities!$A:$I,9,FALSE)</f>
        <v>100000</v>
      </c>
    </row>
    <row r="47" spans="1:13" x14ac:dyDescent="0.45">
      <c r="A47">
        <v>1</v>
      </c>
      <c r="B47">
        <v>26</v>
      </c>
      <c r="C4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>
        <v>0.01</v>
      </c>
      <c r="E47">
        <v>1</v>
      </c>
      <c r="F4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4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</v>
      </c>
      <c r="H47" s="9" t="str">
        <f>VLOOKUP(VLOOKUP(dict_DQ_Meth_max[[#This Row],[ID_DataQualities]],table_DataQualities[],3),table_Units[],2)</f>
        <v>Hz</v>
      </c>
      <c r="I47">
        <v>0</v>
      </c>
      <c r="J47">
        <v>300</v>
      </c>
      <c r="K47">
        <v>0.02</v>
      </c>
      <c r="L47">
        <f>VLOOKUP($A47,table_DataQualities!$A:$I,8,FALSE)</f>
        <v>1.0000000000000001E-5</v>
      </c>
      <c r="M47">
        <f>VLOOKUP($A47,table_DataQualities!$A:$I,9,FALSE)</f>
        <v>100000</v>
      </c>
    </row>
    <row r="48" spans="1:13" x14ac:dyDescent="0.45">
      <c r="A48">
        <v>2</v>
      </c>
      <c r="B48">
        <v>24</v>
      </c>
      <c r="C4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>
        <v>0.1</v>
      </c>
      <c r="E48">
        <v>2000</v>
      </c>
      <c r="F4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0.1</v>
      </c>
      <c r="G4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2000</v>
      </c>
      <c r="H48" s="9" t="str">
        <f>VLOOKUP(VLOOKUP(dict_DQ_Meth_max[[#This Row],[ID_DataQualities]],table_DataQualities[],3),table_Units[],2)</f>
        <v>Hz</v>
      </c>
      <c r="I48">
        <v>0</v>
      </c>
      <c r="J48">
        <v>10</v>
      </c>
      <c r="K48">
        <v>1</v>
      </c>
      <c r="L48">
        <f>VLOOKUP($A48,table_DataQualities!$A:$I,8,FALSE)</f>
        <v>1.0000000000000001E-5</v>
      </c>
      <c r="M48">
        <f>VLOOKUP($A48,table_DataQualities!$A:$I,9,FALSE)</f>
        <v>100000</v>
      </c>
    </row>
    <row r="49" spans="1:13" x14ac:dyDescent="0.45">
      <c r="A49">
        <v>2</v>
      </c>
      <c r="B49">
        <v>25</v>
      </c>
      <c r="C4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>
        <v>1</v>
      </c>
      <c r="E49">
        <v>10</v>
      </c>
      <c r="F4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4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49" s="9" t="str">
        <f>VLOOKUP(VLOOKUP(dict_DQ_Meth_max[[#This Row],[ID_DataQualities]],table_DataQualities[],3),table_Units[],2)</f>
        <v>Hz</v>
      </c>
      <c r="I49">
        <v>0</v>
      </c>
      <c r="J49">
        <v>10</v>
      </c>
      <c r="K49">
        <v>1</v>
      </c>
      <c r="L49">
        <f>VLOOKUP($A49,table_DataQualities!$A:$I,8,FALSE)</f>
        <v>1.0000000000000001E-5</v>
      </c>
      <c r="M49">
        <f>VLOOKUP($A49,table_DataQualities!$A:$I,9,FALSE)</f>
        <v>100000</v>
      </c>
    </row>
    <row r="50" spans="1:13" x14ac:dyDescent="0.45">
      <c r="A50">
        <v>2</v>
      </c>
      <c r="B50">
        <v>26</v>
      </c>
      <c r="C5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>
        <v>0.5</v>
      </c>
      <c r="E50">
        <v>150</v>
      </c>
      <c r="F5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0.5</v>
      </c>
      <c r="G5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150</v>
      </c>
      <c r="H50" s="9" t="str">
        <f>VLOOKUP(VLOOKUP(dict_DQ_Meth_max[[#This Row],[ID_DataQualities]],table_DataQualities[],3),table_Units[],2)</f>
        <v>Hz</v>
      </c>
      <c r="I50">
        <v>0</v>
      </c>
      <c r="J50">
        <v>10</v>
      </c>
      <c r="K50">
        <v>1</v>
      </c>
      <c r="L50">
        <f>VLOOKUP($A50,table_DataQualities!$A:$I,8,FALSE)</f>
        <v>1.0000000000000001E-5</v>
      </c>
      <c r="M50">
        <f>VLOOKUP($A50,table_DataQualities!$A:$I,9,FALSE)</f>
        <v>100000</v>
      </c>
    </row>
    <row r="51" spans="1:13" x14ac:dyDescent="0.45">
      <c r="A51">
        <v>3</v>
      </c>
      <c r="B51">
        <v>24</v>
      </c>
      <c r="C5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>
        <v>200</v>
      </c>
      <c r="E51">
        <v>200</v>
      </c>
      <c r="F5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200</v>
      </c>
      <c r="G5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</v>
      </c>
      <c r="H51" s="9" t="str">
        <f>VLOOKUP(VLOOKUP(dict_DQ_Meth_max[[#This Row],[ID_DataQualities]],table_DataQualities[],3),table_Units[],2)</f>
        <v>px/mm</v>
      </c>
      <c r="I51">
        <v>0</v>
      </c>
      <c r="J51">
        <v>300</v>
      </c>
      <c r="K51">
        <v>1</v>
      </c>
      <c r="L51">
        <f>VLOOKUP($A51,table_DataQualities!$A:$I,8,FALSE)</f>
        <v>1.0000000000000001E-5</v>
      </c>
      <c r="M51">
        <f>VLOOKUP($A51,table_DataQualities!$A:$I,9,FALSE)</f>
        <v>100000</v>
      </c>
    </row>
    <row r="52" spans="1:13" x14ac:dyDescent="0.45">
      <c r="A52">
        <v>3</v>
      </c>
      <c r="B52">
        <v>25</v>
      </c>
      <c r="C5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>
        <v>125</v>
      </c>
      <c r="E52">
        <v>125</v>
      </c>
      <c r="F5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125</v>
      </c>
      <c r="G5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125</v>
      </c>
      <c r="H52" s="9" t="str">
        <f>VLOOKUP(VLOOKUP(dict_DQ_Meth_max[[#This Row],[ID_DataQualities]],table_DataQualities[],3),table_Units[],2)</f>
        <v>px/mm</v>
      </c>
      <c r="I52">
        <v>0</v>
      </c>
      <c r="J52">
        <v>5000</v>
      </c>
      <c r="K52">
        <v>1</v>
      </c>
      <c r="L52">
        <f>VLOOKUP($A52,table_DataQualities!$A:$I,8,FALSE)</f>
        <v>1.0000000000000001E-5</v>
      </c>
      <c r="M52">
        <f>VLOOKUP($A52,table_DataQualities!$A:$I,9,FALSE)</f>
        <v>100000</v>
      </c>
    </row>
    <row r="53" spans="1:13" x14ac:dyDescent="0.45">
      <c r="A53">
        <v>3</v>
      </c>
      <c r="B53">
        <v>26</v>
      </c>
      <c r="C5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>
        <v>130</v>
      </c>
      <c r="E53">
        <v>130</v>
      </c>
      <c r="F5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130</v>
      </c>
      <c r="G5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130</v>
      </c>
      <c r="H53" s="9" t="str">
        <f>VLOOKUP(VLOOKUP(dict_DQ_Meth_max[[#This Row],[ID_DataQualities]],table_DataQualities[],3),table_Units[],2)</f>
        <v>px/mm</v>
      </c>
      <c r="I53">
        <v>0</v>
      </c>
      <c r="J53">
        <v>300</v>
      </c>
      <c r="K53">
        <v>1</v>
      </c>
      <c r="L53">
        <f>VLOOKUP($A53,table_DataQualities!$A:$I,8,FALSE)</f>
        <v>1.0000000000000001E-5</v>
      </c>
      <c r="M53">
        <f>VLOOKUP($A53,table_DataQualities!$A:$I,9,FALSE)</f>
        <v>100000</v>
      </c>
    </row>
    <row r="54" spans="1:13" x14ac:dyDescent="0.45">
      <c r="A54">
        <v>10</v>
      </c>
      <c r="B54">
        <v>24</v>
      </c>
      <c r="C5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>
        <v>8</v>
      </c>
      <c r="E54">
        <v>8</v>
      </c>
      <c r="F5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8</v>
      </c>
      <c r="G5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8</v>
      </c>
      <c r="H54" s="9" t="str">
        <f>VLOOKUP(VLOOKUP(dict_DQ_Meth_max[[#This Row],[ID_DataQualities]],table_DataQualities[],3),table_Units[],2)</f>
        <v>bit</v>
      </c>
      <c r="I54">
        <v>0</v>
      </c>
      <c r="K54">
        <v>1</v>
      </c>
      <c r="L54">
        <f>VLOOKUP($A54,table_DataQualities!$A:$I,8,FALSE)</f>
        <v>1</v>
      </c>
      <c r="M54">
        <f>VLOOKUP($A54,table_DataQualities!$A:$I,9,FALSE)</f>
        <v>48</v>
      </c>
    </row>
    <row r="55" spans="1:13" x14ac:dyDescent="0.45">
      <c r="A55">
        <v>10</v>
      </c>
      <c r="B55">
        <v>25</v>
      </c>
      <c r="C5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>
        <v>24</v>
      </c>
      <c r="E55">
        <v>24</v>
      </c>
      <c r="F5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24</v>
      </c>
      <c r="G5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24</v>
      </c>
      <c r="H55" s="9" t="str">
        <f>VLOOKUP(VLOOKUP(dict_DQ_Meth_max[[#This Row],[ID_DataQualities]],table_DataQualities[],3),table_Units[],2)</f>
        <v>bit</v>
      </c>
      <c r="I55">
        <v>0</v>
      </c>
      <c r="K55">
        <v>1</v>
      </c>
      <c r="L55">
        <f>VLOOKUP($A55,table_DataQualities!$A:$I,8,FALSE)</f>
        <v>1</v>
      </c>
      <c r="M55">
        <f>VLOOKUP($A55,table_DataQualities!$A:$I,9,FALSE)</f>
        <v>48</v>
      </c>
    </row>
    <row r="56" spans="1:13" x14ac:dyDescent="0.45">
      <c r="A56">
        <v>10</v>
      </c>
      <c r="B56">
        <v>26</v>
      </c>
      <c r="C5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>
        <v>8</v>
      </c>
      <c r="E56">
        <v>8</v>
      </c>
      <c r="F5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8</v>
      </c>
      <c r="G5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8</v>
      </c>
      <c r="H56" s="9" t="str">
        <f>VLOOKUP(VLOOKUP(dict_DQ_Meth_max[[#This Row],[ID_DataQualities]],table_DataQualities[],3),table_Units[],2)</f>
        <v>bit</v>
      </c>
      <c r="I56">
        <v>0</v>
      </c>
      <c r="K56">
        <v>1</v>
      </c>
      <c r="L56">
        <f>VLOOKUP($A56,table_DataQualities!$A:$I,8,FALSE)</f>
        <v>1</v>
      </c>
      <c r="M56">
        <f>VLOOKUP($A56,table_DataQualities!$A:$I,9,FALSE)</f>
        <v>48</v>
      </c>
    </row>
    <row r="57" spans="1:13" x14ac:dyDescent="0.45">
      <c r="A57">
        <v>11</v>
      </c>
      <c r="B57">
        <v>24</v>
      </c>
      <c r="C5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>
        <v>10</v>
      </c>
      <c r="E57">
        <v>10</v>
      </c>
      <c r="F5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5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57" s="9" t="str">
        <f>VLOOKUP(VLOOKUP(dict_DQ_Meth_max[[#This Row],[ID_DataQualities]],table_DataQualities[],3),table_Units[],2)</f>
        <v>mm²</v>
      </c>
      <c r="L57">
        <f>VLOOKUP($A57,table_DataQualities!$A:$I,8,FALSE)</f>
        <v>1.0000000000000001E-5</v>
      </c>
      <c r="M57">
        <f>VLOOKUP($A57,table_DataQualities!$A:$I,9,FALSE)</f>
        <v>60</v>
      </c>
    </row>
    <row r="58" spans="1:13" x14ac:dyDescent="0.45">
      <c r="A58">
        <v>11</v>
      </c>
      <c r="B58">
        <v>25</v>
      </c>
      <c r="C5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>
        <v>40</v>
      </c>
      <c r="E58">
        <v>40</v>
      </c>
      <c r="F5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40</v>
      </c>
      <c r="G5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40</v>
      </c>
      <c r="H58" s="9" t="str">
        <f>VLOOKUP(VLOOKUP(dict_DQ_Meth_max[[#This Row],[ID_DataQualities]],table_DataQualities[],3),table_Units[],2)</f>
        <v>mm²</v>
      </c>
      <c r="L58">
        <f>VLOOKUP($A58,table_DataQualities!$A:$I,8,FALSE)</f>
        <v>1.0000000000000001E-5</v>
      </c>
      <c r="M58">
        <f>VLOOKUP($A58,table_DataQualities!$A:$I,9,FALSE)</f>
        <v>60</v>
      </c>
    </row>
    <row r="59" spans="1:13" x14ac:dyDescent="0.45">
      <c r="A59">
        <v>11</v>
      </c>
      <c r="B59">
        <v>26</v>
      </c>
      <c r="C5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>
        <v>30</v>
      </c>
      <c r="E59">
        <v>30</v>
      </c>
      <c r="F5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30</v>
      </c>
      <c r="G5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30</v>
      </c>
      <c r="H59" s="9" t="str">
        <f>VLOOKUP(VLOOKUP(dict_DQ_Meth_max[[#This Row],[ID_DataQualities]],table_DataQualities[],3),table_Units[],2)</f>
        <v>mm²</v>
      </c>
      <c r="L59">
        <f>VLOOKUP($A59,table_DataQualities!$A:$I,8,FALSE)</f>
        <v>1.0000000000000001E-5</v>
      </c>
      <c r="M59">
        <f>VLOOKUP($A59,table_DataQualities!$A:$I,9,FALSE)</f>
        <v>60</v>
      </c>
    </row>
    <row r="60" spans="1:13" x14ac:dyDescent="0.45">
      <c r="A60">
        <v>4</v>
      </c>
      <c r="B60">
        <v>27</v>
      </c>
      <c r="C6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>
        <v>0.5</v>
      </c>
      <c r="E60">
        <v>0.4</v>
      </c>
      <c r="F6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0.4</v>
      </c>
      <c r="G6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0.5</v>
      </c>
      <c r="H60" s="9" t="str">
        <f>VLOOKUP(VLOOKUP(dict_DQ_Meth_max[[#This Row],[ID_DataQualities]],table_DataQualities[],3),table_Units[],2)</f>
        <v>+/- mm</v>
      </c>
      <c r="L60">
        <f>VLOOKUP($A60,table_DataQualities!$A:$I,8,FALSE)</f>
        <v>1.0000000000000001E-5</v>
      </c>
      <c r="M60">
        <f>VLOOKUP($A60,table_DataQualities!$A:$I,9,FALSE)</f>
        <v>3</v>
      </c>
    </row>
    <row r="61" spans="1:13" x14ac:dyDescent="0.45">
      <c r="A61">
        <v>5</v>
      </c>
      <c r="B61">
        <v>27</v>
      </c>
      <c r="C6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>
        <v>10</v>
      </c>
      <c r="E61">
        <v>200</v>
      </c>
      <c r="F6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6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</v>
      </c>
      <c r="H61" s="9" t="str">
        <f>VLOOKUP(VLOOKUP(dict_DQ_Meth_max[[#This Row],[ID_DataQualities]],table_DataQualities[],3),table_Units[],2)</f>
        <v>Hz</v>
      </c>
      <c r="L61">
        <f>VLOOKUP($A61,table_DataQualities!$A:$I,8,FALSE)</f>
        <v>1.0000000000000001E-5</v>
      </c>
      <c r="M61">
        <f>VLOOKUP($A61,table_DataQualities!$A:$I,9,FALSE)</f>
        <v>50000</v>
      </c>
    </row>
    <row r="62" spans="1:13" x14ac:dyDescent="0.45">
      <c r="A62">
        <v>4</v>
      </c>
      <c r="B62">
        <v>28</v>
      </c>
      <c r="C6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>
        <v>0.35</v>
      </c>
      <c r="E62">
        <v>0.3</v>
      </c>
      <c r="F6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0.3</v>
      </c>
      <c r="G6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0.35</v>
      </c>
      <c r="H62" s="9" t="str">
        <f>VLOOKUP(VLOOKUP(dict_DQ_Meth_max[[#This Row],[ID_DataQualities]],table_DataQualities[],3),table_Units[],2)</f>
        <v>+/- mm</v>
      </c>
      <c r="L62">
        <f>VLOOKUP($A62,table_DataQualities!$A:$I,8,FALSE)</f>
        <v>1.0000000000000001E-5</v>
      </c>
      <c r="M62">
        <f>VLOOKUP($A62,table_DataQualities!$A:$I,9,FALSE)</f>
        <v>3</v>
      </c>
    </row>
    <row r="63" spans="1:13" x14ac:dyDescent="0.45">
      <c r="A63">
        <v>5</v>
      </c>
      <c r="B63">
        <v>28</v>
      </c>
      <c r="C6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>
        <v>20</v>
      </c>
      <c r="E63">
        <v>400</v>
      </c>
      <c r="F6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6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400</v>
      </c>
      <c r="H63" s="9" t="str">
        <f>VLOOKUP(VLOOKUP(dict_DQ_Meth_max[[#This Row],[ID_DataQualities]],table_DataQualities[],3),table_Units[],2)</f>
        <v>Hz</v>
      </c>
      <c r="L63">
        <f>VLOOKUP($A63,table_DataQualities!$A:$I,8,FALSE)</f>
        <v>1.0000000000000001E-5</v>
      </c>
      <c r="M63">
        <f>VLOOKUP($A63,table_DataQualities!$A:$I,9,FALSE)</f>
        <v>50000</v>
      </c>
    </row>
    <row r="64" spans="1:13" x14ac:dyDescent="0.45">
      <c r="A64">
        <v>8</v>
      </c>
      <c r="B64">
        <v>29</v>
      </c>
      <c r="C6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>
        <v>5000</v>
      </c>
      <c r="E64">
        <v>15000</v>
      </c>
      <c r="F6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5000</v>
      </c>
      <c r="G6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15000</v>
      </c>
      <c r="H64" s="9" t="str">
        <f>VLOOKUP(VLOOKUP(dict_DQ_Meth_max[[#This Row],[ID_DataQualities]],table_DataQualities[],3),table_Units[],2)</f>
        <v>bit</v>
      </c>
      <c r="L64">
        <f>VLOOKUP($A64,table_DataQualities!$A:$I,8,FALSE)</f>
        <v>1</v>
      </c>
      <c r="M64">
        <f>VLOOKUP($A64,table_DataQualities!$A:$I,9,FALSE)</f>
        <v>200000</v>
      </c>
    </row>
    <row r="65" spans="1:13" x14ac:dyDescent="0.45">
      <c r="A65">
        <v>9</v>
      </c>
      <c r="B65">
        <v>29</v>
      </c>
      <c r="C6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>
        <v>30</v>
      </c>
      <c r="E65">
        <v>120</v>
      </c>
      <c r="F6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30</v>
      </c>
      <c r="G6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</v>
      </c>
      <c r="H65" s="9" t="str">
        <f>VLOOKUP(VLOOKUP(dict_DQ_Meth_max[[#This Row],[ID_DataQualities]],table_DataQualities[],3),table_Units[],2)</f>
        <v>Hz</v>
      </c>
      <c r="L65">
        <f>VLOOKUP($A65,table_DataQualities!$A:$I,8,FALSE)</f>
        <v>1E-4</v>
      </c>
      <c r="M65">
        <f>VLOOKUP($A65,table_DataQualities!$A:$I,9,FALSE)</f>
        <v>500</v>
      </c>
    </row>
    <row r="66" spans="1:13" x14ac:dyDescent="0.45">
      <c r="A66">
        <v>8</v>
      </c>
      <c r="B66">
        <v>30</v>
      </c>
      <c r="C6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>
        <v>9000</v>
      </c>
      <c r="E66">
        <v>100000</v>
      </c>
      <c r="F6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9000</v>
      </c>
      <c r="G6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</v>
      </c>
      <c r="H66" s="9" t="str">
        <f>VLOOKUP(VLOOKUP(dict_DQ_Meth_max[[#This Row],[ID_DataQualities]],table_DataQualities[],3),table_Units[],2)</f>
        <v>bit</v>
      </c>
      <c r="L66">
        <f>VLOOKUP($A66,table_DataQualities!$A:$I,8,FALSE)</f>
        <v>1</v>
      </c>
      <c r="M66">
        <f>VLOOKUP($A66,table_DataQualities!$A:$I,9,FALSE)</f>
        <v>200000</v>
      </c>
    </row>
    <row r="67" spans="1:13" x14ac:dyDescent="0.45">
      <c r="A67">
        <v>9</v>
      </c>
      <c r="B67">
        <v>30</v>
      </c>
      <c r="C6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>
        <v>10</v>
      </c>
      <c r="E67">
        <v>500</v>
      </c>
      <c r="F6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6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500</v>
      </c>
      <c r="H67" s="9" t="str">
        <f>VLOOKUP(VLOOKUP(dict_DQ_Meth_max[[#This Row],[ID_DataQualities]],table_DataQualities[],3),table_Units[],2)</f>
        <v>Hz</v>
      </c>
      <c r="L67">
        <f>VLOOKUP($A67,table_DataQualities!$A:$I,8,FALSE)</f>
        <v>1E-4</v>
      </c>
      <c r="M67">
        <f>VLOOKUP($A67,table_DataQualities!$A:$I,9,FALSE)</f>
        <v>500</v>
      </c>
    </row>
    <row r="68" spans="1:13" x14ac:dyDescent="0.45">
      <c r="A68">
        <v>6</v>
      </c>
      <c r="B68">
        <v>31</v>
      </c>
      <c r="C6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>
        <v>20</v>
      </c>
      <c r="E68">
        <v>120</v>
      </c>
      <c r="F68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68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</v>
      </c>
      <c r="H68" s="9" t="str">
        <f>VLOOKUP(VLOOKUP(dict_DQ_Meth_max[[#This Row],[ID_DataQualities]],table_DataQualities[],3),table_Units[],2)</f>
        <v>mm²</v>
      </c>
      <c r="L68" s="3">
        <f>VLOOKUP($A68,table_DataQualities!$A:$I,8,FALSE)</f>
        <v>1.0000000000000001E-5</v>
      </c>
      <c r="M68" s="3">
        <f>VLOOKUP($A68,table_DataQualities!$A:$I,9,FALSE)</f>
        <v>100000</v>
      </c>
    </row>
    <row r="69" spans="1:13" x14ac:dyDescent="0.45">
      <c r="A69">
        <v>7</v>
      </c>
      <c r="B69">
        <v>31</v>
      </c>
      <c r="C6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>
        <v>1</v>
      </c>
      <c r="E69">
        <v>2000</v>
      </c>
      <c r="F69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69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2000</v>
      </c>
      <c r="H69" s="9" t="str">
        <f>VLOOKUP(VLOOKUP(dict_DQ_Meth_max[[#This Row],[ID_DataQualities]],table_DataQualities[],3),table_Units[],2)</f>
        <v>Hz</v>
      </c>
      <c r="L69" s="3">
        <f>VLOOKUP($A69,table_DataQualities!$A:$I,8,FALSE)</f>
        <v>1</v>
      </c>
      <c r="M69" s="3">
        <f>VLOOKUP($A69,table_DataQualities!$A:$I,9,FALSE)</f>
        <v>100000</v>
      </c>
    </row>
    <row r="70" spans="1:13" x14ac:dyDescent="0.45">
      <c r="A70">
        <v>6</v>
      </c>
      <c r="B70">
        <v>32</v>
      </c>
      <c r="C7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>
        <v>15</v>
      </c>
      <c r="E70">
        <v>100</v>
      </c>
      <c r="F70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15</v>
      </c>
      <c r="G70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</v>
      </c>
      <c r="H70" s="9" t="str">
        <f>VLOOKUP(VLOOKUP(dict_DQ_Meth_max[[#This Row],[ID_DataQualities]],table_DataQualities[],3),table_Units[],2)</f>
        <v>mm²</v>
      </c>
      <c r="L70" s="3">
        <f>VLOOKUP($A70,table_DataQualities!$A:$I,8,FALSE)</f>
        <v>1.0000000000000001E-5</v>
      </c>
      <c r="M70" s="3">
        <f>VLOOKUP($A70,table_DataQualities!$A:$I,9,FALSE)</f>
        <v>100000</v>
      </c>
    </row>
    <row r="71" spans="1:13" x14ac:dyDescent="0.45">
      <c r="A71">
        <v>7</v>
      </c>
      <c r="B71">
        <v>32</v>
      </c>
      <c r="C7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>
        <v>1</v>
      </c>
      <c r="E71">
        <v>1200</v>
      </c>
      <c r="F71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71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1200</v>
      </c>
      <c r="H71" s="9" t="str">
        <f>VLOOKUP(VLOOKUP(dict_DQ_Meth_max[[#This Row],[ID_DataQualities]],table_DataQualities[],3),table_Units[],2)</f>
        <v>Hz</v>
      </c>
      <c r="L71" s="3">
        <f>VLOOKUP($A71,table_DataQualities!$A:$I,8,FALSE)</f>
        <v>1</v>
      </c>
      <c r="M71" s="3">
        <f>VLOOKUP($A71,table_DataQualities!$A:$I,9,FALSE)</f>
        <v>100000</v>
      </c>
    </row>
  </sheetData>
  <conditionalFormatting sqref="G1:G1048576">
    <cfRule type="cellIs" dxfId="16" priority="1" operator="greaterThan">
      <formula>$M1</formula>
    </cfRule>
    <cfRule type="cellIs" dxfId="15" priority="6" operator="lessThan">
      <formula>$F1</formula>
    </cfRule>
  </conditionalFormatting>
  <conditionalFormatting sqref="F1:F1048576">
    <cfRule type="cellIs" dxfId="14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34"/>
  <sheetViews>
    <sheetView topLeftCell="A7" workbookViewId="0"/>
  </sheetViews>
  <sheetFormatPr baseColWidth="10" defaultRowHeight="14.25" x14ac:dyDescent="0.45"/>
  <cols>
    <col min="1" max="1" width="13.86328125" bestFit="1" customWidth="1"/>
    <col min="2" max="2" width="13.59765625" bestFit="1" customWidth="1"/>
  </cols>
  <sheetData>
    <row r="1" spans="1:3" x14ac:dyDescent="0.45">
      <c r="A1" t="s">
        <v>78</v>
      </c>
      <c r="B1" t="s">
        <v>79</v>
      </c>
      <c r="C1" t="s">
        <v>119</v>
      </c>
    </row>
    <row r="2" spans="1:3" x14ac:dyDescent="0.45">
      <c r="A2">
        <v>0</v>
      </c>
      <c r="B2">
        <v>22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3" spans="1:3" x14ac:dyDescent="0.45">
      <c r="A3">
        <v>0</v>
      </c>
      <c r="B3">
        <v>23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4" spans="1:3" x14ac:dyDescent="0.45">
      <c r="A4">
        <v>0</v>
      </c>
      <c r="B4">
        <v>26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5" spans="1:3" x14ac:dyDescent="0.45">
      <c r="A5">
        <v>1</v>
      </c>
      <c r="B5">
        <v>24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6" spans="1:3" x14ac:dyDescent="0.45">
      <c r="A6">
        <v>1</v>
      </c>
      <c r="B6">
        <v>25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7" spans="1:3" x14ac:dyDescent="0.45">
      <c r="A7">
        <v>1</v>
      </c>
      <c r="B7">
        <v>26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8" spans="1:3" x14ac:dyDescent="0.45">
      <c r="A8">
        <v>2</v>
      </c>
      <c r="B8">
        <v>27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9" spans="1:3" x14ac:dyDescent="0.45">
      <c r="A9">
        <v>2</v>
      </c>
      <c r="B9">
        <v>28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10" spans="1:3" x14ac:dyDescent="0.45">
      <c r="A10">
        <v>5</v>
      </c>
      <c r="B10">
        <v>4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1" spans="1:3" x14ac:dyDescent="0.45">
      <c r="A11">
        <v>5</v>
      </c>
      <c r="B11">
        <v>5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2" spans="1:3" x14ac:dyDescent="0.45">
      <c r="A12">
        <v>5</v>
      </c>
      <c r="B12">
        <v>6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3" spans="1:3" x14ac:dyDescent="0.45">
      <c r="A13">
        <v>5</v>
      </c>
      <c r="B13">
        <v>13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4" spans="1:3" x14ac:dyDescent="0.45">
      <c r="A14">
        <v>6</v>
      </c>
      <c r="B14">
        <v>7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5" spans="1:3" x14ac:dyDescent="0.45">
      <c r="A15">
        <v>6</v>
      </c>
      <c r="B15">
        <v>8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6" spans="1:3" x14ac:dyDescent="0.45">
      <c r="A16">
        <v>6</v>
      </c>
      <c r="B16">
        <v>9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7" spans="1:3" x14ac:dyDescent="0.45">
      <c r="A17">
        <v>6</v>
      </c>
      <c r="B17">
        <v>13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8" spans="1:3" x14ac:dyDescent="0.45">
      <c r="A18">
        <v>6</v>
      </c>
      <c r="B18">
        <v>14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9" spans="1:3" x14ac:dyDescent="0.45">
      <c r="A19">
        <v>7</v>
      </c>
      <c r="B19">
        <v>10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0" spans="1:3" x14ac:dyDescent="0.45">
      <c r="A20">
        <v>7</v>
      </c>
      <c r="B20">
        <v>10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1" spans="1:3" x14ac:dyDescent="0.45">
      <c r="A21">
        <v>7</v>
      </c>
      <c r="B21">
        <v>11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2" spans="1:3" x14ac:dyDescent="0.45">
      <c r="A22">
        <v>7</v>
      </c>
      <c r="B22">
        <v>12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3" spans="1:3" x14ac:dyDescent="0.45">
      <c r="A23">
        <v>7</v>
      </c>
      <c r="B23">
        <v>14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4" spans="1:3" x14ac:dyDescent="0.45">
      <c r="A24">
        <v>8</v>
      </c>
      <c r="B24">
        <v>15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5" spans="1:3" x14ac:dyDescent="0.45">
      <c r="A25">
        <v>8</v>
      </c>
      <c r="B25">
        <v>16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6" spans="1:3" x14ac:dyDescent="0.45">
      <c r="A26">
        <v>9</v>
      </c>
      <c r="B26">
        <v>17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7" spans="1:3" x14ac:dyDescent="0.45">
      <c r="A27">
        <v>9</v>
      </c>
      <c r="B27">
        <v>18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8" spans="1:3" x14ac:dyDescent="0.45">
      <c r="A28">
        <v>9</v>
      </c>
      <c r="B28">
        <v>19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9" spans="1:3" x14ac:dyDescent="0.45">
      <c r="A29">
        <v>9</v>
      </c>
      <c r="B29">
        <v>20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30" spans="1:3" x14ac:dyDescent="0.45">
      <c r="A30">
        <v>9</v>
      </c>
      <c r="B30">
        <v>21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31" spans="1:3" x14ac:dyDescent="0.45">
      <c r="A31">
        <v>3</v>
      </c>
      <c r="B31">
        <v>31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32" spans="1:3" x14ac:dyDescent="0.45">
      <c r="A32">
        <v>3</v>
      </c>
      <c r="B32">
        <v>32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33" spans="1:3" x14ac:dyDescent="0.45">
      <c r="A33">
        <v>4</v>
      </c>
      <c r="B33">
        <v>29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34" spans="1:3" x14ac:dyDescent="0.45">
      <c r="A34">
        <v>4</v>
      </c>
      <c r="B34">
        <v>30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3"/>
  <sheetViews>
    <sheetView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78</v>
      </c>
      <c r="B1" t="s">
        <v>80</v>
      </c>
      <c r="C1" t="s">
        <v>119</v>
      </c>
    </row>
    <row r="2" spans="1:3" x14ac:dyDescent="0.45">
      <c r="A2"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v>1</v>
      </c>
      <c r="B12">
        <v>10</v>
      </c>
      <c r="C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v>1</v>
      </c>
      <c r="B13">
        <v>11</v>
      </c>
      <c r="C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v>5</v>
      </c>
      <c r="B14">
        <v>110</v>
      </c>
      <c r="C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" spans="1:3" x14ac:dyDescent="0.45">
      <c r="A15">
        <v>5</v>
      </c>
      <c r="B15">
        <v>111</v>
      </c>
      <c r="C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" spans="1:3" x14ac:dyDescent="0.45">
      <c r="A16">
        <v>6</v>
      </c>
      <c r="B16">
        <v>112</v>
      </c>
      <c r="C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" spans="1:3" x14ac:dyDescent="0.45">
      <c r="A17">
        <v>6</v>
      </c>
      <c r="B17">
        <v>113</v>
      </c>
      <c r="C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" spans="1:3" x14ac:dyDescent="0.45">
      <c r="A18">
        <v>7</v>
      </c>
      <c r="B18">
        <v>114</v>
      </c>
      <c r="C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v>7</v>
      </c>
      <c r="B19">
        <v>115</v>
      </c>
      <c r="C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v>8</v>
      </c>
      <c r="B20">
        <v>116</v>
      </c>
      <c r="C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v>8</v>
      </c>
      <c r="B21">
        <v>117</v>
      </c>
      <c r="C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v>9</v>
      </c>
      <c r="B22">
        <v>118</v>
      </c>
      <c r="C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v>9</v>
      </c>
      <c r="B23">
        <v>119</v>
      </c>
      <c r="C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workbookViewId="0">
      <selection activeCell="C22" sqref="C22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4" x14ac:dyDescent="0.45">
      <c r="A1" t="s">
        <v>79</v>
      </c>
      <c r="B1" t="s">
        <v>81</v>
      </c>
      <c r="C1" t="s">
        <v>119</v>
      </c>
      <c r="D1" t="s">
        <v>115</v>
      </c>
    </row>
    <row r="2" spans="1:4" x14ac:dyDescent="0.45">
      <c r="A2">
        <v>1</v>
      </c>
      <c r="B2">
        <v>0</v>
      </c>
      <c r="C2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2">
        <v>30</v>
      </c>
    </row>
    <row r="3" spans="1:4" x14ac:dyDescent="0.45">
      <c r="A3">
        <v>22</v>
      </c>
      <c r="B3">
        <v>1</v>
      </c>
      <c r="C3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3">
        <v>20</v>
      </c>
    </row>
    <row r="4" spans="1:4" x14ac:dyDescent="0.45">
      <c r="A4">
        <v>23</v>
      </c>
      <c r="B4">
        <v>0</v>
      </c>
      <c r="C4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4">
        <v>13</v>
      </c>
    </row>
    <row r="5" spans="1:4" x14ac:dyDescent="0.45">
      <c r="A5">
        <v>26</v>
      </c>
      <c r="B5">
        <v>0</v>
      </c>
      <c r="C5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5">
        <v>45</v>
      </c>
    </row>
    <row r="6" spans="1:4" x14ac:dyDescent="0.45">
      <c r="A6">
        <v>22</v>
      </c>
      <c r="B6">
        <v>0</v>
      </c>
      <c r="C6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6">
        <v>18</v>
      </c>
    </row>
    <row r="7" spans="1:4" x14ac:dyDescent="0.45">
      <c r="A7">
        <v>23</v>
      </c>
      <c r="B7">
        <v>1</v>
      </c>
      <c r="C7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7">
        <v>11</v>
      </c>
    </row>
    <row r="8" spans="1:4" x14ac:dyDescent="0.45">
      <c r="A8">
        <v>26</v>
      </c>
      <c r="B8">
        <v>1</v>
      </c>
      <c r="C8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8">
        <v>40</v>
      </c>
    </row>
    <row r="9" spans="1:4" x14ac:dyDescent="0.45">
      <c r="A9">
        <v>22</v>
      </c>
      <c r="B9">
        <v>2</v>
      </c>
      <c r="C9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9">
        <v>16</v>
      </c>
    </row>
    <row r="10" spans="1:4" x14ac:dyDescent="0.45">
      <c r="A10">
        <v>23</v>
      </c>
      <c r="B10">
        <v>2</v>
      </c>
      <c r="C10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0">
        <v>11</v>
      </c>
    </row>
    <row r="11" spans="1:4" x14ac:dyDescent="0.45">
      <c r="A11">
        <v>26</v>
      </c>
      <c r="B11">
        <v>2</v>
      </c>
      <c r="C11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1">
        <v>35</v>
      </c>
    </row>
    <row r="12" spans="1:4" x14ac:dyDescent="0.45">
      <c r="A12">
        <v>22</v>
      </c>
      <c r="B12">
        <v>3</v>
      </c>
      <c r="C12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2">
        <v>12</v>
      </c>
    </row>
    <row r="13" spans="1:4" x14ac:dyDescent="0.45">
      <c r="A13">
        <v>23</v>
      </c>
      <c r="B13">
        <v>3</v>
      </c>
      <c r="C13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3">
        <v>10</v>
      </c>
    </row>
    <row r="14" spans="1:4" x14ac:dyDescent="0.45">
      <c r="A14">
        <v>26</v>
      </c>
      <c r="B14">
        <v>3</v>
      </c>
      <c r="C14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4">
        <v>30</v>
      </c>
    </row>
    <row r="15" spans="1:4" x14ac:dyDescent="0.45">
      <c r="A15">
        <v>29</v>
      </c>
      <c r="B15">
        <v>6</v>
      </c>
      <c r="C15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5">
        <v>25</v>
      </c>
    </row>
    <row r="16" spans="1:4" x14ac:dyDescent="0.45">
      <c r="A16">
        <v>30</v>
      </c>
      <c r="B16">
        <v>6</v>
      </c>
      <c r="C16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6">
        <v>20</v>
      </c>
    </row>
    <row r="17" spans="1:4" x14ac:dyDescent="0.45">
      <c r="A17">
        <v>31</v>
      </c>
      <c r="B17">
        <v>2</v>
      </c>
      <c r="C17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7">
        <v>12</v>
      </c>
    </row>
    <row r="18" spans="1:4" x14ac:dyDescent="0.45">
      <c r="A18">
        <v>32</v>
      </c>
      <c r="B18">
        <v>2</v>
      </c>
      <c r="C18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8">
        <v>11</v>
      </c>
    </row>
    <row r="19" spans="1:4" x14ac:dyDescent="0.45">
      <c r="A19">
        <v>31</v>
      </c>
      <c r="B19">
        <v>3</v>
      </c>
      <c r="C19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9">
        <v>10</v>
      </c>
    </row>
    <row r="20" spans="1:4" x14ac:dyDescent="0.45">
      <c r="A20">
        <v>32</v>
      </c>
      <c r="B20">
        <v>3</v>
      </c>
      <c r="C20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20">
        <v>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E9" sqref="E9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3" x14ac:dyDescent="0.45">
      <c r="A1" t="s">
        <v>79</v>
      </c>
      <c r="B1" t="s">
        <v>113</v>
      </c>
      <c r="C1" t="s">
        <v>119</v>
      </c>
    </row>
    <row r="2" spans="1:3" x14ac:dyDescent="0.45">
      <c r="A2">
        <v>22</v>
      </c>
      <c r="B2">
        <v>1</v>
      </c>
      <c r="C2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3" spans="1:3" x14ac:dyDescent="0.45">
      <c r="A3">
        <v>23</v>
      </c>
      <c r="B3">
        <v>3</v>
      </c>
      <c r="C3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4" spans="1:3" x14ac:dyDescent="0.45">
      <c r="A4">
        <v>24</v>
      </c>
      <c r="B4">
        <v>4</v>
      </c>
      <c r="C4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5" spans="1:3" x14ac:dyDescent="0.45">
      <c r="A5">
        <v>25</v>
      </c>
      <c r="B5">
        <v>5</v>
      </c>
      <c r="C5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6" spans="1:3" x14ac:dyDescent="0.45">
      <c r="A6">
        <v>26</v>
      </c>
      <c r="B6">
        <v>6</v>
      </c>
      <c r="C6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7" spans="1:3" x14ac:dyDescent="0.45">
      <c r="A7">
        <v>26</v>
      </c>
      <c r="B7">
        <v>7</v>
      </c>
      <c r="C7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8" spans="1:3" x14ac:dyDescent="0.45">
      <c r="A8">
        <v>27</v>
      </c>
      <c r="B8">
        <v>8</v>
      </c>
      <c r="C8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9" spans="1:3" x14ac:dyDescent="0.45">
      <c r="A9">
        <v>28</v>
      </c>
      <c r="B9">
        <v>8</v>
      </c>
      <c r="C9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0" spans="1:3" x14ac:dyDescent="0.45">
      <c r="A10">
        <v>29</v>
      </c>
      <c r="B10">
        <v>9</v>
      </c>
      <c r="C10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1" spans="1:3" x14ac:dyDescent="0.45">
      <c r="A11">
        <v>30</v>
      </c>
      <c r="B11">
        <v>9</v>
      </c>
      <c r="C11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2" spans="1:3" x14ac:dyDescent="0.45">
      <c r="A12">
        <v>31</v>
      </c>
      <c r="B12">
        <v>2</v>
      </c>
      <c r="C12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3" spans="1:3" x14ac:dyDescent="0.45">
      <c r="A13">
        <v>32</v>
      </c>
      <c r="B13">
        <v>2</v>
      </c>
      <c r="C13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4"/>
  <sheetViews>
    <sheetView topLeftCell="A19" workbookViewId="0">
      <selection activeCell="A2" sqref="A2:XFD4"/>
    </sheetView>
  </sheetViews>
  <sheetFormatPr baseColWidth="10" defaultRowHeight="14.25" x14ac:dyDescent="0.45"/>
  <cols>
    <col min="2" max="2" width="14.265625" bestFit="1" customWidth="1"/>
  </cols>
  <sheetData>
    <row r="1" spans="1:3" x14ac:dyDescent="0.45">
      <c r="A1" t="s">
        <v>79</v>
      </c>
      <c r="B1" t="s">
        <v>112</v>
      </c>
      <c r="C1" t="s">
        <v>119</v>
      </c>
    </row>
    <row r="2" spans="1:3" x14ac:dyDescent="0.45">
      <c r="A2">
        <v>22</v>
      </c>
      <c r="B2">
        <v>0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" spans="1:3" x14ac:dyDescent="0.45">
      <c r="A3">
        <v>23</v>
      </c>
      <c r="B3">
        <v>0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4" spans="1:3" x14ac:dyDescent="0.45">
      <c r="A4">
        <v>24</v>
      </c>
      <c r="B4">
        <v>1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5" spans="1:3" x14ac:dyDescent="0.45">
      <c r="A5">
        <v>25</v>
      </c>
      <c r="B5">
        <v>1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6" spans="1:3" x14ac:dyDescent="0.45">
      <c r="A6">
        <v>26</v>
      </c>
      <c r="B6">
        <v>0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7" spans="1:3" x14ac:dyDescent="0.45">
      <c r="A7">
        <v>26</v>
      </c>
      <c r="B7">
        <v>1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8" spans="1:3" x14ac:dyDescent="0.45">
      <c r="A8">
        <v>27</v>
      </c>
      <c r="B8">
        <v>0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9" spans="1:3" x14ac:dyDescent="0.45">
      <c r="A9">
        <v>28</v>
      </c>
      <c r="B9">
        <v>0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0" spans="1:3" x14ac:dyDescent="0.45">
      <c r="A10">
        <v>29</v>
      </c>
      <c r="B10">
        <v>0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1" spans="1:3" x14ac:dyDescent="0.45">
      <c r="A11">
        <v>30</v>
      </c>
      <c r="B11">
        <v>0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2" spans="1:3" x14ac:dyDescent="0.45">
      <c r="A12">
        <v>27</v>
      </c>
      <c r="B12">
        <v>1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3" spans="1:3" x14ac:dyDescent="0.45">
      <c r="A13">
        <v>28</v>
      </c>
      <c r="B13">
        <v>1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4" spans="1:3" x14ac:dyDescent="0.45">
      <c r="A14">
        <v>29</v>
      </c>
      <c r="B14">
        <v>1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5" spans="1:3" x14ac:dyDescent="0.45">
      <c r="A15">
        <v>30</v>
      </c>
      <c r="B15">
        <v>1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6" spans="1:3" x14ac:dyDescent="0.45">
      <c r="A16">
        <v>27</v>
      </c>
      <c r="B16">
        <v>2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7" spans="1:3" x14ac:dyDescent="0.45">
      <c r="A17">
        <v>28</v>
      </c>
      <c r="B17">
        <v>2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8" spans="1:3" x14ac:dyDescent="0.45">
      <c r="A18">
        <v>29</v>
      </c>
      <c r="B18">
        <v>2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9" spans="1:3" x14ac:dyDescent="0.45">
      <c r="A19">
        <v>30</v>
      </c>
      <c r="B19">
        <v>2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0" spans="1:3" x14ac:dyDescent="0.45">
      <c r="A20">
        <v>31</v>
      </c>
      <c r="B20">
        <v>0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1" spans="1:3" x14ac:dyDescent="0.45">
      <c r="A21">
        <v>32</v>
      </c>
      <c r="B21">
        <v>0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2" spans="1:3" x14ac:dyDescent="0.45">
      <c r="A22">
        <v>31</v>
      </c>
      <c r="B22">
        <v>2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3" spans="1:3" x14ac:dyDescent="0.45">
      <c r="A23">
        <v>32</v>
      </c>
      <c r="B23">
        <v>2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4" spans="1:3" x14ac:dyDescent="0.45">
      <c r="A24">
        <v>22</v>
      </c>
      <c r="B24">
        <v>3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5" spans="1:3" x14ac:dyDescent="0.45">
      <c r="A25">
        <v>23</v>
      </c>
      <c r="B25">
        <v>3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6" spans="1:3" x14ac:dyDescent="0.45">
      <c r="A26">
        <v>24</v>
      </c>
      <c r="B26">
        <v>3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7" spans="1:3" x14ac:dyDescent="0.45">
      <c r="A27">
        <v>25</v>
      </c>
      <c r="B27">
        <v>3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8" spans="1:3" x14ac:dyDescent="0.45">
      <c r="A28">
        <v>26</v>
      </c>
      <c r="B28">
        <v>3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9" spans="1:3" x14ac:dyDescent="0.45">
      <c r="A29">
        <v>27</v>
      </c>
      <c r="B29">
        <v>3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0" spans="1:3" x14ac:dyDescent="0.45">
      <c r="A30">
        <v>28</v>
      </c>
      <c r="B30">
        <v>3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1" spans="1:3" x14ac:dyDescent="0.45">
      <c r="A31">
        <v>29</v>
      </c>
      <c r="B31">
        <v>3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2" spans="1:3" x14ac:dyDescent="0.45">
      <c r="A32">
        <v>30</v>
      </c>
      <c r="B32">
        <v>3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3" spans="1:3" x14ac:dyDescent="0.45">
      <c r="A33">
        <v>31</v>
      </c>
      <c r="B33">
        <v>3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4" spans="1:3" x14ac:dyDescent="0.45">
      <c r="A34">
        <v>32</v>
      </c>
      <c r="B34">
        <v>3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C13" sqref="C13"/>
    </sheetView>
  </sheetViews>
  <sheetFormatPr baseColWidth="10" defaultRowHeight="14.25" x14ac:dyDescent="0.45"/>
  <cols>
    <col min="2" max="2" width="13.73046875" bestFit="1" customWidth="1"/>
  </cols>
  <sheetData>
    <row r="1" spans="1:3" x14ac:dyDescent="0.45">
      <c r="A1" t="s">
        <v>112</v>
      </c>
      <c r="B1" t="s">
        <v>114</v>
      </c>
      <c r="C1" t="s">
        <v>119</v>
      </c>
    </row>
    <row r="2" spans="1:3" x14ac:dyDescent="0.45">
      <c r="A2">
        <v>0</v>
      </c>
      <c r="B2">
        <v>0</v>
      </c>
      <c r="C2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3" spans="1:3" x14ac:dyDescent="0.45">
      <c r="A3">
        <v>0</v>
      </c>
      <c r="B3">
        <v>1</v>
      </c>
      <c r="C3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4" spans="1:3" x14ac:dyDescent="0.45">
      <c r="A4">
        <v>0</v>
      </c>
      <c r="B4">
        <v>2</v>
      </c>
      <c r="C4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5" spans="1:3" x14ac:dyDescent="0.45">
      <c r="A5">
        <v>0</v>
      </c>
      <c r="B5">
        <v>3</v>
      </c>
      <c r="C5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6" spans="1:3" x14ac:dyDescent="0.45">
      <c r="A6">
        <v>1</v>
      </c>
      <c r="B6">
        <v>0</v>
      </c>
      <c r="C6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7" spans="1:3" x14ac:dyDescent="0.45">
      <c r="A7">
        <v>1</v>
      </c>
      <c r="B7">
        <v>1</v>
      </c>
      <c r="C7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8" spans="1:3" x14ac:dyDescent="0.45">
      <c r="A8">
        <v>1</v>
      </c>
      <c r="B8">
        <v>2</v>
      </c>
      <c r="C8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9" spans="1:3" x14ac:dyDescent="0.45">
      <c r="A9">
        <v>1</v>
      </c>
      <c r="B9">
        <v>3</v>
      </c>
      <c r="C9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0" spans="1:3" x14ac:dyDescent="0.45">
      <c r="A10">
        <v>2</v>
      </c>
      <c r="B10">
        <v>2</v>
      </c>
      <c r="C10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1" spans="1:3" x14ac:dyDescent="0.45">
      <c r="A11">
        <v>3</v>
      </c>
      <c r="B11">
        <v>3</v>
      </c>
      <c r="C11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2" spans="1:3" x14ac:dyDescent="0.45">
      <c r="A12">
        <v>3</v>
      </c>
      <c r="B12">
        <v>2</v>
      </c>
      <c r="C12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3" spans="1:3" x14ac:dyDescent="0.45">
      <c r="A13">
        <v>2</v>
      </c>
      <c r="B13">
        <v>3</v>
      </c>
      <c r="C13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80</v>
      </c>
      <c r="B1" t="s">
        <v>202</v>
      </c>
      <c r="C1" t="s">
        <v>119</v>
      </c>
    </row>
    <row r="2" spans="1:3" x14ac:dyDescent="0.45">
      <c r="A2">
        <f>IFERROR(table_DataQualities[ID],"")</f>
        <v>0</v>
      </c>
      <c r="B2">
        <f>IFERROR(table_DataQualities[unit_ID],"")</f>
        <v>500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>IFERROR(table_DataQualities[unit_ID],"")</f>
        <v>100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>IFERROR(table_DataQualities[unit_ID],"")</f>
        <v>200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900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>IFERROR(table_DataQualities[unit_ID],"")</f>
        <v>100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400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>IFERROR(table_DataQualities[unit_ID],"")</f>
        <v>100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>IFERROR(table_DataQualities[unit_ID],"")</f>
        <v>100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300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>IFERROR(table_DataQualities[unit_ID],"")</f>
        <v>400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110</v>
      </c>
      <c r="B14">
        <f>IFERROR(table_DataQualities[unit_ID],"")</f>
        <v>901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" spans="1:3" x14ac:dyDescent="0.45">
      <c r="A15">
        <f>IFERROR(table_DataQualities[ID],"")</f>
        <v>111</v>
      </c>
      <c r="B15">
        <f>IFERROR(table_DataQualities[unit_ID],"")</f>
        <v>101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" spans="1:3" x14ac:dyDescent="0.45">
      <c r="A16">
        <f>IFERROR(table_DataQualities[ID],"")</f>
        <v>112</v>
      </c>
      <c r="B16">
        <f>IFERROR(table_DataQualities[unit_ID],"")</f>
        <v>600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" spans="1:3" x14ac:dyDescent="0.45">
      <c r="A17">
        <f>IFERROR(table_DataQualities[ID],"")</f>
        <v>113</v>
      </c>
      <c r="B17">
        <f>IFERROR(table_DataQualities[unit_ID],"")</f>
        <v>101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" spans="1:3" x14ac:dyDescent="0.45">
      <c r="A18">
        <f>IFERROR(table_DataQualities[ID],"")</f>
        <v>114</v>
      </c>
      <c r="B18">
        <f>IFERROR(table_DataQualities[unit_ID],"")</f>
        <v>500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115</v>
      </c>
      <c r="B19">
        <f>IFERROR(table_DataQualities[unit_ID],"")</f>
        <v>101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116</v>
      </c>
      <c r="B20">
        <f>IFERROR(table_DataQualities[unit_ID],"")</f>
        <v>600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117</v>
      </c>
      <c r="B21">
        <f>IFERROR(table_DataQualities[unit_ID],"")</f>
        <v>101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118</v>
      </c>
      <c r="B22">
        <f>IFERROR(table_DataQualities[unit_ID],"")</f>
        <v>800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119</v>
      </c>
      <c r="B23">
        <f>IFERROR(table_DataQualities[unit_ID],"")</f>
        <v>101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 t="str">
        <f>IFERROR(table_DataQualities[ID],"")</f>
        <v/>
      </c>
      <c r="B24" t="str">
        <f>IFERROR(table_DataQualities[unit_ID],"")</f>
        <v/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 t="str">
        <f>IFERROR(table_DataQualities[ID],"")</f>
        <v/>
      </c>
      <c r="B25" t="str">
        <f>IFERROR(table_DataQualities[unit_ID],"")</f>
        <v/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 t="str">
        <f>IFERROR(table_DataQualities[ID],"")</f>
        <v/>
      </c>
      <c r="B26" t="str">
        <f>IFERROR(table_DataQualities[unit_ID],"")</f>
        <v/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 t="str">
        <f>IFERROR(table_DataQualities[ID],"")</f>
        <v/>
      </c>
      <c r="B27" t="str">
        <f>IFERROR(table_DataQualities[unit_ID],"")</f>
        <v/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 t="str">
        <f>IFERROR(table_DataQualities[ID],"")</f>
        <v/>
      </c>
      <c r="B28" t="str">
        <f>IFERROR(table_DataQualities[unit_ID],"")</f>
        <v/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 t="str">
        <f>IFERROR(table_DataQualities[ID],"")</f>
        <v/>
      </c>
      <c r="B29" t="str">
        <f>IFERROR(table_DataQualities[unit_ID],"")</f>
        <v/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 t="str">
        <f>IFERROR(table_DataQualities[ID],"")</f>
        <v/>
      </c>
      <c r="B30" t="str">
        <f>IFERROR(table_DataQualities[unit_ID],"")</f>
        <v/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 t="str">
        <f>IFERROR(table_DataQualities[ID],"")</f>
        <v/>
      </c>
      <c r="B31" t="str">
        <f>IFERROR(table_DataQualities[unit_ID],"")</f>
        <v/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 t="str">
        <f>IFERROR(table_DataQualities[ID],"")</f>
        <v/>
      </c>
      <c r="B32" s="3" t="str">
        <f>IFERROR(table_DataQualities[unit_ID],"")</f>
        <v/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 t="str">
        <f>IFERROR(table_DataQualities[ID],"")</f>
        <v/>
      </c>
      <c r="B33" s="3" t="str">
        <f>IFERROR(table_DataQualities[unit_ID],"")</f>
        <v/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 t="str">
        <f>IFERROR(table_DataQualities[ID],"")</f>
        <v/>
      </c>
      <c r="B34" s="3" t="str">
        <f>IFERROR(table_DataQualities[unit_ID],"")</f>
        <v/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 t="str">
        <f>IFERROR(table_DataQualities[ID],"")</f>
        <v/>
      </c>
      <c r="B35" s="3" t="str">
        <f>IFERROR(table_DataQualities[unit_ID],"")</f>
        <v/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 t="str">
        <f>IFERROR(table_DataQualities[ID],"")</f>
        <v/>
      </c>
      <c r="B36" s="3" t="str">
        <f>IFERROR(table_DataQualities[unit_ID],"")</f>
        <v/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 t="str">
        <f>IFERROR(table_DataQualities[ID],"")</f>
        <v/>
      </c>
      <c r="B37" s="3" t="str">
        <f>IFERROR(table_DataQualities[unit_ID],"")</f>
        <v/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 t="str">
        <f>IFERROR(table_DataQualities[ID],"")</f>
        <v/>
      </c>
      <c r="B38" s="3" t="str">
        <f>IFERROR(table_DataQualities[unit_ID],"")</f>
        <v/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 t="str">
        <f>IFERROR(table_DataQualities[ID],"")</f>
        <v/>
      </c>
      <c r="B39" s="3" t="str">
        <f>IFERROR(table_DataQualities[unit_ID],"")</f>
        <v/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 t="str">
        <f>IFERROR(table_DataQualities[ID],"")</f>
        <v/>
      </c>
      <c r="B40" s="3" t="str">
        <f>IFERROR(table_DataQualities[unit_ID],"")</f>
        <v/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 t="str">
        <f>IFERROR(table_DataQualities[ID],"")</f>
        <v/>
      </c>
      <c r="B41" s="3" t="str">
        <f>IFERROR(table_DataQualities[unit_ID],"")</f>
        <v/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 t="str">
        <f>IFERROR(table_DataQualities[ID],"")</f>
        <v/>
      </c>
      <c r="B42" s="3" t="str">
        <f>IFERROR(table_DataQualities[unit_ID],"")</f>
        <v/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 t="str">
        <f>IFERROR(table_DataQualities[ID],"")</f>
        <v/>
      </c>
      <c r="B43" s="3" t="str">
        <f>IFERROR(table_DataQualities[unit_ID],"")</f>
        <v/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 t="str">
        <f>IFERROR(table_DataQualities[ID],"")</f>
        <v/>
      </c>
      <c r="B44" s="3" t="str">
        <f>IFERROR(table_DataQualities[unit_ID],"")</f>
        <v/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 t="str">
        <f>IFERROR(table_DataQualities[ID],"")</f>
        <v/>
      </c>
      <c r="B45" s="3" t="str">
        <f>IFERROR(table_DataQualities[unit_ID],"")</f>
        <v/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 t="str">
        <f>IFERROR(table_DataQualities[ID],"")</f>
        <v/>
      </c>
      <c r="B46" s="3" t="str">
        <f>IFERROR(table_DataQualities[unit_ID],"")</f>
        <v/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 t="str">
        <f>IFERROR(table_DataQualities[ID],"")</f>
        <v/>
      </c>
      <c r="B47" s="3" t="str">
        <f>IFERROR(table_DataQualities[unit_ID],"")</f>
        <v/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 t="str">
        <f>IFERROR(table_DataQualities[ID],"")</f>
        <v/>
      </c>
      <c r="B48" s="3" t="str">
        <f>IFERROR(table_DataQualities[unit_ID],"")</f>
        <v/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 t="str">
        <f>IFERROR(table_DataQualities[ID],"")</f>
        <v/>
      </c>
      <c r="B49" s="3" t="str">
        <f>IFERROR(table_DataQualities[unit_ID],"")</f>
        <v/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 t="str">
        <f>IFERROR(table_DataQualities[ID],"")</f>
        <v/>
      </c>
      <c r="B50" s="3" t="str">
        <f>IFERROR(table_DataQualities[unit_ID],"")</f>
        <v/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 t="str">
        <f>IFERROR(table_DataQualities[ID],"")</f>
        <v/>
      </c>
      <c r="B51" s="3" t="str">
        <f>IFERROR(table_DataQualities[unit_ID],"")</f>
        <v/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 t="str">
        <f>IFERROR(table_DataQualities[ID],"")</f>
        <v/>
      </c>
      <c r="B52" s="3" t="str">
        <f>IFERROR(table_DataQualities[unit_ID],"")</f>
        <v/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 t="str">
        <f>IFERROR(table_DataQualities[ID],"")</f>
        <v/>
      </c>
      <c r="B53" s="3" t="str">
        <f>IFERROR(table_DataQualities[unit_ID],"")</f>
        <v/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 t="str">
        <f>IFERROR(table_DataQualities[ID],"")</f>
        <v/>
      </c>
      <c r="B54" s="3" t="str">
        <f>IFERROR(table_DataQualities[unit_ID],"")</f>
        <v/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 t="str">
        <f>IFERROR(table_DataQualities[ID],"")</f>
        <v/>
      </c>
      <c r="B55" s="3" t="str">
        <f>IFERROR(table_DataQualities[unit_ID],"")</f>
        <v/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 t="str">
        <f>IFERROR(table_DataQualities[ID],"")</f>
        <v/>
      </c>
      <c r="B56" s="3" t="str">
        <f>IFERROR(table_DataQualities[unit_ID],"")</f>
        <v/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 t="str">
        <f>IFERROR(table_DataQualities[ID],"")</f>
        <v/>
      </c>
      <c r="B57" s="3" t="str">
        <f>IFERROR(table_DataQualities[unit_ID],"")</f>
        <v/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 t="str">
        <f>IFERROR(table_DataQualities[ID],"")</f>
        <v/>
      </c>
      <c r="B58" s="3" t="str">
        <f>IFERROR(table_DataQualities[unit_ID],"")</f>
        <v/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 t="str">
        <f>IFERROR(table_DataQualities[ID],"")</f>
        <v/>
      </c>
      <c r="B59" s="3" t="str">
        <f>IFERROR(table_DataQualities[unit_ID],"")</f>
        <v/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 t="str">
        <f>IFERROR(table_DataQualities[ID],"")</f>
        <v/>
      </c>
      <c r="B60" s="3" t="str">
        <f>IFERROR(table_DataQualities[unit_ID],"")</f>
        <v/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 t="str">
        <f>IFERROR(table_DataQualities[ID],"")</f>
        <v/>
      </c>
      <c r="B61" s="3" t="str">
        <f>IFERROR(table_DataQualities[unit_ID],"")</f>
        <v/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 t="str">
        <f>IFERROR(table_DataQualities[ID],"")</f>
        <v/>
      </c>
      <c r="B62" s="3" t="str">
        <f>IFERROR(table_DataQualities[unit_ID],"")</f>
        <v/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 t="str">
        <f>IFERROR(table_DataQualities[ID],"")</f>
        <v/>
      </c>
      <c r="B63" s="3" t="str">
        <f>IFERROR(table_DataQualities[unit_ID],"")</f>
        <v/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 t="str">
        <f>IFERROR(table_DataQualities[ID],"")</f>
        <v/>
      </c>
      <c r="B64" s="3" t="str">
        <f>IFERROR(table_DataQualities[unit_ID],"")</f>
        <v/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 t="str">
        <f>IFERROR(table_DataQualities[ID],"")</f>
        <v/>
      </c>
      <c r="B65" s="3" t="str">
        <f>IFERROR(table_DataQualities[unit_ID],"")</f>
        <v/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 t="str">
        <f>IFERROR(table_DataQualities[ID],"")</f>
        <v/>
      </c>
      <c r="B66" s="3" t="str">
        <f>IFERROR(table_DataQualities[unit_ID],"")</f>
        <v/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 t="str">
        <f>IFERROR(table_DataQualities[ID],"")</f>
        <v/>
      </c>
      <c r="B67" s="3" t="str">
        <f>IFERROR(table_DataQualities[unit_ID],"")</f>
        <v/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 t="str">
        <f>IFERROR(table_DataQualities[ID],"")</f>
        <v/>
      </c>
      <c r="B68" s="3" t="str">
        <f>IFERROR(table_DataQualities[unit_ID],"")</f>
        <v/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 t="str">
        <f>IFERROR(table_DataQualities[ID],"")</f>
        <v/>
      </c>
      <c r="B69" s="3" t="str">
        <f>IFERROR(table_DataQualities[unit_ID],"")</f>
        <v/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 t="str">
        <f>IFERROR(table_DataQualities[ID],"")</f>
        <v/>
      </c>
      <c r="B70" s="3" t="str">
        <f>IFERROR(table_DataQualities[unit_ID],"")</f>
        <v/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 t="str">
        <f>IFERROR(table_DataQualities[ID],"")</f>
        <v/>
      </c>
      <c r="B71" s="3" t="str">
        <f>IFERROR(table_DataQualities[unit_ID],"")</f>
        <v/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 t="str">
        <f>IFERROR(table_DataQualities[ID],"")</f>
        <v/>
      </c>
      <c r="B72" s="3" t="str">
        <f>IFERROR(table_DataQualities[unit_ID],"")</f>
        <v/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 t="str">
        <f>IFERROR(table_DataQualities[ID],"")</f>
        <v/>
      </c>
      <c r="B73" s="3" t="str">
        <f>IFERROR(table_DataQualities[unit_ID],"")</f>
        <v/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 t="str">
        <f>IFERROR(table_DataQualities[ID],"")</f>
        <v/>
      </c>
      <c r="B74" s="3" t="str">
        <f>IFERROR(table_DataQualities[unit_ID],"")</f>
        <v/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 t="str">
        <f>IFERROR(table_DataQualities[ID],"")</f>
        <v/>
      </c>
      <c r="B75" s="3" t="str">
        <f>IFERROR(table_DataQualities[unit_ID],"")</f>
        <v/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 t="str">
        <f>IFERROR(table_DataQualities[ID],"")</f>
        <v/>
      </c>
      <c r="B76" s="3" t="str">
        <f>IFERROR(table_DataQualities[unit_ID],"")</f>
        <v/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 t="str">
        <f>IFERROR(table_DataQualities[ID],"")</f>
        <v/>
      </c>
      <c r="B77" s="3" t="str">
        <f>IFERROR(table_DataQualities[unit_ID],"")</f>
        <v/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 t="str">
        <f>IFERROR(table_DataQualities[ID],"")</f>
        <v/>
      </c>
      <c r="B78" s="3" t="str">
        <f>IFERROR(table_DataQualities[unit_ID],"")</f>
        <v/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 t="str">
        <f>IFERROR(table_DataQualities[ID],"")</f>
        <v/>
      </c>
      <c r="B79" s="3" t="str">
        <f>IFERROR(table_DataQualities[unit_ID],"")</f>
        <v/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 t="str">
        <f>IFERROR(table_DataQualities[ID],"")</f>
        <v/>
      </c>
      <c r="B80" s="3" t="str">
        <f>IFERROR(table_DataQualities[unit_ID],"")</f>
        <v/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 t="str">
        <f>IFERROR(table_DataQualities[ID],"")</f>
        <v/>
      </c>
      <c r="B81" s="3" t="str">
        <f>IFERROR(table_DataQualities[unit_ID],"")</f>
        <v/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 t="str">
        <f>IFERROR(table_DataQualities[ID],"")</f>
        <v/>
      </c>
      <c r="B82" s="3" t="str">
        <f>IFERROR(table_DataQualities[unit_ID],"")</f>
        <v/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 t="str">
        <f>IFERROR(table_DataQualities[ID],"")</f>
        <v/>
      </c>
      <c r="B83" s="3" t="str">
        <f>IFERROR(table_DataQualities[unit_ID],"")</f>
        <v/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 t="str">
        <f>IFERROR(table_DataQualities[ID],"")</f>
        <v/>
      </c>
      <c r="B84" s="3" t="str">
        <f>IFERROR(table_DataQualities[unit_ID],"")</f>
        <v/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 t="str">
        <f>IFERROR(table_DataQualities[ID],"")</f>
        <v/>
      </c>
      <c r="B85" s="3" t="str">
        <f>IFERROR(table_DataQualities[unit_ID],"")</f>
        <v/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 t="str">
        <f>IFERROR(table_DataQualities[ID],"")</f>
        <v/>
      </c>
      <c r="B86" s="3" t="str">
        <f>IFERROR(table_DataQualities[unit_ID],"")</f>
        <v/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 t="str">
        <f>IFERROR(table_DataQualities[ID],"")</f>
        <v/>
      </c>
      <c r="B87" s="3" t="str">
        <f>IFERROR(table_DataQualities[unit_ID],"")</f>
        <v/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 t="str">
        <f>IFERROR(table_DataQualities[ID],"")</f>
        <v/>
      </c>
      <c r="B88" s="3" t="str">
        <f>IFERROR(table_DataQualities[unit_ID],"")</f>
        <v/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 t="str">
        <f>IFERROR(table_DataQualities[ID],"")</f>
        <v/>
      </c>
      <c r="B89" s="3" t="str">
        <f>IFERROR(table_DataQualities[unit_ID],"")</f>
        <v/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 t="str">
        <f>IFERROR(table_DataQualities[ID],"")</f>
        <v/>
      </c>
      <c r="B90" s="3" t="str">
        <f>IFERROR(table_DataQualities[unit_ID],"")</f>
        <v/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 t="str">
        <f>IFERROR(table_DataQualities[ID],"")</f>
        <v/>
      </c>
      <c r="B91" s="3" t="str">
        <f>IFERROR(table_DataQualities[unit_ID],"")</f>
        <v/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 t="str">
        <f>IFERROR(table_DataQualities[ID],"")</f>
        <v/>
      </c>
      <c r="B92" s="3" t="str">
        <f>IFERROR(table_DataQualities[unit_ID],"")</f>
        <v/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 t="str">
        <f>IFERROR(table_DataQualities[ID],"")</f>
        <v/>
      </c>
      <c r="B93" s="3" t="str">
        <f>IFERROR(table_DataQualities[unit_ID],"")</f>
        <v/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 t="str">
        <f>IFERROR(table_DataQualities[ID],"")</f>
        <v/>
      </c>
      <c r="B94" s="3" t="str">
        <f>IFERROR(table_DataQualities[unit_ID],"")</f>
        <v/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 t="str">
        <f>IFERROR(table_DataQualities[ID],"")</f>
        <v/>
      </c>
      <c r="B95" s="3" t="str">
        <f>IFERROR(table_DataQualities[unit_ID],"")</f>
        <v/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 t="str">
        <f>IFERROR(table_DataQualities[ID],"")</f>
        <v/>
      </c>
      <c r="B96" s="3" t="str">
        <f>IFERROR(table_DataQualities[unit_ID],"")</f>
        <v/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 t="str">
        <f>IFERROR(table_DataQualities[ID],"")</f>
        <v/>
      </c>
      <c r="B97" s="3" t="str">
        <f>IFERROR(table_DataQualities[unit_ID],"")</f>
        <v/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 t="str">
        <f>IFERROR(table_DataQualities[ID],"")</f>
        <v/>
      </c>
      <c r="B98" s="3" t="str">
        <f>IFERROR(table_DataQualities[unit_ID],"")</f>
        <v/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 t="str">
        <f>IFERROR(table_DataQualities[ID],"")</f>
        <v/>
      </c>
      <c r="B99" s="3" t="str">
        <f>IFERROR(table_DataQualities[unit_ID],"")</f>
        <v/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 t="str">
        <f>IFERROR(table_DataQualities[ID],"")</f>
        <v/>
      </c>
      <c r="B100" s="3" t="str">
        <f>IFERROR(table_DataQualities[unit_ID],"")</f>
        <v/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 t="str">
        <f>IFERROR(table_DataQualities[ID],"")</f>
        <v/>
      </c>
      <c r="B101" s="3" t="str">
        <f>IFERROR(table_DataQualities[unit_ID],"")</f>
        <v/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 t="str">
        <f>IFERROR(table_DataQualities[ID],"")</f>
        <v/>
      </c>
      <c r="B102" s="3" t="str">
        <f>IFERROR(table_DataQualities[unit_ID],"")</f>
        <v/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 t="str">
        <f>IFERROR(table_DataQualities[ID],"")</f>
        <v/>
      </c>
      <c r="B103" s="3" t="str">
        <f>IFERROR(table_DataQualities[unit_ID],"")</f>
        <v/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 t="str">
        <f>IFERROR(table_DataQualities[ID],"")</f>
        <v/>
      </c>
      <c r="B104" s="3" t="str">
        <f>IFERROR(table_DataQualities[unit_ID],"")</f>
        <v/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 t="str">
        <f>IFERROR(table_DataQualities[ID],"")</f>
        <v/>
      </c>
      <c r="B105" s="3" t="str">
        <f>IFERROR(table_DataQualities[unit_ID],"")</f>
        <v/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 t="str">
        <f>IFERROR(table_DataQualities[ID],"")</f>
        <v/>
      </c>
      <c r="B106" s="3" t="str">
        <f>IFERROR(table_DataQualities[unit_ID],"")</f>
        <v/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 t="str">
        <f>IFERROR(table_DataQualities[ID],"")</f>
        <v/>
      </c>
      <c r="B107" s="3" t="str">
        <f>IFERROR(table_DataQualities[unit_ID],"")</f>
        <v/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 t="str">
        <f>IFERROR(table_DataQualities[ID],"")</f>
        <v/>
      </c>
      <c r="B108" s="3" t="str">
        <f>IFERROR(table_DataQualities[unit_ID],"")</f>
        <v/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 t="str">
        <f>IFERROR(table_DataQualities[ID],"")</f>
        <v/>
      </c>
      <c r="B109" s="3" t="str">
        <f>IFERROR(table_DataQualities[unit_ID],"")</f>
        <v/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 t="str">
        <f>IFERROR(table_DataQualities[ID],"")</f>
        <v/>
      </c>
      <c r="B110" s="3" t="str">
        <f>IFERROR(table_DataQualities[unit_ID],"")</f>
        <v/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 t="str">
        <f>IFERROR(table_DataQualities[ID],"")</f>
        <v/>
      </c>
      <c r="B111" s="3" t="str">
        <f>IFERROR(table_DataQualities[unit_ID],"")</f>
        <v/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 t="str">
        <f>IFERROR(table_DataQualities[ID],"")</f>
        <v/>
      </c>
      <c r="B112" s="3" t="str">
        <f>IFERROR(table_DataQualities[unit_ID],"")</f>
        <v/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 t="str">
        <f>IFERROR(table_DataQualities[ID],"")</f>
        <v/>
      </c>
      <c r="B113" s="3" t="str">
        <f>IFERROR(table_DataQualities[unit_ID],"")</f>
        <v/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 t="str">
        <f>IFERROR(table_DataQualities[ID],"")</f>
        <v/>
      </c>
      <c r="B114" s="3" t="str">
        <f>IFERROR(table_DataQualities[unit_ID],"")</f>
        <v/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 t="str">
        <f>IFERROR(table_DataQualities[ID],"")</f>
        <v/>
      </c>
      <c r="B115" s="3" t="str">
        <f>IFERROR(table_DataQualities[unit_ID],"")</f>
        <v/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 t="str">
        <f>IFERROR(table_DataQualities[ID],"")</f>
        <v/>
      </c>
      <c r="B116" s="3" t="str">
        <f>IFERROR(table_DataQualities[unit_ID],"")</f>
        <v/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 t="str">
        <f>IFERROR(table_DataQualities[ID],"")</f>
        <v/>
      </c>
      <c r="B117" s="3" t="str">
        <f>IFERROR(table_DataQualities[unit_ID],"")</f>
        <v/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 t="str">
        <f>IFERROR(table_DataQualities[ID],"")</f>
        <v/>
      </c>
      <c r="B118" s="3" t="str">
        <f>IFERROR(table_DataQualities[unit_ID],"")</f>
        <v/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 t="str">
        <f>IFERROR(table_DataQualities[ID],"")</f>
        <v/>
      </c>
      <c r="B119" s="3" t="str">
        <f>IFERROR(table_DataQualities[unit_ID],"")</f>
        <v/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 t="str">
        <f>IFERROR(table_DataQualities[ID],"")</f>
        <v/>
      </c>
      <c r="B120" s="3" t="str">
        <f>IFERROR(table_DataQualities[unit_ID],"")</f>
        <v/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 t="str">
        <f>IFERROR(table_DataQualities[ID],"")</f>
        <v/>
      </c>
      <c r="B121" s="3" t="str">
        <f>IFERROR(table_DataQualities[unit_ID],"")</f>
        <v/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 t="str">
        <f>IFERROR(table_DataQualities[ID],"")</f>
        <v/>
      </c>
      <c r="B122" s="3" t="str">
        <f>IFERROR(table_DataQualities[unit_ID],"")</f>
        <v/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 t="str">
        <f>IFERROR(table_DataQualities[ID],"")</f>
        <v/>
      </c>
      <c r="B123" s="3" t="str">
        <f>IFERROR(table_DataQualities[unit_ID],"")</f>
        <v/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 t="str">
        <f>IFERROR(table_DataQualities[ID],"")</f>
        <v/>
      </c>
      <c r="B124" s="3" t="str">
        <f>IFERROR(table_DataQualities[unit_ID],"")</f>
        <v/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 t="str">
        <f>IFERROR(table_DataQualities[ID],"")</f>
        <v/>
      </c>
      <c r="B125" s="3" t="str">
        <f>IFERROR(table_DataQualities[unit_ID],"")</f>
        <v/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 t="str">
        <f>IFERROR(table_DataQualities[ID],"")</f>
        <v/>
      </c>
      <c r="B126" s="3" t="str">
        <f>IFERROR(table_DataQualities[unit_ID],"")</f>
        <v/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 t="str">
        <f>IFERROR(table_DataQualities[ID],"")</f>
        <v/>
      </c>
      <c r="B127" s="3" t="str">
        <f>IFERROR(table_DataQualities[unit_ID],"")</f>
        <v/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 t="str">
        <f>IFERROR(table_DataQualities[ID],"")</f>
        <v/>
      </c>
      <c r="B128" s="3" t="str">
        <f>IFERROR(table_DataQualities[unit_ID],"")</f>
        <v/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 t="str">
        <f>IFERROR(table_DataQualities[ID],"")</f>
        <v/>
      </c>
      <c r="B129" s="3" t="str">
        <f>IFERROR(table_DataQualities[unit_ID],"")</f>
        <v/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 t="str">
        <f>IFERROR(table_DataQualities[ID],"")</f>
        <v/>
      </c>
      <c r="B130" s="3" t="str">
        <f>IFERROR(table_DataQualities[unit_ID],"")</f>
        <v/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 t="str">
        <f>IFERROR(table_DataQualities[ID],"")</f>
        <v/>
      </c>
      <c r="B131" s="3" t="str">
        <f>IFERROR(table_DataQualities[unit_ID],"")</f>
        <v/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 t="str">
        <f>IFERROR(table_DataQualities[ID],"")</f>
        <v/>
      </c>
      <c r="B132" s="3" t="str">
        <f>IFERROR(table_DataQualities[unit_ID],"")</f>
        <v/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 t="str">
        <f>IFERROR(table_DataQualities[ID],"")</f>
        <v/>
      </c>
      <c r="B133" s="3" t="str">
        <f>IFERROR(table_DataQualities[unit_ID],"")</f>
        <v/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 t="str">
        <f>IFERROR(table_DataQualities[ID],"")</f>
        <v/>
      </c>
      <c r="B134" s="3" t="str">
        <f>IFERROR(table_DataQualities[unit_ID],"")</f>
        <v/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 t="str">
        <f>IFERROR(table_DataQualities[ID],"")</f>
        <v/>
      </c>
      <c r="B135" s="3" t="str">
        <f>IFERROR(table_DataQualities[unit_ID],"")</f>
        <v/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 t="str">
        <f>IFERROR(table_DataQualities[ID],"")</f>
        <v/>
      </c>
      <c r="B136" s="3" t="str">
        <f>IFERROR(table_DataQualities[unit_ID],"")</f>
        <v/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 t="str">
        <f>IFERROR(table_DataQualities[ID],"")</f>
        <v/>
      </c>
      <c r="B137" s="3" t="str">
        <f>IFERROR(table_DataQualities[unit_ID],"")</f>
        <v/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 t="str">
        <f>IFERROR(table_DataQualities[ID],"")</f>
        <v/>
      </c>
      <c r="B138" s="3" t="str">
        <f>IFERROR(table_DataQualities[unit_ID],"")</f>
        <v/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 t="str">
        <f>IFERROR(table_DataQualities[ID],"")</f>
        <v/>
      </c>
      <c r="B139" s="3" t="str">
        <f>IFERROR(table_DataQualities[unit_ID],"")</f>
        <v/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 t="str">
        <f>IFERROR(table_DataQualities[ID],"")</f>
        <v/>
      </c>
      <c r="B140" s="3" t="str">
        <f>IFERROR(table_DataQualities[unit_ID],"")</f>
        <v/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 t="str">
        <f>IFERROR(table_DataQualities[ID],"")</f>
        <v/>
      </c>
      <c r="B141" s="3" t="str">
        <f>IFERROR(table_DataQualities[unit_ID],"")</f>
        <v/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 t="str">
        <f>IFERROR(table_DataQualities[ID],"")</f>
        <v/>
      </c>
      <c r="B142" s="3" t="str">
        <f>IFERROR(table_DataQualities[unit_ID],"")</f>
        <v/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 t="str">
        <f>IFERROR(table_DataQualities[ID],"")</f>
        <v/>
      </c>
      <c r="B143" s="3" t="str">
        <f>IFERROR(table_DataQualities[unit_ID],"")</f>
        <v/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 t="str">
        <f>IFERROR(table_DataQualities[ID],"")</f>
        <v/>
      </c>
      <c r="B144" s="3" t="str">
        <f>IFERROR(table_DataQualities[unit_ID],"")</f>
        <v/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 t="str">
        <f>IFERROR(table_DataQualities[ID],"")</f>
        <v/>
      </c>
      <c r="B145" s="3" t="str">
        <f>IFERROR(table_DataQualities[unit_ID],"")</f>
        <v/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 t="str">
        <f>IFERROR(table_DataQualities[ID],"")</f>
        <v/>
      </c>
      <c r="B146" s="3" t="str">
        <f>IFERROR(table_DataQualities[unit_ID],"")</f>
        <v/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 t="str">
        <f>IFERROR(table_DataQualities[ID],"")</f>
        <v/>
      </c>
      <c r="B147" s="3" t="str">
        <f>IFERROR(table_DataQualities[unit_ID],"")</f>
        <v/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 t="str">
        <f>IFERROR(table_DataQualities[ID],"")</f>
        <v/>
      </c>
      <c r="B148" s="3" t="str">
        <f>IFERROR(table_DataQualities[unit_ID],"")</f>
        <v/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 t="str">
        <f>IFERROR(table_DataQualities[ID],"")</f>
        <v/>
      </c>
      <c r="B149" s="3" t="str">
        <f>IFERROR(table_DataQualities[unit_ID],"")</f>
        <v/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 t="str">
        <f>IFERROR(table_DataQualities[ID],"")</f>
        <v/>
      </c>
      <c r="B150" s="3" t="str">
        <f>IFERROR(table_DataQualities[unit_ID],"")</f>
        <v/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 t="str">
        <f>IFERROR(table_DataQualities[ID],"")</f>
        <v/>
      </c>
      <c r="B151" s="3" t="str">
        <f>IFERROR(table_DataQualities[unit_ID],"")</f>
        <v/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 t="str">
        <f>IFERROR(table_DataQualities[ID],"")</f>
        <v/>
      </c>
      <c r="B152" s="3" t="str">
        <f>IFERROR(table_DataQualities[unit_ID],"")</f>
        <v/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 t="str">
        <f>IFERROR(table_DataQualities[ID],"")</f>
        <v/>
      </c>
      <c r="B153" s="3" t="str">
        <f>IFERROR(table_DataQualities[unit_ID],"")</f>
        <v/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 t="str">
        <f>IFERROR(table_DataQualities[ID],"")</f>
        <v/>
      </c>
      <c r="B154" s="3" t="str">
        <f>IFERROR(table_DataQualities[unit_ID],"")</f>
        <v/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 t="str">
        <f>IFERROR(table_DataQualities[ID],"")</f>
        <v/>
      </c>
      <c r="B155" s="3" t="str">
        <f>IFERROR(table_DataQualities[unit_ID],"")</f>
        <v/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 t="str">
        <f>IFERROR(table_DataQualities[ID],"")</f>
        <v/>
      </c>
      <c r="B156" s="3" t="str">
        <f>IFERROR(table_DataQualities[unit_ID],"")</f>
        <v/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 t="str">
        <f>IFERROR(table_DataQualities[ID],"")</f>
        <v/>
      </c>
      <c r="B157" s="3" t="str">
        <f>IFERROR(table_DataQualities[unit_ID],"")</f>
        <v/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 t="str">
        <f>IFERROR(table_DataQualities[ID],"")</f>
        <v/>
      </c>
      <c r="B158" s="3" t="str">
        <f>IFERROR(table_DataQualities[unit_ID],"")</f>
        <v/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 t="str">
        <f>IFERROR(table_DataQualities[ID],"")</f>
        <v/>
      </c>
      <c r="B159" s="3" t="str">
        <f>IFERROR(table_DataQualities[unit_ID],"")</f>
        <v/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 t="str">
        <f>IFERROR(table_DataQualities[ID],"")</f>
        <v/>
      </c>
      <c r="B160" s="3" t="str">
        <f>IFERROR(table_DataQualities[unit_ID],"")</f>
        <v/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 t="str">
        <f>IFERROR(table_DataQualities[ID],"")</f>
        <v/>
      </c>
      <c r="B161" s="3" t="str">
        <f>IFERROR(table_DataQualities[unit_ID],"")</f>
        <v/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 t="str">
        <f>IFERROR(table_DataQualities[ID],"")</f>
        <v/>
      </c>
      <c r="B162" s="3" t="str">
        <f>IFERROR(table_DataQualities[unit_ID],"")</f>
        <v/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 t="str">
        <f>IFERROR(table_DataQualities[ID],"")</f>
        <v/>
      </c>
      <c r="B163" s="3" t="str">
        <f>IFERROR(table_DataQualities[unit_ID],"")</f>
        <v/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 t="str">
        <f>IFERROR(table_DataQualities[ID],"")</f>
        <v/>
      </c>
      <c r="B164" s="3" t="str">
        <f>IFERROR(table_DataQualities[unit_ID],"")</f>
        <v/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 t="str">
        <f>IFERROR(table_DataQualities[ID],"")</f>
        <v/>
      </c>
      <c r="B165" s="3" t="str">
        <f>IFERROR(table_DataQualities[unit_ID],"")</f>
        <v/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 t="str">
        <f>IFERROR(table_DataQualities[ID],"")</f>
        <v/>
      </c>
      <c r="B166" s="3" t="str">
        <f>IFERROR(table_DataQualities[unit_ID],"")</f>
        <v/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 t="str">
        <f>IFERROR(table_DataQualities[ID],"")</f>
        <v/>
      </c>
      <c r="B167" s="3" t="str">
        <f>IFERROR(table_DataQualities[unit_ID],"")</f>
        <v/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 t="str">
        <f>IFERROR(table_DataQualities[ID],"")</f>
        <v/>
      </c>
      <c r="B168" s="3" t="str">
        <f>IFERROR(table_DataQualities[unit_ID],"")</f>
        <v/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 t="str">
        <f>IFERROR(table_DataQualities[ID],"")</f>
        <v/>
      </c>
      <c r="B169" s="3" t="str">
        <f>IFERROR(table_DataQualities[unit_ID],"")</f>
        <v/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 t="str">
        <f>IFERROR(table_DataQualities[ID],"")</f>
        <v/>
      </c>
      <c r="B170" s="3" t="str">
        <f>IFERROR(table_DataQualities[unit_ID],"")</f>
        <v/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 t="str">
        <f>IFERROR(table_DataQualities[ID],"")</f>
        <v/>
      </c>
      <c r="B171" s="3" t="str">
        <f>IFERROR(table_DataQualities[unit_ID],"")</f>
        <v/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 t="str">
        <f>IFERROR(table_DataQualities[ID],"")</f>
        <v/>
      </c>
      <c r="B172" s="3" t="str">
        <f>IFERROR(table_DataQualities[unit_ID],"")</f>
        <v/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 t="str">
        <f>IFERROR(table_DataQualities[ID],"")</f>
        <v/>
      </c>
      <c r="B173" s="3" t="str">
        <f>IFERROR(table_DataQualities[unit_ID],"")</f>
        <v/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 t="str">
        <f>IFERROR(table_DataQualities[ID],"")</f>
        <v/>
      </c>
      <c r="B174" s="3" t="str">
        <f>IFERROR(table_DataQualities[unit_ID],"")</f>
        <v/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 t="str">
        <f>IFERROR(table_DataQualities[ID],"")</f>
        <v/>
      </c>
      <c r="B175" s="3" t="str">
        <f>IFERROR(table_DataQualities[unit_ID],"")</f>
        <v/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 t="str">
        <f>IFERROR(table_DataQualities[ID],"")</f>
        <v/>
      </c>
      <c r="B176" s="3" t="str">
        <f>IFERROR(table_DataQualities[unit_ID],"")</f>
        <v/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 t="str">
        <f>IFERROR(table_DataQualities[ID],"")</f>
        <v/>
      </c>
      <c r="B177" s="3" t="str">
        <f>IFERROR(table_DataQualities[unit_ID],"")</f>
        <v/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 t="str">
        <f>IFERROR(table_DataQualities[ID],"")</f>
        <v/>
      </c>
      <c r="B178" s="3" t="str">
        <f>IFERROR(table_DataQualities[unit_ID],"")</f>
        <v/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 t="str">
        <f>IFERROR(table_DataQualities[ID],"")</f>
        <v/>
      </c>
      <c r="B179" s="3" t="str">
        <f>IFERROR(table_DataQualities[unit_ID],"")</f>
        <v/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 t="str">
        <f>IFERROR(table_DataQualities[ID],"")</f>
        <v/>
      </c>
      <c r="B180" s="3" t="str">
        <f>IFERROR(table_DataQualities[unit_ID],"")</f>
        <v/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 t="str">
        <f>IFERROR(table_DataQualities[ID],"")</f>
        <v/>
      </c>
      <c r="B181" s="3" t="str">
        <f>IFERROR(table_DataQualities[unit_ID],"")</f>
        <v/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 t="str">
        <f>IFERROR(table_DataQualities[ID],"")</f>
        <v/>
      </c>
      <c r="B182" s="3" t="str">
        <f>IFERROR(table_DataQualities[unit_ID],"")</f>
        <v/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 t="str">
        <f>IFERROR(table_DataQualities[ID],"")</f>
        <v/>
      </c>
      <c r="B183" s="3" t="str">
        <f>IFERROR(table_DataQualities[unit_ID],"")</f>
        <v/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 t="str">
        <f>IFERROR(table_DataQualities[ID],"")</f>
        <v/>
      </c>
      <c r="B184" s="3" t="str">
        <f>IFERROR(table_DataQualities[unit_ID],"")</f>
        <v/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 t="str">
        <f>IFERROR(table_DataQualities[ID],"")</f>
        <v/>
      </c>
      <c r="B185" s="3" t="str">
        <f>IFERROR(table_DataQualities[unit_ID],"")</f>
        <v/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 t="str">
        <f>IFERROR(table_DataQualities[ID],"")</f>
        <v/>
      </c>
      <c r="B186" s="3" t="str">
        <f>IFERROR(table_DataQualities[unit_ID],"")</f>
        <v/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 t="str">
        <f>IFERROR(table_DataQualities[ID],"")</f>
        <v/>
      </c>
      <c r="B187" s="3" t="str">
        <f>IFERROR(table_DataQualities[unit_ID],"")</f>
        <v/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 t="str">
        <f>IFERROR(table_DataQualities[ID],"")</f>
        <v/>
      </c>
      <c r="B188" s="3" t="str">
        <f>IFERROR(table_DataQualities[unit_ID],"")</f>
        <v/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 t="str">
        <f>IFERROR(table_DataQualities[ID],"")</f>
        <v/>
      </c>
      <c r="B189" s="3" t="str">
        <f>IFERROR(table_DataQualities[unit_ID],"")</f>
        <v/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 t="str">
        <f>IFERROR(table_DataQualities[ID],"")</f>
        <v/>
      </c>
      <c r="B190" s="3" t="str">
        <f>IFERROR(table_DataQualities[unit_ID],"")</f>
        <v/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 t="str">
        <f>IFERROR(table_DataQualities[ID],"")</f>
        <v/>
      </c>
      <c r="B191" s="3" t="str">
        <f>IFERROR(table_DataQualities[unit_ID],"")</f>
        <v/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 t="str">
        <f>IFERROR(table_DataQualities[ID],"")</f>
        <v/>
      </c>
      <c r="B192" s="3" t="str">
        <f>IFERROR(table_DataQualities[unit_ID],"")</f>
        <v/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 t="str">
        <f>IFERROR(table_DataQualities[ID],"")</f>
        <v/>
      </c>
      <c r="B193" s="3" t="str">
        <f>IFERROR(table_DataQualities[unit_ID],"")</f>
        <v/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 t="str">
        <f>IFERROR(table_DataQualities[ID],"")</f>
        <v/>
      </c>
      <c r="B194" s="3" t="str">
        <f>IFERROR(table_DataQualities[unit_ID],"")</f>
        <v/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 t="str">
        <f>IFERROR(table_DataQualities[ID],"")</f>
        <v/>
      </c>
      <c r="B195" s="3" t="str">
        <f>IFERROR(table_DataQualities[unit_ID],"")</f>
        <v/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 t="str">
        <f>IFERROR(table_DataQualities[ID],"")</f>
        <v/>
      </c>
      <c r="B196" s="3" t="str">
        <f>IFERROR(table_DataQualities[unit_ID],"")</f>
        <v/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 t="str">
        <f>IFERROR(table_DataQualities[ID],"")</f>
        <v/>
      </c>
      <c r="B197" s="3" t="str">
        <f>IFERROR(table_DataQualities[unit_ID],"")</f>
        <v/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 t="str">
        <f>IFERROR(table_DataQualities[ID],"")</f>
        <v/>
      </c>
      <c r="B198" s="3" t="str">
        <f>IFERROR(table_DataQualities[unit_ID],"")</f>
        <v/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 t="str">
        <f>IFERROR(table_DataQualities[ID],"")</f>
        <v/>
      </c>
      <c r="B199" s="3" t="str">
        <f>IFERROR(table_DataQualities[unit_ID],"")</f>
        <v/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 t="str">
        <f>IFERROR(table_DataQualities[ID],"")</f>
        <v/>
      </c>
      <c r="B200" s="3" t="str">
        <f>IFERROR(table_DataQualities[unit_ID],"")</f>
        <v/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 t="str">
        <f>IFERROR(table_DataQualities[ID],"")</f>
        <v/>
      </c>
      <c r="B201" s="3" t="str">
        <f>IFERROR(table_DataQualities[unit_ID],"")</f>
        <v/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 t="str">
        <f>IFERROR(table_DataQualities[ID],"")</f>
        <v/>
      </c>
      <c r="B202" s="3" t="str">
        <f>IFERROR(table_DataQualities[unit_ID],"")</f>
        <v/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 t="str">
        <f>IFERROR(table_DataQualities[ID],"")</f>
        <v/>
      </c>
      <c r="B203" s="3" t="str">
        <f>IFERROR(table_DataQualities[unit_ID],"")</f>
        <v/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 t="str">
        <f>IFERROR(table_DataQualities[ID],"")</f>
        <v/>
      </c>
      <c r="B204" s="3" t="str">
        <f>IFERROR(table_DataQualities[unit_ID],"")</f>
        <v/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 t="str">
        <f>IFERROR(table_DataQualities[ID],"")</f>
        <v/>
      </c>
      <c r="B205" s="3" t="str">
        <f>IFERROR(table_DataQualities[unit_ID],"")</f>
        <v/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 t="str">
        <f>IFERROR(table_DataQualities[ID],"")</f>
        <v/>
      </c>
      <c r="B206" s="3" t="str">
        <f>IFERROR(table_DataQualities[unit_ID],"")</f>
        <v/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 t="str">
        <f>IFERROR(table_DataQualities[ID],"")</f>
        <v/>
      </c>
      <c r="B207" s="3" t="str">
        <f>IFERROR(table_DataQualities[unit_ID],"")</f>
        <v/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 t="str">
        <f>IFERROR(table_DataQualities[ID],"")</f>
        <v/>
      </c>
      <c r="B208" s="3" t="str">
        <f>IFERROR(table_DataQualities[unit_ID],"")</f>
        <v/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 t="str">
        <f>IFERROR(table_DataQualities[ID],"")</f>
        <v/>
      </c>
      <c r="B209" s="3" t="str">
        <f>IFERROR(table_DataQualities[unit_ID],"")</f>
        <v/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 t="str">
        <f>IFERROR(table_DataQualities[ID],"")</f>
        <v/>
      </c>
      <c r="B210" s="3" t="str">
        <f>IFERROR(table_DataQualities[unit_ID],"")</f>
        <v/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 t="str">
        <f>IFERROR(table_DataQualities[ID],"")</f>
        <v/>
      </c>
      <c r="B211" s="3" t="str">
        <f>IFERROR(table_DataQualities[unit_ID],"")</f>
        <v/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 t="str">
        <f>IFERROR(table_DataQualities[ID],"")</f>
        <v/>
      </c>
      <c r="B212" s="3" t="str">
        <f>IFERROR(table_DataQualities[unit_ID],"")</f>
        <v/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 t="str">
        <f>IFERROR(table_DataQualities[ID],"")</f>
        <v/>
      </c>
      <c r="B213" s="3" t="str">
        <f>IFERROR(table_DataQualities[unit_ID],"")</f>
        <v/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 t="str">
        <f>IFERROR(table_DataQualities[ID],"")</f>
        <v/>
      </c>
      <c r="B214" s="3" t="str">
        <f>IFERROR(table_DataQualities[unit_ID],"")</f>
        <v/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 t="str">
        <f>IFERROR(table_DataQualities[ID],"")</f>
        <v/>
      </c>
      <c r="B215" s="3" t="str">
        <f>IFERROR(table_DataQualities[unit_ID],"")</f>
        <v/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 t="str">
        <f>IFERROR(table_DataQualities[ID],"")</f>
        <v/>
      </c>
      <c r="B216" s="3" t="str">
        <f>IFERROR(table_DataQualities[unit_ID],"")</f>
        <v/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 t="str">
        <f>IFERROR(table_DataQualities[ID],"")</f>
        <v/>
      </c>
      <c r="B217" s="3" t="str">
        <f>IFERROR(table_DataQualities[unit_ID],"")</f>
        <v/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 t="str">
        <f>IFERROR(table_DataQualities[ID],"")</f>
        <v/>
      </c>
      <c r="B218" s="3" t="str">
        <f>IFERROR(table_DataQualities[unit_ID],"")</f>
        <v/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 t="str">
        <f>IFERROR(table_DataQualities[ID],"")</f>
        <v/>
      </c>
      <c r="B219" s="3" t="str">
        <f>IFERROR(table_DataQualities[unit_ID],"")</f>
        <v/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 t="str">
        <f>IFERROR(table_DataQualities[ID],"")</f>
        <v/>
      </c>
      <c r="B220" s="3" t="str">
        <f>IFERROR(table_DataQualities[unit_ID],"")</f>
        <v/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 t="str">
        <f>IFERROR(table_DataQualities[ID],"")</f>
        <v/>
      </c>
      <c r="B221" s="3" t="str">
        <f>IFERROR(table_DataQualities[unit_ID],"")</f>
        <v/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 t="str">
        <f>IFERROR(table_DataQualities[ID],"")</f>
        <v/>
      </c>
      <c r="B222" s="3" t="str">
        <f>IFERROR(table_DataQualities[unit_ID],"")</f>
        <v/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 t="str">
        <f>IFERROR(table_DataQualities[ID],"")</f>
        <v/>
      </c>
      <c r="B223" s="3" t="str">
        <f>IFERROR(table_DataQualities[unit_ID],"")</f>
        <v/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 t="str">
        <f>IFERROR(table_DataQualities[ID],"")</f>
        <v/>
      </c>
      <c r="B224" s="3" t="str">
        <f>IFERROR(table_DataQualities[unit_ID],"")</f>
        <v/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 t="str">
        <f>IFERROR(table_DataQualities[ID],"")</f>
        <v/>
      </c>
      <c r="B225" s="3" t="str">
        <f>IFERROR(table_DataQualities[unit_ID],"")</f>
        <v/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 t="str">
        <f>IFERROR(table_DataQualities[ID],"")</f>
        <v/>
      </c>
      <c r="B226" s="3" t="str">
        <f>IFERROR(table_DataQualities[unit_ID],"")</f>
        <v/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 t="str">
        <f>IFERROR(table_DataQualities[ID],"")</f>
        <v/>
      </c>
      <c r="B227" s="3" t="str">
        <f>IFERROR(table_DataQualities[unit_ID],"")</f>
        <v/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 t="str">
        <f>IFERROR(table_DataQualities[ID],"")</f>
        <v/>
      </c>
      <c r="B228" s="3" t="str">
        <f>IFERROR(table_DataQualities[unit_ID],"")</f>
        <v/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 t="str">
        <f>IFERROR(table_DataQualities[ID],"")</f>
        <v/>
      </c>
      <c r="B229" s="3" t="str">
        <f>IFERROR(table_DataQualities[unit_ID],"")</f>
        <v/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 t="str">
        <f>IFERROR(table_DataQualities[ID],"")</f>
        <v/>
      </c>
      <c r="B230" s="3" t="str">
        <f>IFERROR(table_DataQualities[unit_ID],"")</f>
        <v/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 t="str">
        <f>IFERROR(table_DataQualities[ID],"")</f>
        <v/>
      </c>
      <c r="B231" s="3" t="str">
        <f>IFERROR(table_DataQualities[unit_ID],"")</f>
        <v/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 t="str">
        <f>IFERROR(table_DataQualities[ID],"")</f>
        <v/>
      </c>
      <c r="B232" s="3" t="str">
        <f>IFERROR(table_DataQualities[unit_ID],"")</f>
        <v/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 t="str">
        <f>IFERROR(table_DataQualities[ID],"")</f>
        <v/>
      </c>
      <c r="B233" s="3" t="str">
        <f>IFERROR(table_DataQualities[unit_ID],"")</f>
        <v/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 t="str">
        <f>IFERROR(table_DataQualities[ID],"")</f>
        <v/>
      </c>
      <c r="B234" s="3" t="str">
        <f>IFERROR(table_DataQualities[unit_ID],"")</f>
        <v/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 t="str">
        <f>IFERROR(table_DataQualities[ID],"")</f>
        <v/>
      </c>
      <c r="B235" s="3" t="str">
        <f>IFERROR(table_DataQualities[unit_ID],"")</f>
        <v/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 t="str">
        <f>IFERROR(table_DataQualities[ID],"")</f>
        <v/>
      </c>
      <c r="B236" s="3" t="str">
        <f>IFERROR(table_DataQualities[unit_ID],"")</f>
        <v/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 t="str">
        <f>IFERROR(table_DataQualities[ID],"")</f>
        <v/>
      </c>
      <c r="B237" s="3" t="str">
        <f>IFERROR(table_DataQualities[unit_ID],"")</f>
        <v/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 t="str">
        <f>IFERROR(table_DataQualities[ID],"")</f>
        <v/>
      </c>
      <c r="B238" s="3" t="str">
        <f>IFERROR(table_DataQualities[unit_ID],"")</f>
        <v/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 t="str">
        <f>IFERROR(table_DataQualities[ID],"")</f>
        <v/>
      </c>
      <c r="B239" s="3" t="str">
        <f>IFERROR(table_DataQualities[unit_ID],"")</f>
        <v/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 t="str">
        <f>IFERROR(table_DataQualities[ID],"")</f>
        <v/>
      </c>
      <c r="B240" s="3" t="str">
        <f>IFERROR(table_DataQualities[unit_ID],"")</f>
        <v/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 t="str">
        <f>IFERROR(table_DataQualities[ID],"")</f>
        <v/>
      </c>
      <c r="B241" s="3" t="str">
        <f>IFERROR(table_DataQualities[unit_ID],"")</f>
        <v/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 t="str">
        <f>IFERROR(table_DataQualities[ID],"")</f>
        <v/>
      </c>
      <c r="B242" s="3" t="str">
        <f>IFERROR(table_DataQualities[unit_ID],"")</f>
        <v/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 t="str">
        <f>IFERROR(table_DataQualities[ID],"")</f>
        <v/>
      </c>
      <c r="B243" s="3" t="str">
        <f>IFERROR(table_DataQualities[unit_ID],"")</f>
        <v/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 t="str">
        <f>IFERROR(table_DataQualities[ID],"")</f>
        <v/>
      </c>
      <c r="B244" s="3" t="str">
        <f>IFERROR(table_DataQualities[unit_ID],"")</f>
        <v/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 t="str">
        <f>IFERROR(table_DataQualities[ID],"")</f>
        <v/>
      </c>
      <c r="B245" s="3" t="str">
        <f>IFERROR(table_DataQualities[unit_ID],"")</f>
        <v/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 t="str">
        <f>IFERROR(table_DataQualities[ID],"")</f>
        <v/>
      </c>
      <c r="B246" s="3" t="str">
        <f>IFERROR(table_DataQualities[unit_ID],"")</f>
        <v/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 t="str">
        <f>IFERROR(table_DataQualities[ID],"")</f>
        <v/>
      </c>
      <c r="B247" s="3" t="str">
        <f>IFERROR(table_DataQualities[unit_ID],"")</f>
        <v/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 t="str">
        <f>IFERROR(table_DataQualities[ID],"")</f>
        <v/>
      </c>
      <c r="B248" s="3" t="str">
        <f>IFERROR(table_DataQualities[unit_ID],"")</f>
        <v/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 t="str">
        <f>IFERROR(table_DataQualities[ID],"")</f>
        <v/>
      </c>
      <c r="B249" s="3" t="str">
        <f>IFERROR(table_DataQualities[unit_ID],"")</f>
        <v/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 t="str">
        <f>IFERROR(table_DataQualities[ID],"")</f>
        <v/>
      </c>
      <c r="B250" s="3" t="str">
        <f>IFERROR(table_DataQualities[unit_ID],"")</f>
        <v/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 t="str">
        <f>IFERROR(table_DataQualities[ID],"")</f>
        <v/>
      </c>
      <c r="B251" s="3" t="str">
        <f>IFERROR(table_DataQualities[unit_ID],"")</f>
        <v/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 t="str">
        <f>IFERROR(table_DataQualities[ID],"")</f>
        <v/>
      </c>
      <c r="B252" s="3" t="str">
        <f>IFERROR(table_DataQualities[unit_ID],"")</f>
        <v/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 t="str">
        <f>IFERROR(table_DataQualities[ID],"")</f>
        <v/>
      </c>
      <c r="B253" s="3" t="str">
        <f>IFERROR(table_DataQualities[unit_ID],"")</f>
        <v/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 t="str">
        <f>IFERROR(table_DataQualities[ID],"")</f>
        <v/>
      </c>
      <c r="B254" s="3" t="str">
        <f>IFERROR(table_DataQualities[unit_ID],"")</f>
        <v/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 t="str">
        <f>IFERROR(table_DataQualities[ID],"")</f>
        <v/>
      </c>
      <c r="B255" s="3" t="str">
        <f>IFERROR(table_DataQualities[unit_ID],"")</f>
        <v/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 t="str">
        <f>IFERROR(table_DataQualities[ID],"")</f>
        <v/>
      </c>
      <c r="B256" s="3" t="str">
        <f>IFERROR(table_DataQualities[unit_ID],"")</f>
        <v/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 t="str">
        <f>IFERROR(table_DataQualities[ID],"")</f>
        <v/>
      </c>
      <c r="B257" s="3" t="str">
        <f>IFERROR(table_DataQualities[unit_ID],"")</f>
        <v/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 t="str">
        <f>IFERROR(table_DataQualities[ID],"")</f>
        <v/>
      </c>
      <c r="B258" s="3" t="str">
        <f>IFERROR(table_DataQualities[unit_ID],"")</f>
        <v/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 t="str">
        <f>IFERROR(table_DataQualities[ID],"")</f>
        <v/>
      </c>
      <c r="B259" s="3" t="str">
        <f>IFERROR(table_DataQualities[unit_ID],"")</f>
        <v/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 t="str">
        <f>IFERROR(table_DataQualities[ID],"")</f>
        <v/>
      </c>
      <c r="B260" s="3" t="str">
        <f>IFERROR(table_DataQualities[unit_ID],"")</f>
        <v/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 t="str">
        <f>IFERROR(table_DataQualities[ID],"")</f>
        <v/>
      </c>
      <c r="B261" s="3" t="str">
        <f>IFERROR(table_DataQualities[unit_ID],"")</f>
        <v/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 t="str">
        <f>IFERROR(table_DataQualities[ID],"")</f>
        <v/>
      </c>
      <c r="B262" s="3" t="str">
        <f>IFERROR(table_DataQualities[unit_ID],"")</f>
        <v/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 t="str">
        <f>IFERROR(table_DataQualities[ID],"")</f>
        <v/>
      </c>
      <c r="B263" s="3" t="str">
        <f>IFERROR(table_DataQualities[unit_ID],"")</f>
        <v/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 t="str">
        <f>IFERROR(table_DataQualities[ID],"")</f>
        <v/>
      </c>
      <c r="B264" s="3" t="str">
        <f>IFERROR(table_DataQualities[unit_ID],"")</f>
        <v/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 t="str">
        <f>IFERROR(table_DataQualities[ID],"")</f>
        <v/>
      </c>
      <c r="B265" s="3" t="str">
        <f>IFERROR(table_DataQualities[unit_ID],"")</f>
        <v/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 t="str">
        <f>IFERROR(table_DataQualities[ID],"")</f>
        <v/>
      </c>
      <c r="B266" s="3" t="str">
        <f>IFERROR(table_DataQualities[unit_ID],"")</f>
        <v/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 t="str">
        <f>IFERROR(table_DataQualities[ID],"")</f>
        <v/>
      </c>
      <c r="B267" s="3" t="str">
        <f>IFERROR(table_DataQualities[unit_ID],"")</f>
        <v/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 t="str">
        <f>IFERROR(table_DataQualities[ID],"")</f>
        <v/>
      </c>
      <c r="B268" s="3" t="str">
        <f>IFERROR(table_DataQualities[unit_ID],"")</f>
        <v/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 t="str">
        <f>IFERROR(table_DataQualities[ID],"")</f>
        <v/>
      </c>
      <c r="B269" s="3" t="str">
        <f>IFERROR(table_DataQualities[unit_ID],"")</f>
        <v/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 t="str">
        <f>IFERROR(table_DataQualities[ID],"")</f>
        <v/>
      </c>
      <c r="B270" s="3" t="str">
        <f>IFERROR(table_DataQualities[unit_ID],"")</f>
        <v/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 t="str">
        <f>IFERROR(table_DataQualities[ID],"")</f>
        <v/>
      </c>
      <c r="B271" s="3" t="str">
        <f>IFERROR(table_DataQualities[unit_ID],"")</f>
        <v/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 t="str">
        <f>IFERROR(table_DataQualities[ID],"")</f>
        <v/>
      </c>
      <c r="B272" s="3" t="str">
        <f>IFERROR(table_DataQualities[unit_ID],"")</f>
        <v/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 t="str">
        <f>IFERROR(table_DataQualities[ID],"")</f>
        <v/>
      </c>
      <c r="B273" s="3" t="str">
        <f>IFERROR(table_DataQualities[unit_ID],"")</f>
        <v/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 t="str">
        <f>IFERROR(table_DataQualities[ID],"")</f>
        <v/>
      </c>
      <c r="B274" s="3" t="str">
        <f>IFERROR(table_DataQualities[unit_ID],"")</f>
        <v/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 t="str">
        <f>IFERROR(table_DataQualities[ID],"")</f>
        <v/>
      </c>
      <c r="B275" s="3" t="str">
        <f>IFERROR(table_DataQualities[unit_ID],"")</f>
        <v/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 t="str">
        <f>IFERROR(table_DataQualities[ID],"")</f>
        <v/>
      </c>
      <c r="B276" s="3" t="str">
        <f>IFERROR(table_DataQualities[unit_ID],"")</f>
        <v/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 t="str">
        <f>IFERROR(table_DataQualities[ID],"")</f>
        <v/>
      </c>
      <c r="B277" s="3" t="str">
        <f>IFERROR(table_DataQualities[unit_ID],"")</f>
        <v/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 t="str">
        <f>IFERROR(table_DataQualities[ID],"")</f>
        <v/>
      </c>
      <c r="B278" s="3" t="str">
        <f>IFERROR(table_DataQualities[unit_ID],"")</f>
        <v/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 t="str">
        <f>IFERROR(table_DataQualities[ID],"")</f>
        <v/>
      </c>
      <c r="B279" s="3" t="str">
        <f>IFERROR(table_DataQualities[unit_ID],"")</f>
        <v/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 t="str">
        <f>IFERROR(table_DataQualities[ID],"")</f>
        <v/>
      </c>
      <c r="B280" s="3" t="str">
        <f>IFERROR(table_DataQualities[unit_ID],"")</f>
        <v/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 t="str">
        <f>IFERROR(table_DataQualities[ID],"")</f>
        <v/>
      </c>
      <c r="B281" s="3" t="str">
        <f>IFERROR(table_DataQualities[unit_ID],"")</f>
        <v/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 t="str">
        <f>IFERROR(table_DataQualities[ID],"")</f>
        <v/>
      </c>
      <c r="B282" s="3" t="str">
        <f>IFERROR(table_DataQualities[unit_ID],"")</f>
        <v/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 t="str">
        <f>IFERROR(table_DataQualities[ID],"")</f>
        <v/>
      </c>
      <c r="B283" s="3" t="str">
        <f>IFERROR(table_DataQualities[unit_ID],"")</f>
        <v/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 t="str">
        <f>IFERROR(table_DataQualities[ID],"")</f>
        <v/>
      </c>
      <c r="B284" s="3" t="str">
        <f>IFERROR(table_DataQualities[unit_ID],"")</f>
        <v/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 t="str">
        <f>IFERROR(table_DataQualities[ID],"")</f>
        <v/>
      </c>
      <c r="B285" s="3" t="str">
        <f>IFERROR(table_DataQualities[unit_ID],"")</f>
        <v/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 t="str">
        <f>IFERROR(table_DataQualities[ID],"")</f>
        <v/>
      </c>
      <c r="B286" s="3" t="str">
        <f>IFERROR(table_DataQualities[unit_ID],"")</f>
        <v/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 t="str">
        <f>IFERROR(table_DataQualities[ID],"")</f>
        <v/>
      </c>
      <c r="B287" s="3" t="str">
        <f>IFERROR(table_DataQualities[unit_ID],"")</f>
        <v/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 t="str">
        <f>IFERROR(table_DataQualities[ID],"")</f>
        <v/>
      </c>
      <c r="B288" s="3" t="str">
        <f>IFERROR(table_DataQualities[unit_ID],"")</f>
        <v/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 t="str">
        <f>IFERROR(table_DataQualities[ID],"")</f>
        <v/>
      </c>
      <c r="B289" s="3" t="str">
        <f>IFERROR(table_DataQualities[unit_ID],"")</f>
        <v/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 t="str">
        <f>IFERROR(table_DataQualities[ID],"")</f>
        <v/>
      </c>
      <c r="B290" s="3" t="str">
        <f>IFERROR(table_DataQualities[unit_ID],"")</f>
        <v/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 t="str">
        <f>IFERROR(table_DataQualities[ID],"")</f>
        <v/>
      </c>
      <c r="B291" s="3" t="str">
        <f>IFERROR(table_DataQualities[unit_ID],"")</f>
        <v/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 t="str">
        <f>IFERROR(table_DataQualities[ID],"")</f>
        <v/>
      </c>
      <c r="B292" s="3" t="str">
        <f>IFERROR(table_DataQualities[unit_ID],"")</f>
        <v/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 t="str">
        <f>IFERROR(table_DataQualities[ID],"")</f>
        <v/>
      </c>
      <c r="B293" s="3" t="str">
        <f>IFERROR(table_DataQualities[unit_ID],"")</f>
        <v/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 t="str">
        <f>IFERROR(table_DataQualities[ID],"")</f>
        <v/>
      </c>
      <c r="B294" s="3" t="str">
        <f>IFERROR(table_DataQualities[unit_ID],"")</f>
        <v/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 t="str">
        <f>IFERROR(table_DataQualities[ID],"")</f>
        <v/>
      </c>
      <c r="B295" s="3" t="str">
        <f>IFERROR(table_DataQualities[unit_ID],"")</f>
        <v/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 t="str">
        <f>IFERROR(table_DataQualities[ID],"")</f>
        <v/>
      </c>
      <c r="B296" s="3" t="str">
        <f>IFERROR(table_DataQualities[unit_ID],"")</f>
        <v/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 t="str">
        <f>IFERROR(table_DataQualities[ID],"")</f>
        <v/>
      </c>
      <c r="B297" s="3" t="str">
        <f>IFERROR(table_DataQualities[unit_ID],"")</f>
        <v/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 t="str">
        <f>IFERROR(table_DataQualities[ID],"")</f>
        <v/>
      </c>
      <c r="B298" s="3" t="str">
        <f>IFERROR(table_DataQualities[unit_ID],"")</f>
        <v/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 t="str">
        <f>IFERROR(table_DataQualities[ID],"")</f>
        <v/>
      </c>
      <c r="B299" s="3" t="str">
        <f>IFERROR(table_DataQualities[unit_ID],"")</f>
        <v/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 t="str">
        <f>IFERROR(table_DataQualities[ID],"")</f>
        <v/>
      </c>
      <c r="B300" s="3" t="str">
        <f>IFERROR(table_DataQualities[unit_ID],"")</f>
        <v/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 t="str">
        <f>IFERROR(table_DataQualities[ID],"")</f>
        <v/>
      </c>
      <c r="B301" s="3" t="str">
        <f>IFERROR(table_DataQualities[unit_ID],"")</f>
        <v/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 t="str">
        <f>IFERROR(table_DataQualities[ID],"")</f>
        <v/>
      </c>
      <c r="B302" s="3" t="str">
        <f>IFERROR(table_DataQualities[unit_ID],"")</f>
        <v/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 t="str">
        <f>IFERROR(table_DataQualities[ID],"")</f>
        <v/>
      </c>
      <c r="B303" s="3" t="str">
        <f>IFERROR(table_DataQualities[unit_ID],"")</f>
        <v/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 t="str">
        <f>IFERROR(table_DataQualities[ID],"")</f>
        <v/>
      </c>
      <c r="B304" s="3" t="str">
        <f>IFERROR(table_DataQualities[unit_ID],"")</f>
        <v/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 t="str">
        <f>IFERROR(table_DataQualities[ID],"")</f>
        <v/>
      </c>
      <c r="B305" s="3" t="str">
        <f>IFERROR(table_DataQualities[unit_ID],"")</f>
        <v/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 t="str">
        <f>IFERROR(table_DataQualities[ID],"")</f>
        <v/>
      </c>
      <c r="B306" s="3" t="str">
        <f>IFERROR(table_DataQualities[unit_ID],"")</f>
        <v/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 t="str">
        <f>IFERROR(table_DataQualities[ID],"")</f>
        <v/>
      </c>
      <c r="B307" s="3" t="str">
        <f>IFERROR(table_DataQualities[unit_ID],"")</f>
        <v/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 t="str">
        <f>IFERROR(table_DataQualities[ID],"")</f>
        <v/>
      </c>
      <c r="B308" s="3" t="str">
        <f>IFERROR(table_DataQualities[unit_ID],"")</f>
        <v/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 t="str">
        <f>IFERROR(table_DataQualities[ID],"")</f>
        <v/>
      </c>
      <c r="B309" s="3" t="str">
        <f>IFERROR(table_DataQualities[unit_ID],"")</f>
        <v/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 t="str">
        <f>IFERROR(table_DataQualities[ID],"")</f>
        <v/>
      </c>
      <c r="B310" s="3" t="str">
        <f>IFERROR(table_DataQualities[unit_ID],"")</f>
        <v/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 t="str">
        <f>IFERROR(table_DataQualities[ID],"")</f>
        <v/>
      </c>
      <c r="B311" s="3" t="str">
        <f>IFERROR(table_DataQualities[unit_ID],"")</f>
        <v/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 t="str">
        <f>IFERROR(table_DataQualities[ID],"")</f>
        <v/>
      </c>
      <c r="B312" s="3" t="str">
        <f>IFERROR(table_DataQualities[unit_ID],"")</f>
        <v/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 t="str">
        <f>IFERROR(table_DataQualities[ID],"")</f>
        <v/>
      </c>
      <c r="B313" s="3" t="str">
        <f>IFERROR(table_DataQualities[unit_ID],"")</f>
        <v/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 t="str">
        <f>IFERROR(table_DataQualities[ID],"")</f>
        <v/>
      </c>
      <c r="B314" s="3" t="str">
        <f>IFERROR(table_DataQualities[unit_ID],"")</f>
        <v/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 t="str">
        <f>IFERROR(table_DataQualities[ID],"")</f>
        <v/>
      </c>
      <c r="B315" s="3" t="str">
        <f>IFERROR(table_DataQualities[unit_ID],"")</f>
        <v/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 t="str">
        <f>IFERROR(table_DataQualities[ID],"")</f>
        <v/>
      </c>
      <c r="B316" s="3" t="str">
        <f>IFERROR(table_DataQualities[unit_ID],"")</f>
        <v/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 t="str">
        <f>IFERROR(table_DataQualities[ID],"")</f>
        <v/>
      </c>
      <c r="B317" s="3" t="str">
        <f>IFERROR(table_DataQualities[unit_ID],"")</f>
        <v/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 t="str">
        <f>IFERROR(table_DataQualities[ID],"")</f>
        <v/>
      </c>
      <c r="B318" s="3" t="str">
        <f>IFERROR(table_DataQualities[unit_ID],"")</f>
        <v/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 t="str">
        <f>IFERROR(table_DataQualities[ID],"")</f>
        <v/>
      </c>
      <c r="B319" s="3" t="str">
        <f>IFERROR(table_DataQualities[unit_ID],"")</f>
        <v/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 t="str">
        <f>IFERROR(table_DataQualities[ID],"")</f>
        <v/>
      </c>
      <c r="B320" s="3" t="str">
        <f>IFERROR(table_DataQualities[unit_ID],"")</f>
        <v/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 t="str">
        <f>IFERROR(table_DataQualities[ID],"")</f>
        <v/>
      </c>
      <c r="B321" s="3" t="str">
        <f>IFERROR(table_DataQualities[unit_ID],"")</f>
        <v/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 t="str">
        <f>IFERROR(table_DataQualities[ID],"")</f>
        <v/>
      </c>
      <c r="B322" s="3" t="str">
        <f>IFERROR(table_DataQualities[unit_ID],"")</f>
        <v/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 t="str">
        <f>IFERROR(table_DataQualities[ID],"")</f>
        <v/>
      </c>
      <c r="B323" s="3" t="str">
        <f>IFERROR(table_DataQualities[unit_ID],"")</f>
        <v/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 t="str">
        <f>IFERROR(table_DataQualities[ID],"")</f>
        <v/>
      </c>
      <c r="B324" s="3" t="str">
        <f>IFERROR(table_DataQualities[unit_ID],"")</f>
        <v/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 t="str">
        <f>IFERROR(table_DataQualities[ID],"")</f>
        <v/>
      </c>
      <c r="B325" s="3" t="str">
        <f>IFERROR(table_DataQualities[unit_ID],"")</f>
        <v/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 t="str">
        <f>IFERROR(table_DataQualities[ID],"")</f>
        <v/>
      </c>
      <c r="B326" s="3" t="str">
        <f>IFERROR(table_DataQualities[unit_ID],"")</f>
        <v/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 t="str">
        <f>IFERROR(table_DataQualities[ID],"")</f>
        <v/>
      </c>
      <c r="B327" s="3" t="str">
        <f>IFERROR(table_DataQualities[unit_ID],"")</f>
        <v/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 t="str">
        <f>IFERROR(table_DataQualities[ID],"")</f>
        <v/>
      </c>
      <c r="B328" s="3" t="str">
        <f>IFERROR(table_DataQualities[unit_ID],"")</f>
        <v/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 t="str">
        <f>IFERROR(table_DataQualities[ID],"")</f>
        <v/>
      </c>
      <c r="B329" s="3" t="str">
        <f>IFERROR(table_DataQualities[unit_ID],"")</f>
        <v/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 t="str">
        <f>IFERROR(table_DataQualities[ID],"")</f>
        <v/>
      </c>
      <c r="B330" s="3" t="str">
        <f>IFERROR(table_DataQualities[unit_ID],"")</f>
        <v/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 t="str">
        <f>IFERROR(table_DataQualities[ID],"")</f>
        <v/>
      </c>
      <c r="B331" s="3" t="str">
        <f>IFERROR(table_DataQualities[unit_ID],"")</f>
        <v/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 t="str">
        <f>IFERROR(table_DataQualities[ID],"")</f>
        <v/>
      </c>
      <c r="B332" s="3" t="str">
        <f>IFERROR(table_DataQualities[unit_ID],"")</f>
        <v/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 t="str">
        <f>IFERROR(table_DataQualities[ID],"")</f>
        <v/>
      </c>
      <c r="B333" s="3" t="str">
        <f>IFERROR(table_DataQualities[unit_ID],"")</f>
        <v/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 t="str">
        <f>IFERROR(table_DataQualities[ID],"")</f>
        <v/>
      </c>
      <c r="B334" s="3" t="str">
        <f>IFERROR(table_DataQualities[unit_ID],"")</f>
        <v/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 t="str">
        <f>IFERROR(table_DataQualities[ID],"")</f>
        <v/>
      </c>
      <c r="B335" s="3" t="str">
        <f>IFERROR(table_DataQualities[unit_ID],"")</f>
        <v/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 t="str">
        <f>IFERROR(table_DataQualities[ID],"")</f>
        <v/>
      </c>
      <c r="B336" s="3" t="str">
        <f>IFERROR(table_DataQualities[unit_ID],"")</f>
        <v/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 t="str">
        <f>IFERROR(table_DataQualities[ID],"")</f>
        <v/>
      </c>
      <c r="B337" s="3" t="str">
        <f>IFERROR(table_DataQualities[unit_ID],"")</f>
        <v/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 t="str">
        <f>IFERROR(table_DataQualities[ID],"")</f>
        <v/>
      </c>
      <c r="B338" s="3" t="str">
        <f>IFERROR(table_DataQualities[unit_ID],"")</f>
        <v/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 t="str">
        <f>IFERROR(table_DataQualities[ID],"")</f>
        <v/>
      </c>
      <c r="B339" s="3" t="str">
        <f>IFERROR(table_DataQualities[unit_ID],"")</f>
        <v/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 t="str">
        <f>IFERROR(table_DataQualities[ID],"")</f>
        <v/>
      </c>
      <c r="B340" s="3" t="str">
        <f>IFERROR(table_DataQualities[unit_ID],"")</f>
        <v/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 t="str">
        <f>IFERROR(table_DataQualities[ID],"")</f>
        <v/>
      </c>
      <c r="B341" s="3" t="str">
        <f>IFERROR(table_DataQualities[unit_ID],"")</f>
        <v/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 t="str">
        <f>IFERROR(table_DataQualities[ID],"")</f>
        <v/>
      </c>
      <c r="B342" s="3" t="str">
        <f>IFERROR(table_DataQualities[unit_ID],"")</f>
        <v/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 t="str">
        <f>IFERROR(table_DataQualities[ID],"")</f>
        <v/>
      </c>
      <c r="B343" s="3" t="str">
        <f>IFERROR(table_DataQualities[unit_ID],"")</f>
        <v/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 t="str">
        <f>IFERROR(table_DataQualities[ID],"")</f>
        <v/>
      </c>
      <c r="B344" s="3" t="str">
        <f>IFERROR(table_DataQualities[unit_ID],"")</f>
        <v/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 t="str">
        <f>IFERROR(table_DataQualities[ID],"")</f>
        <v/>
      </c>
      <c r="B345" s="3" t="str">
        <f>IFERROR(table_DataQualities[unit_ID],"")</f>
        <v/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 t="str">
        <f>IFERROR(table_DataQualities[ID],"")</f>
        <v/>
      </c>
      <c r="B346" s="3" t="str">
        <f>IFERROR(table_DataQualities[unit_ID],"")</f>
        <v/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 t="str">
        <f>IFERROR(table_DataQualities[ID],"")</f>
        <v/>
      </c>
      <c r="B347" s="3" t="str">
        <f>IFERROR(table_DataQualities[unit_ID],"")</f>
        <v/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 t="str">
        <f>IFERROR(table_DataQualities[ID],"")</f>
        <v/>
      </c>
      <c r="B348" s="3" t="str">
        <f>IFERROR(table_DataQualities[unit_ID],"")</f>
        <v/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 t="str">
        <f>IFERROR(table_DataQualities[ID],"")</f>
        <v/>
      </c>
      <c r="B349" s="3" t="str">
        <f>IFERROR(table_DataQualities[unit_ID],"")</f>
        <v/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 t="str">
        <f>IFERROR(table_DataQualities[ID],"")</f>
        <v/>
      </c>
      <c r="B350" s="3" t="str">
        <f>IFERROR(table_DataQualities[unit_ID],"")</f>
        <v/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 t="str">
        <f>IFERROR(table_DataQualities[ID],"")</f>
        <v/>
      </c>
      <c r="B351" s="3" t="str">
        <f>IFERROR(table_DataQualities[unit_ID],"")</f>
        <v/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 t="str">
        <f>IFERROR(table_DataQualities[ID],"")</f>
        <v/>
      </c>
      <c r="B352" s="3" t="str">
        <f>IFERROR(table_DataQualities[unit_ID],"")</f>
        <v/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 t="str">
        <f>IFERROR(table_DataQualities[ID],"")</f>
        <v/>
      </c>
      <c r="B353" s="3" t="str">
        <f>IFERROR(table_DataQualities[unit_ID],"")</f>
        <v/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 t="str">
        <f>IFERROR(table_DataQualities[ID],"")</f>
        <v/>
      </c>
      <c r="B354" s="3" t="str">
        <f>IFERROR(table_DataQualities[unit_ID],"")</f>
        <v/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 t="str">
        <f>IFERROR(table_DataQualities[ID],"")</f>
        <v/>
      </c>
      <c r="B355" s="3" t="str">
        <f>IFERROR(table_DataQualities[unit_ID],"")</f>
        <v/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 t="str">
        <f>IFERROR(table_DataQualities[ID],"")</f>
        <v/>
      </c>
      <c r="B356" s="3" t="str">
        <f>IFERROR(table_DataQualities[unit_ID],"")</f>
        <v/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 t="str">
        <f>IFERROR(table_DataQualities[ID],"")</f>
        <v/>
      </c>
      <c r="B357" s="3" t="str">
        <f>IFERROR(table_DataQualities[unit_ID],"")</f>
        <v/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 t="str">
        <f>IFERROR(table_DataQualities[ID],"")</f>
        <v/>
      </c>
      <c r="B358" s="3" t="str">
        <f>IFERROR(table_DataQualities[unit_ID],"")</f>
        <v/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 t="str">
        <f>IFERROR(table_DataQualities[ID],"")</f>
        <v/>
      </c>
      <c r="B359" s="3" t="str">
        <f>IFERROR(table_DataQualities[unit_ID],"")</f>
        <v/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 t="str">
        <f>IFERROR(table_DataQualities[ID],"")</f>
        <v/>
      </c>
      <c r="B360" s="3" t="str">
        <f>IFERROR(table_DataQualities[unit_ID],"")</f>
        <v/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 t="str">
        <f>IFERROR(table_DataQualities[ID],"")</f>
        <v/>
      </c>
      <c r="B361" s="3" t="str">
        <f>IFERROR(table_DataQualities[unit_ID],"")</f>
        <v/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 t="str">
        <f>IFERROR(table_DataQualities[ID],"")</f>
        <v/>
      </c>
      <c r="B362" s="3" t="str">
        <f>IFERROR(table_DataQualities[unit_ID],"")</f>
        <v/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 t="str">
        <f>IFERROR(table_DataQualities[ID],"")</f>
        <v/>
      </c>
      <c r="B363" s="3" t="str">
        <f>IFERROR(table_DataQualities[unit_ID],"")</f>
        <v/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 t="str">
        <f>IFERROR(table_DataQualities[ID],"")</f>
        <v/>
      </c>
      <c r="B364" s="3" t="str">
        <f>IFERROR(table_DataQualities[unit_ID],"")</f>
        <v/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 t="str">
        <f>IFERROR(table_DataQualities[ID],"")</f>
        <v/>
      </c>
      <c r="B365" s="3" t="str">
        <f>IFERROR(table_DataQualities[unit_ID],"")</f>
        <v/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 t="str">
        <f>IFERROR(table_DataQualities[ID],"")</f>
        <v/>
      </c>
      <c r="B366" s="3" t="str">
        <f>IFERROR(table_DataQualities[unit_ID],"")</f>
        <v/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 t="str">
        <f>IFERROR(table_DataQualities[ID],"")</f>
        <v/>
      </c>
      <c r="B367" s="3" t="str">
        <f>IFERROR(table_DataQualities[unit_ID],"")</f>
        <v/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 t="str">
        <f>IFERROR(table_DataQualities[ID],"")</f>
        <v/>
      </c>
      <c r="B368" s="3" t="str">
        <f>IFERROR(table_DataQualities[unit_ID],"")</f>
        <v/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 t="str">
        <f>IFERROR(table_DataQualities[ID],"")</f>
        <v/>
      </c>
      <c r="B369" s="3" t="str">
        <f>IFERROR(table_DataQualities[unit_ID],"")</f>
        <v/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 t="str">
        <f>IFERROR(table_DataQualities[ID],"")</f>
        <v/>
      </c>
      <c r="B370" s="3" t="str">
        <f>IFERROR(table_DataQualities[unit_ID],"")</f>
        <v/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 t="str">
        <f>IFERROR(table_DataQualities[ID],"")</f>
        <v/>
      </c>
      <c r="B371" s="3" t="str">
        <f>IFERROR(table_DataQualities[unit_ID],"")</f>
        <v/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 t="str">
        <f>IFERROR(table_DataQualities[ID],"")</f>
        <v/>
      </c>
      <c r="B372" s="3" t="str">
        <f>IFERROR(table_DataQualities[unit_ID],"")</f>
        <v/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 t="str">
        <f>IFERROR(table_DataQualities[ID],"")</f>
        <v/>
      </c>
      <c r="B373" s="3" t="str">
        <f>IFERROR(table_DataQualities[unit_ID],"")</f>
        <v/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 t="str">
        <f>IFERROR(table_DataQualities[ID],"")</f>
        <v/>
      </c>
      <c r="B374" s="3" t="str">
        <f>IFERROR(table_DataQualities[unit_ID],"")</f>
        <v/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 t="str">
        <f>IFERROR(table_DataQualities[ID],"")</f>
        <v/>
      </c>
      <c r="B375" s="3" t="str">
        <f>IFERROR(table_DataQualities[unit_ID],"")</f>
        <v/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 t="str">
        <f>IFERROR(table_DataQualities[ID],"")</f>
        <v/>
      </c>
      <c r="B376" s="3" t="str">
        <f>IFERROR(table_DataQualities[unit_ID],"")</f>
        <v/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 t="str">
        <f>IFERROR(table_DataQualities[ID],"")</f>
        <v/>
      </c>
      <c r="B377" s="3" t="str">
        <f>IFERROR(table_DataQualities[unit_ID],"")</f>
        <v/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 t="str">
        <f>IFERROR(table_DataQualities[ID],"")</f>
        <v/>
      </c>
      <c r="B378" s="3" t="str">
        <f>IFERROR(table_DataQualities[unit_ID],"")</f>
        <v/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 t="str">
        <f>IFERROR(table_DataQualities[ID],"")</f>
        <v/>
      </c>
      <c r="B379" s="3" t="str">
        <f>IFERROR(table_DataQualities[unit_ID],"")</f>
        <v/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 t="str">
        <f>IFERROR(table_DataQualities[ID],"")</f>
        <v/>
      </c>
      <c r="B380" s="3" t="str">
        <f>IFERROR(table_DataQualities[unit_ID],"")</f>
        <v/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 t="str">
        <f>IFERROR(table_DataQualities[ID],"")</f>
        <v/>
      </c>
      <c r="B381" s="3" t="str">
        <f>IFERROR(table_DataQualities[unit_ID],"")</f>
        <v/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 t="str">
        <f>IFERROR(table_DataQualities[ID],"")</f>
        <v/>
      </c>
      <c r="B382" s="3" t="str">
        <f>IFERROR(table_DataQualities[unit_ID],"")</f>
        <v/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 t="str">
        <f>IFERROR(table_DataQualities[ID],"")</f>
        <v/>
      </c>
      <c r="B383" s="3" t="str">
        <f>IFERROR(table_DataQualities[unit_ID],"")</f>
        <v/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 t="str">
        <f>IFERROR(table_DataQualities[ID],"")</f>
        <v/>
      </c>
      <c r="B384" s="3" t="str">
        <f>IFERROR(table_DataQualities[unit_ID],"")</f>
        <v/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 t="str">
        <f>IFERROR(table_DataQualities[ID],"")</f>
        <v/>
      </c>
      <c r="B385" s="3" t="str">
        <f>IFERROR(table_DataQualities[unit_ID],"")</f>
        <v/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 t="str">
        <f>IFERROR(table_DataQualities[ID],"")</f>
        <v/>
      </c>
      <c r="B386" s="3" t="str">
        <f>IFERROR(table_DataQualities[unit_ID],"")</f>
        <v/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 t="str">
        <f>IFERROR(table_DataQualities[ID],"")</f>
        <v/>
      </c>
      <c r="B387" s="3" t="str">
        <f>IFERROR(table_DataQualities[unit_ID],"")</f>
        <v/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 t="str">
        <f>IFERROR(table_DataQualities[ID],"")</f>
        <v/>
      </c>
      <c r="B388" s="3" t="str">
        <f>IFERROR(table_DataQualities[unit_ID],"")</f>
        <v/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 t="str">
        <f>IFERROR(table_DataQualities[ID],"")</f>
        <v/>
      </c>
      <c r="B389" s="3" t="str">
        <f>IFERROR(table_DataQualities[unit_ID],"")</f>
        <v/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 t="str">
        <f>IFERROR(table_DataQualities[ID],"")</f>
        <v/>
      </c>
      <c r="B390" s="3" t="str">
        <f>IFERROR(table_DataQualities[unit_ID],"")</f>
        <v/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 t="str">
        <f>IFERROR(table_DataQualities[ID],"")</f>
        <v/>
      </c>
      <c r="B391" s="3" t="str">
        <f>IFERROR(table_DataQualities[unit_ID],"")</f>
        <v/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 t="str">
        <f>IFERROR(table_DataQualities[ID],"")</f>
        <v/>
      </c>
      <c r="B392" s="3" t="str">
        <f>IFERROR(table_DataQualities[unit_ID],"")</f>
        <v/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 t="str">
        <f>IFERROR(table_DataQualities[ID],"")</f>
        <v/>
      </c>
      <c r="B393" s="3" t="str">
        <f>IFERROR(table_DataQualities[unit_ID],"")</f>
        <v/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 t="str">
        <f>IFERROR(table_DataQualities[ID],"")</f>
        <v/>
      </c>
      <c r="B394" s="3" t="str">
        <f>IFERROR(table_DataQualities[unit_ID],"")</f>
        <v/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 t="str">
        <f>IFERROR(table_DataQualities[ID],"")</f>
        <v/>
      </c>
      <c r="B395" s="3" t="str">
        <f>IFERROR(table_DataQualities[unit_ID],"")</f>
        <v/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 t="str">
        <f>IFERROR(table_DataQualities[ID],"")</f>
        <v/>
      </c>
      <c r="B396" s="3" t="str">
        <f>IFERROR(table_DataQualities[unit_ID],"")</f>
        <v/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 t="str">
        <f>IFERROR(table_DataQualities[ID],"")</f>
        <v/>
      </c>
      <c r="B397" s="3" t="str">
        <f>IFERROR(table_DataQualities[unit_ID],"")</f>
        <v/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 t="str">
        <f>IFERROR(table_DataQualities[ID],"")</f>
        <v/>
      </c>
      <c r="B398" s="3" t="str">
        <f>IFERROR(table_DataQualities[unit_ID],"")</f>
        <v/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 t="str">
        <f>IFERROR(table_DataQualities[ID],"")</f>
        <v/>
      </c>
      <c r="B399" s="3" t="str">
        <f>IFERROR(table_DataQualities[unit_ID],"")</f>
        <v/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 t="str">
        <f>IFERROR(table_DataQualities[ID],"")</f>
        <v/>
      </c>
      <c r="B400" s="3" t="str">
        <f>IFERROR(table_DataQualities[unit_ID],"")</f>
        <v/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 t="str">
        <f>IFERROR(table_DataQualities[ID],"")</f>
        <v/>
      </c>
      <c r="B401" s="3" t="str">
        <f>IFERROR(table_DataQualities[unit_ID],"")</f>
        <v/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 t="str">
        <f>IFERROR(table_DataQualities[ID],"")</f>
        <v/>
      </c>
      <c r="B402" s="3" t="str">
        <f>IFERROR(table_DataQualities[unit_ID],"")</f>
        <v/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 t="str">
        <f>IFERROR(table_DataQualities[ID],"")</f>
        <v/>
      </c>
      <c r="B403" s="3" t="str">
        <f>IFERROR(table_DataQualities[unit_ID],"")</f>
        <v/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dict_zuord_Meth_Pers</vt:lpstr>
      <vt:lpstr>dict_zuord_Meth_Pos</vt:lpstr>
      <vt:lpstr>dict_zuord_Meth_Transfers</vt:lpstr>
      <vt:lpstr>dict_zuord_Transfers_Storages</vt:lpstr>
      <vt:lpstr>dict_zuord_DQ_Units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2019-03-16T11:28:01Z</dcterms:modified>
</cp:coreProperties>
</file>