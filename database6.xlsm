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1585" windowHeight="6165" firstSheet="8" activeTab="12"/>
    <workbookView xWindow="0" yWindow="0" windowWidth="28800" windowHeight="10418" firstSheet="1" activeTab="4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23" l="1"/>
  <c r="M2" i="23"/>
  <c r="M3" i="23"/>
  <c r="M4" i="23"/>
  <c r="M7" i="23"/>
  <c r="M8" i="23"/>
  <c r="M12" i="23"/>
  <c r="M9" i="23"/>
  <c r="M10" i="23"/>
  <c r="M13" i="23"/>
  <c r="M11" i="23"/>
  <c r="M14" i="23"/>
  <c r="M15" i="23"/>
  <c r="M16" i="23"/>
  <c r="M17" i="23"/>
  <c r="M21" i="23"/>
  <c r="M22" i="23"/>
  <c r="M23" i="23"/>
  <c r="M18" i="23"/>
  <c r="M19" i="23"/>
  <c r="M24" i="23"/>
  <c r="M20" i="23"/>
  <c r="M25" i="23"/>
  <c r="M28" i="23"/>
  <c r="M26" i="23"/>
  <c r="M29" i="23"/>
  <c r="M27" i="23"/>
  <c r="M30" i="23"/>
  <c r="M33" i="23"/>
  <c r="M34" i="23"/>
  <c r="M31" i="23"/>
  <c r="M32" i="23"/>
  <c r="M35" i="23"/>
  <c r="M42" i="23"/>
  <c r="M36" i="23"/>
  <c r="M37" i="23"/>
  <c r="M38" i="23"/>
  <c r="M43" i="23"/>
  <c r="M39" i="23"/>
  <c r="M44" i="23"/>
  <c r="M45" i="23"/>
  <c r="M46" i="23"/>
  <c r="M40" i="23"/>
  <c r="M47" i="23"/>
  <c r="M41" i="23"/>
  <c r="M51" i="23"/>
  <c r="M52" i="23"/>
  <c r="M48" i="23"/>
  <c r="M49" i="23"/>
  <c r="M50" i="23"/>
  <c r="M53" i="23"/>
  <c r="M54" i="23"/>
  <c r="M55" i="23"/>
  <c r="M56" i="23"/>
  <c r="M58" i="23"/>
  <c r="M57" i="23"/>
  <c r="M59" i="23"/>
  <c r="M60" i="23"/>
  <c r="M61" i="23"/>
  <c r="M65" i="23"/>
  <c r="M66" i="23"/>
  <c r="M67" i="23"/>
  <c r="M62" i="23"/>
  <c r="M63" i="23"/>
  <c r="M64" i="23"/>
  <c r="M72" i="23"/>
  <c r="M68" i="23"/>
  <c r="M69" i="23"/>
  <c r="M73" i="23"/>
  <c r="M74" i="23"/>
  <c r="M70" i="23"/>
  <c r="M71" i="23"/>
  <c r="M75" i="23"/>
  <c r="M76" i="23"/>
  <c r="M77" i="23"/>
  <c r="M78" i="23"/>
  <c r="M80" i="23"/>
  <c r="M79" i="23"/>
  <c r="M81" i="23"/>
  <c r="M82" i="23"/>
  <c r="M83" i="23"/>
  <c r="M86" i="23"/>
  <c r="M87" i="23"/>
  <c r="M84" i="23"/>
  <c r="M85" i="23"/>
  <c r="M88" i="23"/>
  <c r="M89" i="23"/>
  <c r="M90" i="23"/>
  <c r="M93" i="23"/>
  <c r="M94" i="23"/>
  <c r="M95" i="23"/>
  <c r="M96" i="23"/>
  <c r="M97" i="23"/>
  <c r="M91" i="23"/>
  <c r="M92" i="23"/>
  <c r="M98" i="23"/>
  <c r="M99" i="23"/>
  <c r="M102" i="23"/>
  <c r="M103" i="23"/>
  <c r="M104" i="23"/>
  <c r="M100" i="23"/>
  <c r="M105" i="23"/>
  <c r="M101" i="23"/>
  <c r="M106" i="23"/>
  <c r="M107" i="23"/>
  <c r="M108" i="23"/>
  <c r="M110" i="23"/>
  <c r="M111" i="23"/>
  <c r="M112" i="23"/>
  <c r="M109" i="23"/>
  <c r="M113" i="23"/>
  <c r="M114" i="23"/>
  <c r="M115" i="23"/>
  <c r="M116" i="23"/>
  <c r="M117" i="23"/>
  <c r="M118" i="23"/>
  <c r="M123" i="23"/>
  <c r="M124" i="23"/>
  <c r="M125" i="23"/>
  <c r="M119" i="23"/>
  <c r="M126" i="23"/>
  <c r="M120" i="23"/>
  <c r="M121" i="23"/>
  <c r="M122" i="23"/>
  <c r="M127" i="23"/>
  <c r="M128" i="23"/>
  <c r="M129" i="23"/>
  <c r="M132" i="23"/>
  <c r="M133" i="23"/>
  <c r="M130" i="23"/>
  <c r="M131" i="23"/>
  <c r="M134" i="23"/>
  <c r="M135" i="23"/>
  <c r="M140" i="23"/>
  <c r="M141" i="23"/>
  <c r="M142" i="23"/>
  <c r="M143" i="23"/>
  <c r="M136" i="23"/>
  <c r="M137" i="23"/>
  <c r="M138" i="23"/>
  <c r="M139" i="23"/>
  <c r="M146" i="23"/>
  <c r="M147" i="23"/>
  <c r="M144" i="23"/>
  <c r="M145" i="23"/>
  <c r="M153" i="23"/>
  <c r="M148" i="23"/>
  <c r="M149" i="23"/>
  <c r="M154" i="23"/>
  <c r="M155" i="23"/>
  <c r="M150" i="23"/>
  <c r="M156" i="23"/>
  <c r="M157" i="23"/>
  <c r="M151" i="23"/>
  <c r="M152" i="23"/>
  <c r="M158" i="23"/>
  <c r="M161" i="23"/>
  <c r="M162" i="23"/>
  <c r="M159" i="23"/>
  <c r="M163" i="23"/>
  <c r="M160" i="23"/>
  <c r="M169" i="23"/>
  <c r="M170" i="23"/>
  <c r="M171" i="23"/>
  <c r="M172" i="23"/>
  <c r="M164" i="23"/>
  <c r="M165" i="23"/>
  <c r="M173" i="23"/>
  <c r="M166" i="23"/>
  <c r="M167" i="23"/>
  <c r="M168" i="23"/>
  <c r="M174" i="23"/>
  <c r="M175" i="23"/>
  <c r="M176" i="23"/>
  <c r="M177" i="23"/>
  <c r="M182" i="23"/>
  <c r="M178" i="23"/>
  <c r="M183" i="23"/>
  <c r="M184" i="23"/>
  <c r="M179" i="23"/>
  <c r="M185" i="23"/>
  <c r="M180" i="23"/>
  <c r="M181" i="23"/>
  <c r="M186" i="23"/>
  <c r="M191" i="23"/>
  <c r="M187" i="23"/>
  <c r="M188" i="23"/>
  <c r="M192" i="23"/>
  <c r="M189" i="23"/>
  <c r="M190" i="23"/>
  <c r="M193" i="23"/>
  <c r="M194" i="23"/>
  <c r="M195" i="23"/>
  <c r="M200" i="23"/>
  <c r="M196" i="23"/>
  <c r="M201" i="23"/>
  <c r="M202" i="23"/>
  <c r="M197" i="23"/>
  <c r="M198" i="23"/>
  <c r="M199" i="23"/>
  <c r="M203" i="23"/>
  <c r="M206" i="23"/>
  <c r="M204" i="23"/>
  <c r="M207" i="23"/>
  <c r="M205" i="23"/>
  <c r="M213" i="23"/>
  <c r="M208" i="23"/>
  <c r="M214" i="23"/>
  <c r="M209" i="23"/>
  <c r="M210" i="23"/>
  <c r="M211" i="23"/>
  <c r="M215" i="23"/>
  <c r="M212" i="23"/>
  <c r="M216" i="23"/>
  <c r="M217" i="23"/>
  <c r="M218" i="23"/>
  <c r="M223" i="23"/>
  <c r="M219" i="23"/>
  <c r="M224" i="23"/>
  <c r="M225" i="23"/>
  <c r="M226" i="23"/>
  <c r="M220" i="23"/>
  <c r="M227" i="23"/>
  <c r="M221" i="23"/>
  <c r="M222" i="23"/>
  <c r="M230" i="23"/>
  <c r="M231" i="23"/>
  <c r="M228" i="23"/>
  <c r="M229" i="23"/>
  <c r="M232" i="23"/>
  <c r="M233" i="23"/>
  <c r="M236" i="23"/>
  <c r="M237" i="23"/>
  <c r="M234" i="23"/>
  <c r="M235" i="23"/>
  <c r="M238" i="23"/>
  <c r="M239" i="23"/>
  <c r="M243" i="23"/>
  <c r="M240" i="23"/>
  <c r="M244" i="23"/>
  <c r="M241" i="23"/>
  <c r="M242" i="23"/>
  <c r="M245" i="23"/>
  <c r="M246" i="23"/>
  <c r="M247" i="23"/>
  <c r="M250" i="23"/>
  <c r="M248" i="23"/>
  <c r="M251" i="23"/>
  <c r="M252" i="23"/>
  <c r="M249" i="23"/>
  <c r="M253" i="23"/>
  <c r="M258" i="23"/>
  <c r="M259" i="23"/>
  <c r="M254" i="23"/>
  <c r="M255" i="23"/>
  <c r="M256" i="23"/>
  <c r="M260" i="23"/>
  <c r="M261" i="23"/>
  <c r="M257" i="23"/>
  <c r="M265" i="23"/>
  <c r="M262" i="23"/>
  <c r="M263" i="23"/>
  <c r="M266" i="23"/>
  <c r="M267" i="23"/>
  <c r="M264" i="23"/>
  <c r="M268" i="23"/>
  <c r="M269" i="23"/>
  <c r="M272" i="23"/>
  <c r="M273" i="23"/>
  <c r="M274" i="23"/>
  <c r="M270" i="23"/>
  <c r="M271" i="23"/>
  <c r="M275" i="23"/>
  <c r="M276" i="23"/>
  <c r="M281" i="23"/>
  <c r="M277" i="23"/>
  <c r="M278" i="23"/>
  <c r="M279" i="23"/>
  <c r="M282" i="23"/>
  <c r="M283" i="23"/>
  <c r="M284" i="23"/>
  <c r="M280" i="23"/>
  <c r="M285" i="23"/>
  <c r="M289" i="23"/>
  <c r="M286" i="23"/>
  <c r="M290" i="23"/>
  <c r="M287" i="23"/>
  <c r="M288" i="23"/>
  <c r="M291" i="23"/>
  <c r="M297" i="23"/>
  <c r="M292" i="23"/>
  <c r="M298" i="23"/>
  <c r="M293" i="23"/>
  <c r="M294" i="23"/>
  <c r="M295" i="23"/>
  <c r="M296" i="23"/>
  <c r="M299" i="23"/>
  <c r="M300" i="23"/>
  <c r="M301" i="23"/>
  <c r="M305" i="23"/>
  <c r="M302" i="23"/>
  <c r="M303" i="23"/>
  <c r="M306" i="23"/>
  <c r="M304" i="23"/>
  <c r="M307" i="23"/>
  <c r="M308" i="23"/>
  <c r="M311" i="23"/>
  <c r="M309" i="23"/>
  <c r="M312" i="23"/>
  <c r="M310" i="23"/>
  <c r="M313" i="23"/>
  <c r="M314" i="23"/>
  <c r="M315" i="23"/>
  <c r="M316" i="23"/>
  <c r="M317" i="23"/>
  <c r="M318" i="23"/>
  <c r="M319" i="23"/>
  <c r="M320" i="23"/>
  <c r="M325" i="23"/>
  <c r="M321" i="23"/>
  <c r="M322" i="23"/>
  <c r="M326" i="23"/>
  <c r="M327" i="23"/>
  <c r="M328" i="23"/>
  <c r="M329" i="23"/>
  <c r="M323" i="23"/>
  <c r="M324" i="23"/>
  <c r="M330" i="23"/>
  <c r="M331" i="23"/>
  <c r="M335" i="23"/>
  <c r="M336" i="23"/>
  <c r="M332" i="23"/>
  <c r="M337" i="23"/>
  <c r="M333" i="23"/>
  <c r="M338" i="23"/>
  <c r="M339" i="23"/>
  <c r="M334" i="23"/>
  <c r="M340" i="23"/>
  <c r="M342" i="23"/>
  <c r="M341" i="23"/>
  <c r="M343" i="23"/>
  <c r="M344" i="23"/>
  <c r="M345" i="23"/>
  <c r="M348" i="23"/>
  <c r="M346" i="23"/>
  <c r="M349" i="23"/>
  <c r="M350" i="23"/>
  <c r="M351" i="23"/>
  <c r="M347" i="23"/>
  <c r="M355" i="23"/>
  <c r="M356" i="23"/>
  <c r="M352" i="23"/>
  <c r="M357" i="23"/>
  <c r="M353" i="23"/>
  <c r="M354" i="23"/>
  <c r="M364" i="23"/>
  <c r="M358" i="23"/>
  <c r="M359" i="23"/>
  <c r="M365" i="23"/>
  <c r="M360" i="23"/>
  <c r="M366" i="23"/>
  <c r="M361" i="23"/>
  <c r="M362" i="23"/>
  <c r="M367" i="23"/>
  <c r="M368" i="23"/>
  <c r="M363" i="23"/>
  <c r="M369" i="23"/>
  <c r="M373" i="23"/>
  <c r="M370" i="23"/>
  <c r="M371" i="23"/>
  <c r="M374" i="23"/>
  <c r="M375" i="23"/>
  <c r="M372" i="23"/>
  <c r="M378" i="23"/>
  <c r="M376" i="23"/>
  <c r="M379" i="23"/>
  <c r="M377" i="23"/>
  <c r="M386" i="23"/>
  <c r="M380" i="23"/>
  <c r="M381" i="23"/>
  <c r="M382" i="23"/>
  <c r="M383" i="23"/>
  <c r="M387" i="23"/>
  <c r="M384" i="23"/>
  <c r="M388" i="23"/>
  <c r="M385" i="23"/>
  <c r="M389" i="23"/>
  <c r="M390" i="23"/>
  <c r="M391" i="23"/>
  <c r="M392" i="23"/>
  <c r="M393" i="23"/>
  <c r="M394" i="23"/>
  <c r="M396" i="23"/>
  <c r="M397" i="23"/>
  <c r="M398" i="23"/>
  <c r="M395" i="23"/>
  <c r="M399" i="23"/>
  <c r="M402" i="23"/>
  <c r="M403" i="23"/>
  <c r="M400" i="23"/>
  <c r="M401" i="23"/>
  <c r="M409" i="23"/>
  <c r="M410" i="23"/>
  <c r="M411" i="23"/>
  <c r="M412" i="23"/>
  <c r="M404" i="23"/>
  <c r="M413" i="23"/>
  <c r="M405" i="23"/>
  <c r="M406" i="23"/>
  <c r="M407" i="23"/>
  <c r="M408" i="23"/>
  <c r="M418" i="23"/>
  <c r="M414" i="23"/>
  <c r="M419" i="23"/>
  <c r="M415" i="23"/>
  <c r="M416" i="23"/>
  <c r="M420" i="23"/>
  <c r="M421" i="23"/>
  <c r="M417" i="23"/>
  <c r="M422" i="23"/>
  <c r="M424" i="23"/>
  <c r="M425" i="23"/>
  <c r="M423" i="23"/>
  <c r="M431" i="23"/>
  <c r="M426" i="23"/>
  <c r="M432" i="23"/>
  <c r="M433" i="23"/>
  <c r="M427" i="23"/>
  <c r="M428" i="23"/>
  <c r="M429" i="23"/>
  <c r="M434" i="23"/>
  <c r="M430" i="23"/>
  <c r="M435" i="23"/>
  <c r="M436" i="23"/>
  <c r="M437" i="23"/>
  <c r="M440" i="23"/>
  <c r="M441" i="23"/>
  <c r="M438" i="23"/>
  <c r="M442" i="23"/>
  <c r="M439" i="23"/>
  <c r="M443" i="23"/>
  <c r="M446" i="23"/>
  <c r="M447" i="23"/>
  <c r="M444" i="23"/>
  <c r="M445" i="23"/>
  <c r="M453" i="23"/>
  <c r="M448" i="23"/>
  <c r="M449" i="23"/>
  <c r="M450" i="23"/>
  <c r="M451" i="23"/>
  <c r="M454" i="23"/>
  <c r="M455" i="23"/>
  <c r="M456" i="23"/>
  <c r="M457" i="23"/>
  <c r="M452" i="23"/>
  <c r="M461" i="23"/>
  <c r="M458" i="23"/>
  <c r="M459" i="23"/>
  <c r="M460" i="23"/>
  <c r="M462" i="23"/>
  <c r="M463" i="23"/>
  <c r="M464" i="23"/>
  <c r="M465" i="23"/>
  <c r="M468" i="23"/>
  <c r="M466" i="23"/>
  <c r="M469" i="23"/>
  <c r="M467" i="23"/>
  <c r="M470" i="23"/>
  <c r="M471" i="23"/>
  <c r="M476" i="23"/>
  <c r="M472" i="23"/>
  <c r="M477" i="23"/>
  <c r="M473" i="23"/>
  <c r="M478" i="23"/>
  <c r="M474" i="23"/>
  <c r="M479" i="23"/>
  <c r="M475" i="23"/>
  <c r="M485" i="23"/>
  <c r="M480" i="23"/>
  <c r="M481" i="23"/>
  <c r="M482" i="23"/>
  <c r="M483" i="23"/>
  <c r="M486" i="23"/>
  <c r="M487" i="23"/>
  <c r="M484" i="23"/>
  <c r="M488" i="23"/>
  <c r="M489" i="23"/>
  <c r="M492" i="23"/>
  <c r="M490" i="23"/>
  <c r="M493" i="23"/>
  <c r="M491" i="23"/>
  <c r="M494" i="23"/>
  <c r="M497" i="23"/>
  <c r="M498" i="23"/>
  <c r="M499" i="23"/>
  <c r="M495" i="23"/>
  <c r="M496" i="23"/>
  <c r="M506" i="23"/>
  <c r="M507" i="23"/>
  <c r="M500" i="23"/>
  <c r="M508" i="23"/>
  <c r="M501" i="23"/>
  <c r="M509" i="23"/>
  <c r="M510" i="23"/>
  <c r="M502" i="23"/>
  <c r="M511" i="23"/>
  <c r="M503" i="23"/>
  <c r="M504" i="23"/>
  <c r="M505" i="23"/>
  <c r="M512" i="23"/>
  <c r="M515" i="23"/>
  <c r="M513" i="23"/>
  <c r="M516" i="23"/>
  <c r="M517" i="23"/>
  <c r="M514" i="23"/>
  <c r="M518" i="23"/>
  <c r="M521" i="23"/>
  <c r="M522" i="23"/>
  <c r="M523" i="23"/>
  <c r="M519" i="23"/>
  <c r="M520" i="23"/>
  <c r="M528" i="23"/>
  <c r="M524" i="23"/>
  <c r="M529" i="23"/>
  <c r="M525" i="23"/>
  <c r="M530" i="23"/>
  <c r="M526" i="23"/>
  <c r="M527" i="23"/>
  <c r="M531" i="23"/>
  <c r="M536" i="23"/>
  <c r="M532" i="23"/>
  <c r="M537" i="23"/>
  <c r="M538" i="23"/>
  <c r="M533" i="23"/>
  <c r="M539" i="23"/>
  <c r="M534" i="23"/>
  <c r="M535" i="23"/>
  <c r="M540" i="23"/>
  <c r="M544" i="23"/>
  <c r="M541" i="23"/>
  <c r="M542" i="23"/>
  <c r="M543" i="23"/>
  <c r="M545" i="23"/>
  <c r="M546" i="23"/>
  <c r="M547" i="23"/>
  <c r="M548" i="23"/>
  <c r="M550" i="23"/>
  <c r="M549" i="23"/>
  <c r="M551" i="23"/>
  <c r="M557" i="23"/>
  <c r="M552" i="23"/>
  <c r="M553" i="23"/>
  <c r="M558" i="23"/>
  <c r="M554" i="23"/>
  <c r="M559" i="23"/>
  <c r="M555" i="23"/>
  <c r="M556" i="23"/>
  <c r="M560" i="23"/>
  <c r="M561" i="23"/>
  <c r="M566" i="23"/>
  <c r="M567" i="23"/>
  <c r="M562" i="23"/>
  <c r="M563" i="23"/>
  <c r="M564" i="23"/>
  <c r="M565" i="23"/>
  <c r="M568" i="23"/>
  <c r="M569" i="23"/>
  <c r="M570" i="23"/>
  <c r="M571" i="23"/>
  <c r="M574" i="23"/>
  <c r="M575" i="23"/>
  <c r="M572" i="23"/>
  <c r="M573" i="23"/>
  <c r="M576" i="23"/>
  <c r="M577" i="23"/>
  <c r="M578" i="23"/>
  <c r="M579" i="23"/>
  <c r="M582" i="23"/>
  <c r="M583" i="23"/>
  <c r="M580" i="23"/>
  <c r="M584" i="23"/>
  <c r="M585" i="23"/>
  <c r="M581" i="23"/>
  <c r="M586" i="23"/>
  <c r="M588" i="23"/>
  <c r="M589" i="23"/>
  <c r="M587" i="23"/>
  <c r="M595" i="23"/>
  <c r="M590" i="23"/>
  <c r="M596" i="23"/>
  <c r="M597" i="23"/>
  <c r="M598" i="23"/>
  <c r="M591" i="23"/>
  <c r="M599" i="23"/>
  <c r="M592" i="23"/>
  <c r="M593" i="23"/>
  <c r="M594" i="23"/>
  <c r="M603" i="23"/>
  <c r="M600" i="23"/>
  <c r="M604" i="23"/>
  <c r="M601" i="23"/>
  <c r="M602" i="23"/>
  <c r="M605" i="23"/>
  <c r="M610" i="23"/>
  <c r="M611" i="23"/>
  <c r="M606" i="23"/>
  <c r="M607" i="23"/>
  <c r="M608" i="23"/>
  <c r="M612" i="23"/>
  <c r="M609" i="23"/>
  <c r="M613" i="23"/>
  <c r="M618" i="23"/>
  <c r="M619" i="23"/>
  <c r="M614" i="23"/>
  <c r="M615" i="23"/>
  <c r="M616" i="23"/>
  <c r="M620" i="23"/>
  <c r="M621" i="23"/>
  <c r="M617" i="23"/>
  <c r="M622" i="23"/>
  <c r="M626" i="23"/>
  <c r="M623" i="23"/>
  <c r="M624" i="23"/>
  <c r="M627" i="23"/>
  <c r="M628" i="23"/>
  <c r="M629" i="23"/>
  <c r="M625" i="23"/>
  <c r="M632" i="23"/>
  <c r="M630" i="23"/>
  <c r="M633" i="23"/>
  <c r="M631" i="23"/>
  <c r="M638" i="23"/>
  <c r="M639" i="23"/>
  <c r="M640" i="23"/>
  <c r="M641" i="23"/>
  <c r="M634" i="23"/>
  <c r="M635" i="23"/>
  <c r="M636" i="23"/>
  <c r="M637" i="23"/>
  <c r="M646" i="23"/>
  <c r="M642" i="23"/>
  <c r="M643" i="23"/>
  <c r="M644" i="23"/>
  <c r="M647" i="23"/>
  <c r="M648" i="23"/>
  <c r="M649" i="23"/>
  <c r="M645" i="23"/>
  <c r="M650" i="23"/>
  <c r="M651" i="23"/>
  <c r="M652" i="23"/>
  <c r="M655" i="23"/>
  <c r="M656" i="23"/>
  <c r="M657" i="23"/>
  <c r="M653" i="23"/>
  <c r="M654" i="23"/>
  <c r="M658" i="23"/>
  <c r="M659" i="23"/>
  <c r="M663" i="23"/>
  <c r="M660" i="23"/>
  <c r="M664" i="23"/>
  <c r="M661" i="23"/>
  <c r="M665" i="23"/>
  <c r="M662" i="23"/>
  <c r="M666" i="23"/>
  <c r="M667" i="23"/>
  <c r="M669" i="23"/>
  <c r="M668" i="23"/>
  <c r="M670" i="23"/>
  <c r="M671" i="23"/>
  <c r="M672" i="23"/>
  <c r="M676" i="23"/>
  <c r="M677" i="23"/>
  <c r="M673" i="23"/>
  <c r="M674" i="23"/>
  <c r="M678" i="23"/>
  <c r="M675" i="23"/>
  <c r="M679" i="23"/>
  <c r="M680" i="23"/>
  <c r="M681" i="23"/>
  <c r="M685" i="23"/>
  <c r="M686" i="23"/>
  <c r="M682" i="23"/>
  <c r="M687" i="23"/>
  <c r="M688" i="23"/>
  <c r="M689" i="23"/>
  <c r="M683" i="23"/>
  <c r="M684" i="23"/>
  <c r="M690" i="23"/>
  <c r="M691" i="23"/>
  <c r="M692" i="23"/>
  <c r="M693" i="23"/>
  <c r="M699" i="23"/>
  <c r="M700" i="23"/>
  <c r="M694" i="23"/>
  <c r="M701" i="23"/>
  <c r="M695" i="23"/>
  <c r="M696" i="23"/>
  <c r="M697" i="23"/>
  <c r="M702" i="23"/>
  <c r="M703" i="23"/>
  <c r="M698" i="23"/>
  <c r="M708" i="23"/>
  <c r="M704" i="23"/>
  <c r="M705" i="23"/>
  <c r="M709" i="23"/>
  <c r="M706" i="23"/>
  <c r="M710" i="23"/>
  <c r="M707" i="23"/>
  <c r="M711" i="23"/>
  <c r="M716" i="23"/>
  <c r="M717" i="23"/>
  <c r="M712" i="23"/>
  <c r="M713" i="23"/>
  <c r="M718" i="23"/>
  <c r="M714" i="23"/>
  <c r="M715" i="23"/>
  <c r="M719" i="23"/>
  <c r="M720" i="23"/>
  <c r="M721" i="23"/>
  <c r="M722" i="23"/>
  <c r="M723" i="23"/>
  <c r="M724" i="23"/>
  <c r="M725" i="23"/>
  <c r="M730" i="23"/>
  <c r="M726" i="23"/>
  <c r="M727" i="23"/>
  <c r="M731" i="23"/>
  <c r="M728" i="23"/>
  <c r="M732" i="23"/>
  <c r="M729" i="23"/>
  <c r="M733" i="23"/>
  <c r="M734" i="23"/>
  <c r="M739" i="23"/>
  <c r="M735" i="23"/>
  <c r="M736" i="23"/>
  <c r="M740" i="23"/>
  <c r="M741" i="23"/>
  <c r="M737" i="23"/>
  <c r="M742" i="23"/>
  <c r="M738" i="23"/>
  <c r="M743" i="23"/>
  <c r="M744" i="23"/>
  <c r="M747" i="23"/>
  <c r="M748" i="23"/>
  <c r="M745" i="23"/>
  <c r="M749" i="23"/>
  <c r="M746" i="23"/>
  <c r="M750" i="23"/>
  <c r="M751" i="23"/>
  <c r="M753" i="23"/>
  <c r="M754" i="23"/>
  <c r="M752" i="23"/>
  <c r="M755" i="23"/>
  <c r="M760" i="23"/>
  <c r="M756" i="23"/>
  <c r="M761" i="23"/>
  <c r="M762" i="23"/>
  <c r="M757" i="23"/>
  <c r="M758" i="23"/>
  <c r="M759" i="23"/>
  <c r="M763" i="23"/>
  <c r="M767" i="23"/>
  <c r="M764" i="23"/>
  <c r="M765" i="23"/>
  <c r="M766" i="23"/>
  <c r="M768" i="23"/>
  <c r="M769" i="23"/>
  <c r="M774" i="23"/>
  <c r="M770" i="23"/>
  <c r="M775" i="23"/>
  <c r="M771" i="23"/>
  <c r="M772" i="23"/>
  <c r="M776" i="23"/>
  <c r="M773" i="23"/>
  <c r="M777" i="23"/>
  <c r="M783" i="23"/>
  <c r="M778" i="23"/>
  <c r="M779" i="23"/>
  <c r="M780" i="23"/>
  <c r="M781" i="23"/>
  <c r="M784" i="23"/>
  <c r="M785" i="23"/>
  <c r="M786" i="23"/>
  <c r="M787" i="23"/>
  <c r="M782" i="23"/>
  <c r="M791" i="23"/>
  <c r="M788" i="23"/>
  <c r="M789" i="23"/>
  <c r="M792" i="23"/>
  <c r="M793" i="23"/>
  <c r="M790" i="23"/>
  <c r="M797" i="23"/>
  <c r="M794" i="23"/>
  <c r="M798" i="23"/>
  <c r="M799" i="23"/>
  <c r="M795" i="23"/>
  <c r="M796" i="23"/>
  <c r="M800" i="23"/>
  <c r="M803" i="23"/>
  <c r="M801" i="23"/>
  <c r="M804" i="23"/>
  <c r="M802" i="23"/>
  <c r="M805" i="23"/>
  <c r="M806" i="23"/>
  <c r="M811" i="23"/>
  <c r="M812" i="23"/>
  <c r="M807" i="23"/>
  <c r="M808" i="23"/>
  <c r="M813" i="23"/>
  <c r="M809" i="23"/>
  <c r="M814" i="23"/>
  <c r="M810" i="23"/>
  <c r="M815" i="23"/>
  <c r="M816" i="23"/>
  <c r="M817" i="23"/>
  <c r="M819" i="23"/>
  <c r="M818" i="23"/>
  <c r="M820" i="23"/>
  <c r="M821" i="23"/>
  <c r="M822" i="23"/>
  <c r="M828" i="23"/>
  <c r="M829" i="23"/>
  <c r="M830" i="23"/>
  <c r="M831" i="23"/>
  <c r="M823" i="23"/>
  <c r="M824" i="23"/>
  <c r="M825" i="23"/>
  <c r="M832" i="23"/>
  <c r="M826" i="23"/>
  <c r="M827" i="23"/>
  <c r="M833" i="23"/>
  <c r="M834" i="23"/>
  <c r="M835" i="23"/>
  <c r="M841" i="23"/>
  <c r="M842" i="23"/>
  <c r="M843" i="23"/>
  <c r="M844" i="23"/>
  <c r="M836" i="23"/>
  <c r="M837" i="23"/>
  <c r="M845" i="23"/>
  <c r="M838" i="23"/>
  <c r="M839" i="23"/>
  <c r="M840" i="23"/>
  <c r="M846" i="23"/>
  <c r="M847" i="23"/>
  <c r="M850" i="23"/>
  <c r="M851" i="23"/>
  <c r="M848" i="23"/>
  <c r="M852" i="23"/>
  <c r="M849" i="23"/>
  <c r="M853" i="23"/>
  <c r="M854" i="23"/>
  <c r="M857" i="23"/>
  <c r="M858" i="23"/>
  <c r="M859" i="23"/>
  <c r="M855" i="23"/>
  <c r="M856" i="23"/>
  <c r="M860" i="23"/>
  <c r="M861" i="23"/>
  <c r="M864" i="23"/>
  <c r="M865" i="23"/>
  <c r="M862" i="23"/>
  <c r="M866" i="23"/>
  <c r="M867" i="23"/>
  <c r="M863" i="23"/>
  <c r="M871" i="23"/>
  <c r="M868" i="23"/>
  <c r="M869" i="23"/>
  <c r="M870" i="23"/>
  <c r="M872" i="23"/>
  <c r="M873" i="23"/>
  <c r="M874" i="23"/>
  <c r="M878" i="23"/>
  <c r="M875" i="23"/>
  <c r="M879" i="23"/>
  <c r="M876" i="23"/>
  <c r="M880" i="23"/>
  <c r="M881" i="23"/>
  <c r="M877" i="23"/>
  <c r="M888" i="23"/>
  <c r="M882" i="23"/>
  <c r="M883" i="23"/>
  <c r="M889" i="23"/>
  <c r="M890" i="23"/>
  <c r="M891" i="23"/>
  <c r="M884" i="23"/>
  <c r="M885" i="23"/>
  <c r="M886" i="23"/>
  <c r="M892" i="23"/>
  <c r="M887" i="23"/>
  <c r="M893" i="23"/>
  <c r="M894" i="23"/>
  <c r="M897" i="23"/>
  <c r="M898" i="23"/>
  <c r="M895" i="23"/>
  <c r="M896" i="23"/>
  <c r="M899" i="23"/>
  <c r="M900" i="23"/>
  <c r="M901" i="23"/>
  <c r="M903" i="23"/>
  <c r="M904" i="23"/>
  <c r="M902" i="23"/>
  <c r="M905" i="23"/>
  <c r="M909" i="23"/>
  <c r="M910" i="23"/>
  <c r="M906" i="23"/>
  <c r="M911" i="23"/>
  <c r="M907" i="23"/>
  <c r="M908" i="23"/>
  <c r="M912" i="23"/>
  <c r="M917" i="23"/>
  <c r="M918" i="23"/>
  <c r="M919" i="23"/>
  <c r="M913" i="23"/>
  <c r="M914" i="23"/>
  <c r="M920" i="23"/>
  <c r="M915" i="23"/>
  <c r="M921" i="23"/>
  <c r="M916" i="23"/>
  <c r="M922" i="23"/>
  <c r="M924" i="23"/>
  <c r="M925" i="23"/>
  <c r="M923" i="23"/>
  <c r="M926" i="23"/>
  <c r="M930" i="23"/>
  <c r="M927" i="23"/>
  <c r="M928" i="23"/>
  <c r="M929" i="23"/>
  <c r="M931" i="23"/>
  <c r="M932" i="23"/>
  <c r="M933" i="23"/>
  <c r="M934" i="23"/>
  <c r="M935" i="23"/>
  <c r="M936" i="23"/>
  <c r="M939" i="23"/>
  <c r="M940" i="23"/>
  <c r="M941" i="23"/>
  <c r="M937" i="23"/>
  <c r="M942" i="23"/>
  <c r="M938" i="23"/>
  <c r="M943" i="23"/>
  <c r="M948" i="23"/>
  <c r="M944" i="23"/>
  <c r="M945" i="23"/>
  <c r="M949" i="23"/>
  <c r="M950" i="23"/>
  <c r="M946" i="23"/>
  <c r="M951" i="23"/>
  <c r="M947" i="23"/>
  <c r="M952" i="23"/>
  <c r="M956" i="23"/>
  <c r="M957" i="23"/>
  <c r="M958" i="23"/>
  <c r="M953" i="23"/>
  <c r="M954" i="23"/>
  <c r="M955" i="23"/>
  <c r="M959" i="23"/>
  <c r="M962" i="23"/>
  <c r="M963" i="23"/>
  <c r="M960" i="23"/>
  <c r="M961" i="23"/>
  <c r="M964" i="23"/>
  <c r="M965" i="23"/>
  <c r="M969" i="23"/>
  <c r="M970" i="23"/>
  <c r="M966" i="23"/>
  <c r="M971" i="23"/>
  <c r="M972" i="23"/>
  <c r="M973" i="23"/>
  <c r="M967" i="23"/>
  <c r="M968" i="23"/>
  <c r="M978" i="23"/>
  <c r="M979" i="23"/>
  <c r="M980" i="23"/>
  <c r="M974" i="23"/>
  <c r="M975" i="23"/>
  <c r="M981" i="23"/>
  <c r="M976" i="23"/>
  <c r="M977" i="23"/>
  <c r="M985" i="23"/>
  <c r="M986" i="23"/>
  <c r="M982" i="23"/>
  <c r="M987" i="23"/>
  <c r="M983" i="23"/>
  <c r="M984" i="23"/>
  <c r="M988" i="23"/>
  <c r="M991" i="23"/>
  <c r="M992" i="23"/>
  <c r="M993" i="23"/>
  <c r="M989" i="23"/>
  <c r="M990" i="23"/>
  <c r="M994" i="23"/>
  <c r="M999" i="23"/>
  <c r="M995" i="23"/>
  <c r="M996" i="23"/>
  <c r="M1000" i="23"/>
  <c r="M1001" i="23"/>
  <c r="M1002" i="23"/>
  <c r="M997" i="23"/>
  <c r="M998" i="23"/>
  <c r="M1003" i="23"/>
  <c r="M1007" i="23"/>
  <c r="M1004" i="23"/>
  <c r="M1005" i="23"/>
  <c r="M1008" i="23"/>
  <c r="M1009" i="23"/>
  <c r="M1006" i="23"/>
  <c r="M1014" i="23"/>
  <c r="M1010" i="23"/>
  <c r="M1011" i="23"/>
  <c r="M1015" i="23"/>
  <c r="M1016" i="23"/>
  <c r="M1012" i="23"/>
  <c r="M1017" i="23"/>
  <c r="M1013" i="23"/>
  <c r="M1023" i="23"/>
  <c r="M1024" i="23"/>
  <c r="M1018" i="23"/>
  <c r="M1019" i="23"/>
  <c r="M1025" i="23"/>
  <c r="M1020" i="23"/>
  <c r="M1026" i="23"/>
  <c r="M1027" i="23"/>
  <c r="M1021" i="23"/>
  <c r="M1022" i="23"/>
  <c r="M1032" i="23"/>
  <c r="M1033" i="23"/>
  <c r="M1028" i="23"/>
  <c r="M1034" i="23"/>
  <c r="M1029" i="23"/>
  <c r="M1035" i="23"/>
  <c r="M1030" i="23"/>
  <c r="M1031" i="23"/>
  <c r="M1036" i="23"/>
  <c r="M1037" i="23"/>
  <c r="M1038" i="23"/>
  <c r="M1043" i="23"/>
  <c r="M1044" i="23"/>
  <c r="M1045" i="23"/>
  <c r="M1039" i="23"/>
  <c r="M1040" i="23"/>
  <c r="M1041" i="23"/>
  <c r="M1046" i="23"/>
  <c r="M1047" i="23"/>
  <c r="M1042" i="23"/>
  <c r="M1048" i="23"/>
  <c r="M1051" i="23"/>
  <c r="M1049" i="23"/>
  <c r="M1050" i="23"/>
  <c r="M1052" i="23"/>
  <c r="M1053" i="23"/>
  <c r="M1054" i="23"/>
  <c r="M1059" i="23"/>
  <c r="M1060" i="23"/>
  <c r="M1061" i="23"/>
  <c r="M1055" i="23"/>
  <c r="M1062" i="23"/>
  <c r="M1056" i="23"/>
  <c r="M1057" i="23"/>
  <c r="M1063" i="23"/>
  <c r="M1058" i="23"/>
  <c r="M1064" i="23"/>
  <c r="M1066" i="23"/>
  <c r="M1065" i="23"/>
  <c r="M1067" i="23"/>
  <c r="M1068" i="23"/>
  <c r="M1073" i="23"/>
  <c r="M1074" i="23"/>
  <c r="M1075" i="23"/>
  <c r="M1076" i="23"/>
  <c r="M1077" i="23"/>
  <c r="M1069" i="23"/>
  <c r="M1070" i="23"/>
  <c r="M1071" i="23"/>
  <c r="M1072" i="23"/>
  <c r="M1082" i="23"/>
  <c r="M1078" i="23"/>
  <c r="M1083" i="23"/>
  <c r="M1079" i="23"/>
  <c r="M1084" i="23"/>
  <c r="M1080" i="23"/>
  <c r="M1081" i="23"/>
  <c r="M1085" i="23"/>
  <c r="M1091" i="23"/>
  <c r="M1086" i="23"/>
  <c r="M1092" i="23"/>
  <c r="M1093" i="23"/>
  <c r="M1087" i="23"/>
  <c r="M1088" i="23"/>
  <c r="M1089" i="23"/>
  <c r="M1094" i="23"/>
  <c r="M1095" i="23"/>
  <c r="M1090" i="23"/>
  <c r="M1098" i="23"/>
  <c r="M1096" i="23"/>
  <c r="M1099" i="23"/>
  <c r="M1097" i="23"/>
  <c r="M1104" i="23"/>
  <c r="M1105" i="23"/>
  <c r="M1100" i="23"/>
  <c r="M1101" i="23"/>
  <c r="M1106" i="23"/>
  <c r="M1102" i="23"/>
  <c r="M1103" i="23"/>
  <c r="M1107" i="23"/>
  <c r="M1113" i="23"/>
  <c r="M1108" i="23"/>
  <c r="M1114" i="23"/>
  <c r="M1115" i="23"/>
  <c r="M1109" i="23"/>
  <c r="M1116" i="23"/>
  <c r="M1110" i="23"/>
  <c r="M1111" i="23"/>
  <c r="M1117" i="23"/>
  <c r="M1112" i="23"/>
  <c r="M1118" i="23"/>
  <c r="M1120" i="23"/>
  <c r="M1119" i="23"/>
  <c r="M1121" i="23"/>
  <c r="M1122" i="23"/>
  <c r="M1123" i="23"/>
  <c r="M1126" i="23"/>
  <c r="M1127" i="23"/>
  <c r="M1128" i="23"/>
  <c r="M1124" i="23"/>
  <c r="M1125" i="23"/>
  <c r="M1129" i="23"/>
  <c r="M1135" i="23"/>
  <c r="M1136" i="23"/>
  <c r="M1137" i="23"/>
  <c r="M1138" i="23"/>
  <c r="M1130" i="23"/>
  <c r="M1131" i="23"/>
  <c r="M1132" i="23"/>
  <c r="M1133" i="23"/>
  <c r="M1134" i="23"/>
  <c r="M1139" i="23"/>
  <c r="M1140" i="23"/>
  <c r="M1143" i="23"/>
  <c r="M1144" i="23"/>
  <c r="M1141" i="23"/>
  <c r="M1145" i="23"/>
  <c r="M1142" i="23"/>
  <c r="M1146" i="23"/>
  <c r="M1147" i="23"/>
  <c r="M1149" i="23"/>
  <c r="M1150" i="23"/>
  <c r="M1151" i="23"/>
  <c r="M1148" i="23"/>
  <c r="M1152" i="23"/>
  <c r="M1156" i="23"/>
  <c r="M1153" i="23"/>
  <c r="M1154" i="23"/>
  <c r="M1155" i="23"/>
  <c r="M1157" i="23"/>
  <c r="M1158" i="23"/>
  <c r="M1159" i="23"/>
  <c r="M1164" i="23"/>
  <c r="M1160" i="23"/>
  <c r="M1165" i="23"/>
  <c r="M1161" i="23"/>
  <c r="M1162" i="23"/>
  <c r="M1163" i="23"/>
  <c r="M1166" i="23"/>
  <c r="M1167" i="23"/>
  <c r="M1173" i="23"/>
  <c r="M1174" i="23"/>
  <c r="M1168" i="23"/>
  <c r="M1169" i="23"/>
  <c r="M1175" i="23"/>
  <c r="M1170" i="23"/>
  <c r="M1171" i="23"/>
  <c r="M1176" i="23"/>
  <c r="M1177" i="23"/>
  <c r="M1172" i="23"/>
  <c r="M1178" i="23"/>
  <c r="M1180" i="23"/>
  <c r="M1181" i="23"/>
  <c r="M1179" i="23"/>
  <c r="M1182" i="23"/>
  <c r="M1187" i="23"/>
  <c r="M1188" i="23"/>
  <c r="M1183" i="23"/>
  <c r="M1184" i="23"/>
  <c r="M1185" i="23"/>
  <c r="M1189" i="23"/>
  <c r="M1186" i="23"/>
  <c r="M1190" i="23"/>
  <c r="M1191" i="23"/>
  <c r="M1194" i="23"/>
  <c r="M1192" i="23"/>
  <c r="M1195" i="23"/>
  <c r="M1193" i="23"/>
  <c r="M1196" i="23"/>
  <c r="M1202" i="23"/>
  <c r="M1203" i="23"/>
  <c r="M1197" i="23"/>
  <c r="M1204" i="23"/>
  <c r="M1198" i="23"/>
  <c r="M1199" i="23"/>
  <c r="M1205" i="23"/>
  <c r="M1200" i="23"/>
  <c r="M1206" i="23"/>
  <c r="M1207" i="23"/>
  <c r="M1201" i="23"/>
  <c r="M1209" i="23"/>
  <c r="M1208" i="23"/>
  <c r="M1215" i="23"/>
  <c r="M1216" i="23"/>
  <c r="M1217" i="23"/>
  <c r="M1210" i="23"/>
  <c r="M1218" i="23"/>
  <c r="M1219" i="23"/>
  <c r="M1211" i="23"/>
  <c r="M1212" i="23"/>
  <c r="M1213" i="23"/>
  <c r="M1214" i="23"/>
  <c r="M1223" i="23"/>
  <c r="M1220" i="23"/>
  <c r="M1221" i="23"/>
  <c r="M1224" i="23"/>
  <c r="M1225" i="23"/>
  <c r="M1222" i="23"/>
  <c r="M1231" i="23"/>
  <c r="M1232" i="23"/>
  <c r="M1226" i="23"/>
  <c r="M1227" i="23"/>
  <c r="M1233" i="23"/>
  <c r="M1228" i="23"/>
  <c r="M1234" i="23"/>
  <c r="M1235" i="23"/>
  <c r="M1229" i="23"/>
  <c r="M1230" i="23"/>
  <c r="M1240" i="23"/>
  <c r="M1236" i="23"/>
  <c r="M1237" i="23"/>
  <c r="M1241" i="23"/>
  <c r="M1238" i="23"/>
  <c r="M1242" i="23"/>
  <c r="M1243" i="23"/>
  <c r="M1239" i="23"/>
  <c r="M1247" i="23"/>
  <c r="M1248" i="23"/>
  <c r="M1244" i="23"/>
  <c r="M1245" i="23"/>
  <c r="M1246" i="23"/>
  <c r="M1249" i="23"/>
  <c r="M1254" i="23"/>
  <c r="M1250" i="23"/>
  <c r="M1255" i="23"/>
  <c r="M1251" i="23"/>
  <c r="M1252" i="23"/>
  <c r="M1256" i="23"/>
  <c r="M1253" i="23"/>
  <c r="M1257" i="23"/>
  <c r="M1263" i="23"/>
  <c r="M1258" i="23"/>
  <c r="M1264" i="23"/>
  <c r="M1265" i="23"/>
  <c r="M1266" i="23"/>
  <c r="M1259" i="23"/>
  <c r="M1260" i="23"/>
  <c r="M1267" i="23"/>
  <c r="M1261" i="23"/>
  <c r="M1262" i="23"/>
  <c r="M1269" i="23"/>
  <c r="M1268" i="23"/>
  <c r="M1274" i="23"/>
  <c r="M1270" i="23"/>
  <c r="M1271" i="23"/>
  <c r="M1275" i="23"/>
  <c r="M1276" i="23"/>
  <c r="M1272" i="23"/>
  <c r="M1273" i="23"/>
  <c r="M1277" i="23"/>
  <c r="M1278" i="23"/>
  <c r="M1279" i="23"/>
  <c r="M1284" i="23"/>
  <c r="M1280" i="23"/>
  <c r="M1285" i="23"/>
  <c r="M1286" i="23"/>
  <c r="M1287" i="23"/>
  <c r="M1281" i="23"/>
  <c r="M1282" i="23"/>
  <c r="M1288" i="23"/>
  <c r="M1289" i="23"/>
  <c r="M1283" i="23"/>
  <c r="M1293" i="23"/>
  <c r="M1294" i="23"/>
  <c r="M1295" i="23"/>
  <c r="M1290" i="23"/>
  <c r="M1291" i="23"/>
  <c r="M1292" i="23"/>
  <c r="M1296" i="23"/>
  <c r="M1298" i="23"/>
  <c r="M1297" i="23"/>
  <c r="M1299" i="23"/>
  <c r="M1306" i="23"/>
  <c r="M1307" i="23"/>
  <c r="M1300" i="23"/>
  <c r="M1308" i="23"/>
  <c r="M1309" i="23"/>
  <c r="M1310" i="23"/>
  <c r="M1301" i="23"/>
  <c r="M1302" i="23"/>
  <c r="M1311" i="23"/>
  <c r="M1303" i="23"/>
  <c r="M1304" i="23"/>
  <c r="M1305" i="23"/>
  <c r="M1312" i="23"/>
  <c r="M1315" i="23"/>
  <c r="M1316" i="23"/>
  <c r="M1313" i="23"/>
  <c r="M1317" i="23"/>
  <c r="M1314" i="23"/>
  <c r="M1321" i="23"/>
  <c r="M1322" i="23"/>
  <c r="M1318" i="23"/>
  <c r="M1319" i="23"/>
  <c r="M1320" i="23"/>
  <c r="M1323" i="23"/>
  <c r="M1324" i="23"/>
  <c r="M1329" i="23"/>
  <c r="M1325" i="23"/>
  <c r="M1330" i="23"/>
  <c r="M1326" i="23"/>
  <c r="M1327" i="23"/>
  <c r="M1331" i="23"/>
  <c r="M1332" i="23"/>
  <c r="M1333" i="23"/>
  <c r="M1328" i="23"/>
  <c r="M1334" i="23"/>
  <c r="M1338" i="23"/>
  <c r="M1339" i="23"/>
  <c r="M1335" i="23"/>
  <c r="M1340" i="23"/>
  <c r="M1341" i="23"/>
  <c r="M1336" i="23"/>
  <c r="M1337" i="23"/>
  <c r="M1345" i="23"/>
  <c r="M1346" i="23"/>
  <c r="M1347" i="23"/>
  <c r="M1342" i="23"/>
  <c r="M1343" i="23"/>
  <c r="M1344" i="23"/>
  <c r="M1348" i="23"/>
  <c r="M1350" i="23"/>
  <c r="M1349" i="23"/>
  <c r="M1351" i="23"/>
  <c r="M1352" i="23"/>
  <c r="M1357" i="23"/>
  <c r="M1353" i="23"/>
  <c r="M1354" i="23"/>
  <c r="M1355" i="23"/>
  <c r="M1358" i="23"/>
  <c r="M1359" i="23"/>
  <c r="M1356" i="23"/>
  <c r="M1360" i="23"/>
  <c r="M1361" i="23"/>
  <c r="M1365" i="23"/>
  <c r="M1366" i="23"/>
  <c r="M1367" i="23"/>
  <c r="M1362" i="23"/>
  <c r="M1363" i="23"/>
  <c r="M1364" i="23"/>
  <c r="M1368" i="23"/>
  <c r="M1369" i="23"/>
  <c r="M1372" i="23"/>
  <c r="M1373" i="23"/>
  <c r="M1370" i="23"/>
  <c r="M1371" i="23"/>
  <c r="M1374" i="23"/>
  <c r="M1375" i="23"/>
  <c r="M1381" i="23"/>
  <c r="M1382" i="23"/>
  <c r="M1383" i="23"/>
  <c r="M1384" i="23"/>
  <c r="M1385" i="23"/>
  <c r="M1376" i="23"/>
  <c r="M1377" i="23"/>
  <c r="M1378" i="23"/>
  <c r="M1379" i="23"/>
  <c r="M1380" i="23"/>
  <c r="M1386" i="23"/>
  <c r="M1387" i="23"/>
  <c r="M1390" i="23"/>
  <c r="M1391" i="23"/>
  <c r="M1392" i="23"/>
  <c r="M1393" i="23"/>
  <c r="M1388" i="23"/>
  <c r="M1389" i="23"/>
  <c r="M1397" i="23"/>
  <c r="M1398" i="23"/>
  <c r="M1394" i="23"/>
  <c r="M1395" i="23"/>
  <c r="M1399" i="23"/>
  <c r="M1396" i="23"/>
  <c r="M1405" i="23"/>
  <c r="M1406" i="23"/>
  <c r="M1400" i="23"/>
  <c r="M1401" i="23"/>
  <c r="M1402" i="23"/>
  <c r="M1403" i="23"/>
  <c r="M1407" i="23"/>
  <c r="M1408" i="23"/>
  <c r="M1404" i="23"/>
  <c r="M1409" i="23"/>
  <c r="M1410" i="23"/>
  <c r="M1411" i="23"/>
  <c r="M1416" i="23"/>
  <c r="M1412" i="23"/>
  <c r="M1417" i="23"/>
  <c r="M1413" i="23"/>
  <c r="M1418" i="23"/>
  <c r="M1419" i="23"/>
  <c r="M1414" i="23"/>
  <c r="M1415" i="23"/>
  <c r="M1424" i="23"/>
  <c r="M1420" i="23"/>
  <c r="M1421" i="23"/>
  <c r="M1422" i="23"/>
  <c r="M1425" i="23"/>
  <c r="M1426" i="23"/>
  <c r="M1427" i="23"/>
  <c r="M1423" i="23"/>
  <c r="M1428" i="23"/>
  <c r="M1429" i="23"/>
  <c r="M1430" i="23"/>
  <c r="M1432" i="23"/>
  <c r="M1433" i="23"/>
  <c r="M1431" i="23"/>
  <c r="M1434" i="23"/>
  <c r="M1435" i="23"/>
  <c r="M1436" i="23"/>
  <c r="M1437" i="23"/>
  <c r="M1438" i="23"/>
  <c r="M1439" i="23"/>
  <c r="M1440" i="23"/>
  <c r="M1441" i="23"/>
  <c r="M1442" i="23"/>
  <c r="M1443" i="23"/>
  <c r="M1444" i="23"/>
  <c r="M1448" i="23"/>
  <c r="M1445" i="23"/>
  <c r="M1449" i="23"/>
  <c r="M1446" i="23"/>
  <c r="M1447" i="23"/>
  <c r="M1450" i="23"/>
  <c r="M1451" i="23"/>
  <c r="M1455" i="23"/>
  <c r="M1452" i="23"/>
  <c r="M1453" i="23"/>
  <c r="M1456" i="23"/>
  <c r="M1454" i="23"/>
  <c r="M1457" i="23"/>
  <c r="M1462" i="23"/>
  <c r="M1463" i="23"/>
  <c r="M1458" i="23"/>
  <c r="M1464" i="23"/>
  <c r="M1459" i="23"/>
  <c r="M1465" i="23"/>
  <c r="M1460" i="23"/>
  <c r="M1461" i="23"/>
  <c r="M1466" i="23"/>
  <c r="M1471" i="23"/>
  <c r="M1467" i="23"/>
  <c r="M1472" i="23"/>
  <c r="M1473" i="23"/>
  <c r="M1468" i="23"/>
  <c r="M1469" i="23"/>
  <c r="M1470" i="23"/>
  <c r="M1474" i="23"/>
  <c r="M1475" i="23"/>
  <c r="M1476" i="23"/>
  <c r="M1477" i="23"/>
  <c r="M1478" i="23"/>
  <c r="M1479" i="23"/>
  <c r="M1480" i="23"/>
  <c r="M1484" i="23"/>
  <c r="M1485" i="23"/>
  <c r="M1481" i="23"/>
  <c r="M1486" i="23"/>
  <c r="M1482" i="23"/>
  <c r="M1487" i="23"/>
  <c r="M1483" i="23"/>
  <c r="M1492" i="23"/>
  <c r="M1488" i="23"/>
  <c r="M1489" i="23"/>
  <c r="M1493" i="23"/>
  <c r="M1490" i="23"/>
  <c r="M1494" i="23"/>
  <c r="M1495" i="23"/>
  <c r="M1491" i="23"/>
  <c r="M1496" i="23"/>
  <c r="M5" i="23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163" i="2"/>
  <c r="D725" i="2"/>
  <c r="D639" i="2"/>
  <c r="D595" i="2"/>
  <c r="D541" i="2"/>
  <c r="D589" i="2"/>
  <c r="D719" i="2"/>
  <c r="D694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H44" i="23" s="1"/>
  <c r="C11" i="4"/>
  <c r="C9" i="4"/>
  <c r="C7" i="4"/>
  <c r="H21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2" i="23" l="1"/>
  <c r="H27" i="23"/>
  <c r="H9" i="23"/>
  <c r="H3" i="23"/>
  <c r="H25" i="23"/>
  <c r="H17" i="23"/>
  <c r="H7" i="23"/>
  <c r="H32" i="23"/>
  <c r="H5" i="23"/>
  <c r="H36" i="23"/>
  <c r="H11" i="23"/>
  <c r="H37" i="23"/>
  <c r="H16" i="23"/>
  <c r="H24" i="23"/>
  <c r="H22" i="23"/>
  <c r="H10" i="23"/>
  <c r="H19" i="23"/>
  <c r="H26" i="23"/>
  <c r="H35" i="23"/>
  <c r="H18" i="23"/>
  <c r="I12" i="4"/>
  <c r="I8" i="4"/>
  <c r="I6" i="4"/>
  <c r="I4" i="4"/>
  <c r="M13" i="4"/>
  <c r="I10" i="4"/>
  <c r="I2" i="4"/>
  <c r="M5" i="4"/>
  <c r="H42" i="23"/>
  <c r="G11" i="4"/>
  <c r="H31" i="23"/>
  <c r="H33" i="23"/>
  <c r="H34" i="23"/>
  <c r="D3" i="4"/>
  <c r="H12" i="23"/>
  <c r="H6" i="23"/>
  <c r="H30" i="23"/>
  <c r="B5" i="4"/>
  <c r="H13" i="23"/>
  <c r="H8" i="23"/>
  <c r="F7" i="4"/>
  <c r="H15" i="23"/>
  <c r="H29" i="23"/>
  <c r="H28" i="23"/>
  <c r="H14" i="23"/>
  <c r="D9" i="4"/>
  <c r="H23" i="23"/>
  <c r="H20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2" i="2"/>
  <c r="D24" i="2"/>
  <c r="D40" i="2"/>
  <c r="D46" i="2"/>
  <c r="D60" i="2"/>
  <c r="D68" i="2"/>
  <c r="D84" i="2"/>
  <c r="D98" i="2"/>
  <c r="D106" i="2"/>
  <c r="D124" i="2"/>
  <c r="D136" i="2"/>
  <c r="D146" i="2"/>
  <c r="D156" i="2"/>
  <c r="D162" i="2"/>
  <c r="D178" i="2"/>
  <c r="D182" i="2"/>
  <c r="D198" i="2"/>
  <c r="D214" i="2"/>
  <c r="D223" i="2"/>
  <c r="D231" i="2"/>
  <c r="D237" i="2"/>
  <c r="D251" i="2"/>
  <c r="D261" i="2"/>
  <c r="D276" i="2"/>
  <c r="D282" i="2"/>
  <c r="D297" i="2"/>
  <c r="D307" i="2"/>
  <c r="D308" i="2"/>
  <c r="D323" i="2"/>
  <c r="D334" i="2"/>
  <c r="D343" i="2"/>
  <c r="D357" i="2"/>
  <c r="D366" i="2"/>
  <c r="D388" i="2"/>
  <c r="D402" i="2"/>
  <c r="D410" i="2"/>
  <c r="D430" i="2"/>
  <c r="D436" i="2"/>
  <c r="D450" i="2"/>
  <c r="D472" i="2"/>
  <c r="D477" i="2"/>
  <c r="D494" i="2"/>
  <c r="D507" i="2"/>
  <c r="D523" i="2"/>
  <c r="D542" i="2"/>
  <c r="D565" i="2"/>
  <c r="D582" i="2"/>
  <c r="D587" i="2"/>
  <c r="D607" i="2"/>
  <c r="D12" i="2"/>
  <c r="D8" i="2"/>
  <c r="D113" i="2"/>
  <c r="D578" i="2"/>
  <c r="D189" i="2"/>
  <c r="D676" i="2"/>
  <c r="D691" i="2"/>
  <c r="D599" i="2"/>
  <c r="D594" i="2"/>
  <c r="D455" i="2"/>
  <c r="D621" i="2"/>
  <c r="D734" i="2"/>
  <c r="D660" i="2"/>
  <c r="D20" i="2"/>
  <c r="D452" i="2"/>
  <c r="D741" i="2"/>
  <c r="D128" i="2"/>
  <c r="D167" i="2"/>
  <c r="D546" i="2"/>
  <c r="D140" i="2"/>
  <c r="D312" i="2"/>
  <c r="D545" i="2"/>
  <c r="D75" i="2"/>
  <c r="D758" i="2"/>
  <c r="D459" i="2"/>
  <c r="D716" i="2"/>
  <c r="D559" i="2"/>
  <c r="D561" i="2"/>
  <c r="D509" i="2"/>
  <c r="D348" i="2"/>
  <c r="D604" i="2"/>
  <c r="D517" i="2"/>
  <c r="D339" i="2"/>
  <c r="D611" i="2"/>
  <c r="D115" i="2"/>
  <c r="D318" i="2"/>
  <c r="D626" i="2"/>
  <c r="D330" i="2"/>
  <c r="D164" i="2"/>
  <c r="D562" i="2"/>
  <c r="D730" i="2"/>
  <c r="D540" i="2"/>
  <c r="D723" i="2"/>
  <c r="D263" i="2"/>
  <c r="D122" i="2"/>
  <c r="D554" i="2"/>
  <c r="D94" i="2"/>
  <c r="D117" i="2"/>
  <c r="D279" i="2"/>
  <c r="D389" i="2"/>
  <c r="D155" i="2"/>
  <c r="D370" i="2"/>
  <c r="D340" i="2"/>
  <c r="D353" i="2"/>
  <c r="D487" i="2"/>
  <c r="D503" i="2"/>
  <c r="D352" i="2"/>
  <c r="D132" i="2"/>
  <c r="D346" i="2"/>
  <c r="D539" i="2"/>
  <c r="D627" i="2"/>
  <c r="D608" i="2"/>
  <c r="D30" i="2"/>
  <c r="D275" i="2"/>
  <c r="D3" i="2"/>
  <c r="D34" i="2"/>
  <c r="D72" i="2"/>
  <c r="D188" i="2"/>
  <c r="D6" i="2"/>
  <c r="D150" i="2"/>
  <c r="D615" i="2"/>
  <c r="D558" i="2"/>
  <c r="D519" i="2"/>
  <c r="D633" i="2"/>
  <c r="D190" i="2"/>
  <c r="D174" i="2"/>
  <c r="D577" i="2"/>
  <c r="D86" i="2"/>
  <c r="D622" i="2"/>
  <c r="D365" i="2"/>
  <c r="D110" i="2"/>
  <c r="D632" i="2"/>
  <c r="D443" i="2"/>
  <c r="D448" i="2"/>
  <c r="D233" i="2"/>
  <c r="D382" i="2"/>
  <c r="D419" i="2"/>
  <c r="D289" i="2"/>
  <c r="D306" i="2"/>
  <c r="D21" i="2"/>
  <c r="D363" i="2"/>
  <c r="D350" i="2"/>
  <c r="D420" i="2"/>
  <c r="D22" i="2"/>
  <c r="D488" i="2"/>
  <c r="D147" i="2"/>
  <c r="D154" i="2"/>
  <c r="D23" i="2"/>
  <c r="D535" i="2"/>
  <c r="D673" i="2"/>
  <c r="D551" i="2"/>
  <c r="D623" i="2"/>
  <c r="D29" i="2"/>
  <c r="D57" i="2"/>
  <c r="D571" i="2"/>
  <c r="D268" i="2"/>
  <c r="D54" i="2"/>
  <c r="D196" i="2"/>
  <c r="D321" i="2"/>
  <c r="D603" i="2"/>
  <c r="D285" i="2"/>
  <c r="D581" i="2"/>
  <c r="D53" i="2"/>
  <c r="D361" i="2"/>
  <c r="D698" i="2"/>
  <c r="D460" i="2"/>
  <c r="D456" i="2"/>
  <c r="D454" i="2"/>
  <c r="D130" i="2"/>
  <c r="D533" i="2"/>
  <c r="D114" i="2"/>
  <c r="D704" i="2"/>
  <c r="D664" i="2"/>
  <c r="D557" i="2"/>
  <c r="D568" i="2"/>
  <c r="D179" i="2"/>
  <c r="D224" i="2"/>
  <c r="D486" i="2"/>
  <c r="D584" i="2"/>
  <c r="D66" i="2"/>
  <c r="D64" i="2"/>
  <c r="D428" i="2"/>
  <c r="D756" i="2"/>
  <c r="D121" i="2"/>
  <c r="D375" i="2"/>
  <c r="D688" i="2"/>
  <c r="D133" i="2"/>
  <c r="D636" i="2"/>
  <c r="D102" i="2"/>
  <c r="D234" i="2"/>
  <c r="D619" i="2"/>
  <c r="D396" i="2"/>
  <c r="D298" i="2"/>
  <c r="D513" i="2"/>
  <c r="D319" i="2"/>
  <c r="D580" i="2"/>
  <c r="D600" i="2"/>
  <c r="D278" i="2"/>
  <c r="D192" i="2"/>
  <c r="D217" i="2"/>
  <c r="D648" i="2"/>
  <c r="D270" i="2"/>
  <c r="D597" i="2"/>
  <c r="D620" i="2"/>
  <c r="D598" i="2"/>
  <c r="D274" i="2"/>
  <c r="D160" i="2"/>
  <c r="D32" i="2"/>
  <c r="D378" i="2"/>
  <c r="D391" i="2"/>
  <c r="D502" i="2"/>
  <c r="D685" i="2"/>
  <c r="D411" i="2"/>
  <c r="D379" i="2"/>
  <c r="D466" i="2"/>
  <c r="D575" i="2"/>
  <c r="D184" i="2"/>
  <c r="D218" i="2"/>
  <c r="D678" i="2"/>
  <c r="D474" i="2"/>
  <c r="D439" i="2"/>
  <c r="D135" i="2"/>
  <c r="D514" i="2"/>
  <c r="D81" i="2"/>
  <c r="D447" i="2"/>
  <c r="D303" i="2"/>
  <c r="D747" i="2"/>
  <c r="D616" i="2"/>
  <c r="D317" i="2"/>
  <c r="D204" i="2"/>
  <c r="D394" i="2"/>
  <c r="D481" i="2"/>
  <c r="D44" i="2"/>
  <c r="D187" i="2"/>
  <c r="D518" i="2"/>
  <c r="D398" i="2"/>
  <c r="D416" i="2"/>
  <c r="D35" i="2"/>
  <c r="D631" i="2"/>
  <c r="D572" i="2"/>
  <c r="D644" i="2"/>
  <c r="D151" i="2"/>
  <c r="D655" i="2"/>
  <c r="D171" i="2"/>
  <c r="D157" i="2"/>
  <c r="D210" i="2"/>
  <c r="D314" i="2"/>
  <c r="D16" i="2"/>
  <c r="D364" i="2"/>
  <c r="D674" i="2"/>
  <c r="D736" i="2"/>
  <c r="D511" i="2"/>
  <c r="D360" i="2"/>
  <c r="D77" i="2"/>
  <c r="D591" i="2"/>
  <c r="D624" i="2"/>
  <c r="D244" i="2"/>
  <c r="D705" i="2"/>
  <c r="D699" i="2"/>
  <c r="D495" i="2"/>
  <c r="D526" i="2"/>
  <c r="D373" i="2"/>
  <c r="D17" i="2"/>
  <c r="D377" i="2"/>
  <c r="D401" i="2"/>
  <c r="D504" i="2"/>
  <c r="D201" i="2"/>
  <c r="D273" i="2"/>
  <c r="D380" i="2"/>
  <c r="D271" i="2"/>
  <c r="D242" i="2"/>
  <c r="D437" i="2"/>
  <c r="D272" i="2"/>
  <c r="D362" i="2"/>
  <c r="D374" i="2"/>
  <c r="D469" i="2"/>
  <c r="D236" i="2"/>
  <c r="D329" i="2"/>
  <c r="D390" i="2"/>
  <c r="D742" i="2"/>
  <c r="D161" i="2"/>
  <c r="D58" i="2"/>
  <c r="D356" i="2"/>
  <c r="D103" i="2"/>
  <c r="D286" i="2"/>
  <c r="D399" i="2"/>
  <c r="D556" i="2"/>
  <c r="D305" i="2"/>
  <c r="D534" i="2"/>
  <c r="D722" i="2"/>
  <c r="D458" i="2"/>
  <c r="D710" i="2"/>
  <c r="D505" i="2"/>
  <c r="D425" i="2"/>
  <c r="D107" i="2"/>
  <c r="D299" i="2"/>
  <c r="D284" i="2"/>
  <c r="D760" i="2"/>
  <c r="D295" i="2"/>
  <c r="D521" i="2"/>
  <c r="D482" i="2"/>
  <c r="D313" i="2"/>
  <c r="D731" i="2"/>
  <c r="D433" i="2"/>
  <c r="D191" i="2"/>
  <c r="D369" i="2"/>
  <c r="D316" i="2"/>
  <c r="D484" i="2"/>
  <c r="D392" i="2"/>
  <c r="D665" i="2"/>
  <c r="D468" i="2"/>
  <c r="D393" i="2"/>
  <c r="D331" i="2"/>
  <c r="D166" i="2"/>
  <c r="D757" i="2"/>
  <c r="D165" i="2"/>
  <c r="D675" i="2"/>
  <c r="D296" i="2"/>
  <c r="D415" i="2"/>
  <c r="D684" i="2"/>
  <c r="D569" i="2"/>
  <c r="D351" i="2"/>
  <c r="D740" i="2"/>
  <c r="D483" i="2"/>
  <c r="D761" i="2"/>
  <c r="D168" i="2"/>
  <c r="D221" i="2"/>
  <c r="D692" i="2"/>
  <c r="D26" i="2"/>
  <c r="D729" i="2"/>
  <c r="D9" i="2"/>
  <c r="D309" i="2"/>
  <c r="D706" i="2"/>
  <c r="D404" i="2"/>
  <c r="D216" i="2"/>
  <c r="D52" i="2"/>
  <c r="D367" i="2"/>
  <c r="D412" i="2"/>
  <c r="D320" i="2"/>
  <c r="D473" i="2"/>
  <c r="D123" i="2"/>
  <c r="D283" i="2"/>
  <c r="D645" i="2"/>
  <c r="D489" i="2"/>
  <c r="D593" i="2"/>
  <c r="D386" i="2"/>
  <c r="D387" i="2"/>
  <c r="D256" i="2"/>
  <c r="D355" i="2"/>
  <c r="D280" i="2"/>
  <c r="D737" i="2"/>
  <c r="D173" i="2"/>
  <c r="D158" i="2"/>
  <c r="D36" i="2"/>
  <c r="D426" i="2"/>
  <c r="D203" i="2"/>
  <c r="D230" i="2"/>
  <c r="D342" i="2"/>
  <c r="D700" i="2"/>
  <c r="D512" i="2"/>
  <c r="D248" i="2"/>
  <c r="D707" i="2"/>
  <c r="D359" i="2"/>
  <c r="D372" i="2"/>
  <c r="D656" i="2"/>
  <c r="D215" i="2"/>
  <c r="D376" i="2"/>
  <c r="D429" i="2"/>
  <c r="D537" i="2"/>
  <c r="D453" i="2"/>
  <c r="D614" i="2"/>
  <c r="D689" i="2"/>
  <c r="D451" i="2"/>
  <c r="D310" i="2"/>
  <c r="D714" i="2"/>
  <c r="D27" i="2"/>
  <c r="D18" i="2"/>
  <c r="D721" i="2"/>
  <c r="D520" i="2"/>
  <c r="D667" i="2"/>
  <c r="D141" i="2"/>
  <c r="D335" i="2"/>
  <c r="D288" i="2"/>
  <c r="D209" i="2"/>
  <c r="D652" i="2"/>
  <c r="D727" i="2"/>
  <c r="D693" i="2"/>
  <c r="D527" i="2"/>
  <c r="D500" i="2"/>
  <c r="D220" i="2"/>
  <c r="D28" i="2"/>
  <c r="D413" i="2"/>
  <c r="D732" i="2"/>
  <c r="D733" i="2"/>
  <c r="D240" i="2"/>
  <c r="D90" i="2"/>
  <c r="D478" i="2"/>
  <c r="D498" i="2"/>
  <c r="D528" i="2"/>
  <c r="D659" i="2"/>
  <c r="D225" i="2"/>
  <c r="D247" i="2"/>
  <c r="D497" i="2"/>
  <c r="D449" i="2"/>
  <c r="D548" i="2"/>
  <c r="D407" i="2"/>
  <c r="D228" i="2"/>
  <c r="D508" i="2"/>
  <c r="D381" i="2"/>
  <c r="D311" i="2"/>
  <c r="D629" i="2"/>
  <c r="D294" i="2"/>
  <c r="D144" i="2"/>
  <c r="D239" i="2"/>
  <c r="D525" i="2"/>
  <c r="D564" i="2"/>
  <c r="D137" i="2"/>
  <c r="D45" i="2"/>
  <c r="D42" i="2"/>
  <c r="D149" i="2"/>
  <c r="D574" i="2"/>
  <c r="D646" i="2"/>
  <c r="D475" i="2"/>
  <c r="D588" i="2"/>
  <c r="D686" i="2"/>
  <c r="D585" i="2"/>
  <c r="D385" i="2"/>
  <c r="D304" i="2"/>
  <c r="D59" i="2"/>
  <c r="D172" i="2"/>
  <c r="D738" i="2"/>
  <c r="D550" i="2"/>
  <c r="D462" i="2"/>
  <c r="D531" i="2"/>
  <c r="D183" i="2"/>
  <c r="D711" i="2"/>
  <c r="D241" i="2"/>
  <c r="D227" i="2"/>
  <c r="D720" i="2"/>
  <c r="D252" i="2"/>
  <c r="D630" i="2"/>
  <c r="D235" i="2"/>
  <c r="D408" i="2"/>
  <c r="D292" i="2"/>
  <c r="D208" i="2"/>
  <c r="D70" i="2"/>
  <c r="D573" i="2"/>
  <c r="D752" i="2"/>
  <c r="D131" i="2"/>
  <c r="D82" i="2"/>
  <c r="D100" i="2"/>
  <c r="D463" i="2"/>
  <c r="D490" i="2"/>
  <c r="D302" i="2"/>
  <c r="D739" i="2"/>
  <c r="D238" i="2"/>
  <c r="D104" i="2"/>
  <c r="D552" i="2"/>
  <c r="D63" i="2"/>
  <c r="D658" i="2"/>
  <c r="D745" i="2"/>
  <c r="D637" i="2"/>
  <c r="D126" i="2"/>
  <c r="D750" i="2"/>
  <c r="D638" i="2"/>
  <c r="D325" i="2"/>
  <c r="D69" i="2"/>
  <c r="D666" i="2"/>
  <c r="D755" i="2"/>
  <c r="D427" i="2"/>
  <c r="D406" i="2"/>
  <c r="D696" i="2"/>
  <c r="D368" i="2"/>
  <c r="D640" i="2"/>
  <c r="D293" i="2"/>
  <c r="D159" i="2"/>
  <c r="D759" i="2"/>
  <c r="D461" i="2"/>
  <c r="D418" i="2"/>
  <c r="D5" i="2"/>
  <c r="D332" i="2"/>
  <c r="D553" i="2"/>
  <c r="D650" i="2"/>
  <c r="D170" i="2"/>
  <c r="D119" i="2"/>
  <c r="D635" i="2"/>
  <c r="D384" i="2"/>
  <c r="D290" i="2"/>
  <c r="D499" i="2"/>
  <c r="D186" i="2"/>
  <c r="D246" i="2"/>
  <c r="D371" i="2"/>
  <c r="D255" i="2"/>
  <c r="D341" i="2"/>
  <c r="D601" i="2"/>
  <c r="D668" i="2"/>
  <c r="D7" i="2"/>
  <c r="D431" i="2"/>
  <c r="D281" i="2"/>
  <c r="D641" i="2"/>
  <c r="D579" i="2"/>
  <c r="D13" i="2"/>
  <c r="D662" i="2"/>
  <c r="D202" i="2"/>
  <c r="D80" i="2"/>
  <c r="D200" i="2"/>
  <c r="D266" i="2"/>
  <c r="D634" i="2"/>
  <c r="D19" i="2"/>
  <c r="D743" i="2"/>
  <c r="D400" i="2"/>
  <c r="D643" i="2"/>
  <c r="D25" i="2"/>
  <c r="D31" i="2"/>
  <c r="D701" i="2"/>
  <c r="D232" i="2"/>
  <c r="D96" i="2"/>
  <c r="D464" i="2"/>
  <c r="D111" i="2"/>
  <c r="D219" i="2"/>
  <c r="D586" i="2"/>
  <c r="D83" i="2"/>
  <c r="D260" i="2"/>
  <c r="D492" i="2"/>
  <c r="D195" i="2"/>
  <c r="D336" i="2"/>
  <c r="D253" i="2"/>
  <c r="D440" i="2"/>
  <c r="D567" i="2"/>
  <c r="D211" i="2"/>
  <c r="D315" i="2"/>
  <c r="D465" i="2"/>
  <c r="D326" i="2"/>
  <c r="D347" i="2"/>
  <c r="D617" i="2"/>
  <c r="D695" i="2"/>
  <c r="D291" i="2"/>
  <c r="D258" i="2"/>
  <c r="D267" i="2"/>
  <c r="D143" i="2"/>
  <c r="D120" i="2"/>
  <c r="D728" i="2"/>
  <c r="D702" i="2"/>
  <c r="D606" i="2"/>
  <c r="D708" i="2"/>
  <c r="D613" i="2"/>
  <c r="D37" i="2"/>
  <c r="D92" i="2"/>
  <c r="D417" i="2"/>
  <c r="D457" i="2"/>
  <c r="D383" i="2"/>
  <c r="D677" i="2"/>
  <c r="D43" i="2"/>
  <c r="D642" i="2"/>
  <c r="D327" i="2"/>
  <c r="D118" i="2"/>
  <c r="D337" i="2"/>
  <c r="D506" i="2"/>
  <c r="D49" i="2"/>
  <c r="D544" i="2"/>
  <c r="D127" i="2"/>
  <c r="D717" i="2"/>
  <c r="D185" i="2"/>
  <c r="D444" i="2"/>
  <c r="D724" i="2"/>
  <c r="D344" i="2"/>
  <c r="D89" i="2"/>
  <c r="D651" i="2"/>
  <c r="D476" i="2"/>
  <c r="D590" i="2"/>
  <c r="D405" i="2"/>
  <c r="D470" i="2"/>
  <c r="D55" i="2"/>
  <c r="D254" i="2"/>
  <c r="D193" i="2"/>
  <c r="D718" i="2"/>
  <c r="D549" i="2"/>
  <c r="D175" i="2"/>
  <c r="D409" i="2"/>
  <c r="D610" i="2"/>
  <c r="D62" i="2"/>
  <c r="D61" i="2"/>
  <c r="D139" i="2"/>
  <c r="D129" i="2"/>
  <c r="D670" i="2"/>
  <c r="D403" i="2"/>
  <c r="D67" i="2"/>
  <c r="D672" i="2"/>
  <c r="D177" i="2"/>
  <c r="D73" i="2"/>
  <c r="D530" i="2"/>
  <c r="D432" i="2"/>
  <c r="D249" i="2"/>
  <c r="D349" i="2"/>
  <c r="D422" i="2"/>
  <c r="D222" i="2"/>
  <c r="D338" i="2"/>
  <c r="D207" i="2"/>
  <c r="D547" i="2"/>
  <c r="D683" i="2"/>
  <c r="D654" i="2"/>
  <c r="D421" i="2"/>
  <c r="D152" i="2"/>
  <c r="D212" i="2"/>
  <c r="D748" i="2"/>
  <c r="D262" i="2"/>
  <c r="D38" i="2"/>
  <c r="D148" i="2"/>
  <c r="D300" i="2"/>
  <c r="D50" i="2"/>
  <c r="D682" i="2"/>
  <c r="D41" i="2"/>
  <c r="D493" i="2"/>
  <c r="D605" i="2"/>
  <c r="D753" i="2"/>
  <c r="D180" i="2"/>
  <c r="D169" i="2"/>
  <c r="D522" i="2"/>
  <c r="D424" i="2"/>
  <c r="D74" i="2"/>
  <c r="D33" i="2"/>
  <c r="D423" i="2"/>
  <c r="D245" i="2"/>
  <c r="D322" i="2"/>
  <c r="D269" i="2"/>
  <c r="D538" i="2"/>
  <c r="D145" i="2"/>
  <c r="D563" i="2"/>
  <c r="D680" i="2"/>
  <c r="D87" i="2"/>
  <c r="D39" i="2"/>
  <c r="D301" i="2"/>
  <c r="D744" i="2"/>
  <c r="D138" i="2"/>
  <c r="D205" i="2"/>
  <c r="D485" i="2"/>
  <c r="D434" i="2"/>
  <c r="D257" i="2"/>
  <c r="D480" i="2"/>
  <c r="D501" i="2"/>
  <c r="D625" i="2"/>
  <c r="D536" i="2"/>
  <c r="D15" i="2"/>
  <c r="D93" i="2"/>
  <c r="D79" i="2"/>
  <c r="D661" i="2"/>
  <c r="D194" i="2"/>
  <c r="D85" i="2"/>
  <c r="D358" i="2"/>
  <c r="D14" i="2"/>
  <c r="D647" i="2"/>
  <c r="D560" i="2"/>
  <c r="D48" i="2"/>
  <c r="D197" i="2"/>
  <c r="D243" i="2"/>
  <c r="D649" i="2"/>
  <c r="D690" i="2"/>
  <c r="D88" i="2"/>
  <c r="D116" i="2"/>
  <c r="D713" i="2"/>
  <c r="D529" i="2"/>
  <c r="D703" i="2"/>
  <c r="D596" i="2"/>
  <c r="D715" i="2"/>
  <c r="D653" i="2"/>
  <c r="D91" i="2"/>
  <c r="D543" i="2"/>
  <c r="D56" i="2"/>
  <c r="D524" i="2"/>
  <c r="D496" i="2"/>
  <c r="D142" i="2"/>
  <c r="D76" i="2"/>
  <c r="D176" i="2"/>
  <c r="D65" i="2"/>
  <c r="D602" i="2"/>
  <c r="D566" i="2"/>
  <c r="D709" i="2"/>
  <c r="D445" i="2"/>
  <c r="D264" i="2"/>
  <c r="D749" i="2"/>
  <c r="D618" i="2"/>
  <c r="D555" i="2"/>
  <c r="D181" i="2"/>
  <c r="D441" i="2"/>
  <c r="D206" i="2"/>
  <c r="D609" i="2"/>
  <c r="D333" i="2"/>
  <c r="D229" i="2"/>
  <c r="D51" i="2"/>
  <c r="D112" i="2"/>
  <c r="D78" i="2"/>
  <c r="D134" i="2"/>
  <c r="D570" i="2"/>
  <c r="D99" i="2"/>
  <c r="D47" i="2"/>
  <c r="D576" i="2"/>
  <c r="D435" i="2"/>
  <c r="D669" i="2"/>
  <c r="D265" i="2"/>
  <c r="D414" i="2"/>
  <c r="D125" i="2"/>
  <c r="D277" i="2"/>
  <c r="D746" i="2"/>
  <c r="D491" i="2"/>
  <c r="D97" i="2"/>
  <c r="D679" i="2"/>
  <c r="D11" i="2"/>
  <c r="D479" i="2"/>
  <c r="D101" i="2"/>
  <c r="D354" i="2"/>
  <c r="D612" i="2"/>
  <c r="D10" i="2"/>
  <c r="D446" i="2"/>
  <c r="D105" i="2"/>
  <c r="D438" i="2"/>
  <c r="D657" i="2"/>
  <c r="D510" i="2"/>
  <c r="D628" i="2"/>
  <c r="D471" i="2"/>
  <c r="D287" i="2"/>
  <c r="D324" i="2"/>
  <c r="D109" i="2"/>
  <c r="D712" i="2"/>
  <c r="D199" i="2"/>
  <c r="D467" i="2"/>
  <c r="D726" i="2"/>
  <c r="D395" i="2"/>
  <c r="D754" i="2"/>
  <c r="D663" i="2"/>
  <c r="D592" i="2"/>
  <c r="D515" i="2"/>
  <c r="D687" i="2"/>
  <c r="D751" i="2"/>
  <c r="D681" i="2"/>
  <c r="D95" i="2"/>
  <c r="D697" i="2"/>
  <c r="D213" i="2"/>
  <c r="D153" i="2"/>
  <c r="D532" i="2"/>
  <c r="D259" i="2"/>
  <c r="D397" i="2"/>
  <c r="D226" i="2"/>
  <c r="D735" i="2"/>
  <c r="D328" i="2"/>
  <c r="D250" i="2"/>
  <c r="D671" i="2"/>
  <c r="D583" i="2"/>
  <c r="D442" i="2"/>
  <c r="D71" i="2"/>
  <c r="D108" i="2"/>
  <c r="D345" i="2"/>
  <c r="D516" i="2"/>
  <c r="D4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H1462" i="23" s="1"/>
  <c r="C399" i="4"/>
  <c r="C397" i="4"/>
  <c r="C395" i="4"/>
  <c r="C393" i="4"/>
  <c r="C391" i="4"/>
  <c r="C389" i="4"/>
  <c r="C387" i="4"/>
  <c r="C385" i="4"/>
  <c r="C383" i="4"/>
  <c r="C381" i="4"/>
  <c r="C379" i="4"/>
  <c r="C377" i="4"/>
  <c r="H1309" i="23" s="1"/>
  <c r="C375" i="4"/>
  <c r="H1311" i="23" s="1"/>
  <c r="C373" i="4"/>
  <c r="H1299" i="23" s="1"/>
  <c r="C371" i="4"/>
  <c r="C369" i="4"/>
  <c r="H1281" i="23" s="1"/>
  <c r="C367" i="4"/>
  <c r="C365" i="4"/>
  <c r="H1270" i="23" s="1"/>
  <c r="C363" i="4"/>
  <c r="C361" i="4"/>
  <c r="C359" i="4"/>
  <c r="C357" i="4"/>
  <c r="H1236" i="23" s="1"/>
  <c r="C355" i="4"/>
  <c r="C353" i="4"/>
  <c r="H1228" i="23" s="1"/>
  <c r="C351" i="4"/>
  <c r="H1224" i="23" s="1"/>
  <c r="C349" i="4"/>
  <c r="C347" i="4"/>
  <c r="C345" i="4"/>
  <c r="H1200" i="23" s="1"/>
  <c r="C343" i="4"/>
  <c r="C341" i="4"/>
  <c r="H1189" i="23" s="1"/>
  <c r="C339" i="4"/>
  <c r="C337" i="4"/>
  <c r="C335" i="4"/>
  <c r="C333" i="4"/>
  <c r="H1156" i="23" s="1"/>
  <c r="C331" i="4"/>
  <c r="C329" i="4"/>
  <c r="C327" i="4"/>
  <c r="C325" i="4"/>
  <c r="H1131" i="23" s="1"/>
  <c r="C323" i="4"/>
  <c r="C321" i="4"/>
  <c r="C319" i="4"/>
  <c r="C317" i="4"/>
  <c r="C315" i="4"/>
  <c r="C313" i="4"/>
  <c r="C311" i="4"/>
  <c r="C309" i="4"/>
  <c r="H1072" i="23" s="1"/>
  <c r="C307" i="4"/>
  <c r="C305" i="4"/>
  <c r="C303" i="4"/>
  <c r="C301" i="4"/>
  <c r="C299" i="4"/>
  <c r="C297" i="4"/>
  <c r="C295" i="4"/>
  <c r="H1019" i="23" s="1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C167" i="23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C272" i="23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632" i="23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93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997" i="23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5" i="23" s="1"/>
  <c r="C281" i="4"/>
  <c r="C277" i="4"/>
  <c r="H958" i="23" s="1"/>
  <c r="C275" i="4"/>
  <c r="C273" i="4"/>
  <c r="H951" i="23" s="1"/>
  <c r="C271" i="4"/>
  <c r="H938" i="23" s="1"/>
  <c r="C269" i="4"/>
  <c r="H928" i="23" s="1"/>
  <c r="C267" i="4"/>
  <c r="C265" i="4"/>
  <c r="C263" i="4"/>
  <c r="C261" i="4"/>
  <c r="H911" i="23" s="1"/>
  <c r="C259" i="4"/>
  <c r="C257" i="4"/>
  <c r="H883" i="23" s="1"/>
  <c r="C255" i="4"/>
  <c r="C253" i="4"/>
  <c r="C251" i="4"/>
  <c r="C249" i="4"/>
  <c r="H866" i="23" s="1"/>
  <c r="C247" i="4"/>
  <c r="C245" i="4"/>
  <c r="C243" i="4"/>
  <c r="C241" i="4"/>
  <c r="H837" i="23" s="1"/>
  <c r="C239" i="4"/>
  <c r="C237" i="4"/>
  <c r="C235" i="4"/>
  <c r="H814" i="23" s="1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H720" i="23" s="1"/>
  <c r="C207" i="4"/>
  <c r="C205" i="4"/>
  <c r="H711" i="23" s="1"/>
  <c r="C203" i="4"/>
  <c r="C201" i="4"/>
  <c r="H693" i="23" s="1"/>
  <c r="C199" i="4"/>
  <c r="C197" i="4"/>
  <c r="H688" i="23" s="1"/>
  <c r="C195" i="4"/>
  <c r="C193" i="4"/>
  <c r="H668" i="23" s="1"/>
  <c r="C191" i="4"/>
  <c r="C189" i="4"/>
  <c r="C187" i="4"/>
  <c r="C185" i="4"/>
  <c r="C183" i="4"/>
  <c r="C181" i="4"/>
  <c r="C179" i="4"/>
  <c r="C177" i="4"/>
  <c r="H600" i="23" s="1"/>
  <c r="C175" i="4"/>
  <c r="C173" i="4"/>
  <c r="C171" i="4"/>
  <c r="H595" i="23" s="1"/>
  <c r="C169" i="4"/>
  <c r="C167" i="4"/>
  <c r="C165" i="4"/>
  <c r="C163" i="4"/>
  <c r="C161" i="4"/>
  <c r="H555" i="23" s="1"/>
  <c r="C159" i="4"/>
  <c r="C157" i="4"/>
  <c r="C155" i="4"/>
  <c r="C153" i="4"/>
  <c r="H525" i="23" s="1"/>
  <c r="C151" i="4"/>
  <c r="H520" i="23" s="1"/>
  <c r="C149" i="4"/>
  <c r="H500" i="23" s="1"/>
  <c r="C147" i="4"/>
  <c r="C145" i="4"/>
  <c r="H497" i="23" s="1"/>
  <c r="C143" i="4"/>
  <c r="H493" i="23" s="1"/>
  <c r="C141" i="4"/>
  <c r="H483" i="23" s="1"/>
  <c r="C139" i="4"/>
  <c r="C137" i="4"/>
  <c r="H478" i="23" s="1"/>
  <c r="C135" i="4"/>
  <c r="C133" i="4"/>
  <c r="H457" i="23" s="1"/>
  <c r="C131" i="4"/>
  <c r="H449" i="23" s="1"/>
  <c r="C129" i="4"/>
  <c r="C127" i="4"/>
  <c r="C125" i="4"/>
  <c r="C123" i="4"/>
  <c r="C121" i="4"/>
  <c r="H419" i="23" s="1"/>
  <c r="C119" i="4"/>
  <c r="H408" i="23" s="1"/>
  <c r="C117" i="4"/>
  <c r="H405" i="23" s="1"/>
  <c r="C115" i="4"/>
  <c r="C113" i="4"/>
  <c r="C111" i="4"/>
  <c r="C109" i="4"/>
  <c r="C107" i="4"/>
  <c r="C105" i="4"/>
  <c r="C103" i="4"/>
  <c r="H355" i="23" s="1"/>
  <c r="C101" i="4"/>
  <c r="H350" i="23" s="1"/>
  <c r="C99" i="4"/>
  <c r="C97" i="4"/>
  <c r="H336" i="23" s="1"/>
  <c r="C95" i="4"/>
  <c r="C93" i="4"/>
  <c r="C91" i="4"/>
  <c r="C89" i="4"/>
  <c r="C87" i="4"/>
  <c r="C85" i="4"/>
  <c r="C83" i="4"/>
  <c r="C81" i="4"/>
  <c r="C79" i="4"/>
  <c r="C77" i="4"/>
  <c r="C75" i="4"/>
  <c r="C73" i="4"/>
  <c r="H250" i="23" s="1"/>
  <c r="C71" i="4"/>
  <c r="C69" i="4"/>
  <c r="H236" i="23" s="1"/>
  <c r="C67" i="4"/>
  <c r="C65" i="4"/>
  <c r="C63" i="4"/>
  <c r="C61" i="4"/>
  <c r="C59" i="4"/>
  <c r="H194" i="23" s="1"/>
  <c r="C57" i="4"/>
  <c r="C55" i="4"/>
  <c r="C53" i="4"/>
  <c r="H186" i="23" s="1"/>
  <c r="C51" i="4"/>
  <c r="C49" i="4"/>
  <c r="C47" i="4"/>
  <c r="H156" i="23" s="1"/>
  <c r="C45" i="4"/>
  <c r="C43" i="4"/>
  <c r="C41" i="4"/>
  <c r="C39" i="4"/>
  <c r="C37" i="4"/>
  <c r="H123" i="23" s="1"/>
  <c r="C35" i="4"/>
  <c r="C33" i="4"/>
  <c r="H116" i="23" s="1"/>
  <c r="C31" i="4"/>
  <c r="C29" i="4"/>
  <c r="H101" i="23" s="1"/>
  <c r="C27" i="4"/>
  <c r="C19" i="4"/>
  <c r="C21" i="4"/>
  <c r="C23" i="4"/>
  <c r="H75" i="23" s="1"/>
  <c r="C25" i="4"/>
  <c r="C17" i="4"/>
  <c r="C15" i="4"/>
  <c r="H43" i="23" s="1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C633" i="23" l="1"/>
  <c r="H155" i="23"/>
  <c r="H774" i="23"/>
  <c r="C96" i="23"/>
  <c r="C706" i="23"/>
  <c r="H873" i="23"/>
  <c r="C847" i="23"/>
  <c r="H852" i="23"/>
  <c r="C692" i="23"/>
  <c r="C849" i="23"/>
  <c r="C271" i="23"/>
  <c r="C160" i="23"/>
  <c r="C1238" i="23"/>
  <c r="C316" i="23"/>
  <c r="C239" i="23"/>
  <c r="C238" i="23"/>
  <c r="C1232" i="23"/>
  <c r="C315" i="23"/>
  <c r="H691" i="23"/>
  <c r="C708" i="23"/>
  <c r="C95" i="23"/>
  <c r="C1004" i="23"/>
  <c r="C1011" i="23"/>
  <c r="C1015" i="23"/>
  <c r="C1026" i="23"/>
  <c r="C586" i="23"/>
  <c r="C587" i="23"/>
  <c r="C742" i="23"/>
  <c r="C734" i="23"/>
  <c r="C726" i="23"/>
  <c r="C743" i="23"/>
  <c r="C739" i="23"/>
  <c r="C622" i="23"/>
  <c r="C627" i="23"/>
  <c r="C614" i="23"/>
  <c r="C623" i="23"/>
  <c r="C631" i="23"/>
  <c r="C630" i="23"/>
  <c r="C496" i="23"/>
  <c r="C510" i="23"/>
  <c r="C498" i="23"/>
  <c r="C232" i="23"/>
  <c r="C243" i="23"/>
  <c r="C233" i="23"/>
  <c r="C234" i="23"/>
  <c r="C240" i="23"/>
  <c r="C175" i="23"/>
  <c r="C176" i="23"/>
  <c r="C169" i="23"/>
  <c r="C162" i="23"/>
  <c r="C62" i="23"/>
  <c r="C63" i="23"/>
  <c r="C64" i="23"/>
  <c r="C59" i="23"/>
  <c r="C52" i="23"/>
  <c r="C1022" i="23"/>
  <c r="C1029" i="23"/>
  <c r="C1023" i="23"/>
  <c r="C937" i="23"/>
  <c r="C936" i="23"/>
  <c r="C950" i="23"/>
  <c r="C940" i="23"/>
  <c r="C941" i="23"/>
  <c r="C804" i="23"/>
  <c r="C794" i="23"/>
  <c r="C789" i="23"/>
  <c r="C790" i="23"/>
  <c r="C749" i="23"/>
  <c r="C745" i="23"/>
  <c r="C736" i="23"/>
  <c r="C738" i="23"/>
  <c r="C697" i="23"/>
  <c r="C683" i="23"/>
  <c r="C684" i="23"/>
  <c r="C680" i="23"/>
  <c r="C696" i="23"/>
  <c r="C574" i="23"/>
  <c r="C578" i="23"/>
  <c r="C579" i="23"/>
  <c r="C584" i="23"/>
  <c r="C523" i="23"/>
  <c r="C519" i="23"/>
  <c r="C521" i="23"/>
  <c r="C462" i="23"/>
  <c r="C465" i="23"/>
  <c r="C468" i="23"/>
  <c r="C467" i="23"/>
  <c r="C349" i="23"/>
  <c r="C355" i="23"/>
  <c r="C324" i="23"/>
  <c r="C320" i="23"/>
  <c r="C327" i="23"/>
  <c r="C325" i="23"/>
  <c r="C323" i="23"/>
  <c r="C296" i="23"/>
  <c r="C293" i="23"/>
  <c r="C294" i="23"/>
  <c r="C299" i="23"/>
  <c r="C301" i="23"/>
  <c r="C265" i="23"/>
  <c r="C262" i="23"/>
  <c r="C274" i="23"/>
  <c r="C268" i="23"/>
  <c r="C276" i="23"/>
  <c r="C212" i="23"/>
  <c r="C210" i="23"/>
  <c r="C216" i="23"/>
  <c r="C209" i="23"/>
  <c r="C178" i="23"/>
  <c r="C183" i="23"/>
  <c r="C189" i="23"/>
  <c r="C192" i="23"/>
  <c r="C187" i="23"/>
  <c r="C156" i="23"/>
  <c r="C157" i="23"/>
  <c r="C161" i="23"/>
  <c r="C154" i="23"/>
  <c r="C148" i="23"/>
  <c r="C152" i="23"/>
  <c r="C133" i="23"/>
  <c r="C128" i="23"/>
  <c r="C137" i="23"/>
  <c r="C138" i="23"/>
  <c r="C111" i="23"/>
  <c r="C103" i="23"/>
  <c r="C94" i="23"/>
  <c r="C98" i="23"/>
  <c r="C105" i="23"/>
  <c r="C100" i="23"/>
  <c r="C1500" i="23"/>
  <c r="C1504" i="23"/>
  <c r="C1512" i="23"/>
  <c r="C1507" i="23"/>
  <c r="C1505" i="23"/>
  <c r="C1516" i="23"/>
  <c r="C1509" i="23"/>
  <c r="C1503" i="23"/>
  <c r="C1497" i="23"/>
  <c r="C1498" i="23"/>
  <c r="C1519" i="23"/>
  <c r="C1511" i="23"/>
  <c r="C1502" i="23"/>
  <c r="C1506" i="23"/>
  <c r="C1385" i="23"/>
  <c r="C1387" i="23"/>
  <c r="C1442" i="23"/>
  <c r="C1378" i="23"/>
  <c r="C1443" i="23"/>
  <c r="C1371" i="23"/>
  <c r="C1369" i="23"/>
  <c r="C1375" i="23"/>
  <c r="C1359" i="23"/>
  <c r="C1356" i="23"/>
  <c r="C1365" i="23"/>
  <c r="C1362" i="23"/>
  <c r="C1360" i="23"/>
  <c r="C1347" i="23"/>
  <c r="C1344" i="23"/>
  <c r="C1335" i="23"/>
  <c r="C1338" i="23"/>
  <c r="C1331" i="23"/>
  <c r="C1328" i="23"/>
  <c r="C1325" i="23"/>
  <c r="C1336" i="23"/>
  <c r="C1323" i="23"/>
  <c r="C1320" i="23"/>
  <c r="C1317" i="23"/>
  <c r="C1304" i="23"/>
  <c r="C1306" i="23"/>
  <c r="C1311" i="23"/>
  <c r="C1282" i="23"/>
  <c r="C1291" i="23"/>
  <c r="C1277" i="23"/>
  <c r="C1273" i="23"/>
  <c r="C1260" i="23"/>
  <c r="C1263" i="23"/>
  <c r="C1245" i="23"/>
  <c r="C1246" i="23"/>
  <c r="C1248" i="23"/>
  <c r="C1215" i="23"/>
  <c r="C1210" i="23"/>
  <c r="C1218" i="23"/>
  <c r="C1208" i="23"/>
  <c r="C1197" i="23"/>
  <c r="C1198" i="23"/>
  <c r="C1206" i="23"/>
  <c r="C1184" i="23"/>
  <c r="C1191" i="23"/>
  <c r="C1186" i="23"/>
  <c r="C1171" i="23"/>
  <c r="C1178" i="23"/>
  <c r="C1181" i="23"/>
  <c r="C1172" i="23"/>
  <c r="C1154" i="23"/>
  <c r="C1160" i="23"/>
  <c r="C1162" i="23"/>
  <c r="C1165" i="23"/>
  <c r="C1150" i="23"/>
  <c r="C1148" i="23"/>
  <c r="C1149" i="23"/>
  <c r="C1132" i="23"/>
  <c r="C1137" i="23"/>
  <c r="C1133" i="23"/>
  <c r="C1120" i="23"/>
  <c r="C1128" i="23"/>
  <c r="C1100" i="23"/>
  <c r="C1115" i="23"/>
  <c r="C1103" i="23"/>
  <c r="C1087" i="23"/>
  <c r="C1085" i="23"/>
  <c r="C1093" i="23"/>
  <c r="C1076" i="23"/>
  <c r="C1080" i="23"/>
  <c r="C1065" i="23"/>
  <c r="C1066" i="23"/>
  <c r="C1071" i="23"/>
  <c r="C1064" i="23"/>
  <c r="C1039" i="23"/>
  <c r="C1044" i="23"/>
  <c r="C1054" i="23"/>
  <c r="C1049" i="23"/>
  <c r="C1048" i="23"/>
  <c r="C818" i="23"/>
  <c r="C819" i="23"/>
  <c r="C817" i="23"/>
  <c r="C348" i="23"/>
  <c r="C354" i="23"/>
  <c r="C897" i="23"/>
  <c r="C894" i="23"/>
  <c r="C900" i="23"/>
  <c r="C904" i="23"/>
  <c r="C799" i="23"/>
  <c r="C803" i="23"/>
  <c r="C802" i="23"/>
  <c r="C796" i="23"/>
  <c r="C687" i="23"/>
  <c r="C688" i="23"/>
  <c r="C679" i="23"/>
  <c r="C569" i="23"/>
  <c r="C570" i="23"/>
  <c r="C571" i="23"/>
  <c r="C572" i="23"/>
  <c r="C447" i="23"/>
  <c r="C440" i="23"/>
  <c r="C441" i="23"/>
  <c r="C443" i="23"/>
  <c r="C444" i="23"/>
  <c r="C342" i="23"/>
  <c r="C343" i="23"/>
  <c r="C340" i="23"/>
  <c r="C337" i="23"/>
  <c r="C34" i="23"/>
  <c r="C994" i="23"/>
  <c r="C1008" i="23"/>
  <c r="C999" i="23"/>
  <c r="C995" i="23"/>
  <c r="C829" i="23"/>
  <c r="C825" i="23"/>
  <c r="C827" i="23"/>
  <c r="C832" i="23"/>
  <c r="C765" i="23"/>
  <c r="C777" i="23"/>
  <c r="C710" i="23"/>
  <c r="C715" i="23"/>
  <c r="C712" i="23"/>
  <c r="C719" i="23"/>
  <c r="C612" i="23"/>
  <c r="C602" i="23"/>
  <c r="C604" i="23"/>
  <c r="C551" i="23"/>
  <c r="C545" i="23"/>
  <c r="C490" i="23"/>
  <c r="C482" i="23"/>
  <c r="C481" i="23"/>
  <c r="C381" i="23"/>
  <c r="C377" i="23"/>
  <c r="C1051" i="23"/>
  <c r="C1059" i="23"/>
  <c r="C1052" i="23"/>
  <c r="C1053" i="23"/>
  <c r="C1050" i="23"/>
  <c r="C1002" i="23"/>
  <c r="C1003" i="23"/>
  <c r="C1007" i="23"/>
  <c r="C992" i="23"/>
  <c r="C943" i="23"/>
  <c r="C942" i="23"/>
  <c r="C939" i="23"/>
  <c r="C951" i="23"/>
  <c r="C938" i="23"/>
  <c r="C884" i="23"/>
  <c r="C892" i="23"/>
  <c r="C888" i="23"/>
  <c r="C885" i="23"/>
  <c r="C850" i="23"/>
  <c r="C835" i="23"/>
  <c r="C846" i="23"/>
  <c r="C844" i="23"/>
  <c r="C836" i="23"/>
  <c r="C782" i="23"/>
  <c r="C781" i="23"/>
  <c r="C732" i="23"/>
  <c r="C744" i="23"/>
  <c r="C735" i="23"/>
  <c r="C737" i="23"/>
  <c r="C741" i="23"/>
  <c r="C674" i="23"/>
  <c r="C676" i="23"/>
  <c r="C672" i="23"/>
  <c r="C671" i="23"/>
  <c r="C626" i="23"/>
  <c r="C621" i="23"/>
  <c r="C628" i="23"/>
  <c r="C629" i="23"/>
  <c r="C624" i="23"/>
  <c r="C625" i="23"/>
  <c r="C567" i="23"/>
  <c r="C562" i="23"/>
  <c r="C566" i="23"/>
  <c r="C573" i="23"/>
  <c r="C507" i="23"/>
  <c r="C492" i="23"/>
  <c r="C506" i="23"/>
  <c r="C502" i="23"/>
  <c r="C437" i="23"/>
  <c r="C438" i="23"/>
  <c r="C442" i="23"/>
  <c r="C427" i="23"/>
  <c r="C177" i="23"/>
  <c r="C165" i="23"/>
  <c r="C174" i="23"/>
  <c r="C164" i="23"/>
  <c r="C97" i="23"/>
  <c r="C92" i="23"/>
  <c r="C84" i="23"/>
  <c r="C86" i="23"/>
  <c r="C85" i="23"/>
  <c r="C65" i="23"/>
  <c r="C58" i="23"/>
  <c r="C48" i="23"/>
  <c r="C61" i="23"/>
  <c r="C60" i="23"/>
  <c r="C771" i="23"/>
  <c r="C764" i="23"/>
  <c r="C661" i="23"/>
  <c r="C659" i="23"/>
  <c r="C667" i="23"/>
  <c r="C550" i="23"/>
  <c r="C542" i="23"/>
  <c r="C494" i="23"/>
  <c r="C499" i="23"/>
  <c r="C493" i="23"/>
  <c r="C322" i="23"/>
  <c r="C326" i="23"/>
  <c r="C328" i="23"/>
  <c r="C329" i="23"/>
  <c r="C321" i="23"/>
  <c r="C292" i="23"/>
  <c r="C298" i="23"/>
  <c r="C304" i="23"/>
  <c r="C303" i="23"/>
  <c r="C300" i="23"/>
  <c r="C245" i="23"/>
  <c r="C241" i="23"/>
  <c r="C242" i="23"/>
  <c r="C235" i="23"/>
  <c r="C244" i="23"/>
  <c r="C217" i="23"/>
  <c r="C215" i="23"/>
  <c r="C208" i="23"/>
  <c r="C214" i="23"/>
  <c r="C180" i="23"/>
  <c r="C181" i="23"/>
  <c r="C191" i="23"/>
  <c r="C193" i="23"/>
  <c r="C185" i="23"/>
  <c r="C173" i="23"/>
  <c r="C166" i="23"/>
  <c r="C159" i="23"/>
  <c r="C163" i="23"/>
  <c r="C158" i="23"/>
  <c r="C155" i="23"/>
  <c r="C129" i="23"/>
  <c r="C130" i="23"/>
  <c r="C132" i="23"/>
  <c r="C131" i="23"/>
  <c r="C946" i="23"/>
  <c r="C952" i="23"/>
  <c r="C953" i="23"/>
  <c r="C986" i="23"/>
  <c r="C982" i="23"/>
  <c r="C991" i="23"/>
  <c r="C993" i="23"/>
  <c r="C882" i="23"/>
  <c r="C877" i="23"/>
  <c r="C886" i="23"/>
  <c r="C879" i="23"/>
  <c r="C797" i="23"/>
  <c r="C795" i="23"/>
  <c r="C669" i="23"/>
  <c r="C665" i="23"/>
  <c r="C660" i="23"/>
  <c r="C560" i="23"/>
  <c r="C565" i="23"/>
  <c r="C435" i="23"/>
  <c r="C436" i="23"/>
  <c r="C434" i="23"/>
  <c r="C429" i="23"/>
  <c r="C57" i="23"/>
  <c r="C50" i="23"/>
  <c r="C51" i="23"/>
  <c r="C990" i="23"/>
  <c r="C1001" i="23"/>
  <c r="C989" i="23"/>
  <c r="C984" i="23"/>
  <c r="C909" i="23"/>
  <c r="C898" i="23"/>
  <c r="C902" i="23"/>
  <c r="C912" i="23"/>
  <c r="C654" i="23"/>
  <c r="C655" i="23"/>
  <c r="C656" i="23"/>
  <c r="C652" i="23"/>
  <c r="C657" i="23"/>
  <c r="C543" i="23"/>
  <c r="C544" i="23"/>
  <c r="C538" i="23"/>
  <c r="C548" i="23"/>
  <c r="C457" i="23"/>
  <c r="C452" i="23"/>
  <c r="C460" i="23"/>
  <c r="C386" i="23"/>
  <c r="C371" i="23"/>
  <c r="C380" i="23"/>
  <c r="C379" i="23"/>
  <c r="C373" i="23"/>
  <c r="C344" i="23"/>
  <c r="C345" i="23"/>
  <c r="C351" i="23"/>
  <c r="C288" i="23"/>
  <c r="C286" i="23"/>
  <c r="C290" i="23"/>
  <c r="C291" i="23"/>
  <c r="C198" i="23"/>
  <c r="C204" i="23"/>
  <c r="C205" i="23"/>
  <c r="C143" i="23"/>
  <c r="C151" i="23"/>
  <c r="C1521" i="23"/>
  <c r="C1518" i="23"/>
  <c r="C1510" i="23"/>
  <c r="C1499" i="23"/>
  <c r="C1508" i="23"/>
  <c r="C1441" i="23"/>
  <c r="C1515" i="23"/>
  <c r="C1496" i="23"/>
  <c r="C1517" i="23"/>
  <c r="C1513" i="23"/>
  <c r="C1501" i="23"/>
  <c r="C1493" i="23"/>
  <c r="C1520" i="23"/>
  <c r="C1514" i="23"/>
  <c r="C1373" i="23"/>
  <c r="C1374" i="23"/>
  <c r="C1370" i="23"/>
  <c r="C1342" i="23"/>
  <c r="C1346" i="23"/>
  <c r="C1343" i="23"/>
  <c r="C1345" i="23"/>
  <c r="C1334" i="23"/>
  <c r="C1333" i="23"/>
  <c r="C1326" i="23"/>
  <c r="C1330" i="23"/>
  <c r="C1315" i="23"/>
  <c r="C1321" i="23"/>
  <c r="C1319" i="23"/>
  <c r="C1302" i="23"/>
  <c r="C1303" i="23"/>
  <c r="C1301" i="23"/>
  <c r="C1283" i="23"/>
  <c r="C1289" i="23"/>
  <c r="C1272" i="23"/>
  <c r="C1278" i="23"/>
  <c r="C1258" i="23"/>
  <c r="C1261" i="23"/>
  <c r="C1244" i="23"/>
  <c r="C1241" i="23"/>
  <c r="C1237" i="23"/>
  <c r="C1223" i="23"/>
  <c r="C1217" i="23"/>
  <c r="C1224" i="23"/>
  <c r="C1204" i="23"/>
  <c r="C1207" i="23"/>
  <c r="C1196" i="23"/>
  <c r="C1199" i="23"/>
  <c r="C1190" i="23"/>
  <c r="C1195" i="23"/>
  <c r="C1205" i="23"/>
  <c r="C1175" i="23"/>
  <c r="C1169" i="23"/>
  <c r="C1177" i="23"/>
  <c r="C1168" i="23"/>
  <c r="C1163" i="23"/>
  <c r="C1159" i="23"/>
  <c r="C1161" i="23"/>
  <c r="C1164" i="23"/>
  <c r="C1147" i="23"/>
  <c r="C1152" i="23"/>
  <c r="C1146" i="23"/>
  <c r="C1138" i="23"/>
  <c r="C1134" i="23"/>
  <c r="C1136" i="23"/>
  <c r="C1123" i="23"/>
  <c r="C1121" i="23"/>
  <c r="C1110" i="23"/>
  <c r="C1116" i="23"/>
  <c r="C1113" i="23"/>
  <c r="C1090" i="23"/>
  <c r="C1095" i="23"/>
  <c r="C1092" i="23"/>
  <c r="C1082" i="23"/>
  <c r="C1088" i="23"/>
  <c r="C1068" i="23"/>
  <c r="C1058" i="23"/>
  <c r="C1055" i="23"/>
  <c r="C1067" i="23"/>
  <c r="C753" i="23"/>
  <c r="C755" i="23"/>
  <c r="C761" i="23"/>
  <c r="C756" i="23"/>
  <c r="C258" i="23"/>
  <c r="C264" i="23"/>
  <c r="C263" i="23"/>
  <c r="C1043" i="23"/>
  <c r="C1046" i="23"/>
  <c r="C931" i="23"/>
  <c r="C932" i="23"/>
  <c r="C840" i="23"/>
  <c r="C839" i="23"/>
  <c r="C843" i="23"/>
  <c r="C841" i="23"/>
  <c r="C842" i="23"/>
  <c r="C727" i="23"/>
  <c r="C728" i="23"/>
  <c r="C730" i="23"/>
  <c r="C617" i="23"/>
  <c r="C615" i="23"/>
  <c r="C483" i="23"/>
  <c r="C488" i="23"/>
  <c r="C480" i="23"/>
  <c r="C318" i="23"/>
  <c r="C313" i="23"/>
  <c r="C308" i="23"/>
  <c r="C312" i="23"/>
  <c r="C144" i="23"/>
  <c r="C149" i="23"/>
  <c r="C1014" i="23"/>
  <c r="C1013" i="23"/>
  <c r="C1020" i="23"/>
  <c r="C935" i="23"/>
  <c r="C934" i="23"/>
  <c r="C874" i="23"/>
  <c r="C878" i="23"/>
  <c r="C872" i="23"/>
  <c r="C875" i="23"/>
  <c r="C763" i="23"/>
  <c r="C770" i="23"/>
  <c r="C775" i="23"/>
  <c r="C766" i="23"/>
  <c r="C685" i="23"/>
  <c r="C689" i="23"/>
  <c r="C673" i="23"/>
  <c r="C599" i="23"/>
  <c r="C592" i="23"/>
  <c r="C593" i="23"/>
  <c r="C596" i="23"/>
  <c r="C590" i="23"/>
  <c r="C489" i="23"/>
  <c r="C486" i="23"/>
  <c r="C485" i="23"/>
  <c r="C433" i="23"/>
  <c r="C430" i="23"/>
  <c r="C260" i="23"/>
  <c r="C267" i="23"/>
  <c r="C266" i="23"/>
  <c r="C1379" i="23"/>
  <c r="C1393" i="23"/>
  <c r="C1380" i="23"/>
  <c r="C1386" i="23"/>
  <c r="C1392" i="23"/>
  <c r="C1361" i="23"/>
  <c r="C1353" i="23"/>
  <c r="C1351" i="23"/>
  <c r="C1355" i="23"/>
  <c r="C1354" i="23"/>
  <c r="C1047" i="23"/>
  <c r="C1042" i="23"/>
  <c r="C977" i="23"/>
  <c r="C978" i="23"/>
  <c r="C988" i="23"/>
  <c r="C985" i="23"/>
  <c r="C974" i="23"/>
  <c r="C927" i="23"/>
  <c r="C926" i="23"/>
  <c r="C925" i="23"/>
  <c r="C933" i="23"/>
  <c r="C919" i="23"/>
  <c r="C881" i="23"/>
  <c r="C876" i="23"/>
  <c r="C880" i="23"/>
  <c r="C873" i="23"/>
  <c r="C834" i="23"/>
  <c r="C837" i="23"/>
  <c r="C838" i="23"/>
  <c r="C778" i="23"/>
  <c r="C788" i="23"/>
  <c r="C786" i="23"/>
  <c r="C793" i="23"/>
  <c r="C714" i="23"/>
  <c r="C704" i="23"/>
  <c r="C713" i="23"/>
  <c r="C718" i="23"/>
  <c r="C663" i="23"/>
  <c r="C658" i="23"/>
  <c r="C666" i="23"/>
  <c r="C607" i="23"/>
  <c r="C609" i="23"/>
  <c r="C541" i="23"/>
  <c r="C537" i="23"/>
  <c r="C540" i="23"/>
  <c r="C549" i="23"/>
  <c r="C472" i="23"/>
  <c r="C484" i="23"/>
  <c r="C487" i="23"/>
  <c r="C428" i="23"/>
  <c r="C431" i="23"/>
  <c r="C376" i="23"/>
  <c r="C384" i="23"/>
  <c r="C297" i="23"/>
  <c r="C284" i="23"/>
  <c r="C280" i="23"/>
  <c r="C295" i="23"/>
  <c r="C230" i="23"/>
  <c r="C231" i="23"/>
  <c r="C224" i="23"/>
  <c r="C225" i="23"/>
  <c r="C223" i="23"/>
  <c r="C236" i="23"/>
  <c r="C119" i="23"/>
  <c r="C127" i="23"/>
  <c r="C120" i="23"/>
  <c r="C125" i="23"/>
  <c r="C124" i="23"/>
  <c r="C79" i="23"/>
  <c r="C82" i="23"/>
  <c r="C78" i="23"/>
  <c r="C55" i="23"/>
  <c r="C56" i="23"/>
  <c r="C49" i="23"/>
  <c r="C851" i="23"/>
  <c r="C858" i="23"/>
  <c r="C853" i="23"/>
  <c r="C866" i="23"/>
  <c r="C848" i="23"/>
  <c r="C855" i="23"/>
  <c r="C1034" i="23"/>
  <c r="C1045" i="23"/>
  <c r="C1037" i="23"/>
  <c r="C1038" i="23"/>
  <c r="C917" i="23"/>
  <c r="C918" i="23"/>
  <c r="C922" i="23"/>
  <c r="C826" i="23"/>
  <c r="C831" i="23"/>
  <c r="C828" i="23"/>
  <c r="C830" i="23"/>
  <c r="C787" i="23"/>
  <c r="C783" i="23"/>
  <c r="C792" i="23"/>
  <c r="C791" i="23"/>
  <c r="C643" i="23"/>
  <c r="C648" i="23"/>
  <c r="C642" i="23"/>
  <c r="C653" i="23"/>
  <c r="C646" i="23"/>
  <c r="C532" i="23"/>
  <c r="C534" i="23"/>
  <c r="C426" i="23"/>
  <c r="C424" i="23"/>
  <c r="C422" i="23"/>
  <c r="C287" i="23"/>
  <c r="C275" i="23"/>
  <c r="C285" i="23"/>
  <c r="C279" i="23"/>
  <c r="C121" i="23"/>
  <c r="C113" i="23"/>
  <c r="C123" i="23"/>
  <c r="C114" i="23"/>
  <c r="C122" i="23"/>
  <c r="C39" i="23"/>
  <c r="C45" i="23"/>
  <c r="C38" i="23"/>
  <c r="C53" i="23"/>
  <c r="C1000" i="23"/>
  <c r="C1009" i="23"/>
  <c r="C1010" i="23"/>
  <c r="C1012" i="23"/>
  <c r="C1017" i="23"/>
  <c r="C949" i="23"/>
  <c r="C955" i="23"/>
  <c r="C956" i="23"/>
  <c r="C899" i="23"/>
  <c r="C901" i="23"/>
  <c r="C895" i="23"/>
  <c r="C896" i="23"/>
  <c r="C814" i="23"/>
  <c r="C807" i="23"/>
  <c r="C820" i="23"/>
  <c r="C816" i="23"/>
  <c r="C729" i="23"/>
  <c r="C731" i="23"/>
  <c r="C733" i="23"/>
  <c r="C678" i="23"/>
  <c r="C677" i="23"/>
  <c r="C675" i="23"/>
  <c r="C670" i="23"/>
  <c r="C595" i="23"/>
  <c r="C589" i="23"/>
  <c r="C535" i="23"/>
  <c r="C539" i="23"/>
  <c r="C473" i="23"/>
  <c r="C474" i="23"/>
  <c r="C479" i="23"/>
  <c r="C432" i="23"/>
  <c r="C417" i="23"/>
  <c r="C415" i="23"/>
  <c r="C341" i="23"/>
  <c r="C334" i="23"/>
  <c r="C332" i="23"/>
  <c r="C333" i="23"/>
  <c r="C289" i="23"/>
  <c r="C278" i="23"/>
  <c r="C283" i="23"/>
  <c r="C273" i="23"/>
  <c r="C229" i="23"/>
  <c r="C218" i="23"/>
  <c r="C226" i="23"/>
  <c r="C228" i="23"/>
  <c r="C220" i="23"/>
  <c r="C237" i="23"/>
  <c r="C142" i="23"/>
  <c r="C145" i="23"/>
  <c r="C146" i="23"/>
  <c r="C153" i="23"/>
  <c r="C1395" i="23"/>
  <c r="C1405" i="23"/>
  <c r="C1475" i="23"/>
  <c r="C1423" i="23"/>
  <c r="C1432" i="23"/>
  <c r="C1396" i="23"/>
  <c r="C1454" i="23"/>
  <c r="C1476" i="23"/>
  <c r="C1484" i="23"/>
  <c r="C1490" i="23"/>
  <c r="C1494" i="23"/>
  <c r="C1388" i="23"/>
  <c r="C1445" i="23"/>
  <c r="C1394" i="23"/>
  <c r="C1411" i="23"/>
  <c r="C1422" i="23"/>
  <c r="C1489" i="23"/>
  <c r="C1389" i="23"/>
  <c r="C1449" i="23"/>
  <c r="C1456" i="23"/>
  <c r="C1453" i="23"/>
  <c r="C1469" i="23"/>
  <c r="C1477" i="23"/>
  <c r="C1435" i="23"/>
  <c r="C1399" i="23"/>
  <c r="C1412" i="23"/>
  <c r="C1421" i="23"/>
  <c r="C1428" i="23"/>
  <c r="C1436" i="23"/>
  <c r="C1439" i="23"/>
  <c r="C1446" i="23"/>
  <c r="C1450" i="23"/>
  <c r="C1455" i="23"/>
  <c r="C1457" i="23"/>
  <c r="C1483" i="23"/>
  <c r="C1492" i="23"/>
  <c r="C1491" i="23"/>
  <c r="C1448" i="23"/>
  <c r="C1451" i="23"/>
  <c r="C1452" i="23"/>
  <c r="C1465" i="23"/>
  <c r="C1467" i="23"/>
  <c r="C1474" i="23"/>
  <c r="C1391" i="23"/>
  <c r="C1426" i="23"/>
  <c r="C1397" i="23"/>
  <c r="C1429" i="23"/>
  <c r="C1440" i="23"/>
  <c r="C1407" i="23"/>
  <c r="C1459" i="23"/>
  <c r="C1437" i="23"/>
  <c r="C1368" i="23"/>
  <c r="C1366" i="23"/>
  <c r="C1367" i="23"/>
  <c r="C1349" i="23"/>
  <c r="C1357" i="23"/>
  <c r="C1352" i="23"/>
  <c r="C1340" i="23"/>
  <c r="C1339" i="23"/>
  <c r="C1329" i="23"/>
  <c r="C1327" i="23"/>
  <c r="C1318" i="23"/>
  <c r="C1314" i="23"/>
  <c r="C1312" i="23"/>
  <c r="C1313" i="23"/>
  <c r="C1309" i="23"/>
  <c r="C1300" i="23"/>
  <c r="C1294" i="23"/>
  <c r="C1295" i="23"/>
  <c r="C1292" i="23"/>
  <c r="C1286" i="23"/>
  <c r="C1297" i="23"/>
  <c r="C1271" i="23"/>
  <c r="C1287" i="23"/>
  <c r="C1285" i="23"/>
  <c r="C1281" i="23"/>
  <c r="C1264" i="23"/>
  <c r="C1270" i="23"/>
  <c r="C1262" i="23"/>
  <c r="C1274" i="23"/>
  <c r="C1265" i="23"/>
  <c r="C1251" i="23"/>
  <c r="C1256" i="23"/>
  <c r="C1257" i="23"/>
  <c r="C1267" i="23"/>
  <c r="C1252" i="23"/>
  <c r="C1250" i="23"/>
  <c r="C1243" i="23"/>
  <c r="C1236" i="23"/>
  <c r="C1242" i="23"/>
  <c r="C1229" i="23"/>
  <c r="C1233" i="23"/>
  <c r="C1225" i="23"/>
  <c r="C1234" i="23"/>
  <c r="C1231" i="23"/>
  <c r="C1222" i="23"/>
  <c r="C1216" i="23"/>
  <c r="C1209" i="23"/>
  <c r="C1201" i="23"/>
  <c r="C1213" i="23"/>
  <c r="C1200" i="23"/>
  <c r="C1203" i="23"/>
  <c r="C1194" i="23"/>
  <c r="C1179" i="23"/>
  <c r="C1187" i="23"/>
  <c r="C1182" i="23"/>
  <c r="C1185" i="23"/>
  <c r="C1166" i="23"/>
  <c r="C1167" i="23"/>
  <c r="C1176" i="23"/>
  <c r="C1155" i="23"/>
  <c r="C1151" i="23"/>
  <c r="C1157" i="23"/>
  <c r="C1139" i="23"/>
  <c r="C1142" i="23"/>
  <c r="C1143" i="23"/>
  <c r="C1130" i="23"/>
  <c r="C1127" i="23"/>
  <c r="C1126" i="23"/>
  <c r="C1135" i="23"/>
  <c r="C1124" i="23"/>
  <c r="C1119" i="23"/>
  <c r="C1109" i="23"/>
  <c r="C1111" i="23"/>
  <c r="C1118" i="23"/>
  <c r="C1097" i="23"/>
  <c r="C1104" i="23"/>
  <c r="C1107" i="23"/>
  <c r="C1105" i="23"/>
  <c r="C1106" i="23"/>
  <c r="C1089" i="23"/>
  <c r="C1083" i="23"/>
  <c r="C1094" i="23"/>
  <c r="C1078" i="23"/>
  <c r="C1072" i="23"/>
  <c r="C1074" i="23"/>
  <c r="C1075" i="23"/>
  <c r="C1070" i="23"/>
  <c r="C1063" i="23"/>
  <c r="C1061" i="23"/>
  <c r="C1056" i="23"/>
  <c r="C961" i="23"/>
  <c r="C962" i="23"/>
  <c r="C958" i="23"/>
  <c r="C957" i="23"/>
  <c r="C960" i="23"/>
  <c r="C512" i="23"/>
  <c r="C509" i="23"/>
  <c r="C516" i="23"/>
  <c r="C504" i="23"/>
  <c r="C514" i="23"/>
  <c r="C973" i="23"/>
  <c r="C971" i="23"/>
  <c r="C865" i="23"/>
  <c r="C870" i="23"/>
  <c r="C605" i="23"/>
  <c r="C608" i="23"/>
  <c r="C600" i="23"/>
  <c r="C477" i="23"/>
  <c r="C478" i="23"/>
  <c r="C471" i="23"/>
  <c r="C470" i="23"/>
  <c r="C372" i="23"/>
  <c r="C378" i="23"/>
  <c r="C374" i="23"/>
  <c r="C375" i="23"/>
  <c r="C370" i="23"/>
  <c r="C219" i="23"/>
  <c r="C222" i="23"/>
  <c r="C68" i="23"/>
  <c r="C71" i="23"/>
  <c r="C69" i="23"/>
  <c r="C76" i="23"/>
  <c r="C1040" i="23"/>
  <c r="C1036" i="23"/>
  <c r="C1041" i="23"/>
  <c r="C1028" i="23"/>
  <c r="C983" i="23"/>
  <c r="C980" i="23"/>
  <c r="C975" i="23"/>
  <c r="C987" i="23"/>
  <c r="C979" i="23"/>
  <c r="C923" i="23"/>
  <c r="C930" i="23"/>
  <c r="C924" i="23"/>
  <c r="C929" i="23"/>
  <c r="C928" i="23"/>
  <c r="C869" i="23"/>
  <c r="C868" i="23"/>
  <c r="C754" i="23"/>
  <c r="C752" i="23"/>
  <c r="C757" i="23"/>
  <c r="C759" i="23"/>
  <c r="C694" i="23"/>
  <c r="C703" i="23"/>
  <c r="C698" i="23"/>
  <c r="C709" i="23"/>
  <c r="C711" i="23"/>
  <c r="C695" i="23"/>
  <c r="C645" i="23"/>
  <c r="C644" i="23"/>
  <c r="C651" i="23"/>
  <c r="C554" i="23"/>
  <c r="C558" i="23"/>
  <c r="C508" i="23"/>
  <c r="C501" i="23"/>
  <c r="C497" i="23"/>
  <c r="C455" i="23"/>
  <c r="C454" i="23"/>
  <c r="C366" i="23"/>
  <c r="C365" i="23"/>
  <c r="C360" i="23"/>
  <c r="C317" i="23"/>
  <c r="C319" i="23"/>
  <c r="C314" i="23"/>
  <c r="C311" i="23"/>
  <c r="C256" i="23"/>
  <c r="C254" i="23"/>
  <c r="C261" i="23"/>
  <c r="C257" i="23"/>
  <c r="C255" i="23"/>
  <c r="C202" i="23"/>
  <c r="C203" i="23"/>
  <c r="C206" i="23"/>
  <c r="C195" i="23"/>
  <c r="C91" i="23"/>
  <c r="C87" i="23"/>
  <c r="C88" i="23"/>
  <c r="C90" i="23"/>
  <c r="C89" i="23"/>
  <c r="C1376" i="23"/>
  <c r="C1381" i="23"/>
  <c r="C1384" i="23"/>
  <c r="C1019" i="23"/>
  <c r="C1025" i="23"/>
  <c r="C1024" i="23"/>
  <c r="C967" i="23"/>
  <c r="C972" i="23"/>
  <c r="C914" i="23"/>
  <c r="C920" i="23"/>
  <c r="C915" i="23"/>
  <c r="C852" i="23"/>
  <c r="C860" i="23"/>
  <c r="C856" i="23"/>
  <c r="C854" i="23"/>
  <c r="C857" i="23"/>
  <c r="C859" i="23"/>
  <c r="C824" i="23"/>
  <c r="C821" i="23"/>
  <c r="C822" i="23"/>
  <c r="C776" i="23"/>
  <c r="C773" i="23"/>
  <c r="C762" i="23"/>
  <c r="C767" i="23"/>
  <c r="C702" i="23"/>
  <c r="C700" i="23"/>
  <c r="C701" i="23"/>
  <c r="C705" i="23"/>
  <c r="C707" i="23"/>
  <c r="C699" i="23"/>
  <c r="C649" i="23"/>
  <c r="C650" i="23"/>
  <c r="C647" i="23"/>
  <c r="C598" i="23"/>
  <c r="C601" i="23"/>
  <c r="C603" i="23"/>
  <c r="C597" i="23"/>
  <c r="C594" i="23"/>
  <c r="C520" i="23"/>
  <c r="C518" i="23"/>
  <c r="C522" i="23"/>
  <c r="C459" i="23"/>
  <c r="C469" i="23"/>
  <c r="C458" i="23"/>
  <c r="C466" i="23"/>
  <c r="C363" i="23"/>
  <c r="C369" i="23"/>
  <c r="C368" i="23"/>
  <c r="C281" i="23"/>
  <c r="C277" i="23"/>
  <c r="C270" i="23"/>
  <c r="C269" i="23"/>
  <c r="C282" i="23"/>
  <c r="C199" i="23"/>
  <c r="C211" i="23"/>
  <c r="C213" i="23"/>
  <c r="C126" i="23"/>
  <c r="C112" i="23"/>
  <c r="C118" i="23"/>
  <c r="C41" i="23"/>
  <c r="C46" i="23"/>
  <c r="C40" i="23"/>
  <c r="C54" i="23"/>
  <c r="C197" i="23"/>
  <c r="C200" i="23"/>
  <c r="C207" i="23"/>
  <c r="C194" i="23"/>
  <c r="C141" i="23"/>
  <c r="C147" i="23"/>
  <c r="C150" i="23"/>
  <c r="C140" i="23"/>
  <c r="C182" i="23"/>
  <c r="C179" i="23"/>
  <c r="C184" i="23"/>
  <c r="C171" i="23"/>
  <c r="C109" i="23"/>
  <c r="C110" i="23"/>
  <c r="C117" i="23"/>
  <c r="C74" i="23"/>
  <c r="C72" i="23"/>
  <c r="C42" i="23"/>
  <c r="C47" i="23"/>
  <c r="C1032" i="23"/>
  <c r="C1033" i="23"/>
  <c r="C1027" i="23"/>
  <c r="C1018" i="23"/>
  <c r="C970" i="23"/>
  <c r="C966" i="23"/>
  <c r="C968" i="23"/>
  <c r="C944" i="23"/>
  <c r="C947" i="23"/>
  <c r="C890" i="23"/>
  <c r="C893" i="23"/>
  <c r="C889" i="23"/>
  <c r="C864" i="23"/>
  <c r="C867" i="23"/>
  <c r="C862" i="23"/>
  <c r="C801" i="23"/>
  <c r="C809" i="23"/>
  <c r="C806" i="23"/>
  <c r="C811" i="23"/>
  <c r="C784" i="23"/>
  <c r="C772" i="23"/>
  <c r="C779" i="23"/>
  <c r="C780" i="23"/>
  <c r="C760" i="23"/>
  <c r="C758" i="23"/>
  <c r="C716" i="23"/>
  <c r="C717" i="23"/>
  <c r="C724" i="23"/>
  <c r="C720" i="23"/>
  <c r="C638" i="23"/>
  <c r="C640" i="23"/>
  <c r="C635" i="23"/>
  <c r="C636" i="23"/>
  <c r="C620" i="23"/>
  <c r="C618" i="23"/>
  <c r="C616" i="23"/>
  <c r="C613" i="23"/>
  <c r="C576" i="23"/>
  <c r="C577" i="23"/>
  <c r="C583" i="23"/>
  <c r="C585" i="23"/>
  <c r="C552" i="23"/>
  <c r="C561" i="23"/>
  <c r="C547" i="23"/>
  <c r="C564" i="23"/>
  <c r="C553" i="23"/>
  <c r="C528" i="23"/>
  <c r="C529" i="23"/>
  <c r="C525" i="23"/>
  <c r="C527" i="23"/>
  <c r="C533" i="23"/>
  <c r="C357" i="23"/>
  <c r="C364" i="23"/>
  <c r="C362" i="23"/>
  <c r="C367" i="23"/>
  <c r="C356" i="23"/>
  <c r="C335" i="23"/>
  <c r="C336" i="23"/>
  <c r="C331" i="23"/>
  <c r="C305" i="23"/>
  <c r="C302" i="23"/>
  <c r="C310" i="23"/>
  <c r="C250" i="23"/>
  <c r="C246" i="23"/>
  <c r="C196" i="23"/>
  <c r="C190" i="23"/>
  <c r="C135" i="23"/>
  <c r="C134" i="23"/>
  <c r="C106" i="23"/>
  <c r="C107" i="23"/>
  <c r="C80" i="23"/>
  <c r="C81" i="23"/>
  <c r="C83" i="23"/>
  <c r="C1398" i="23"/>
  <c r="C1401" i="23"/>
  <c r="C1410" i="23"/>
  <c r="C1416" i="23"/>
  <c r="C1415" i="23"/>
  <c r="C1430" i="23"/>
  <c r="C1438" i="23"/>
  <c r="C1444" i="23"/>
  <c r="C1447" i="23"/>
  <c r="C1462" i="23"/>
  <c r="C1461" i="23"/>
  <c r="C1471" i="23"/>
  <c r="C1417" i="23"/>
  <c r="C1479" i="23"/>
  <c r="C1406" i="23"/>
  <c r="C1408" i="23"/>
  <c r="C1419" i="23"/>
  <c r="C1413" i="23"/>
  <c r="C1420" i="23"/>
  <c r="C1433" i="23"/>
  <c r="C1434" i="23"/>
  <c r="C1460" i="23"/>
  <c r="C1458" i="23"/>
  <c r="C1472" i="23"/>
  <c r="C1480" i="23"/>
  <c r="C1487" i="23"/>
  <c r="C1495" i="23"/>
  <c r="C1390" i="23"/>
  <c r="C1403" i="23"/>
  <c r="C1400" i="23"/>
  <c r="C1404" i="23"/>
  <c r="C1464" i="23"/>
  <c r="C1425" i="23"/>
  <c r="C1485" i="23"/>
  <c r="C1402" i="23"/>
  <c r="C1466" i="23"/>
  <c r="C1470" i="23"/>
  <c r="C1473" i="23"/>
  <c r="C1478" i="23"/>
  <c r="C1486" i="23"/>
  <c r="C1463" i="23"/>
  <c r="C1468" i="23"/>
  <c r="C1427" i="23"/>
  <c r="C1482" i="23"/>
  <c r="C1481" i="23"/>
  <c r="C1488" i="23"/>
  <c r="C1418" i="23"/>
  <c r="C1414" i="23"/>
  <c r="C1424" i="23"/>
  <c r="C1409" i="23"/>
  <c r="C1431" i="23"/>
  <c r="C1382" i="23"/>
  <c r="C1383" i="23"/>
  <c r="C1377" i="23"/>
  <c r="C1364" i="23"/>
  <c r="C1372" i="23"/>
  <c r="C1363" i="23"/>
  <c r="C1350" i="23"/>
  <c r="C1358" i="23"/>
  <c r="C1348" i="23"/>
  <c r="C1337" i="23"/>
  <c r="C1341" i="23"/>
  <c r="C1324" i="23"/>
  <c r="C1322" i="23"/>
  <c r="C1332" i="23"/>
  <c r="C1305" i="23"/>
  <c r="C1308" i="23"/>
  <c r="C1316" i="23"/>
  <c r="C1307" i="23"/>
  <c r="C1310" i="23"/>
  <c r="C1298" i="23"/>
  <c r="C1299" i="23"/>
  <c r="C1296" i="23"/>
  <c r="C1293" i="23"/>
  <c r="C1290" i="23"/>
  <c r="C1288" i="23"/>
  <c r="C1280" i="23"/>
  <c r="C1284" i="23"/>
  <c r="C1279" i="23"/>
  <c r="C1266" i="23"/>
  <c r="C1268" i="23"/>
  <c r="C1275" i="23"/>
  <c r="C1269" i="23"/>
  <c r="C1276" i="23"/>
  <c r="C1254" i="23"/>
  <c r="C1249" i="23"/>
  <c r="C1247" i="23"/>
  <c r="C1255" i="23"/>
  <c r="C1253" i="23"/>
  <c r="C1259" i="23"/>
  <c r="C1240" i="23"/>
  <c r="C1239" i="23"/>
  <c r="C1235" i="23"/>
  <c r="C1226" i="23"/>
  <c r="C1230" i="23"/>
  <c r="C1221" i="23"/>
  <c r="C1227" i="23"/>
  <c r="C1220" i="23"/>
  <c r="C1228" i="23"/>
  <c r="C1211" i="23"/>
  <c r="C1212" i="23"/>
  <c r="C1214" i="23"/>
  <c r="C1219" i="23"/>
  <c r="C1192" i="23"/>
  <c r="C1193" i="23"/>
  <c r="C1202" i="23"/>
  <c r="C1180" i="23"/>
  <c r="C1188" i="23"/>
  <c r="C1183" i="23"/>
  <c r="C1189" i="23"/>
  <c r="C1173" i="23"/>
  <c r="C1174" i="23"/>
  <c r="C1170" i="23"/>
  <c r="C1153" i="23"/>
  <c r="C1158" i="23"/>
  <c r="C1156" i="23"/>
  <c r="C1140" i="23"/>
  <c r="C1144" i="23"/>
  <c r="C1141" i="23"/>
  <c r="C1145" i="23"/>
  <c r="C1122" i="23"/>
  <c r="C1125" i="23"/>
  <c r="C1129" i="23"/>
  <c r="C1131" i="23"/>
  <c r="C1117" i="23"/>
  <c r="C1114" i="23"/>
  <c r="C1112" i="23"/>
  <c r="C1108" i="23"/>
  <c r="C1101" i="23"/>
  <c r="C1096" i="23"/>
  <c r="C1099" i="23"/>
  <c r="C1102" i="23"/>
  <c r="C1098" i="23"/>
  <c r="C1079" i="23"/>
  <c r="C1086" i="23"/>
  <c r="C1081" i="23"/>
  <c r="C1091" i="23"/>
  <c r="C1084" i="23"/>
  <c r="C1077" i="23"/>
  <c r="C1073" i="23"/>
  <c r="C1069" i="23"/>
  <c r="C1057" i="23"/>
  <c r="C1062" i="23"/>
  <c r="C1060" i="23"/>
  <c r="C908" i="23"/>
  <c r="C910" i="23"/>
  <c r="C906" i="23"/>
  <c r="C451" i="23"/>
  <c r="C456" i="23"/>
  <c r="C461" i="23"/>
  <c r="C996" i="23"/>
  <c r="C1016" i="23"/>
  <c r="C1006" i="23"/>
  <c r="C998" i="23"/>
  <c r="C1005" i="23"/>
  <c r="C954" i="23"/>
  <c r="C963" i="23"/>
  <c r="C959" i="23"/>
  <c r="C964" i="23"/>
  <c r="C965" i="23"/>
  <c r="C903" i="23"/>
  <c r="C911" i="23"/>
  <c r="C905" i="23"/>
  <c r="C907" i="23"/>
  <c r="C815" i="23"/>
  <c r="C810" i="23"/>
  <c r="C808" i="23"/>
  <c r="C812" i="23"/>
  <c r="C740" i="23"/>
  <c r="C748" i="23"/>
  <c r="C751" i="23"/>
  <c r="C750" i="23"/>
  <c r="C681" i="23"/>
  <c r="C682" i="23"/>
  <c r="C690" i="23"/>
  <c r="C691" i="23"/>
  <c r="C686" i="23"/>
  <c r="C575" i="23"/>
  <c r="C563" i="23"/>
  <c r="C568" i="23"/>
  <c r="C580" i="23"/>
  <c r="C513" i="23"/>
  <c r="C515" i="23"/>
  <c r="C500" i="23"/>
  <c r="C505" i="23"/>
  <c r="C517" i="23"/>
  <c r="C453" i="23"/>
  <c r="C448" i="23"/>
  <c r="C347" i="23"/>
  <c r="C346" i="23"/>
  <c r="C350" i="23"/>
  <c r="C247" i="23"/>
  <c r="C253" i="23"/>
  <c r="C251" i="23"/>
  <c r="C259" i="23"/>
  <c r="C248" i="23"/>
  <c r="C186" i="23"/>
  <c r="C170" i="23"/>
  <c r="C168" i="23"/>
  <c r="C172" i="23"/>
  <c r="C102" i="23"/>
  <c r="C108" i="23"/>
  <c r="C101" i="23"/>
  <c r="C93" i="23"/>
  <c r="C104" i="23"/>
  <c r="C99" i="23"/>
  <c r="C66" i="23"/>
  <c r="C67" i="23"/>
  <c r="C43" i="23"/>
  <c r="C1035" i="23"/>
  <c r="C1030" i="23"/>
  <c r="C1031" i="23"/>
  <c r="C1021" i="23"/>
  <c r="C976" i="23"/>
  <c r="C981" i="23"/>
  <c r="C969" i="23"/>
  <c r="C945" i="23"/>
  <c r="C948" i="23"/>
  <c r="C913" i="23"/>
  <c r="C921" i="23"/>
  <c r="C916" i="23"/>
  <c r="C887" i="23"/>
  <c r="C883" i="23"/>
  <c r="C891" i="23"/>
  <c r="C861" i="23"/>
  <c r="C871" i="23"/>
  <c r="C863" i="23"/>
  <c r="C823" i="23"/>
  <c r="C845" i="23"/>
  <c r="C833" i="23"/>
  <c r="C805" i="23"/>
  <c r="C798" i="23"/>
  <c r="C813" i="23"/>
  <c r="C800" i="23"/>
  <c r="C768" i="23"/>
  <c r="C769" i="23"/>
  <c r="C774" i="23"/>
  <c r="C785" i="23"/>
  <c r="C747" i="23"/>
  <c r="C746" i="23"/>
  <c r="C722" i="23"/>
  <c r="C723" i="23"/>
  <c r="C725" i="23"/>
  <c r="C721" i="23"/>
  <c r="C664" i="23"/>
  <c r="C668" i="23"/>
  <c r="C662" i="23"/>
  <c r="C639" i="23"/>
  <c r="C641" i="23"/>
  <c r="C634" i="23"/>
  <c r="C637" i="23"/>
  <c r="C619" i="23"/>
  <c r="C610" i="23"/>
  <c r="C611" i="23"/>
  <c r="C606" i="23"/>
  <c r="C588" i="23"/>
  <c r="C591" i="23"/>
  <c r="C581" i="23"/>
  <c r="C582" i="23"/>
  <c r="C556" i="23"/>
  <c r="C559" i="23"/>
  <c r="C557" i="23"/>
  <c r="C546" i="23"/>
  <c r="C555" i="23"/>
  <c r="C526" i="23"/>
  <c r="C524" i="23"/>
  <c r="C531" i="23"/>
  <c r="C530" i="23"/>
  <c r="C536" i="23"/>
  <c r="C511" i="23"/>
  <c r="C503" i="23"/>
  <c r="C495" i="23"/>
  <c r="C491" i="23"/>
  <c r="C475" i="23"/>
  <c r="C463" i="23"/>
  <c r="C464" i="23"/>
  <c r="C476" i="23"/>
  <c r="C446" i="23"/>
  <c r="C439" i="23"/>
  <c r="C445" i="23"/>
  <c r="C450" i="23"/>
  <c r="C449" i="23"/>
  <c r="C361" i="23"/>
  <c r="C353" i="23"/>
  <c r="C358" i="23"/>
  <c r="C359" i="23"/>
  <c r="C352" i="23"/>
  <c r="C338" i="23"/>
  <c r="C339" i="23"/>
  <c r="C330" i="23"/>
  <c r="C309" i="23"/>
  <c r="C306" i="23"/>
  <c r="C307" i="23"/>
  <c r="C252" i="23"/>
  <c r="C249" i="23"/>
  <c r="C227" i="23"/>
  <c r="C221" i="23"/>
  <c r="C201" i="23"/>
  <c r="C188" i="23"/>
  <c r="C136" i="23"/>
  <c r="C139" i="23"/>
  <c r="C115" i="23"/>
  <c r="C116" i="23"/>
  <c r="C70" i="23"/>
  <c r="C73" i="23"/>
  <c r="C75" i="23"/>
  <c r="C77" i="23"/>
  <c r="E163" i="2"/>
  <c r="A163" i="2" s="1"/>
  <c r="E541" i="2"/>
  <c r="A541" i="2" s="1"/>
  <c r="E589" i="2"/>
  <c r="A589" i="2" s="1"/>
  <c r="E694" i="2"/>
  <c r="A694" i="2" s="1"/>
  <c r="E725" i="2"/>
  <c r="A725" i="2" s="1"/>
  <c r="E595" i="2"/>
  <c r="A595" i="2" s="1"/>
  <c r="E719" i="2"/>
  <c r="A719" i="2" s="1"/>
  <c r="E639" i="2"/>
  <c r="A639" i="2" s="1"/>
  <c r="H1008" i="23"/>
  <c r="H1078" i="23"/>
  <c r="H578" i="23"/>
  <c r="L17" i="23"/>
  <c r="H1099" i="23"/>
  <c r="H1096" i="23"/>
  <c r="H743" i="23"/>
  <c r="H487" i="23"/>
  <c r="H473" i="23"/>
  <c r="H687" i="23"/>
  <c r="H603" i="23"/>
  <c r="H599" i="23"/>
  <c r="H661" i="23"/>
  <c r="H920" i="23"/>
  <c r="H914" i="23"/>
  <c r="H372" i="23"/>
  <c r="H1021" i="23"/>
  <c r="H496" i="23"/>
  <c r="H1166" i="23"/>
  <c r="H1165" i="23"/>
  <c r="H1349" i="23"/>
  <c r="H1350" i="23"/>
  <c r="H425" i="23"/>
  <c r="H417" i="23"/>
  <c r="H1190" i="23"/>
  <c r="H1184" i="23"/>
  <c r="H712" i="23"/>
  <c r="H723" i="23"/>
  <c r="H773" i="23"/>
  <c r="H397" i="23"/>
  <c r="H387" i="23"/>
  <c r="H125" i="23"/>
  <c r="H174" i="23"/>
  <c r="H732" i="23"/>
  <c r="H731" i="23"/>
  <c r="H1107" i="23"/>
  <c r="H1113" i="23"/>
  <c r="H1325" i="23"/>
  <c r="H1328" i="23"/>
  <c r="L36" i="23"/>
  <c r="H261" i="23"/>
  <c r="H258" i="23"/>
  <c r="H255" i="23"/>
  <c r="H544" i="23"/>
  <c r="H761" i="23"/>
  <c r="H754" i="23"/>
  <c r="H1152" i="23"/>
  <c r="H1150" i="23"/>
  <c r="H893" i="23"/>
  <c r="H1279" i="23"/>
  <c r="H1400" i="23"/>
  <c r="H1465" i="23"/>
  <c r="H1446" i="23"/>
  <c r="H235" i="23"/>
  <c r="H243" i="23"/>
  <c r="H337" i="23"/>
  <c r="H333" i="23"/>
  <c r="H501" i="23"/>
  <c r="H504" i="23"/>
  <c r="H1001" i="23"/>
  <c r="H991" i="23"/>
  <c r="H1004" i="23"/>
  <c r="H997" i="23"/>
  <c r="H1470" i="23"/>
  <c r="H1453" i="23"/>
  <c r="H459" i="23"/>
  <c r="H458" i="23"/>
  <c r="H800" i="23"/>
  <c r="H1058" i="23"/>
  <c r="H1175" i="23"/>
  <c r="H1172" i="23"/>
  <c r="H919" i="23"/>
  <c r="H922" i="23"/>
  <c r="H1254" i="23"/>
  <c r="H1259" i="23"/>
  <c r="L2" i="23"/>
  <c r="L7" i="23"/>
  <c r="H73" i="23"/>
  <c r="H81" i="23"/>
  <c r="H92" i="23"/>
  <c r="H149" i="23"/>
  <c r="H148" i="23"/>
  <c r="H198" i="23"/>
  <c r="H213" i="23"/>
  <c r="H319" i="23"/>
  <c r="H314" i="23"/>
  <c r="H829" i="23"/>
  <c r="H822" i="23"/>
  <c r="H265" i="23"/>
  <c r="H270" i="23"/>
  <c r="H1090" i="23"/>
  <c r="H1093" i="23"/>
  <c r="L37" i="23"/>
  <c r="L32" i="23"/>
  <c r="H1049" i="23"/>
  <c r="H1173" i="23"/>
  <c r="H271" i="23"/>
  <c r="H281" i="23"/>
  <c r="H277" i="23"/>
  <c r="H511" i="23"/>
  <c r="H492" i="23"/>
  <c r="H606" i="23"/>
  <c r="H619" i="23"/>
  <c r="H1321" i="23"/>
  <c r="H1323" i="23"/>
  <c r="H1371" i="23"/>
  <c r="H1376" i="23"/>
  <c r="H82" i="23"/>
  <c r="H80" i="23"/>
  <c r="H223" i="23"/>
  <c r="H220" i="23"/>
  <c r="H395" i="23"/>
  <c r="H413" i="23"/>
  <c r="H398" i="23"/>
  <c r="H728" i="23"/>
  <c r="H726" i="23"/>
  <c r="H792" i="23"/>
  <c r="H782" i="23"/>
  <c r="H949" i="23"/>
  <c r="H952" i="23"/>
  <c r="H962" i="23"/>
  <c r="H1392" i="23"/>
  <c r="H1387" i="23"/>
  <c r="H1335" i="23"/>
  <c r="H1338" i="23"/>
  <c r="H1396" i="23"/>
  <c r="H1394" i="23"/>
  <c r="H1388" i="23"/>
  <c r="H1403" i="23"/>
  <c r="H1399" i="23"/>
  <c r="H1389" i="23"/>
  <c r="H1455" i="23"/>
  <c r="H1405" i="23"/>
  <c r="H1449" i="23"/>
  <c r="H1450" i="23"/>
  <c r="L3" i="23"/>
  <c r="L5" i="23"/>
  <c r="L11" i="23"/>
  <c r="H182" i="23"/>
  <c r="H172" i="23"/>
  <c r="H171" i="23"/>
  <c r="H351" i="23"/>
  <c r="H299" i="23"/>
  <c r="H294" i="23"/>
  <c r="H354" i="23"/>
  <c r="H349" i="23"/>
  <c r="H630" i="23"/>
  <c r="H631" i="23"/>
  <c r="H910" i="23"/>
  <c r="H908" i="23"/>
  <c r="H581" i="23"/>
  <c r="H576" i="23"/>
  <c r="H577" i="23"/>
  <c r="H640" i="23"/>
  <c r="H634" i="23"/>
  <c r="H641" i="23"/>
  <c r="H801" i="23"/>
  <c r="H813" i="23"/>
  <c r="H1229" i="23"/>
  <c r="H1239" i="23"/>
  <c r="H1294" i="23"/>
  <c r="H1297" i="23"/>
  <c r="H1296" i="23"/>
  <c r="H87" i="23"/>
  <c r="H89" i="23"/>
  <c r="H145" i="23"/>
  <c r="H146" i="23"/>
  <c r="H651" i="23"/>
  <c r="H647" i="23"/>
  <c r="H1091" i="23"/>
  <c r="H1084" i="23"/>
  <c r="H1134" i="23"/>
  <c r="H1145" i="23"/>
  <c r="H1366" i="23"/>
  <c r="H1365" i="23"/>
  <c r="H374" i="23"/>
  <c r="H371" i="23"/>
  <c r="H433" i="23"/>
  <c r="H434" i="23"/>
  <c r="H549" i="23"/>
  <c r="H548" i="23"/>
  <c r="H655" i="23"/>
  <c r="H656" i="23"/>
  <c r="H818" i="23"/>
  <c r="H819" i="23"/>
  <c r="H602" i="23"/>
  <c r="H612" i="23"/>
  <c r="H669" i="23"/>
  <c r="H1263" i="23"/>
  <c r="H1261" i="23"/>
  <c r="H310" i="23"/>
  <c r="H309" i="23"/>
  <c r="H318" i="23"/>
  <c r="H317" i="23"/>
  <c r="H472" i="23"/>
  <c r="H484" i="23"/>
  <c r="H532" i="23"/>
  <c r="H543" i="23"/>
  <c r="H699" i="23"/>
  <c r="H709" i="23"/>
  <c r="H820" i="23"/>
  <c r="H808" i="23"/>
  <c r="H868" i="23"/>
  <c r="H880" i="23"/>
  <c r="H924" i="23"/>
  <c r="H929" i="23"/>
  <c r="H923" i="23"/>
  <c r="H993" i="23"/>
  <c r="H989" i="23"/>
  <c r="H1247" i="23"/>
  <c r="H1246" i="23"/>
  <c r="H1255" i="23"/>
  <c r="H1303" i="23"/>
  <c r="H1308" i="23"/>
  <c r="H1307" i="23"/>
  <c r="H1361" i="23"/>
  <c r="H1362" i="23"/>
  <c r="H90" i="23"/>
  <c r="H102" i="23"/>
  <c r="H264" i="23"/>
  <c r="H267" i="23"/>
  <c r="H322" i="23"/>
  <c r="H315" i="23"/>
  <c r="H776" i="23"/>
  <c r="H767" i="23"/>
  <c r="H876" i="23"/>
  <c r="H875" i="23"/>
  <c r="H935" i="23"/>
  <c r="H934" i="23"/>
  <c r="H936" i="23"/>
  <c r="H974" i="23"/>
  <c r="H979" i="23"/>
  <c r="H1148" i="23"/>
  <c r="H1130" i="23"/>
  <c r="H1146" i="23"/>
  <c r="H1203" i="23"/>
  <c r="H1192" i="23"/>
  <c r="H1251" i="23"/>
  <c r="H1253" i="23"/>
  <c r="H47" i="23"/>
  <c r="H55" i="23"/>
  <c r="H56" i="23"/>
  <c r="H338" i="23"/>
  <c r="H326" i="23"/>
  <c r="H325" i="23"/>
  <c r="H436" i="23"/>
  <c r="H444" i="23"/>
  <c r="H445" i="23"/>
  <c r="H771" i="23"/>
  <c r="H775" i="23"/>
  <c r="H886" i="23"/>
  <c r="H882" i="23"/>
  <c r="H877" i="23"/>
  <c r="H1036" i="23"/>
  <c r="H1038" i="23"/>
  <c r="H1047" i="23"/>
  <c r="H1315" i="23"/>
  <c r="H1316" i="23"/>
  <c r="H1370" i="23"/>
  <c r="H1374" i="23"/>
  <c r="H359" i="23"/>
  <c r="H363" i="23"/>
  <c r="H1209" i="23"/>
  <c r="H1201" i="23"/>
  <c r="H1213" i="23"/>
  <c r="H107" i="23"/>
  <c r="H115" i="23"/>
  <c r="H166" i="23"/>
  <c r="H173" i="23"/>
  <c r="H227" i="23"/>
  <c r="H221" i="23"/>
  <c r="H785" i="23"/>
  <c r="H784" i="23"/>
  <c r="H772" i="23"/>
  <c r="H891" i="23"/>
  <c r="H887" i="23"/>
  <c r="H944" i="23"/>
  <c r="H945" i="23"/>
  <c r="H177" i="23"/>
  <c r="H164" i="23"/>
  <c r="H607" i="23"/>
  <c r="H628" i="23"/>
  <c r="H629" i="23"/>
  <c r="H609" i="23"/>
  <c r="H842" i="23"/>
  <c r="H843" i="23"/>
  <c r="H841" i="23"/>
  <c r="H904" i="23"/>
  <c r="H899" i="23"/>
  <c r="H902" i="23"/>
  <c r="H890" i="23"/>
  <c r="H894" i="23"/>
  <c r="H1103" i="23"/>
  <c r="H1100" i="23"/>
  <c r="H1277" i="23"/>
  <c r="H1275" i="23"/>
  <c r="H1273" i="23"/>
  <c r="H1331" i="23"/>
  <c r="H1333" i="23"/>
  <c r="H127" i="23"/>
  <c r="H124" i="23"/>
  <c r="H238" i="23"/>
  <c r="H225" i="23"/>
  <c r="H228" i="23"/>
  <c r="H297" i="23"/>
  <c r="H291" i="23"/>
  <c r="H295" i="23"/>
  <c r="H403" i="23"/>
  <c r="H406" i="23"/>
  <c r="H456" i="23"/>
  <c r="H461" i="23"/>
  <c r="H571" i="23"/>
  <c r="H572" i="23"/>
  <c r="H741" i="23"/>
  <c r="H744" i="23"/>
  <c r="H850" i="23"/>
  <c r="H846" i="23"/>
  <c r="H1059" i="23"/>
  <c r="H1054" i="23"/>
  <c r="H1390" i="23"/>
  <c r="H1457" i="23"/>
  <c r="H1448" i="23"/>
  <c r="H1452" i="23"/>
  <c r="H1391" i="23"/>
  <c r="H1397" i="23"/>
  <c r="H1407" i="23"/>
  <c r="H1459" i="23"/>
  <c r="H1395" i="23"/>
  <c r="H1398" i="23"/>
  <c r="H1401" i="23"/>
  <c r="H1444" i="23"/>
  <c r="H1447" i="23"/>
  <c r="H1454" i="23"/>
  <c r="H1445" i="23"/>
  <c r="H1406" i="23"/>
  <c r="H1408" i="23"/>
  <c r="H1451" i="23"/>
  <c r="H1456" i="23"/>
  <c r="H1412" i="23"/>
  <c r="H64" i="23"/>
  <c r="H58" i="23"/>
  <c r="H61" i="23"/>
  <c r="H306" i="23"/>
  <c r="H304" i="23"/>
  <c r="H806" i="23"/>
  <c r="H809" i="23"/>
  <c r="H867" i="23"/>
  <c r="H860" i="23"/>
  <c r="H131" i="23"/>
  <c r="H122" i="23"/>
  <c r="H133" i="23"/>
  <c r="H191" i="23"/>
  <c r="H189" i="23"/>
  <c r="H193" i="23"/>
  <c r="H244" i="23"/>
  <c r="H242" i="23"/>
  <c r="H234" i="23"/>
  <c r="H519" i="23"/>
  <c r="H522" i="23"/>
  <c r="H529" i="23"/>
  <c r="H686" i="23"/>
  <c r="H682" i="23"/>
  <c r="H696" i="23"/>
  <c r="H975" i="23"/>
  <c r="H981" i="23"/>
  <c r="H1005" i="23"/>
  <c r="H1012" i="23"/>
  <c r="H1065" i="23"/>
  <c r="H1068" i="23"/>
  <c r="H1120" i="23"/>
  <c r="H1128" i="23"/>
  <c r="H1121" i="23"/>
  <c r="H1226" i="23"/>
  <c r="H1238" i="23"/>
  <c r="H1286" i="23"/>
  <c r="H1289" i="23"/>
  <c r="H1342" i="23"/>
  <c r="H1346" i="23"/>
  <c r="H1180" i="23"/>
  <c r="H1183" i="23"/>
  <c r="H1354" i="23"/>
  <c r="H1358" i="23"/>
  <c r="L21" i="12"/>
  <c r="L16" i="23"/>
  <c r="L24" i="23"/>
  <c r="H1009" i="23"/>
  <c r="H1000" i="23"/>
  <c r="H1060" i="23"/>
  <c r="H1056" i="23"/>
  <c r="H1111" i="23"/>
  <c r="H1119" i="23"/>
  <c r="H1114" i="23"/>
  <c r="H1170" i="23"/>
  <c r="H1176" i="23"/>
  <c r="H1231" i="23"/>
  <c r="H1233" i="23"/>
  <c r="H1227" i="23"/>
  <c r="H1280" i="23"/>
  <c r="H1284" i="23"/>
  <c r="H1287" i="23"/>
  <c r="H1420" i="23"/>
  <c r="H1478" i="23"/>
  <c r="H1472" i="23"/>
  <c r="H1421" i="23"/>
  <c r="H1413" i="23"/>
  <c r="H1475" i="23"/>
  <c r="H1467" i="23"/>
  <c r="H1474" i="23"/>
  <c r="H1415" i="23"/>
  <c r="H1476" i="23"/>
  <c r="H1426" i="23"/>
  <c r="H1473" i="23"/>
  <c r="H1424" i="23"/>
  <c r="H1477" i="23"/>
  <c r="H1425" i="23"/>
  <c r="H1427" i="23"/>
  <c r="H1414" i="23"/>
  <c r="H1417" i="23"/>
  <c r="L15" i="12"/>
  <c r="L9" i="23"/>
  <c r="H201" i="23"/>
  <c r="H202" i="23"/>
  <c r="H203" i="23"/>
  <c r="H246" i="23"/>
  <c r="H247" i="23"/>
  <c r="H404" i="23"/>
  <c r="H412" i="23"/>
  <c r="H530" i="23"/>
  <c r="H536" i="23"/>
  <c r="H582" i="23"/>
  <c r="H583" i="23"/>
  <c r="H637" i="23"/>
  <c r="H636" i="23"/>
  <c r="H698" i="23"/>
  <c r="H703" i="23"/>
  <c r="H695" i="23"/>
  <c r="H756" i="23"/>
  <c r="H760" i="23"/>
  <c r="H759" i="23"/>
  <c r="H758" i="23"/>
  <c r="H968" i="23"/>
  <c r="H969" i="23"/>
  <c r="H972" i="23"/>
  <c r="H967" i="23"/>
  <c r="H70" i="23"/>
  <c r="H68" i="23"/>
  <c r="H396" i="23"/>
  <c r="H407" i="23"/>
  <c r="H402" i="23"/>
  <c r="H467" i="23"/>
  <c r="H465" i="23"/>
  <c r="H516" i="23"/>
  <c r="H513" i="23"/>
  <c r="H515" i="23"/>
  <c r="H562" i="23"/>
  <c r="H567" i="23"/>
  <c r="H622" i="23"/>
  <c r="H623" i="23"/>
  <c r="H626" i="23"/>
  <c r="H679" i="23"/>
  <c r="H680" i="23"/>
  <c r="H673" i="23"/>
  <c r="H796" i="23"/>
  <c r="H795" i="23"/>
  <c r="H847" i="23"/>
  <c r="H851" i="23"/>
  <c r="H907" i="23"/>
  <c r="H912" i="23"/>
  <c r="H909" i="23"/>
  <c r="H72" i="23"/>
  <c r="H74" i="23"/>
  <c r="H67" i="23"/>
  <c r="H138" i="23"/>
  <c r="H137" i="23"/>
  <c r="H130" i="23"/>
  <c r="H178" i="23"/>
  <c r="H180" i="23"/>
  <c r="H298" i="23"/>
  <c r="H293" i="23"/>
  <c r="H301" i="23"/>
  <c r="H358" i="23"/>
  <c r="H357" i="23"/>
  <c r="H362" i="23"/>
  <c r="H464" i="23"/>
  <c r="H463" i="23"/>
  <c r="H574" i="23"/>
  <c r="H584" i="23"/>
  <c r="H740" i="23"/>
  <c r="H738" i="23"/>
  <c r="H794" i="23"/>
  <c r="H802" i="23"/>
  <c r="H803" i="23"/>
  <c r="H858" i="23"/>
  <c r="H855" i="23"/>
  <c r="H859" i="23"/>
  <c r="H1014" i="23"/>
  <c r="H1011" i="23"/>
  <c r="H1067" i="23"/>
  <c r="H1055" i="23"/>
  <c r="H1177" i="23"/>
  <c r="H1178" i="23"/>
  <c r="H1347" i="23"/>
  <c r="H1343" i="23"/>
  <c r="H1520" i="23"/>
  <c r="H1502" i="23"/>
  <c r="H1515" i="23"/>
  <c r="H1069" i="23"/>
  <c r="H1074" i="23"/>
  <c r="H1125" i="23"/>
  <c r="H1129" i="23"/>
  <c r="H1127" i="23"/>
  <c r="H1126" i="23"/>
  <c r="H1242" i="23"/>
  <c r="H1241" i="23"/>
  <c r="H91" i="23"/>
  <c r="H85" i="23"/>
  <c r="H141" i="23"/>
  <c r="H153" i="23"/>
  <c r="H142" i="23"/>
  <c r="H143" i="23"/>
  <c r="H144" i="23"/>
  <c r="H200" i="23"/>
  <c r="H195" i="23"/>
  <c r="H256" i="23"/>
  <c r="H248" i="23"/>
  <c r="H312" i="23"/>
  <c r="H308" i="23"/>
  <c r="H365" i="23"/>
  <c r="H360" i="23"/>
  <c r="H432" i="23"/>
  <c r="H422" i="23"/>
  <c r="H415" i="23"/>
  <c r="H539" i="23"/>
  <c r="H534" i="23"/>
  <c r="H598" i="23"/>
  <c r="H597" i="23"/>
  <c r="H643" i="23"/>
  <c r="H642" i="23"/>
  <c r="H648" i="23"/>
  <c r="H755" i="23"/>
  <c r="H753" i="23"/>
  <c r="H870" i="23"/>
  <c r="H878" i="23"/>
  <c r="H986" i="23"/>
  <c r="H982" i="23"/>
  <c r="H1018" i="23"/>
  <c r="H1025" i="23"/>
  <c r="H1024" i="23"/>
  <c r="H1029" i="23"/>
  <c r="H1088" i="23"/>
  <c r="H1080" i="23"/>
  <c r="H1191" i="23"/>
  <c r="H1195" i="23"/>
  <c r="H1205" i="23"/>
  <c r="H205" i="23"/>
  <c r="H210" i="23"/>
  <c r="H380" i="23"/>
  <c r="H373" i="23"/>
  <c r="H370" i="23"/>
  <c r="H431" i="23"/>
  <c r="H428" i="23"/>
  <c r="H485" i="23"/>
  <c r="H480" i="23"/>
  <c r="H481" i="23"/>
  <c r="H594" i="23"/>
  <c r="H590" i="23"/>
  <c r="H706" i="23"/>
  <c r="H708" i="23"/>
  <c r="H983" i="23"/>
  <c r="H980" i="23"/>
  <c r="H1037" i="23"/>
  <c r="H1028" i="23"/>
  <c r="H1030" i="23"/>
  <c r="H1094" i="23"/>
  <c r="H1079" i="23"/>
  <c r="H1141" i="23"/>
  <c r="H1144" i="23"/>
  <c r="H1142" i="23"/>
  <c r="H1206" i="23"/>
  <c r="H1196" i="23"/>
  <c r="H1305" i="23"/>
  <c r="H1310" i="23"/>
  <c r="H1364" i="23"/>
  <c r="H1372" i="23"/>
  <c r="I5" i="4"/>
  <c r="L18" i="23"/>
  <c r="L19" i="23"/>
  <c r="H40" i="23"/>
  <c r="H53" i="23"/>
  <c r="H38" i="23"/>
  <c r="H46" i="23"/>
  <c r="H98" i="23"/>
  <c r="H93" i="23"/>
  <c r="H94" i="23"/>
  <c r="H208" i="23"/>
  <c r="H214" i="23"/>
  <c r="H268" i="23"/>
  <c r="H282" i="23"/>
  <c r="H376" i="23"/>
  <c r="H384" i="23"/>
  <c r="H506" i="23"/>
  <c r="H491" i="23"/>
  <c r="H502" i="23"/>
  <c r="H542" i="23"/>
  <c r="H545" i="23"/>
  <c r="H604" i="23"/>
  <c r="H616" i="23"/>
  <c r="H666" i="23"/>
  <c r="H667" i="23"/>
  <c r="H718" i="23"/>
  <c r="H716" i="23"/>
  <c r="H717" i="23"/>
  <c r="H764" i="23"/>
  <c r="H765" i="23"/>
  <c r="H827" i="23"/>
  <c r="H826" i="23"/>
  <c r="H937" i="23"/>
  <c r="H943" i="23"/>
  <c r="L34" i="23"/>
  <c r="L26" i="23"/>
  <c r="L27" i="23"/>
  <c r="L35" i="23"/>
  <c r="H1043" i="23"/>
  <c r="H1039" i="23"/>
  <c r="H1102" i="23"/>
  <c r="H1098" i="23"/>
  <c r="H1097" i="23"/>
  <c r="H1154" i="23"/>
  <c r="H1162" i="23"/>
  <c r="H1159" i="23"/>
  <c r="H1211" i="23"/>
  <c r="H1214" i="23"/>
  <c r="H1276" i="23"/>
  <c r="H1265" i="23"/>
  <c r="H1274" i="23"/>
  <c r="H1318" i="23"/>
  <c r="H1327" i="23"/>
  <c r="H1385" i="23"/>
  <c r="H1384" i="23"/>
  <c r="H1380" i="23"/>
  <c r="H1378" i="23"/>
  <c r="L23" i="23"/>
  <c r="L22" i="23"/>
  <c r="H48" i="23"/>
  <c r="H50" i="23"/>
  <c r="H52" i="23"/>
  <c r="H167" i="23"/>
  <c r="H160" i="23"/>
  <c r="H222" i="23"/>
  <c r="H218" i="23"/>
  <c r="H383" i="23"/>
  <c r="H385" i="23"/>
  <c r="H447" i="23"/>
  <c r="H440" i="23"/>
  <c r="H557" i="23"/>
  <c r="H552" i="23"/>
  <c r="H561" i="23"/>
  <c r="H662" i="23"/>
  <c r="H664" i="23"/>
  <c r="H721" i="23"/>
  <c r="H729" i="23"/>
  <c r="H834" i="23"/>
  <c r="H838" i="23"/>
  <c r="H839" i="23"/>
  <c r="H112" i="23"/>
  <c r="H110" i="23"/>
  <c r="H109" i="23"/>
  <c r="H283" i="23"/>
  <c r="H284" i="23"/>
  <c r="H280" i="23"/>
  <c r="H334" i="23"/>
  <c r="H343" i="23"/>
  <c r="H342" i="23"/>
  <c r="H448" i="23"/>
  <c r="H454" i="23"/>
  <c r="H453" i="23"/>
  <c r="H569" i="23"/>
  <c r="H560" i="23"/>
  <c r="H570" i="23"/>
  <c r="H671" i="23"/>
  <c r="H672" i="23"/>
  <c r="H793" i="23"/>
  <c r="H787" i="23"/>
  <c r="H956" i="23"/>
  <c r="H954" i="23"/>
  <c r="H1002" i="23"/>
  <c r="H1003" i="23"/>
  <c r="H1053" i="23"/>
  <c r="H1050" i="23"/>
  <c r="H1218" i="23"/>
  <c r="H1223" i="23"/>
  <c r="H1220" i="23"/>
  <c r="H1336" i="23"/>
  <c r="H1334" i="23"/>
  <c r="L13" i="12"/>
  <c r="L44" i="23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1" i="23"/>
  <c r="L28" i="23"/>
  <c r="L14" i="23"/>
  <c r="L29" i="23"/>
  <c r="L15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08" i="23"/>
  <c r="H950" i="23"/>
  <c r="I186" i="4"/>
  <c r="I154" i="4"/>
  <c r="H903" i="23"/>
  <c r="I310" i="4"/>
  <c r="I198" i="4"/>
  <c r="H690" i="23"/>
  <c r="H1123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H499" i="23"/>
  <c r="H613" i="23"/>
  <c r="H527" i="23"/>
  <c r="H650" i="23"/>
  <c r="H1076" i="23"/>
  <c r="I272" i="4"/>
  <c r="I32" i="4"/>
  <c r="L12" i="23"/>
  <c r="L6" i="23"/>
  <c r="L3" i="12"/>
  <c r="L5" i="12"/>
  <c r="H1026" i="23"/>
  <c r="H1020" i="23"/>
  <c r="H1015" i="23"/>
  <c r="H1013" i="23"/>
  <c r="H1070" i="23"/>
  <c r="H1082" i="23"/>
  <c r="H1075" i="23"/>
  <c r="H1077" i="23"/>
  <c r="H1135" i="23"/>
  <c r="H1133" i="23"/>
  <c r="H1138" i="23"/>
  <c r="H1124" i="23"/>
  <c r="H1137" i="23"/>
  <c r="H1122" i="23"/>
  <c r="H1179" i="23"/>
  <c r="H1182" i="23"/>
  <c r="H1188" i="23"/>
  <c r="H1243" i="23"/>
  <c r="H1245" i="23"/>
  <c r="H1237" i="23"/>
  <c r="H1248" i="23"/>
  <c r="H1240" i="23"/>
  <c r="H1295" i="23"/>
  <c r="H1298" i="23"/>
  <c r="H1351" i="23"/>
  <c r="H1355" i="23"/>
  <c r="H1357" i="23"/>
  <c r="H1353" i="23"/>
  <c r="H88" i="23"/>
  <c r="H86" i="23"/>
  <c r="H97" i="23"/>
  <c r="H147" i="23"/>
  <c r="H150" i="23"/>
  <c r="H140" i="23"/>
  <c r="H197" i="23"/>
  <c r="H207" i="23"/>
  <c r="H206" i="23"/>
  <c r="H257" i="23"/>
  <c r="H253" i="23"/>
  <c r="H329" i="23"/>
  <c r="H313" i="23"/>
  <c r="H316" i="23"/>
  <c r="H311" i="23"/>
  <c r="H366" i="23"/>
  <c r="H369" i="23"/>
  <c r="H368" i="23"/>
  <c r="H423" i="23"/>
  <c r="H426" i="23"/>
  <c r="H424" i="23"/>
  <c r="H479" i="23"/>
  <c r="H474" i="23"/>
  <c r="H589" i="23"/>
  <c r="H586" i="23"/>
  <c r="H601" i="23"/>
  <c r="H702" i="23"/>
  <c r="H700" i="23"/>
  <c r="H694" i="23"/>
  <c r="H705" i="23"/>
  <c r="H707" i="23"/>
  <c r="H763" i="23"/>
  <c r="H757" i="23"/>
  <c r="H766" i="23"/>
  <c r="H752" i="23"/>
  <c r="H807" i="23"/>
  <c r="H815" i="23"/>
  <c r="H816" i="23"/>
  <c r="H817" i="23"/>
  <c r="H821" i="23"/>
  <c r="H865" i="23"/>
  <c r="H872" i="23"/>
  <c r="H869" i="23"/>
  <c r="H931" i="23"/>
  <c r="H930" i="23"/>
  <c r="H927" i="23"/>
  <c r="H933" i="23"/>
  <c r="H926" i="23"/>
  <c r="H984" i="23"/>
  <c r="H990" i="23"/>
  <c r="H1023" i="23"/>
  <c r="H1022" i="23"/>
  <c r="H1027" i="23"/>
  <c r="H1136" i="23"/>
  <c r="H1132" i="23"/>
  <c r="H1194" i="23"/>
  <c r="H1185" i="23"/>
  <c r="H1186" i="23"/>
  <c r="H1202" i="23"/>
  <c r="H1249" i="23"/>
  <c r="H1244" i="23"/>
  <c r="H1302" i="23"/>
  <c r="H1304" i="23"/>
  <c r="H1301" i="23"/>
  <c r="H1306" i="23"/>
  <c r="H1356" i="23"/>
  <c r="H1359" i="23"/>
  <c r="H1360" i="23"/>
  <c r="H1035" i="23"/>
  <c r="H1032" i="23"/>
  <c r="H1031" i="23"/>
  <c r="H1033" i="23"/>
  <c r="H1083" i="23"/>
  <c r="H1081" i="23"/>
  <c r="H1086" i="23"/>
  <c r="H1085" i="23"/>
  <c r="H1092" i="23"/>
  <c r="H1089" i="23"/>
  <c r="H1140" i="23"/>
  <c r="H1143" i="23"/>
  <c r="H1139" i="23"/>
  <c r="H1197" i="23"/>
  <c r="H1193" i="23"/>
  <c r="H1199" i="23"/>
  <c r="H1256" i="23"/>
  <c r="H1257" i="23"/>
  <c r="H1250" i="23"/>
  <c r="H1252" i="23"/>
  <c r="H1317" i="23"/>
  <c r="H1320" i="23"/>
  <c r="H1314" i="23"/>
  <c r="H1312" i="23"/>
  <c r="H1300" i="23"/>
  <c r="H1373" i="23"/>
  <c r="H1369" i="23"/>
  <c r="H1363" i="23"/>
  <c r="H1367" i="23"/>
  <c r="H1368" i="23"/>
  <c r="H41" i="23"/>
  <c r="H39" i="23"/>
  <c r="H45" i="23"/>
  <c r="H54" i="23"/>
  <c r="H104" i="23"/>
  <c r="H103" i="23"/>
  <c r="H111" i="23"/>
  <c r="H106" i="23"/>
  <c r="H99" i="23"/>
  <c r="H157" i="23"/>
  <c r="H154" i="23"/>
  <c r="H216" i="23"/>
  <c r="H217" i="23"/>
  <c r="H209" i="23"/>
  <c r="H215" i="23"/>
  <c r="H269" i="23"/>
  <c r="H262" i="23"/>
  <c r="H274" i="23"/>
  <c r="H276" i="23"/>
  <c r="H321" i="23"/>
  <c r="H328" i="23"/>
  <c r="H320" i="23"/>
  <c r="H327" i="23"/>
  <c r="H335" i="23"/>
  <c r="H381" i="23"/>
  <c r="H377" i="23"/>
  <c r="H382" i="23"/>
  <c r="H388" i="23"/>
  <c r="H437" i="23"/>
  <c r="H438" i="23"/>
  <c r="H550" i="23"/>
  <c r="H551" i="23"/>
  <c r="H546" i="23"/>
  <c r="H547" i="23"/>
  <c r="H659" i="23"/>
  <c r="H663" i="23"/>
  <c r="H658" i="23"/>
  <c r="H714" i="23"/>
  <c r="H713" i="23"/>
  <c r="H777" i="23"/>
  <c r="H768" i="23"/>
  <c r="H769" i="23"/>
  <c r="H779" i="23"/>
  <c r="H780" i="23"/>
  <c r="H831" i="23"/>
  <c r="H825" i="23"/>
  <c r="H830" i="23"/>
  <c r="H828" i="23"/>
  <c r="H884" i="23"/>
  <c r="H892" i="23"/>
  <c r="H885" i="23"/>
  <c r="H879" i="23"/>
  <c r="H888" i="23"/>
  <c r="H942" i="23"/>
  <c r="H941" i="23"/>
  <c r="H948" i="23"/>
  <c r="H947" i="23"/>
  <c r="H1045" i="23"/>
  <c r="H1034" i="23"/>
  <c r="H1041" i="23"/>
  <c r="H1040" i="23"/>
  <c r="H1095" i="23"/>
  <c r="H1087" i="23"/>
  <c r="H1149" i="23"/>
  <c r="H1147" i="23"/>
  <c r="H1153" i="23"/>
  <c r="H1158" i="23"/>
  <c r="H1198" i="23"/>
  <c r="H1204" i="23"/>
  <c r="H1208" i="23"/>
  <c r="H1207" i="23"/>
  <c r="H1258" i="23"/>
  <c r="H1260" i="23"/>
  <c r="H1267" i="23"/>
  <c r="H1313" i="23"/>
  <c r="H1319" i="23"/>
  <c r="H1377" i="23"/>
  <c r="H1375" i="23"/>
  <c r="H62" i="23"/>
  <c r="H63" i="23"/>
  <c r="H65" i="23"/>
  <c r="H136" i="23"/>
  <c r="H134" i="23"/>
  <c r="H135" i="23"/>
  <c r="H139" i="23"/>
  <c r="H188" i="23"/>
  <c r="H190" i="23"/>
  <c r="H259" i="23"/>
  <c r="H249" i="23"/>
  <c r="H254" i="23"/>
  <c r="H251" i="23"/>
  <c r="H252" i="23"/>
  <c r="H302" i="23"/>
  <c r="H303" i="23"/>
  <c r="H307" i="23"/>
  <c r="H305" i="23"/>
  <c r="H364" i="23"/>
  <c r="H352" i="23"/>
  <c r="H361" i="23"/>
  <c r="H356" i="23"/>
  <c r="H367" i="23"/>
  <c r="H416" i="23"/>
  <c r="H410" i="23"/>
  <c r="H421" i="23"/>
  <c r="H470" i="23"/>
  <c r="H476" i="23"/>
  <c r="H471" i="23"/>
  <c r="H475" i="23"/>
  <c r="H477" i="23"/>
  <c r="H526" i="23"/>
  <c r="H524" i="23"/>
  <c r="H535" i="23"/>
  <c r="H531" i="23"/>
  <c r="H528" i="23"/>
  <c r="H533" i="23"/>
  <c r="H587" i="23"/>
  <c r="H596" i="23"/>
  <c r="H591" i="23"/>
  <c r="H588" i="23"/>
  <c r="H585" i="23"/>
  <c r="H635" i="23"/>
  <c r="H646" i="23"/>
  <c r="H644" i="23"/>
  <c r="H645" i="23"/>
  <c r="H649" i="23"/>
  <c r="H697" i="23"/>
  <c r="H692" i="23"/>
  <c r="H701" i="23"/>
  <c r="H746" i="23"/>
  <c r="H751" i="23"/>
  <c r="H747" i="23"/>
  <c r="H749" i="23"/>
  <c r="H811" i="23"/>
  <c r="H810" i="23"/>
  <c r="H812" i="23"/>
  <c r="H863" i="23"/>
  <c r="H862" i="23"/>
  <c r="H871" i="23"/>
  <c r="H861" i="23"/>
  <c r="H864" i="23"/>
  <c r="H921" i="23"/>
  <c r="H913" i="23"/>
  <c r="H918" i="23"/>
  <c r="H925" i="23"/>
  <c r="H971" i="23"/>
  <c r="H966" i="23"/>
  <c r="H978" i="23"/>
  <c r="H973" i="23"/>
  <c r="H961" i="23"/>
  <c r="H57" i="23"/>
  <c r="H51" i="23"/>
  <c r="H49" i="23"/>
  <c r="H162" i="23"/>
  <c r="H165" i="23"/>
  <c r="H158" i="23"/>
  <c r="H226" i="23"/>
  <c r="H219" i="23"/>
  <c r="H230" i="23"/>
  <c r="H231" i="23"/>
  <c r="H272" i="23"/>
  <c r="H273" i="23"/>
  <c r="H275" i="23"/>
  <c r="H289" i="23"/>
  <c r="H278" i="23"/>
  <c r="H339" i="23"/>
  <c r="H330" i="23"/>
  <c r="H331" i="23"/>
  <c r="H389" i="23"/>
  <c r="H390" i="23"/>
  <c r="H391" i="23"/>
  <c r="H439" i="23"/>
  <c r="H446" i="23"/>
  <c r="H441" i="23"/>
  <c r="H443" i="23"/>
  <c r="H507" i="23"/>
  <c r="H503" i="23"/>
  <c r="H495" i="23"/>
  <c r="H510" i="23"/>
  <c r="H508" i="23"/>
  <c r="H564" i="23"/>
  <c r="H553" i="23"/>
  <c r="H556" i="23"/>
  <c r="H559" i="23"/>
  <c r="H610" i="23"/>
  <c r="H618" i="23"/>
  <c r="H611" i="23"/>
  <c r="H620" i="23"/>
  <c r="H665" i="23"/>
  <c r="H678" i="23"/>
  <c r="H660" i="23"/>
  <c r="H676" i="23"/>
  <c r="H677" i="23"/>
  <c r="H675" i="23"/>
  <c r="H722" i="23"/>
  <c r="H725" i="23"/>
  <c r="H727" i="23"/>
  <c r="H724" i="23"/>
  <c r="H791" i="23"/>
  <c r="H788" i="23"/>
  <c r="H835" i="23"/>
  <c r="H823" i="23"/>
  <c r="H845" i="23"/>
  <c r="H833" i="23"/>
  <c r="H889" i="23"/>
  <c r="H901" i="23"/>
  <c r="H895" i="23"/>
  <c r="H1044" i="23"/>
  <c r="H1046" i="23"/>
  <c r="H1042" i="23"/>
  <c r="H1106" i="23"/>
  <c r="H1101" i="23"/>
  <c r="H1105" i="23"/>
  <c r="H1104" i="23"/>
  <c r="H1116" i="23"/>
  <c r="H1155" i="23"/>
  <c r="H1151" i="23"/>
  <c r="H1157" i="23"/>
  <c r="H1160" i="23"/>
  <c r="H1219" i="23"/>
  <c r="H1216" i="23"/>
  <c r="H1212" i="23"/>
  <c r="H1215" i="23"/>
  <c r="H1217" i="23"/>
  <c r="H1268" i="23"/>
  <c r="H1264" i="23"/>
  <c r="H1266" i="23"/>
  <c r="H1269" i="23"/>
  <c r="H1262" i="23"/>
  <c r="H1332" i="23"/>
  <c r="H1329" i="23"/>
  <c r="H1324" i="23"/>
  <c r="H1322" i="23"/>
  <c r="H1381" i="23"/>
  <c r="H1382" i="23"/>
  <c r="H1379" i="23"/>
  <c r="H1383" i="23"/>
  <c r="H96" i="23"/>
  <c r="H100" i="23"/>
  <c r="H95" i="23"/>
  <c r="H105" i="23"/>
  <c r="H161" i="23"/>
  <c r="H151" i="23"/>
  <c r="H152" i="23"/>
  <c r="H163" i="23"/>
  <c r="H159" i="23"/>
  <c r="H199" i="23"/>
  <c r="H211" i="23"/>
  <c r="H204" i="23"/>
  <c r="H212" i="23"/>
  <c r="H260" i="23"/>
  <c r="H263" i="23"/>
  <c r="H266" i="23"/>
  <c r="H323" i="23"/>
  <c r="H324" i="23"/>
  <c r="H379" i="23"/>
  <c r="H375" i="23"/>
  <c r="H386" i="23"/>
  <c r="H378" i="23"/>
  <c r="H435" i="23"/>
  <c r="H430" i="23"/>
  <c r="H442" i="23"/>
  <c r="H429" i="23"/>
  <c r="H427" i="23"/>
  <c r="H486" i="23"/>
  <c r="H482" i="23"/>
  <c r="H490" i="23"/>
  <c r="H494" i="23"/>
  <c r="H489" i="23"/>
  <c r="H488" i="23"/>
  <c r="H537" i="23"/>
  <c r="H541" i="23"/>
  <c r="H538" i="23"/>
  <c r="H540" i="23"/>
  <c r="H593" i="23"/>
  <c r="H605" i="23"/>
  <c r="H608" i="23"/>
  <c r="H592" i="23"/>
  <c r="H652" i="23"/>
  <c r="H657" i="23"/>
  <c r="H654" i="23"/>
  <c r="H653" i="23"/>
  <c r="H704" i="23"/>
  <c r="H710" i="23"/>
  <c r="H719" i="23"/>
  <c r="H715" i="23"/>
  <c r="H762" i="23"/>
  <c r="H770" i="23"/>
  <c r="H824" i="23"/>
  <c r="H832" i="23"/>
  <c r="H874" i="23"/>
  <c r="H881" i="23"/>
  <c r="H932" i="23"/>
  <c r="H939" i="23"/>
  <c r="H940" i="23"/>
  <c r="H987" i="23"/>
  <c r="H988" i="23"/>
  <c r="H985" i="23"/>
  <c r="H977" i="23"/>
  <c r="H84" i="23"/>
  <c r="H79" i="23"/>
  <c r="H117" i="23"/>
  <c r="H118" i="23"/>
  <c r="H113" i="23"/>
  <c r="H114" i="23"/>
  <c r="H126" i="23"/>
  <c r="H169" i="23"/>
  <c r="H170" i="23"/>
  <c r="H175" i="23"/>
  <c r="H176" i="23"/>
  <c r="H168" i="23"/>
  <c r="H224" i="23"/>
  <c r="H229" i="23"/>
  <c r="H279" i="23"/>
  <c r="H285" i="23"/>
  <c r="H287" i="23"/>
  <c r="H341" i="23"/>
  <c r="H347" i="23"/>
  <c r="H332" i="23"/>
  <c r="H346" i="23"/>
  <c r="H340" i="23"/>
  <c r="H392" i="23"/>
  <c r="H393" i="23"/>
  <c r="H394" i="23"/>
  <c r="H451" i="23"/>
  <c r="H460" i="23"/>
  <c r="H450" i="23"/>
  <c r="H455" i="23"/>
  <c r="H498" i="23"/>
  <c r="H514" i="23"/>
  <c r="H509" i="23"/>
  <c r="H565" i="23"/>
  <c r="H558" i="23"/>
  <c r="H554" i="23"/>
  <c r="H617" i="23"/>
  <c r="H614" i="23"/>
  <c r="H621" i="23"/>
  <c r="H615" i="23"/>
  <c r="H674" i="23"/>
  <c r="H670" i="23"/>
  <c r="H733" i="23"/>
  <c r="H742" i="23"/>
  <c r="H734" i="23"/>
  <c r="H730" i="23"/>
  <c r="H778" i="23"/>
  <c r="H783" i="23"/>
  <c r="H786" i="23"/>
  <c r="H844" i="23"/>
  <c r="H836" i="23"/>
  <c r="H840" i="23"/>
  <c r="H896" i="23"/>
  <c r="H900" i="23"/>
  <c r="H897" i="23"/>
  <c r="H898" i="23"/>
  <c r="H905" i="23"/>
  <c r="H957" i="23"/>
  <c r="H946" i="23"/>
  <c r="H953" i="23"/>
  <c r="H955" i="23"/>
  <c r="H994" i="23"/>
  <c r="H999" i="23"/>
  <c r="H992" i="23"/>
  <c r="H995" i="23"/>
  <c r="H1051" i="23"/>
  <c r="H1048" i="23"/>
  <c r="H1052" i="23"/>
  <c r="H1118" i="23"/>
  <c r="H1108" i="23"/>
  <c r="H1117" i="23"/>
  <c r="H1161" i="23"/>
  <c r="H1163" i="23"/>
  <c r="H1164" i="23"/>
  <c r="H1221" i="23"/>
  <c r="H1210" i="23"/>
  <c r="H1272" i="23"/>
  <c r="H1288" i="23"/>
  <c r="H1278" i="23"/>
  <c r="H1326" i="23"/>
  <c r="H1330" i="23"/>
  <c r="H1386" i="23"/>
  <c r="H1443" i="23"/>
  <c r="H1442" i="23"/>
  <c r="H1393" i="23"/>
  <c r="H996" i="23"/>
  <c r="H998" i="23"/>
  <c r="H1007" i="23"/>
  <c r="H1061" i="23"/>
  <c r="H1057" i="23"/>
  <c r="H1062" i="23"/>
  <c r="H1063" i="23"/>
  <c r="H1110" i="23"/>
  <c r="H1115" i="23"/>
  <c r="H1112" i="23"/>
  <c r="H1109" i="23"/>
  <c r="H1167" i="23"/>
  <c r="H1168" i="23"/>
  <c r="H1171" i="23"/>
  <c r="H1174" i="23"/>
  <c r="H1225" i="23"/>
  <c r="H1230" i="23"/>
  <c r="H1234" i="23"/>
  <c r="H1222" i="23"/>
  <c r="H1271" i="23"/>
  <c r="H1291" i="23"/>
  <c r="H1283" i="23"/>
  <c r="H1292" i="23"/>
  <c r="H1285" i="23"/>
  <c r="H1339" i="23"/>
  <c r="H1341" i="23"/>
  <c r="H1340" i="23"/>
  <c r="H1337" i="23"/>
  <c r="H1409" i="23"/>
  <c r="H1484" i="23"/>
  <c r="H1481" i="23"/>
  <c r="H1437" i="23"/>
  <c r="H1495" i="23"/>
  <c r="H1416" i="23"/>
  <c r="H1480" i="23"/>
  <c r="H1410" i="23"/>
  <c r="H1432" i="23"/>
  <c r="H1488" i="23"/>
  <c r="H1439" i="23"/>
  <c r="H1471" i="23"/>
  <c r="H1423" i="23"/>
  <c r="H1428" i="23"/>
  <c r="H1433" i="23"/>
  <c r="H1490" i="23"/>
  <c r="H1458" i="23"/>
  <c r="H1491" i="23"/>
  <c r="H1419" i="23"/>
  <c r="H1479" i="23"/>
  <c r="H1463" i="23"/>
  <c r="H1487" i="23"/>
  <c r="H1434" i="23"/>
  <c r="H1464" i="23"/>
  <c r="H1418" i="23"/>
  <c r="H1469" i="23"/>
  <c r="H1460" i="23"/>
  <c r="H1486" i="23"/>
  <c r="H1461" i="23"/>
  <c r="H1435" i="23"/>
  <c r="H1438" i="23"/>
  <c r="H1440" i="23"/>
  <c r="H1496" i="23"/>
  <c r="H1404" i="23"/>
  <c r="H1429" i="23"/>
  <c r="H1485" i="23"/>
  <c r="H1436" i="23"/>
  <c r="H1466" i="23"/>
  <c r="H1493" i="23"/>
  <c r="H1506" i="23"/>
  <c r="H1422" i="23"/>
  <c r="H1430" i="23"/>
  <c r="H1431" i="23"/>
  <c r="H1411" i="23"/>
  <c r="H1489" i="23"/>
  <c r="H1441" i="23"/>
  <c r="H1402" i="23"/>
  <c r="H1482" i="23"/>
  <c r="H1483" i="23"/>
  <c r="H1492" i="23"/>
  <c r="H1494" i="23"/>
  <c r="H1468" i="23"/>
  <c r="H71" i="23"/>
  <c r="H69" i="23"/>
  <c r="H77" i="23"/>
  <c r="H83" i="23"/>
  <c r="H78" i="23"/>
  <c r="H76" i="23"/>
  <c r="H120" i="23"/>
  <c r="H121" i="23"/>
  <c r="H119" i="23"/>
  <c r="H179" i="23"/>
  <c r="H185" i="23"/>
  <c r="H184" i="23"/>
  <c r="H239" i="23"/>
  <c r="H232" i="23"/>
  <c r="H233" i="23"/>
  <c r="H237" i="23"/>
  <c r="H288" i="23"/>
  <c r="H286" i="23"/>
  <c r="H290" i="23"/>
  <c r="H344" i="23"/>
  <c r="H345" i="23"/>
  <c r="H401" i="23"/>
  <c r="H400" i="23"/>
  <c r="H399" i="23"/>
  <c r="H468" i="23"/>
  <c r="H469" i="23"/>
  <c r="H512" i="23"/>
  <c r="H517" i="23"/>
  <c r="H505" i="23"/>
  <c r="H563" i="23"/>
  <c r="H568" i="23"/>
  <c r="H566" i="23"/>
  <c r="H573" i="23"/>
  <c r="H627" i="23"/>
  <c r="H624" i="23"/>
  <c r="H625" i="23"/>
  <c r="H685" i="23"/>
  <c r="H681" i="23"/>
  <c r="H689" i="23"/>
  <c r="H683" i="23"/>
  <c r="H684" i="23"/>
  <c r="H739" i="23"/>
  <c r="H737" i="23"/>
  <c r="H735" i="23"/>
  <c r="H797" i="23"/>
  <c r="H789" i="23"/>
  <c r="H799" i="23"/>
  <c r="H790" i="23"/>
  <c r="H781" i="23"/>
  <c r="H848" i="23"/>
  <c r="H853" i="23"/>
  <c r="H857" i="23"/>
  <c r="H849" i="23"/>
  <c r="H960" i="23"/>
  <c r="H963" i="23"/>
  <c r="H964" i="23"/>
  <c r="H959" i="23"/>
  <c r="H60" i="23"/>
  <c r="H59" i="23"/>
  <c r="H66" i="23"/>
  <c r="H129" i="23"/>
  <c r="H132" i="23"/>
  <c r="H128" i="23"/>
  <c r="H187" i="23"/>
  <c r="H181" i="23"/>
  <c r="H183" i="23"/>
  <c r="H192" i="23"/>
  <c r="H196" i="23"/>
  <c r="H241" i="23"/>
  <c r="H240" i="23"/>
  <c r="H245" i="23"/>
  <c r="H300" i="23"/>
  <c r="H292" i="23"/>
  <c r="H296" i="23"/>
  <c r="H353" i="23"/>
  <c r="H348" i="23"/>
  <c r="H420" i="23"/>
  <c r="H411" i="23"/>
  <c r="H414" i="23"/>
  <c r="H409" i="23"/>
  <c r="H418" i="23"/>
  <c r="H452" i="23"/>
  <c r="H466" i="23"/>
  <c r="H462" i="23"/>
  <c r="H518" i="23"/>
  <c r="H521" i="23"/>
  <c r="H523" i="23"/>
  <c r="H580" i="23"/>
  <c r="H579" i="23"/>
  <c r="H575" i="23"/>
  <c r="H639" i="23"/>
  <c r="H632" i="23"/>
  <c r="H633" i="23"/>
  <c r="H638" i="23"/>
  <c r="H736" i="23"/>
  <c r="H748" i="23"/>
  <c r="H745" i="23"/>
  <c r="H750" i="23"/>
  <c r="H805" i="23"/>
  <c r="H798" i="23"/>
  <c r="H804" i="23"/>
  <c r="H856" i="23"/>
  <c r="H854" i="23"/>
  <c r="H915" i="23"/>
  <c r="H906" i="23"/>
  <c r="H916" i="23"/>
  <c r="H917" i="23"/>
  <c r="H970" i="23"/>
  <c r="H976" i="23"/>
  <c r="H1006" i="23"/>
  <c r="H1017" i="23"/>
  <c r="H1016" i="23"/>
  <c r="H1010" i="23"/>
  <c r="H1064" i="23"/>
  <c r="H1073" i="23"/>
  <c r="H1071" i="23"/>
  <c r="H1066" i="23"/>
  <c r="H1187" i="23"/>
  <c r="H1181" i="23"/>
  <c r="H1169" i="23"/>
  <c r="H1235" i="23"/>
  <c r="H1232" i="23"/>
  <c r="H1282" i="23"/>
  <c r="H1293" i="23"/>
  <c r="H1290" i="23"/>
  <c r="H1352" i="23"/>
  <c r="H1348" i="23"/>
  <c r="H1344" i="23"/>
  <c r="H1345" i="23"/>
  <c r="H1517" i="23"/>
  <c r="H1513" i="23"/>
  <c r="H1500" i="23"/>
  <c r="H1514" i="23"/>
  <c r="H1501" i="23"/>
  <c r="D61" i="4"/>
  <c r="L9" i="12"/>
  <c r="L42" i="23"/>
  <c r="L19" i="12"/>
  <c r="L29" i="12"/>
  <c r="L20" i="23"/>
  <c r="L27" i="12"/>
  <c r="L31" i="12"/>
  <c r="L25" i="23"/>
  <c r="L30" i="23"/>
  <c r="L33" i="23"/>
  <c r="L31" i="23"/>
  <c r="L25" i="12"/>
  <c r="L8" i="23"/>
  <c r="L13" i="23"/>
  <c r="L10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2" i="2"/>
  <c r="A2" i="2" s="1"/>
  <c r="C2" i="2" s="1"/>
  <c r="E106" i="2"/>
  <c r="A106" i="2" s="1"/>
  <c r="C106" i="2" s="1"/>
  <c r="E24" i="2"/>
  <c r="A24" i="2" s="1"/>
  <c r="C24" i="2" s="1"/>
  <c r="E607" i="2"/>
  <c r="A607" i="2" s="1"/>
  <c r="C607" i="2" s="1"/>
  <c r="E477" i="2"/>
  <c r="A477" i="2" s="1"/>
  <c r="C477" i="2" s="1"/>
  <c r="E366" i="2"/>
  <c r="A366" i="2" s="1"/>
  <c r="C366" i="2" s="1"/>
  <c r="E282" i="2"/>
  <c r="A282" i="2" s="1"/>
  <c r="C282" i="2" s="1"/>
  <c r="E198" i="2"/>
  <c r="A198" i="2" s="1"/>
  <c r="C198" i="2" s="1"/>
  <c r="E587" i="2"/>
  <c r="A587" i="2" s="1"/>
  <c r="C587" i="2" s="1"/>
  <c r="E472" i="2"/>
  <c r="A472" i="2" s="1"/>
  <c r="C472" i="2" s="1"/>
  <c r="E357" i="2"/>
  <c r="A357" i="2" s="1"/>
  <c r="C357" i="2" s="1"/>
  <c r="E276" i="2"/>
  <c r="A276" i="2" s="1"/>
  <c r="C276" i="2" s="1"/>
  <c r="E182" i="2"/>
  <c r="A182" i="2" s="1"/>
  <c r="C182" i="2" s="1"/>
  <c r="E98" i="2"/>
  <c r="A98" i="2" s="1"/>
  <c r="C98" i="2" s="1"/>
  <c r="E582" i="2"/>
  <c r="A582" i="2" s="1"/>
  <c r="C582" i="2" s="1"/>
  <c r="E450" i="2"/>
  <c r="A450" i="2" s="1"/>
  <c r="C450" i="2" s="1"/>
  <c r="E343" i="2"/>
  <c r="A343" i="2" s="1"/>
  <c r="C343" i="2" s="1"/>
  <c r="E261" i="2"/>
  <c r="A261" i="2" s="1"/>
  <c r="C261" i="2" s="1"/>
  <c r="E178" i="2"/>
  <c r="A178" i="2" s="1"/>
  <c r="C178" i="2" s="1"/>
  <c r="E84" i="2"/>
  <c r="A84" i="2" s="1"/>
  <c r="C84" i="2" s="1"/>
  <c r="E565" i="2"/>
  <c r="A565" i="2" s="1"/>
  <c r="C565" i="2" s="1"/>
  <c r="E436" i="2"/>
  <c r="A436" i="2" s="1"/>
  <c r="C436" i="2" s="1"/>
  <c r="E334" i="2"/>
  <c r="A334" i="2" s="1"/>
  <c r="C334" i="2" s="1"/>
  <c r="E251" i="2"/>
  <c r="A251" i="2" s="1"/>
  <c r="C251" i="2" s="1"/>
  <c r="E162" i="2"/>
  <c r="A162" i="2" s="1"/>
  <c r="C162" i="2" s="1"/>
  <c r="E68" i="2"/>
  <c r="A68" i="2" s="1"/>
  <c r="C68" i="2" s="1"/>
  <c r="E542" i="2"/>
  <c r="A542" i="2" s="1"/>
  <c r="C542" i="2" s="1"/>
  <c r="E430" i="2"/>
  <c r="A430" i="2" s="1"/>
  <c r="C430" i="2" s="1"/>
  <c r="E323" i="2"/>
  <c r="A323" i="2" s="1"/>
  <c r="C323" i="2" s="1"/>
  <c r="E237" i="2"/>
  <c r="A237" i="2" s="1"/>
  <c r="C237" i="2" s="1"/>
  <c r="E156" i="2"/>
  <c r="A156" i="2" s="1"/>
  <c r="C156" i="2" s="1"/>
  <c r="E60" i="2"/>
  <c r="A60" i="2" s="1"/>
  <c r="C60" i="2" s="1"/>
  <c r="E523" i="2"/>
  <c r="A523" i="2" s="1"/>
  <c r="C523" i="2" s="1"/>
  <c r="E410" i="2"/>
  <c r="A410" i="2" s="1"/>
  <c r="C410" i="2" s="1"/>
  <c r="E308" i="2"/>
  <c r="A308" i="2" s="1"/>
  <c r="C308" i="2" s="1"/>
  <c r="E231" i="2"/>
  <c r="A231" i="2" s="1"/>
  <c r="C231" i="2" s="1"/>
  <c r="E146" i="2"/>
  <c r="A146" i="2" s="1"/>
  <c r="C146" i="2" s="1"/>
  <c r="E46" i="2"/>
  <c r="A46" i="2" s="1"/>
  <c r="C46" i="2" s="1"/>
  <c r="E507" i="2"/>
  <c r="A507" i="2" s="1"/>
  <c r="C507" i="2" s="1"/>
  <c r="E402" i="2"/>
  <c r="A402" i="2" s="1"/>
  <c r="C402" i="2" s="1"/>
  <c r="E307" i="2"/>
  <c r="A307" i="2" s="1"/>
  <c r="C307" i="2" s="1"/>
  <c r="E223" i="2"/>
  <c r="A223" i="2" s="1"/>
  <c r="C223" i="2" s="1"/>
  <c r="E136" i="2"/>
  <c r="A136" i="2" s="1"/>
  <c r="C136" i="2" s="1"/>
  <c r="E40" i="2"/>
  <c r="A40" i="2" s="1"/>
  <c r="C40" i="2" s="1"/>
  <c r="E494" i="2"/>
  <c r="A494" i="2" s="1"/>
  <c r="C494" i="2" s="1"/>
  <c r="E388" i="2"/>
  <c r="A388" i="2" s="1"/>
  <c r="C388" i="2" s="1"/>
  <c r="E297" i="2"/>
  <c r="A297" i="2" s="1"/>
  <c r="C297" i="2" s="1"/>
  <c r="E214" i="2"/>
  <c r="A214" i="2" s="1"/>
  <c r="C214" i="2" s="1"/>
  <c r="E124" i="2"/>
  <c r="A124" i="2" s="1"/>
  <c r="C124" i="2" s="1"/>
  <c r="E8" i="2"/>
  <c r="A8" i="2" s="1"/>
  <c r="C8" i="2" s="1"/>
  <c r="E12" i="2"/>
  <c r="A12" i="2" s="1"/>
  <c r="C12" i="2" s="1"/>
  <c r="E113" i="2"/>
  <c r="A113" i="2" s="1"/>
  <c r="E345" i="2"/>
  <c r="A345" i="2" s="1"/>
  <c r="E735" i="2"/>
  <c r="A735" i="2" s="1"/>
  <c r="E95" i="2"/>
  <c r="A95" i="2" s="1"/>
  <c r="E395" i="2"/>
  <c r="A395" i="2" s="1"/>
  <c r="E471" i="2"/>
  <c r="A471" i="2" s="1"/>
  <c r="E612" i="2"/>
  <c r="A612" i="2" s="1"/>
  <c r="E746" i="2"/>
  <c r="A746" i="2" s="1"/>
  <c r="E47" i="2"/>
  <c r="A47" i="2" s="1"/>
  <c r="E333" i="2"/>
  <c r="A333" i="2" s="1"/>
  <c r="E264" i="2"/>
  <c r="A264" i="2" s="1"/>
  <c r="E142" i="2"/>
  <c r="A142" i="2" s="1"/>
  <c r="E596" i="2"/>
  <c r="A596" i="2" s="1"/>
  <c r="E243" i="2"/>
  <c r="A243" i="2" s="1"/>
  <c r="E194" i="2"/>
  <c r="A194" i="2" s="1"/>
  <c r="E480" i="2"/>
  <c r="A480" i="2" s="1"/>
  <c r="E39" i="2"/>
  <c r="A39" i="2" s="1"/>
  <c r="E245" i="2"/>
  <c r="A245" i="2" s="1"/>
  <c r="E753" i="2"/>
  <c r="A753" i="2" s="1"/>
  <c r="E38" i="2"/>
  <c r="A38" i="2" s="1"/>
  <c r="E547" i="2"/>
  <c r="A547" i="2" s="1"/>
  <c r="E530" i="2"/>
  <c r="A530" i="2" s="1"/>
  <c r="E139" i="2"/>
  <c r="A139" i="2" s="1"/>
  <c r="E193" i="2"/>
  <c r="A193" i="2" s="1"/>
  <c r="E89" i="2"/>
  <c r="A89" i="2" s="1"/>
  <c r="E49" i="2"/>
  <c r="A49" i="2" s="1"/>
  <c r="E383" i="2"/>
  <c r="A383" i="2" s="1"/>
  <c r="E702" i="2"/>
  <c r="A702" i="2" s="1"/>
  <c r="E617" i="2"/>
  <c r="A617" i="2" s="1"/>
  <c r="E253" i="2"/>
  <c r="A253" i="2" s="1"/>
  <c r="E111" i="2"/>
  <c r="E400" i="2"/>
  <c r="A400" i="2" s="1"/>
  <c r="E662" i="2"/>
  <c r="A662" i="2" s="1"/>
  <c r="E601" i="2"/>
  <c r="A601" i="2" s="1"/>
  <c r="E384" i="2"/>
  <c r="A384" i="2" s="1"/>
  <c r="E418" i="2"/>
  <c r="A418" i="2" s="1"/>
  <c r="E406" i="2"/>
  <c r="A406" i="2" s="1"/>
  <c r="E126" i="2"/>
  <c r="A126" i="2" s="1"/>
  <c r="E739" i="2"/>
  <c r="E573" i="2"/>
  <c r="A573" i="2" s="1"/>
  <c r="E720" i="2"/>
  <c r="A720" i="2" s="1"/>
  <c r="E738" i="2"/>
  <c r="A738" i="2" s="1"/>
  <c r="E475" i="2"/>
  <c r="A475" i="2" s="1"/>
  <c r="E525" i="2"/>
  <c r="A525" i="2" s="1"/>
  <c r="E228" i="2"/>
  <c r="A228" i="2" s="1"/>
  <c r="E528" i="2"/>
  <c r="A528" i="2" s="1"/>
  <c r="E28" i="2"/>
  <c r="A28" i="2" s="1"/>
  <c r="E288" i="2"/>
  <c r="A288" i="2" s="1"/>
  <c r="E714" i="2"/>
  <c r="A714" i="2" s="1"/>
  <c r="E376" i="2"/>
  <c r="A376" i="2" s="1"/>
  <c r="E700" i="2"/>
  <c r="A700" i="2" s="1"/>
  <c r="E737" i="2"/>
  <c r="A737" i="2" s="1"/>
  <c r="E645" i="2"/>
  <c r="A645" i="2" s="1"/>
  <c r="E216" i="2"/>
  <c r="A216" i="2" s="1"/>
  <c r="E221" i="2"/>
  <c r="E415" i="2"/>
  <c r="A415" i="2" s="1"/>
  <c r="E468" i="2"/>
  <c r="A468" i="2" s="1"/>
  <c r="E731" i="2"/>
  <c r="A731" i="2" s="1"/>
  <c r="E107" i="2"/>
  <c r="A107" i="2" s="1"/>
  <c r="E556" i="2"/>
  <c r="A556" i="2" s="1"/>
  <c r="E390" i="2"/>
  <c r="A390" i="2" s="1"/>
  <c r="E242" i="2"/>
  <c r="A242" i="2" s="1"/>
  <c r="E17" i="2"/>
  <c r="A17" i="2" s="1"/>
  <c r="E591" i="2"/>
  <c r="A591" i="2" s="1"/>
  <c r="E314" i="2"/>
  <c r="A314" i="2" s="1"/>
  <c r="E631" i="2"/>
  <c r="A631" i="2" s="1"/>
  <c r="E394" i="2"/>
  <c r="A394" i="2" s="1"/>
  <c r="E514" i="2"/>
  <c r="A514" i="2" s="1"/>
  <c r="E466" i="2"/>
  <c r="A466" i="2" s="1"/>
  <c r="E160" i="2"/>
  <c r="A160" i="2" s="1"/>
  <c r="E192" i="2"/>
  <c r="A192" i="2" s="1"/>
  <c r="E619" i="2"/>
  <c r="A619" i="2" s="1"/>
  <c r="E756" i="2"/>
  <c r="A756" i="2" s="1"/>
  <c r="E568" i="2"/>
  <c r="A568" i="2" s="1"/>
  <c r="E456" i="2"/>
  <c r="A456" i="2" s="1"/>
  <c r="E321" i="2"/>
  <c r="A321" i="2" s="1"/>
  <c r="E551" i="2"/>
  <c r="A551" i="2" s="1"/>
  <c r="E420" i="2"/>
  <c r="A420" i="2" s="1"/>
  <c r="E233" i="2"/>
  <c r="A233" i="2" s="1"/>
  <c r="E577" i="2"/>
  <c r="A577" i="2" s="1"/>
  <c r="E6" i="2"/>
  <c r="A6" i="2" s="1"/>
  <c r="E627" i="2"/>
  <c r="A627" i="2" s="1"/>
  <c r="E340" i="2"/>
  <c r="A340" i="2" s="1"/>
  <c r="E122" i="2"/>
  <c r="A122" i="2" s="1"/>
  <c r="E626" i="2"/>
  <c r="A626" i="2" s="1"/>
  <c r="E509" i="2"/>
  <c r="A509" i="2" s="1"/>
  <c r="E312" i="2"/>
  <c r="A312" i="2" s="1"/>
  <c r="E660" i="2"/>
  <c r="A660" i="2" s="1"/>
  <c r="E189" i="2"/>
  <c r="A189" i="2" s="1"/>
  <c r="E23" i="2"/>
  <c r="A23" i="2" s="1"/>
  <c r="E469" i="2"/>
  <c r="A469" i="2" s="1"/>
  <c r="E449" i="2"/>
  <c r="A449" i="2" s="1"/>
  <c r="E701" i="2"/>
  <c r="A701" i="2" s="1"/>
  <c r="E409" i="2"/>
  <c r="A409" i="2" s="1"/>
  <c r="E15" i="2"/>
  <c r="A15" i="2" s="1"/>
  <c r="E11" i="2"/>
  <c r="A11" i="2" s="1"/>
  <c r="E315" i="2"/>
  <c r="A315" i="2" s="1"/>
  <c r="E108" i="2"/>
  <c r="A108" i="2" s="1"/>
  <c r="E226" i="2"/>
  <c r="A226" i="2" s="1"/>
  <c r="E681" i="2"/>
  <c r="A681" i="2" s="1"/>
  <c r="E726" i="2"/>
  <c r="A726" i="2" s="1"/>
  <c r="E628" i="2"/>
  <c r="A628" i="2" s="1"/>
  <c r="E354" i="2"/>
  <c r="A354" i="2" s="1"/>
  <c r="E277" i="2"/>
  <c r="A277" i="2" s="1"/>
  <c r="E99" i="2"/>
  <c r="A99" i="2" s="1"/>
  <c r="E609" i="2"/>
  <c r="A609" i="2" s="1"/>
  <c r="E445" i="2"/>
  <c r="A445" i="2" s="1"/>
  <c r="E496" i="2"/>
  <c r="A496" i="2" s="1"/>
  <c r="E703" i="2"/>
  <c r="A703" i="2" s="1"/>
  <c r="E197" i="2"/>
  <c r="A197" i="2" s="1"/>
  <c r="E661" i="2"/>
  <c r="A661" i="2" s="1"/>
  <c r="E257" i="2"/>
  <c r="A257" i="2" s="1"/>
  <c r="E87" i="2"/>
  <c r="A87" i="2" s="1"/>
  <c r="E423" i="2"/>
  <c r="A423" i="2" s="1"/>
  <c r="E605" i="2"/>
  <c r="A605" i="2" s="1"/>
  <c r="E262" i="2"/>
  <c r="A262" i="2" s="1"/>
  <c r="E207" i="2"/>
  <c r="A207" i="2" s="1"/>
  <c r="E73" i="2"/>
  <c r="A73" i="2" s="1"/>
  <c r="E61" i="2"/>
  <c r="A61" i="2" s="1"/>
  <c r="E254" i="2"/>
  <c r="A254" i="2" s="1"/>
  <c r="E344" i="2"/>
  <c r="A344" i="2" s="1"/>
  <c r="E506" i="2"/>
  <c r="A506" i="2" s="1"/>
  <c r="E457" i="2"/>
  <c r="A457" i="2" s="1"/>
  <c r="E728" i="2"/>
  <c r="A728" i="2" s="1"/>
  <c r="E347" i="2"/>
  <c r="A347" i="2" s="1"/>
  <c r="E336" i="2"/>
  <c r="A336" i="2" s="1"/>
  <c r="E464" i="2"/>
  <c r="A464" i="2" s="1"/>
  <c r="E743" i="2"/>
  <c r="A743" i="2" s="1"/>
  <c r="E13" i="2"/>
  <c r="A13" i="2" s="1"/>
  <c r="E341" i="2"/>
  <c r="A341" i="2" s="1"/>
  <c r="E635" i="2"/>
  <c r="A635" i="2" s="1"/>
  <c r="E567" i="2"/>
  <c r="A567" i="2" s="1"/>
  <c r="E71" i="2"/>
  <c r="A71" i="2" s="1"/>
  <c r="E397" i="2"/>
  <c r="A397" i="2" s="1"/>
  <c r="E751" i="2"/>
  <c r="E467" i="2"/>
  <c r="A467" i="2" s="1"/>
  <c r="E510" i="2"/>
  <c r="A510" i="2" s="1"/>
  <c r="E101" i="2"/>
  <c r="A101" i="2" s="1"/>
  <c r="E125" i="2"/>
  <c r="A125" i="2" s="1"/>
  <c r="E570" i="2"/>
  <c r="A570" i="2" s="1"/>
  <c r="E206" i="2"/>
  <c r="A206" i="2" s="1"/>
  <c r="E709" i="2"/>
  <c r="A709" i="2" s="1"/>
  <c r="E524" i="2"/>
  <c r="E529" i="2"/>
  <c r="A529" i="2" s="1"/>
  <c r="E48" i="2"/>
  <c r="A48" i="2" s="1"/>
  <c r="E79" i="2"/>
  <c r="A79" i="2" s="1"/>
  <c r="E434" i="2"/>
  <c r="A434" i="2" s="1"/>
  <c r="E680" i="2"/>
  <c r="A680" i="2" s="1"/>
  <c r="E33" i="2"/>
  <c r="A33" i="2" s="1"/>
  <c r="E493" i="2"/>
  <c r="A493" i="2" s="1"/>
  <c r="E748" i="2"/>
  <c r="E338" i="2"/>
  <c r="A338" i="2" s="1"/>
  <c r="E177" i="2"/>
  <c r="A177" i="2" s="1"/>
  <c r="E62" i="2"/>
  <c r="A62" i="2" s="1"/>
  <c r="E55" i="2"/>
  <c r="A55" i="2" s="1"/>
  <c r="E724" i="2"/>
  <c r="A724" i="2" s="1"/>
  <c r="E337" i="2"/>
  <c r="A337" i="2" s="1"/>
  <c r="E417" i="2"/>
  <c r="A417" i="2" s="1"/>
  <c r="E120" i="2"/>
  <c r="E326" i="2"/>
  <c r="A326" i="2" s="1"/>
  <c r="E195" i="2"/>
  <c r="A195" i="2" s="1"/>
  <c r="E96" i="2"/>
  <c r="A96" i="2" s="1"/>
  <c r="E19" i="2"/>
  <c r="A19" i="2" s="1"/>
  <c r="E579" i="2"/>
  <c r="A579" i="2" s="1"/>
  <c r="E255" i="2"/>
  <c r="A255" i="2" s="1"/>
  <c r="E119" i="2"/>
  <c r="A119" i="2" s="1"/>
  <c r="C119" i="2" s="1"/>
  <c r="E759" i="2"/>
  <c r="A759" i="2" s="1"/>
  <c r="E755" i="2"/>
  <c r="A755" i="2" s="1"/>
  <c r="E745" i="2"/>
  <c r="A745" i="2" s="1"/>
  <c r="E490" i="2"/>
  <c r="A490" i="2" s="1"/>
  <c r="E208" i="2"/>
  <c r="A208" i="2" s="1"/>
  <c r="E712" i="2"/>
  <c r="A712" i="2" s="1"/>
  <c r="E711" i="2"/>
  <c r="A711" i="2" s="1"/>
  <c r="E324" i="2"/>
  <c r="A324" i="2" s="1"/>
  <c r="E304" i="2"/>
  <c r="E116" i="2"/>
  <c r="A116" i="2" s="1"/>
  <c r="E484" i="2"/>
  <c r="A484" i="2" s="1"/>
  <c r="E690" i="2"/>
  <c r="A690" i="2" s="1"/>
  <c r="E521" i="2"/>
  <c r="A521" i="2" s="1"/>
  <c r="E132" i="2"/>
  <c r="A132" i="2" s="1"/>
  <c r="E97" i="2"/>
  <c r="A97" i="2" s="1"/>
  <c r="E51" i="2"/>
  <c r="A51" i="2" s="1"/>
  <c r="E176" i="2"/>
  <c r="E625" i="2"/>
  <c r="A625" i="2" s="1"/>
  <c r="E269" i="2"/>
  <c r="A269" i="2" s="1"/>
  <c r="E300" i="2"/>
  <c r="A300" i="2" s="1"/>
  <c r="E549" i="2"/>
  <c r="A549" i="2" s="1"/>
  <c r="E127" i="2"/>
  <c r="A127" i="2" s="1"/>
  <c r="E708" i="2"/>
  <c r="A708" i="2" s="1"/>
  <c r="E25" i="2"/>
  <c r="A25" i="2" s="1"/>
  <c r="E422" i="2"/>
  <c r="A422" i="2" s="1"/>
  <c r="E66" i="2"/>
  <c r="A66" i="2" s="1"/>
  <c r="E516" i="2"/>
  <c r="A516" i="2" s="1"/>
  <c r="E328" i="2"/>
  <c r="A328" i="2" s="1"/>
  <c r="E697" i="2"/>
  <c r="A697" i="2" s="1"/>
  <c r="E754" i="2"/>
  <c r="A754" i="2" s="1"/>
  <c r="E287" i="2"/>
  <c r="A287" i="2" s="1"/>
  <c r="E10" i="2"/>
  <c r="A10" i="2" s="1"/>
  <c r="E491" i="2"/>
  <c r="A491" i="2" s="1"/>
  <c r="E576" i="2"/>
  <c r="A576" i="2" s="1"/>
  <c r="E229" i="2"/>
  <c r="A229" i="2" s="1"/>
  <c r="E749" i="2"/>
  <c r="A749" i="2" s="1"/>
  <c r="E76" i="2"/>
  <c r="A76" i="2" s="1"/>
  <c r="E249" i="2"/>
  <c r="A249" i="2" s="1"/>
  <c r="E704" i="2"/>
  <c r="A704" i="2" s="1"/>
  <c r="E442" i="2"/>
  <c r="A442" i="2" s="1"/>
  <c r="E259" i="2"/>
  <c r="E687" i="2"/>
  <c r="A687" i="2" s="1"/>
  <c r="E199" i="2"/>
  <c r="A199" i="2" s="1"/>
  <c r="E657" i="2"/>
  <c r="A657" i="2" s="1"/>
  <c r="E479" i="2"/>
  <c r="A479" i="2" s="1"/>
  <c r="E414" i="2"/>
  <c r="A414" i="2" s="1"/>
  <c r="E134" i="2"/>
  <c r="A134" i="2" s="1"/>
  <c r="E441" i="2"/>
  <c r="A441" i="2" s="1"/>
  <c r="E566" i="2"/>
  <c r="E56" i="2"/>
  <c r="A56" i="2" s="1"/>
  <c r="E713" i="2"/>
  <c r="A713" i="2" s="1"/>
  <c r="E560" i="2"/>
  <c r="A560" i="2" s="1"/>
  <c r="E93" i="2"/>
  <c r="A93" i="2" s="1"/>
  <c r="E485" i="2"/>
  <c r="A485" i="2" s="1"/>
  <c r="E563" i="2"/>
  <c r="A563" i="2" s="1"/>
  <c r="E74" i="2"/>
  <c r="A74" i="2" s="1"/>
  <c r="E41" i="2"/>
  <c r="E212" i="2"/>
  <c r="A212" i="2" s="1"/>
  <c r="E222" i="2"/>
  <c r="A222" i="2" s="1"/>
  <c r="E672" i="2"/>
  <c r="A672" i="2" s="1"/>
  <c r="E610" i="2"/>
  <c r="A610" i="2" s="1"/>
  <c r="E470" i="2"/>
  <c r="A470" i="2" s="1"/>
  <c r="E444" i="2"/>
  <c r="A444" i="2" s="1"/>
  <c r="E118" i="2"/>
  <c r="A118" i="2" s="1"/>
  <c r="E92" i="2"/>
  <c r="A92" i="2" s="1"/>
  <c r="E143" i="2"/>
  <c r="A143" i="2" s="1"/>
  <c r="E465" i="2"/>
  <c r="A465" i="2" s="1"/>
  <c r="E492" i="2"/>
  <c r="A492" i="2" s="1"/>
  <c r="E232" i="2"/>
  <c r="A232" i="2" s="1"/>
  <c r="E634" i="2"/>
  <c r="A634" i="2" s="1"/>
  <c r="E641" i="2"/>
  <c r="A641" i="2" s="1"/>
  <c r="E170" i="2"/>
  <c r="A170" i="2" s="1"/>
  <c r="E159" i="2"/>
  <c r="A159" i="2" s="1"/>
  <c r="E463" i="2"/>
  <c r="A463" i="2" s="1"/>
  <c r="E292" i="2"/>
  <c r="A292" i="2" s="1"/>
  <c r="E149" i="2"/>
  <c r="A149" i="2" s="1"/>
  <c r="E294" i="2"/>
  <c r="A294" i="2" s="1"/>
  <c r="E527" i="2"/>
  <c r="A527" i="2" s="1"/>
  <c r="E667" i="2"/>
  <c r="A667" i="2" s="1"/>
  <c r="E203" i="2"/>
  <c r="A203" i="2" s="1"/>
  <c r="E256" i="2"/>
  <c r="A256" i="2" s="1"/>
  <c r="E483" i="2"/>
  <c r="A483" i="2" s="1"/>
  <c r="E165" i="2"/>
  <c r="A165" i="2" s="1"/>
  <c r="E710" i="2"/>
  <c r="A710" i="2" s="1"/>
  <c r="E103" i="2"/>
  <c r="A103" i="2" s="1"/>
  <c r="E495" i="2"/>
  <c r="A495" i="2" s="1"/>
  <c r="E511" i="2"/>
  <c r="A511" i="2" s="1"/>
  <c r="E616" i="2"/>
  <c r="A616" i="2" s="1"/>
  <c r="E474" i="2"/>
  <c r="A474" i="2" s="1"/>
  <c r="E580" i="2"/>
  <c r="A580" i="2" s="1"/>
  <c r="E636" i="2"/>
  <c r="A636" i="2" s="1"/>
  <c r="E361" i="2"/>
  <c r="A361" i="2" s="1"/>
  <c r="E268" i="2"/>
  <c r="A268" i="2" s="1"/>
  <c r="E632" i="2"/>
  <c r="A632" i="2" s="1"/>
  <c r="E633" i="2"/>
  <c r="A633" i="2" s="1"/>
  <c r="E389" i="2"/>
  <c r="A389" i="2" s="1"/>
  <c r="E540" i="2"/>
  <c r="A540" i="2" s="1"/>
  <c r="E167" i="2"/>
  <c r="A167" i="2" s="1"/>
  <c r="E455" i="2"/>
  <c r="A455" i="2" s="1"/>
  <c r="E583" i="2"/>
  <c r="A583" i="2" s="1"/>
  <c r="E90" i="2"/>
  <c r="A90" i="2" s="1"/>
  <c r="E273" i="2"/>
  <c r="A273" i="2" s="1"/>
  <c r="E21" i="2"/>
  <c r="A21" i="2" s="1"/>
  <c r="E438" i="2"/>
  <c r="A438" i="2" s="1"/>
  <c r="E265" i="2"/>
  <c r="E181" i="2"/>
  <c r="A181" i="2" s="1"/>
  <c r="E543" i="2"/>
  <c r="A543" i="2" s="1"/>
  <c r="E647" i="2"/>
  <c r="A647" i="2" s="1"/>
  <c r="E205" i="2"/>
  <c r="A205" i="2" s="1"/>
  <c r="E424" i="2"/>
  <c r="A424" i="2" s="1"/>
  <c r="E152" i="2"/>
  <c r="A152" i="2" s="1"/>
  <c r="E67" i="2"/>
  <c r="A67" i="2" s="1"/>
  <c r="E405" i="2"/>
  <c r="E327" i="2"/>
  <c r="A327" i="2" s="1"/>
  <c r="E267" i="2"/>
  <c r="A267" i="2" s="1"/>
  <c r="E260" i="2"/>
  <c r="A260" i="2" s="1"/>
  <c r="E266" i="2"/>
  <c r="A266" i="2" s="1"/>
  <c r="E246" i="2"/>
  <c r="A246" i="2" s="1"/>
  <c r="E650" i="2"/>
  <c r="A650" i="2" s="1"/>
  <c r="E293" i="2"/>
  <c r="A293" i="2" s="1"/>
  <c r="E69" i="2"/>
  <c r="A69" i="2" s="1"/>
  <c r="E63" i="2"/>
  <c r="A63" i="2" s="1"/>
  <c r="E100" i="2"/>
  <c r="A100" i="2" s="1"/>
  <c r="E408" i="2"/>
  <c r="A408" i="2" s="1"/>
  <c r="E183" i="2"/>
  <c r="A183" i="2" s="1"/>
  <c r="E385" i="2"/>
  <c r="A385" i="2" s="1"/>
  <c r="E42" i="2"/>
  <c r="A42" i="2" s="1"/>
  <c r="E629" i="2"/>
  <c r="A629" i="2" s="1"/>
  <c r="E497" i="2"/>
  <c r="A497" i="2" s="1"/>
  <c r="E240" i="2"/>
  <c r="A240" i="2" s="1"/>
  <c r="E693" i="2"/>
  <c r="A693" i="2" s="1"/>
  <c r="E520" i="2"/>
  <c r="A520" i="2" s="1"/>
  <c r="E614" i="2"/>
  <c r="A614" i="2" s="1"/>
  <c r="E359" i="2"/>
  <c r="A359" i="2" s="1"/>
  <c r="E426" i="2"/>
  <c r="A426" i="2" s="1"/>
  <c r="E387" i="2"/>
  <c r="A387" i="2" s="1"/>
  <c r="E320" i="2"/>
  <c r="A320" i="2" s="1"/>
  <c r="E9" i="2"/>
  <c r="A9" i="2" s="1"/>
  <c r="E740" i="2"/>
  <c r="A740" i="2" s="1"/>
  <c r="E757" i="2"/>
  <c r="A757" i="2" s="1"/>
  <c r="E316" i="2"/>
  <c r="A316" i="2" s="1"/>
  <c r="E295" i="2"/>
  <c r="A295" i="2" s="1"/>
  <c r="E458" i="2"/>
  <c r="A458" i="2" s="1"/>
  <c r="E356" i="2"/>
  <c r="A356" i="2" s="1"/>
  <c r="E374" i="2"/>
  <c r="A374" i="2" s="1"/>
  <c r="E201" i="2"/>
  <c r="A201" i="2" s="1"/>
  <c r="E699" i="2"/>
  <c r="A699" i="2" s="1"/>
  <c r="E736" i="2"/>
  <c r="A736" i="2" s="1"/>
  <c r="E655" i="2"/>
  <c r="A655" i="2" s="1"/>
  <c r="E518" i="2"/>
  <c r="A518" i="2" s="1"/>
  <c r="E747" i="2"/>
  <c r="A747" i="2" s="1"/>
  <c r="E678" i="2"/>
  <c r="A678" i="2" s="1"/>
  <c r="E502" i="2"/>
  <c r="A502" i="2" s="1"/>
  <c r="E597" i="2"/>
  <c r="A597" i="2" s="1"/>
  <c r="E319" i="2"/>
  <c r="A319" i="2" s="1"/>
  <c r="E133" i="2"/>
  <c r="A133" i="2" s="1"/>
  <c r="E584" i="2"/>
  <c r="A584" i="2" s="1"/>
  <c r="E114" i="2"/>
  <c r="A114" i="2" s="1"/>
  <c r="E53" i="2"/>
  <c r="A53" i="2" s="1"/>
  <c r="E571" i="2"/>
  <c r="A571" i="2" s="1"/>
  <c r="E154" i="2"/>
  <c r="A154" i="2" s="1"/>
  <c r="E306" i="2"/>
  <c r="A306" i="2" s="1"/>
  <c r="E110" i="2"/>
  <c r="A110" i="2" s="1"/>
  <c r="E519" i="2"/>
  <c r="A519" i="2" s="1"/>
  <c r="E3" i="2"/>
  <c r="A3" i="2" s="1"/>
  <c r="E352" i="2"/>
  <c r="A352" i="2" s="1"/>
  <c r="E279" i="2"/>
  <c r="A279" i="2" s="1"/>
  <c r="E730" i="2"/>
  <c r="A730" i="2" s="1"/>
  <c r="E339" i="2"/>
  <c r="A339" i="2" s="1"/>
  <c r="E459" i="2"/>
  <c r="A459" i="2" s="1"/>
  <c r="E128" i="2"/>
  <c r="A128" i="2" s="1"/>
  <c r="E594" i="2"/>
  <c r="A594" i="2" s="1"/>
  <c r="E78" i="2"/>
  <c r="A78" i="2" s="1"/>
  <c r="E145" i="2"/>
  <c r="A145" i="2" s="1"/>
  <c r="E185" i="2"/>
  <c r="A185" i="2" s="1"/>
  <c r="E281" i="2"/>
  <c r="A281" i="2" s="1"/>
  <c r="E689" i="2"/>
  <c r="E171" i="2"/>
  <c r="A171" i="2" s="1"/>
  <c r="E34" i="2"/>
  <c r="A34" i="2" s="1"/>
  <c r="E671" i="2"/>
  <c r="A671" i="2" s="1"/>
  <c r="E153" i="2"/>
  <c r="A153" i="2" s="1"/>
  <c r="E592" i="2"/>
  <c r="A592" i="2" s="1"/>
  <c r="E109" i="2"/>
  <c r="A109" i="2" s="1"/>
  <c r="E105" i="2"/>
  <c r="A105" i="2" s="1"/>
  <c r="E679" i="2"/>
  <c r="A679" i="2" s="1"/>
  <c r="E669" i="2"/>
  <c r="A669" i="2" s="1"/>
  <c r="E112" i="2"/>
  <c r="A112" i="2" s="1"/>
  <c r="E555" i="2"/>
  <c r="A555" i="2" s="1"/>
  <c r="E65" i="2"/>
  <c r="A65" i="2" s="1"/>
  <c r="E91" i="2"/>
  <c r="A91" i="2" s="1"/>
  <c r="E88" i="2"/>
  <c r="A88" i="2" s="1"/>
  <c r="E14" i="2"/>
  <c r="A14" i="2" s="1"/>
  <c r="E536" i="2"/>
  <c r="A536" i="2" s="1"/>
  <c r="E138" i="2"/>
  <c r="A138" i="2" s="1"/>
  <c r="E538" i="2"/>
  <c r="A538" i="2" s="1"/>
  <c r="E522" i="2"/>
  <c r="A522" i="2" s="1"/>
  <c r="E50" i="2"/>
  <c r="A50" i="2" s="1"/>
  <c r="E421" i="2"/>
  <c r="A421" i="2" s="1"/>
  <c r="E349" i="2"/>
  <c r="A349" i="2" s="1"/>
  <c r="E403" i="2"/>
  <c r="A403" i="2" s="1"/>
  <c r="E175" i="2"/>
  <c r="A175" i="2" s="1"/>
  <c r="E590" i="2"/>
  <c r="A590" i="2" s="1"/>
  <c r="E717" i="2"/>
  <c r="A717" i="2" s="1"/>
  <c r="E642" i="2"/>
  <c r="A642" i="2" s="1"/>
  <c r="E613" i="2"/>
  <c r="A613" i="2" s="1"/>
  <c r="E258" i="2"/>
  <c r="A258" i="2" s="1"/>
  <c r="E211" i="2"/>
  <c r="A211" i="2" s="1"/>
  <c r="E83" i="2"/>
  <c r="A83" i="2" s="1"/>
  <c r="E31" i="2"/>
  <c r="A31" i="2" s="1"/>
  <c r="E200" i="2"/>
  <c r="A200" i="2" s="1"/>
  <c r="E431" i="2"/>
  <c r="A431" i="2" s="1"/>
  <c r="E186" i="2"/>
  <c r="A186" i="2" s="1"/>
  <c r="E553" i="2"/>
  <c r="A553" i="2" s="1"/>
  <c r="E640" i="2"/>
  <c r="A640" i="2" s="1"/>
  <c r="E325" i="2"/>
  <c r="A325" i="2" s="1"/>
  <c r="E552" i="2"/>
  <c r="A552" i="2" s="1"/>
  <c r="E82" i="2"/>
  <c r="A82" i="2" s="1"/>
  <c r="E235" i="2"/>
  <c r="A235" i="2" s="1"/>
  <c r="E531" i="2"/>
  <c r="A531" i="2" s="1"/>
  <c r="E585" i="2"/>
  <c r="A585" i="2" s="1"/>
  <c r="E45" i="2"/>
  <c r="A45" i="2" s="1"/>
  <c r="E311" i="2"/>
  <c r="A311" i="2" s="1"/>
  <c r="E247" i="2"/>
  <c r="A247" i="2" s="1"/>
  <c r="E733" i="2"/>
  <c r="A733" i="2" s="1"/>
  <c r="E727" i="2"/>
  <c r="A727" i="2" s="1"/>
  <c r="E721" i="2"/>
  <c r="A721" i="2" s="1"/>
  <c r="E453" i="2"/>
  <c r="A453" i="2" s="1"/>
  <c r="E707" i="2"/>
  <c r="A707" i="2" s="1"/>
  <c r="E36" i="2"/>
  <c r="A36" i="2" s="1"/>
  <c r="E386" i="2"/>
  <c r="A386" i="2" s="1"/>
  <c r="E412" i="2"/>
  <c r="A412" i="2" s="1"/>
  <c r="E729" i="2"/>
  <c r="A729" i="2" s="1"/>
  <c r="E351" i="2"/>
  <c r="A351" i="2" s="1"/>
  <c r="E166" i="2"/>
  <c r="A166" i="2" s="1"/>
  <c r="E369" i="2"/>
  <c r="A369" i="2" s="1"/>
  <c r="E760" i="2"/>
  <c r="A760" i="2" s="1"/>
  <c r="E722" i="2"/>
  <c r="A722" i="2" s="1"/>
  <c r="E58" i="2"/>
  <c r="A58" i="2" s="1"/>
  <c r="E362" i="2"/>
  <c r="A362" i="2" s="1"/>
  <c r="E504" i="2"/>
  <c r="A504" i="2" s="1"/>
  <c r="E705" i="2"/>
  <c r="A705" i="2" s="1"/>
  <c r="E674" i="2"/>
  <c r="A674" i="2" s="1"/>
  <c r="E151" i="2"/>
  <c r="A151" i="2" s="1"/>
  <c r="E187" i="2"/>
  <c r="A187" i="2" s="1"/>
  <c r="E303" i="2"/>
  <c r="A303" i="2" s="1"/>
  <c r="E218" i="2"/>
  <c r="A218" i="2" s="1"/>
  <c r="E391" i="2"/>
  <c r="A391" i="2" s="1"/>
  <c r="E270" i="2"/>
  <c r="A270" i="2" s="1"/>
  <c r="E513" i="2"/>
  <c r="A513" i="2" s="1"/>
  <c r="E688" i="2"/>
  <c r="A688" i="2" s="1"/>
  <c r="E486" i="2"/>
  <c r="A486" i="2" s="1"/>
  <c r="E533" i="2"/>
  <c r="A533" i="2" s="1"/>
  <c r="E581" i="2"/>
  <c r="A581" i="2" s="1"/>
  <c r="E57" i="2"/>
  <c r="A57" i="2" s="1"/>
  <c r="E147" i="2"/>
  <c r="A147" i="2" s="1"/>
  <c r="E289" i="2"/>
  <c r="A289" i="2" s="1"/>
  <c r="E365" i="2"/>
  <c r="A365" i="2" s="1"/>
  <c r="E558" i="2"/>
  <c r="A558" i="2" s="1"/>
  <c r="E275" i="2"/>
  <c r="A275" i="2" s="1"/>
  <c r="E503" i="2"/>
  <c r="A503" i="2" s="1"/>
  <c r="E117" i="2"/>
  <c r="A117" i="2" s="1"/>
  <c r="C117" i="2" s="1"/>
  <c r="E562" i="2"/>
  <c r="A562" i="2" s="1"/>
  <c r="E517" i="2"/>
  <c r="A517" i="2" s="1"/>
  <c r="E758" i="2"/>
  <c r="A758" i="2" s="1"/>
  <c r="E741" i="2"/>
  <c r="A741" i="2" s="1"/>
  <c r="E599" i="2"/>
  <c r="A599" i="2" s="1"/>
  <c r="E532" i="2"/>
  <c r="A532" i="2" s="1"/>
  <c r="E371" i="2"/>
  <c r="A371" i="2" s="1"/>
  <c r="E372" i="2"/>
  <c r="A372" i="2" s="1"/>
  <c r="E398" i="2"/>
  <c r="A398" i="2" s="1"/>
  <c r="E4" i="2"/>
  <c r="A4" i="2" s="1"/>
  <c r="E250" i="2"/>
  <c r="A250" i="2" s="1"/>
  <c r="E213" i="2"/>
  <c r="E663" i="2"/>
  <c r="A663" i="2" s="1"/>
  <c r="E446" i="2"/>
  <c r="A446" i="2" s="1"/>
  <c r="E435" i="2"/>
  <c r="A435" i="2" s="1"/>
  <c r="E618" i="2"/>
  <c r="A618" i="2" s="1"/>
  <c r="E653" i="2"/>
  <c r="A653" i="2" s="1"/>
  <c r="E358" i="2"/>
  <c r="A358" i="2" s="1"/>
  <c r="E744" i="2"/>
  <c r="A744" i="2" s="1"/>
  <c r="E169" i="2"/>
  <c r="A169" i="2" s="1"/>
  <c r="E654" i="2"/>
  <c r="A654" i="2" s="1"/>
  <c r="E670" i="2"/>
  <c r="A670" i="2" s="1"/>
  <c r="E476" i="2"/>
  <c r="A476" i="2" s="1"/>
  <c r="E43" i="2"/>
  <c r="A43" i="2" s="1"/>
  <c r="E291" i="2"/>
  <c r="A291" i="2" s="1"/>
  <c r="E586" i="2"/>
  <c r="A586" i="2" s="1"/>
  <c r="E80" i="2"/>
  <c r="A80" i="2" s="1"/>
  <c r="E7" i="2"/>
  <c r="E499" i="2"/>
  <c r="A499" i="2" s="1"/>
  <c r="E332" i="2"/>
  <c r="A332" i="2" s="1"/>
  <c r="E368" i="2"/>
  <c r="A368" i="2" s="1"/>
  <c r="E638" i="2"/>
  <c r="A638" i="2" s="1"/>
  <c r="E104" i="2"/>
  <c r="A104" i="2" s="1"/>
  <c r="E131" i="2"/>
  <c r="A131" i="2" s="1"/>
  <c r="E630" i="2"/>
  <c r="A630" i="2" s="1"/>
  <c r="E462" i="2"/>
  <c r="E686" i="2"/>
  <c r="A686" i="2" s="1"/>
  <c r="E137" i="2"/>
  <c r="A137" i="2" s="1"/>
  <c r="E381" i="2"/>
  <c r="A381" i="2" s="1"/>
  <c r="E225" i="2"/>
  <c r="A225" i="2" s="1"/>
  <c r="E732" i="2"/>
  <c r="A732" i="2" s="1"/>
  <c r="E652" i="2"/>
  <c r="A652" i="2" s="1"/>
  <c r="E18" i="2"/>
  <c r="A18" i="2" s="1"/>
  <c r="E537" i="2"/>
  <c r="A537" i="2" s="1"/>
  <c r="E248" i="2"/>
  <c r="A248" i="2" s="1"/>
  <c r="E158" i="2"/>
  <c r="A158" i="2" s="1"/>
  <c r="E593" i="2"/>
  <c r="A593" i="2" s="1"/>
  <c r="E367" i="2"/>
  <c r="A367" i="2" s="1"/>
  <c r="E26" i="2"/>
  <c r="A26" i="2" s="1"/>
  <c r="E569" i="2"/>
  <c r="A569" i="2" s="1"/>
  <c r="E331" i="2"/>
  <c r="A331" i="2" s="1"/>
  <c r="E191" i="2"/>
  <c r="A191" i="2" s="1"/>
  <c r="E284" i="2"/>
  <c r="A284" i="2" s="1"/>
  <c r="E534" i="2"/>
  <c r="A534" i="2" s="1"/>
  <c r="E161" i="2"/>
  <c r="A161" i="2" s="1"/>
  <c r="E272" i="2"/>
  <c r="A272" i="2" s="1"/>
  <c r="E401" i="2"/>
  <c r="A401" i="2" s="1"/>
  <c r="E244" i="2"/>
  <c r="A244" i="2" s="1"/>
  <c r="E364" i="2"/>
  <c r="A364" i="2" s="1"/>
  <c r="E644" i="2"/>
  <c r="A644" i="2" s="1"/>
  <c r="E44" i="2"/>
  <c r="A44" i="2" s="1"/>
  <c r="E447" i="2"/>
  <c r="A447" i="2" s="1"/>
  <c r="E184" i="2"/>
  <c r="A184" i="2" s="1"/>
  <c r="E378" i="2"/>
  <c r="A378" i="2" s="1"/>
  <c r="E648" i="2"/>
  <c r="A648" i="2" s="1"/>
  <c r="E298" i="2"/>
  <c r="A298" i="2" s="1"/>
  <c r="E375" i="2"/>
  <c r="A375" i="2" s="1"/>
  <c r="E224" i="2"/>
  <c r="A224" i="2" s="1"/>
  <c r="E130" i="2"/>
  <c r="A130" i="2" s="1"/>
  <c r="E285" i="2"/>
  <c r="A285" i="2" s="1"/>
  <c r="E29" i="2"/>
  <c r="A29" i="2" s="1"/>
  <c r="E488" i="2"/>
  <c r="A488" i="2" s="1"/>
  <c r="E419" i="2"/>
  <c r="A419" i="2" s="1"/>
  <c r="E622" i="2"/>
  <c r="A622" i="2" s="1"/>
  <c r="E615" i="2"/>
  <c r="A615" i="2" s="1"/>
  <c r="E30" i="2"/>
  <c r="A30" i="2" s="1"/>
  <c r="E487" i="2"/>
  <c r="A487" i="2" s="1"/>
  <c r="E94" i="2"/>
  <c r="A94" i="2" s="1"/>
  <c r="E164" i="2"/>
  <c r="A164" i="2" s="1"/>
  <c r="E604" i="2"/>
  <c r="A604" i="2" s="1"/>
  <c r="E602" i="2"/>
  <c r="A602" i="2" s="1"/>
  <c r="E682" i="2"/>
  <c r="A682" i="2" s="1"/>
  <c r="E37" i="2"/>
  <c r="A37" i="2" s="1"/>
  <c r="E666" i="2"/>
  <c r="E473" i="2"/>
  <c r="A473" i="2" s="1"/>
  <c r="E685" i="2"/>
  <c r="A685" i="2" s="1"/>
  <c r="E611" i="2"/>
  <c r="A611" i="2" s="1"/>
  <c r="E715" i="2"/>
  <c r="A715" i="2" s="1"/>
  <c r="E649" i="2"/>
  <c r="A649" i="2" s="1"/>
  <c r="E85" i="2"/>
  <c r="A85" i="2" s="1"/>
  <c r="E501" i="2"/>
  <c r="A501" i="2" s="1"/>
  <c r="E301" i="2"/>
  <c r="E322" i="2"/>
  <c r="A322" i="2" s="1"/>
  <c r="E180" i="2"/>
  <c r="A180" i="2" s="1"/>
  <c r="E148" i="2"/>
  <c r="A148" i="2" s="1"/>
  <c r="E683" i="2"/>
  <c r="A683" i="2" s="1"/>
  <c r="E432" i="2"/>
  <c r="A432" i="2" s="1"/>
  <c r="E129" i="2"/>
  <c r="A129" i="2" s="1"/>
  <c r="E718" i="2"/>
  <c r="A718" i="2" s="1"/>
  <c r="E651" i="2"/>
  <c r="A651" i="2" s="1"/>
  <c r="E544" i="2"/>
  <c r="A544" i="2" s="1"/>
  <c r="E677" i="2"/>
  <c r="A677" i="2" s="1"/>
  <c r="E606" i="2"/>
  <c r="A606" i="2" s="1"/>
  <c r="E695" i="2"/>
  <c r="A695" i="2" s="1"/>
  <c r="E440" i="2"/>
  <c r="A440" i="2" s="1"/>
  <c r="E219" i="2"/>
  <c r="A219" i="2" s="1"/>
  <c r="E643" i="2"/>
  <c r="A643" i="2" s="1"/>
  <c r="E202" i="2"/>
  <c r="E668" i="2"/>
  <c r="A668" i="2" s="1"/>
  <c r="E290" i="2"/>
  <c r="A290" i="2" s="1"/>
  <c r="E5" i="2"/>
  <c r="A5" i="2" s="1"/>
  <c r="E696" i="2"/>
  <c r="A696" i="2" s="1"/>
  <c r="E750" i="2"/>
  <c r="A750" i="2" s="1"/>
  <c r="E238" i="2"/>
  <c r="A238" i="2" s="1"/>
  <c r="E752" i="2"/>
  <c r="A752" i="2" s="1"/>
  <c r="E252" i="2"/>
  <c r="A252" i="2" s="1"/>
  <c r="E550" i="2"/>
  <c r="A550" i="2" s="1"/>
  <c r="E588" i="2"/>
  <c r="A588" i="2" s="1"/>
  <c r="E564" i="2"/>
  <c r="A564" i="2" s="1"/>
  <c r="E508" i="2"/>
  <c r="A508" i="2" s="1"/>
  <c r="E659" i="2"/>
  <c r="A659" i="2" s="1"/>
  <c r="E413" i="2"/>
  <c r="A413" i="2" s="1"/>
  <c r="E209" i="2"/>
  <c r="A209" i="2" s="1"/>
  <c r="E27" i="2"/>
  <c r="A27" i="2" s="1"/>
  <c r="E429" i="2"/>
  <c r="A429" i="2" s="1"/>
  <c r="E512" i="2"/>
  <c r="A512" i="2" s="1"/>
  <c r="E173" i="2"/>
  <c r="A173" i="2" s="1"/>
  <c r="E489" i="2"/>
  <c r="A489" i="2" s="1"/>
  <c r="E52" i="2"/>
  <c r="A52" i="2" s="1"/>
  <c r="E692" i="2"/>
  <c r="A692" i="2" s="1"/>
  <c r="E684" i="2"/>
  <c r="A684" i="2" s="1"/>
  <c r="E393" i="2"/>
  <c r="A393" i="2" s="1"/>
  <c r="E433" i="2"/>
  <c r="A433" i="2" s="1"/>
  <c r="E299" i="2"/>
  <c r="A299" i="2" s="1"/>
  <c r="E305" i="2"/>
  <c r="A305" i="2" s="1"/>
  <c r="E742" i="2"/>
  <c r="A742" i="2" s="1"/>
  <c r="E437" i="2"/>
  <c r="A437" i="2" s="1"/>
  <c r="E377" i="2"/>
  <c r="A377" i="2" s="1"/>
  <c r="E624" i="2"/>
  <c r="A624" i="2" s="1"/>
  <c r="E16" i="2"/>
  <c r="A16" i="2" s="1"/>
  <c r="E572" i="2"/>
  <c r="A572" i="2" s="1"/>
  <c r="E481" i="2"/>
  <c r="A481" i="2" s="1"/>
  <c r="E81" i="2"/>
  <c r="A81" i="2" s="1"/>
  <c r="E575" i="2"/>
  <c r="A575" i="2" s="1"/>
  <c r="E32" i="2"/>
  <c r="A32" i="2" s="1"/>
  <c r="E217" i="2"/>
  <c r="A217" i="2" s="1"/>
  <c r="E396" i="2"/>
  <c r="A396" i="2" s="1"/>
  <c r="E121" i="2"/>
  <c r="A121" i="2" s="1"/>
  <c r="E179" i="2"/>
  <c r="A179" i="2" s="1"/>
  <c r="E454" i="2"/>
  <c r="A454" i="2" s="1"/>
  <c r="E603" i="2"/>
  <c r="A603" i="2" s="1"/>
  <c r="E623" i="2"/>
  <c r="A623" i="2" s="1"/>
  <c r="E22" i="2"/>
  <c r="A22" i="2" s="1"/>
  <c r="E382" i="2"/>
  <c r="A382" i="2" s="1"/>
  <c r="E86" i="2"/>
  <c r="A86" i="2" s="1"/>
  <c r="E150" i="2"/>
  <c r="A150" i="2" s="1"/>
  <c r="E608" i="2"/>
  <c r="A608" i="2" s="1"/>
  <c r="E353" i="2"/>
  <c r="A353" i="2" s="1"/>
  <c r="E554" i="2"/>
  <c r="A554" i="2" s="1"/>
  <c r="E330" i="2"/>
  <c r="A330" i="2" s="1"/>
  <c r="E348" i="2"/>
  <c r="A348" i="2" s="1"/>
  <c r="E545" i="2"/>
  <c r="A545" i="2" s="1"/>
  <c r="E20" i="2"/>
  <c r="A20" i="2" s="1"/>
  <c r="E676" i="2"/>
  <c r="A676" i="2" s="1"/>
  <c r="E515" i="2"/>
  <c r="A515" i="2" s="1"/>
  <c r="E658" i="2"/>
  <c r="A658" i="2" s="1"/>
  <c r="E309" i="2"/>
  <c r="A309" i="2" s="1"/>
  <c r="E620" i="2"/>
  <c r="A620" i="2" s="1"/>
  <c r="E716" i="2"/>
  <c r="A716" i="2" s="1"/>
  <c r="E75" i="2"/>
  <c r="A75" i="2" s="1"/>
  <c r="E452" i="2"/>
  <c r="A452" i="2" s="1"/>
  <c r="E691" i="2"/>
  <c r="A691" i="2" s="1"/>
  <c r="E461" i="2"/>
  <c r="A461" i="2" s="1"/>
  <c r="E427" i="2"/>
  <c r="A427" i="2" s="1"/>
  <c r="E637" i="2"/>
  <c r="A637" i="2" s="1"/>
  <c r="E302" i="2"/>
  <c r="A302" i="2" s="1"/>
  <c r="E70" i="2"/>
  <c r="A70" i="2" s="1"/>
  <c r="E227" i="2"/>
  <c r="A227" i="2" s="1"/>
  <c r="E172" i="2"/>
  <c r="A172" i="2" s="1"/>
  <c r="E646" i="2"/>
  <c r="E239" i="2"/>
  <c r="A239" i="2" s="1"/>
  <c r="E407" i="2"/>
  <c r="A407" i="2" s="1"/>
  <c r="E498" i="2"/>
  <c r="A498" i="2" s="1"/>
  <c r="E220" i="2"/>
  <c r="A220" i="2" s="1"/>
  <c r="E335" i="2"/>
  <c r="A335" i="2" s="1"/>
  <c r="E310" i="2"/>
  <c r="A310" i="2" s="1"/>
  <c r="E215" i="2"/>
  <c r="A215" i="2" s="1"/>
  <c r="E342" i="2"/>
  <c r="E280" i="2"/>
  <c r="A280" i="2" s="1"/>
  <c r="E283" i="2"/>
  <c r="A283" i="2" s="1"/>
  <c r="E404" i="2"/>
  <c r="A404" i="2" s="1"/>
  <c r="E168" i="2"/>
  <c r="A168" i="2" s="1"/>
  <c r="E296" i="2"/>
  <c r="A296" i="2" s="1"/>
  <c r="E665" i="2"/>
  <c r="A665" i="2" s="1"/>
  <c r="E313" i="2"/>
  <c r="A313" i="2" s="1"/>
  <c r="E425" i="2"/>
  <c r="E399" i="2"/>
  <c r="A399" i="2" s="1"/>
  <c r="E329" i="2"/>
  <c r="A329" i="2" s="1"/>
  <c r="E271" i="2"/>
  <c r="A271" i="2" s="1"/>
  <c r="E373" i="2"/>
  <c r="A373" i="2" s="1"/>
  <c r="E77" i="2"/>
  <c r="A77" i="2" s="1"/>
  <c r="E210" i="2"/>
  <c r="A210" i="2" s="1"/>
  <c r="E35" i="2"/>
  <c r="A35" i="2" s="1"/>
  <c r="E204" i="2"/>
  <c r="E135" i="2"/>
  <c r="A135" i="2" s="1"/>
  <c r="E379" i="2"/>
  <c r="A379" i="2" s="1"/>
  <c r="E274" i="2"/>
  <c r="A274" i="2" s="1"/>
  <c r="E278" i="2"/>
  <c r="A278" i="2" s="1"/>
  <c r="E234" i="2"/>
  <c r="A234" i="2" s="1"/>
  <c r="E428" i="2"/>
  <c r="A428" i="2" s="1"/>
  <c r="E557" i="2"/>
  <c r="A557" i="2" s="1"/>
  <c r="E460" i="2"/>
  <c r="E196" i="2"/>
  <c r="A196" i="2" s="1"/>
  <c r="E673" i="2"/>
  <c r="A673" i="2" s="1"/>
  <c r="E350" i="2"/>
  <c r="A350" i="2" s="1"/>
  <c r="E448" i="2"/>
  <c r="A448" i="2" s="1"/>
  <c r="E174" i="2"/>
  <c r="A174" i="2" s="1"/>
  <c r="E188" i="2"/>
  <c r="A188" i="2" s="1"/>
  <c r="E539" i="2"/>
  <c r="A539" i="2" s="1"/>
  <c r="E370" i="2"/>
  <c r="E263" i="2"/>
  <c r="A263" i="2" s="1"/>
  <c r="E318" i="2"/>
  <c r="A318" i="2" s="1"/>
  <c r="E561" i="2"/>
  <c r="A561" i="2" s="1"/>
  <c r="E140" i="2"/>
  <c r="A140" i="2" s="1"/>
  <c r="E734" i="2"/>
  <c r="A734" i="2" s="1"/>
  <c r="E578" i="2"/>
  <c r="A578" i="2" s="1"/>
  <c r="E241" i="2"/>
  <c r="A241" i="2" s="1"/>
  <c r="E59" i="2"/>
  <c r="A59" i="2" s="1"/>
  <c r="E574" i="2"/>
  <c r="A574" i="2" s="1"/>
  <c r="E144" i="2"/>
  <c r="A144" i="2" s="1"/>
  <c r="E548" i="2"/>
  <c r="A548" i="2" s="1"/>
  <c r="E478" i="2"/>
  <c r="A478" i="2" s="1"/>
  <c r="E500" i="2"/>
  <c r="A500" i="2" s="1"/>
  <c r="E141" i="2"/>
  <c r="A141" i="2" s="1"/>
  <c r="E451" i="2"/>
  <c r="A451" i="2" s="1"/>
  <c r="E656" i="2"/>
  <c r="E230" i="2"/>
  <c r="A230" i="2" s="1"/>
  <c r="E355" i="2"/>
  <c r="A355" i="2" s="1"/>
  <c r="E123" i="2"/>
  <c r="A123" i="2" s="1"/>
  <c r="E706" i="2"/>
  <c r="A706" i="2" s="1"/>
  <c r="E761" i="2"/>
  <c r="A761" i="2" s="1"/>
  <c r="E675" i="2"/>
  <c r="A675" i="2" s="1"/>
  <c r="E392" i="2"/>
  <c r="A392" i="2" s="1"/>
  <c r="E482" i="2"/>
  <c r="A482" i="2" s="1"/>
  <c r="E505" i="2"/>
  <c r="A505" i="2" s="1"/>
  <c r="E286" i="2"/>
  <c r="A286" i="2" s="1"/>
  <c r="E236" i="2"/>
  <c r="A236" i="2" s="1"/>
  <c r="E380" i="2"/>
  <c r="A380" i="2" s="1"/>
  <c r="E526" i="2"/>
  <c r="A526" i="2" s="1"/>
  <c r="E360" i="2"/>
  <c r="E157" i="2"/>
  <c r="A157" i="2" s="1"/>
  <c r="E416" i="2"/>
  <c r="E317" i="2"/>
  <c r="A317" i="2" s="1"/>
  <c r="E439" i="2"/>
  <c r="A439" i="2" s="1"/>
  <c r="E411" i="2"/>
  <c r="A411" i="2" s="1"/>
  <c r="E598" i="2"/>
  <c r="A598" i="2" s="1"/>
  <c r="E600" i="2"/>
  <c r="A600" i="2" s="1"/>
  <c r="E102" i="2"/>
  <c r="A102" i="2" s="1"/>
  <c r="E64" i="2"/>
  <c r="A64" i="2" s="1"/>
  <c r="E664" i="2"/>
  <c r="E698" i="2"/>
  <c r="A698" i="2" s="1"/>
  <c r="E54" i="2"/>
  <c r="A54" i="2" s="1"/>
  <c r="E535" i="2"/>
  <c r="A535" i="2" s="1"/>
  <c r="E363" i="2"/>
  <c r="A363" i="2" s="1"/>
  <c r="E443" i="2"/>
  <c r="A443" i="2" s="1"/>
  <c r="E190" i="2"/>
  <c r="A190" i="2" s="1"/>
  <c r="E72" i="2"/>
  <c r="A72" i="2" s="1"/>
  <c r="E346" i="2"/>
  <c r="A346" i="2" s="1"/>
  <c r="E155" i="2"/>
  <c r="A155" i="2" s="1"/>
  <c r="E723" i="2"/>
  <c r="A723" i="2" s="1"/>
  <c r="E115" i="2"/>
  <c r="A115" i="2" s="1"/>
  <c r="E559" i="2"/>
  <c r="A559" i="2" s="1"/>
  <c r="E546" i="2"/>
  <c r="A546" i="2" s="1"/>
  <c r="E621" i="2"/>
  <c r="A621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H53" i="4" s="1"/>
  <c r="L182" i="23" s="1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H151" i="4" s="1"/>
  <c r="L520" i="23" s="1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H373" i="4" s="1"/>
  <c r="L1294" i="23" s="1"/>
  <c r="G365" i="4"/>
  <c r="G357" i="4"/>
  <c r="H357" i="4" s="1"/>
  <c r="L1242" i="23" s="1"/>
  <c r="G349" i="4"/>
  <c r="G341" i="4"/>
  <c r="H341" i="4" s="1"/>
  <c r="L1180" i="23" s="1"/>
  <c r="G333" i="4"/>
  <c r="G325" i="4"/>
  <c r="G317" i="4"/>
  <c r="G309" i="4"/>
  <c r="H309" i="4" s="1"/>
  <c r="G301" i="4"/>
  <c r="H301" i="4" s="1"/>
  <c r="L1043" i="23" s="1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L373" i="23" s="1"/>
  <c r="G93" i="4"/>
  <c r="G77" i="4"/>
  <c r="H77" i="4" s="1"/>
  <c r="G29" i="4"/>
  <c r="G403" i="4"/>
  <c r="H403" i="4" s="1"/>
  <c r="L1515" i="23" s="1"/>
  <c r="G395" i="4"/>
  <c r="H395" i="4" s="1"/>
  <c r="G387" i="4"/>
  <c r="H387" i="4" s="1"/>
  <c r="L1343" i="23" s="1"/>
  <c r="G379" i="4"/>
  <c r="G371" i="4"/>
  <c r="H371" i="4" s="1"/>
  <c r="G363" i="4"/>
  <c r="H363" i="4" s="1"/>
  <c r="G355" i="4"/>
  <c r="H355" i="4" s="1"/>
  <c r="G347" i="4"/>
  <c r="H347" i="4" s="1"/>
  <c r="G339" i="4"/>
  <c r="H339" i="4" s="1"/>
  <c r="G331" i="4"/>
  <c r="H331" i="4" s="1"/>
  <c r="G323" i="4"/>
  <c r="H323" i="4" s="1"/>
  <c r="L1123" i="23" s="1"/>
  <c r="G315" i="4"/>
  <c r="H315" i="4" s="1"/>
  <c r="L1090" i="23" s="1"/>
  <c r="G307" i="4"/>
  <c r="G299" i="4"/>
  <c r="G291" i="4"/>
  <c r="G19" i="4"/>
  <c r="G401" i="4"/>
  <c r="G393" i="4"/>
  <c r="H393" i="4" s="1"/>
  <c r="L1372" i="23" s="1"/>
  <c r="G385" i="4"/>
  <c r="G377" i="4"/>
  <c r="H377" i="4" s="1"/>
  <c r="G369" i="4"/>
  <c r="H369" i="4" s="1"/>
  <c r="L1280" i="23" s="1"/>
  <c r="G361" i="4"/>
  <c r="H361" i="4" s="1"/>
  <c r="L1251" i="23" s="1"/>
  <c r="G353" i="4"/>
  <c r="G345" i="4"/>
  <c r="H345" i="4" s="1"/>
  <c r="L1206" i="23" s="1"/>
  <c r="G337" i="4"/>
  <c r="G329" i="4"/>
  <c r="H329" i="4" s="1"/>
  <c r="L1142" i="23" s="1"/>
  <c r="G313" i="4"/>
  <c r="H313" i="4" s="1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H399" i="4" s="1"/>
  <c r="G391" i="4"/>
  <c r="H391" i="4" s="1"/>
  <c r="G383" i="4"/>
  <c r="H383" i="4" s="1"/>
  <c r="L1325" i="23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291" i="4" l="1"/>
  <c r="H33" i="4"/>
  <c r="L108" i="23" s="1"/>
  <c r="H15" i="4"/>
  <c r="L40" i="23" s="1"/>
  <c r="H167" i="4"/>
  <c r="L584" i="23" s="1"/>
  <c r="I287" i="4"/>
  <c r="H157" i="4"/>
  <c r="H389" i="4"/>
  <c r="L1352" i="23" s="1"/>
  <c r="H149" i="4"/>
  <c r="I149" i="4" s="1"/>
  <c r="H269" i="4"/>
  <c r="H239" i="4"/>
  <c r="L826" i="23" s="1"/>
  <c r="I375" i="4"/>
  <c r="H267" i="4"/>
  <c r="L924" i="23" s="1"/>
  <c r="H35" i="4"/>
  <c r="H177" i="4"/>
  <c r="H43" i="4"/>
  <c r="L147" i="23" s="1"/>
  <c r="I309" i="4"/>
  <c r="H83" i="4"/>
  <c r="L283" i="23" s="1"/>
  <c r="H213" i="4"/>
  <c r="L741" i="23" s="1"/>
  <c r="H321" i="4"/>
  <c r="L1111" i="23" s="1"/>
  <c r="H85" i="4"/>
  <c r="L297" i="23" s="1"/>
  <c r="H145" i="4"/>
  <c r="L511" i="23" s="1"/>
  <c r="H95" i="4"/>
  <c r="H229" i="4"/>
  <c r="I229" i="4" s="1"/>
  <c r="H325" i="4"/>
  <c r="L1125" i="23" s="1"/>
  <c r="H99" i="4"/>
  <c r="L343" i="23" s="1"/>
  <c r="H227" i="4"/>
  <c r="L782" i="23" s="1"/>
  <c r="H215" i="4"/>
  <c r="L740" i="23" s="1"/>
  <c r="H119" i="4"/>
  <c r="L408" i="23" s="1"/>
  <c r="I395" i="4"/>
  <c r="H133" i="4"/>
  <c r="L457" i="23" s="1"/>
  <c r="H27" i="4"/>
  <c r="L88" i="23" s="1"/>
  <c r="L112" i="23"/>
  <c r="H23" i="4"/>
  <c r="L68" i="23" s="1"/>
  <c r="H351" i="4"/>
  <c r="L1223" i="23" s="1"/>
  <c r="H243" i="4"/>
  <c r="L842" i="23" s="1"/>
  <c r="I377" i="4"/>
  <c r="H379" i="4"/>
  <c r="L1315" i="23" s="1"/>
  <c r="I339" i="4"/>
  <c r="L1263" i="23"/>
  <c r="L738" i="23"/>
  <c r="L1277" i="23"/>
  <c r="F12" i="23"/>
  <c r="H335" i="4"/>
  <c r="L1311" i="23"/>
  <c r="L1079" i="23"/>
  <c r="L873" i="23"/>
  <c r="G17" i="23"/>
  <c r="L1131" i="23"/>
  <c r="L1134" i="23"/>
  <c r="L1247" i="23"/>
  <c r="L1009" i="23"/>
  <c r="L878" i="23"/>
  <c r="L1354" i="23"/>
  <c r="L787" i="23"/>
  <c r="L1165" i="23"/>
  <c r="L1113" i="23"/>
  <c r="L1328" i="23"/>
  <c r="L1236" i="23"/>
  <c r="G36" i="23"/>
  <c r="L928" i="23"/>
  <c r="L43" i="23"/>
  <c r="L1150" i="23"/>
  <c r="L1008" i="23"/>
  <c r="L1286" i="23"/>
  <c r="L1172" i="23"/>
  <c r="L1299" i="23"/>
  <c r="F37" i="23"/>
  <c r="G2" i="23"/>
  <c r="L1093" i="23"/>
  <c r="L997" i="23"/>
  <c r="L1254" i="23"/>
  <c r="L1259" i="23"/>
  <c r="L1361" i="23"/>
  <c r="L1072" i="23"/>
  <c r="L1387" i="23"/>
  <c r="L1239" i="23"/>
  <c r="L1200" i="23"/>
  <c r="L1189" i="23"/>
  <c r="L374" i="23"/>
  <c r="L1229" i="23"/>
  <c r="L1175" i="23"/>
  <c r="L1297" i="23"/>
  <c r="L1145" i="23"/>
  <c r="L89" i="23"/>
  <c r="L1279" i="23"/>
  <c r="L1281" i="23"/>
  <c r="G3" i="23"/>
  <c r="L1349" i="23"/>
  <c r="L743" i="23"/>
  <c r="L1296" i="23"/>
  <c r="L116" i="23"/>
  <c r="L1365" i="23"/>
  <c r="L515" i="23"/>
  <c r="L1012" i="23"/>
  <c r="L1238" i="23"/>
  <c r="L47" i="23"/>
  <c r="L1130" i="23"/>
  <c r="L1307" i="23"/>
  <c r="L923" i="23"/>
  <c r="L1146" i="23"/>
  <c r="L1374" i="23"/>
  <c r="L291" i="23"/>
  <c r="L1005" i="23"/>
  <c r="L744" i="23"/>
  <c r="L1362" i="23"/>
  <c r="L929" i="23"/>
  <c r="L1148" i="23"/>
  <c r="L326" i="23"/>
  <c r="L875" i="23"/>
  <c r="L295" i="23"/>
  <c r="L522" i="23"/>
  <c r="L1203" i="23"/>
  <c r="L325" i="23"/>
  <c r="L843" i="23"/>
  <c r="L1366" i="23"/>
  <c r="L1192" i="23"/>
  <c r="L841" i="23"/>
  <c r="L1004" i="23"/>
  <c r="L1121" i="23"/>
  <c r="L1255" i="23"/>
  <c r="L267" i="23"/>
  <c r="L115" i="23"/>
  <c r="L337" i="23"/>
  <c r="L1128" i="23"/>
  <c r="L1346" i="23"/>
  <c r="L1019" i="23"/>
  <c r="L1246" i="23"/>
  <c r="L809" i="23"/>
  <c r="L880" i="23"/>
  <c r="L461" i="23"/>
  <c r="L1309" i="23"/>
  <c r="L1253" i="23"/>
  <c r="G10" i="23"/>
  <c r="G15" i="23"/>
  <c r="L1183" i="23"/>
  <c r="L1308" i="23"/>
  <c r="L868" i="23"/>
  <c r="L1316" i="23"/>
  <c r="L934" i="23"/>
  <c r="L1273" i="23"/>
  <c r="L1289" i="23"/>
  <c r="L516" i="23"/>
  <c r="L870" i="23"/>
  <c r="L1370" i="23"/>
  <c r="L1119" i="23"/>
  <c r="L110" i="23"/>
  <c r="L280" i="23"/>
  <c r="L793" i="23"/>
  <c r="L1178" i="23"/>
  <c r="L1347" i="23"/>
  <c r="L1241" i="23"/>
  <c r="L1003" i="23"/>
  <c r="L1114" i="23"/>
  <c r="L284" i="23"/>
  <c r="L1000" i="23"/>
  <c r="F8" i="23"/>
  <c r="L1305" i="23"/>
  <c r="L1502" i="23"/>
  <c r="L513" i="23"/>
  <c r="L1025" i="23"/>
  <c r="L1094" i="23"/>
  <c r="L1364" i="23"/>
  <c r="L1144" i="23"/>
  <c r="L1002" i="23"/>
  <c r="F22" i="23"/>
  <c r="G22" i="23"/>
  <c r="L1129" i="23"/>
  <c r="L1029" i="23"/>
  <c r="L1141" i="23"/>
  <c r="L1284" i="23"/>
  <c r="L109" i="23"/>
  <c r="L1520" i="23"/>
  <c r="L38" i="23"/>
  <c r="L1303" i="23"/>
  <c r="L1218" i="23"/>
  <c r="L1287" i="23"/>
  <c r="L334" i="23"/>
  <c r="L46" i="23"/>
  <c r="L1120" i="23"/>
  <c r="L1177" i="23"/>
  <c r="F6" i="23"/>
  <c r="L1069" i="23"/>
  <c r="L1196" i="23"/>
  <c r="L1310" i="23"/>
  <c r="F1310" i="23" s="1"/>
  <c r="F101" i="13"/>
  <c r="F101" i="14"/>
  <c r="F102" i="13"/>
  <c r="F102" i="14"/>
  <c r="G1311" i="23"/>
  <c r="F29" i="23"/>
  <c r="F14" i="23"/>
  <c r="F21" i="23"/>
  <c r="G28" i="23"/>
  <c r="I269" i="4"/>
  <c r="I141" i="4"/>
  <c r="I387" i="4"/>
  <c r="G1343" i="23" s="1"/>
  <c r="I399" i="4"/>
  <c r="I301" i="4"/>
  <c r="I359" i="4"/>
  <c r="I373" i="4"/>
  <c r="I371" i="4"/>
  <c r="I251" i="4"/>
  <c r="I383" i="4"/>
  <c r="I361" i="4"/>
  <c r="I357" i="4"/>
  <c r="I355" i="4"/>
  <c r="I367" i="4"/>
  <c r="I345" i="4"/>
  <c r="I327" i="4"/>
  <c r="I221" i="4"/>
  <c r="I329" i="4"/>
  <c r="I323" i="4"/>
  <c r="I335" i="4"/>
  <c r="I363" i="4"/>
  <c r="I313" i="4"/>
  <c r="I295" i="4"/>
  <c r="I319" i="4"/>
  <c r="I347" i="4"/>
  <c r="I15" i="4"/>
  <c r="I291" i="4"/>
  <c r="I331" i="4"/>
  <c r="I369" i="4"/>
  <c r="F1280" i="23" s="1"/>
  <c r="I109" i="4"/>
  <c r="I157" i="4"/>
  <c r="I289" i="4"/>
  <c r="I53" i="4"/>
  <c r="I315" i="4"/>
  <c r="I393" i="4"/>
  <c r="I391" i="4"/>
  <c r="I267" i="4"/>
  <c r="G31" i="23"/>
  <c r="F30" i="23"/>
  <c r="F33" i="23"/>
  <c r="I119" i="4"/>
  <c r="F408" i="23" s="1"/>
  <c r="I35" i="4"/>
  <c r="I27" i="4"/>
  <c r="I95" i="4"/>
  <c r="I233" i="4"/>
  <c r="I321" i="4"/>
  <c r="I85" i="4"/>
  <c r="I259" i="4"/>
  <c r="F20" i="23"/>
  <c r="F25" i="23"/>
  <c r="I77" i="4"/>
  <c r="I403" i="4"/>
  <c r="M1520" i="23" s="1"/>
  <c r="I99" i="4"/>
  <c r="I177" i="4"/>
  <c r="G42" i="23"/>
  <c r="I167" i="4"/>
  <c r="I83" i="4"/>
  <c r="I33" i="4"/>
  <c r="I341" i="4"/>
  <c r="I151" i="4"/>
  <c r="I23" i="4"/>
  <c r="G13" i="23"/>
  <c r="F13" i="23"/>
  <c r="L39" i="23"/>
  <c r="L45" i="23"/>
  <c r="L41" i="23"/>
  <c r="L1250" i="23"/>
  <c r="L1252" i="23"/>
  <c r="L1256" i="23"/>
  <c r="L1257" i="23"/>
  <c r="L1267" i="23"/>
  <c r="L1260" i="23"/>
  <c r="L1179" i="23"/>
  <c r="L1188" i="23"/>
  <c r="L1182" i="23"/>
  <c r="L320" i="23"/>
  <c r="L328" i="23"/>
  <c r="L844" i="23"/>
  <c r="L836" i="23"/>
  <c r="L1249" i="23"/>
  <c r="L1244" i="23"/>
  <c r="L998" i="23"/>
  <c r="L996" i="23"/>
  <c r="L1007" i="23"/>
  <c r="L1292" i="23"/>
  <c r="L1271" i="23"/>
  <c r="L1283" i="23"/>
  <c r="L1285" i="23"/>
  <c r="L1291" i="23"/>
  <c r="L1282" i="23"/>
  <c r="L1293" i="23"/>
  <c r="L1290" i="23"/>
  <c r="L379" i="23"/>
  <c r="L378" i="23"/>
  <c r="L874" i="23"/>
  <c r="L865" i="23"/>
  <c r="L872" i="23"/>
  <c r="L869" i="23"/>
  <c r="L1353" i="23"/>
  <c r="L1357" i="23"/>
  <c r="L1351" i="23"/>
  <c r="L1355" i="23"/>
  <c r="L1006" i="23"/>
  <c r="L1017" i="23"/>
  <c r="L1010" i="23"/>
  <c r="L1235" i="23"/>
  <c r="L77" i="23"/>
  <c r="L518" i="23"/>
  <c r="L521" i="23"/>
  <c r="L745" i="23"/>
  <c r="L611" i="23"/>
  <c r="L610" i="23"/>
  <c r="L1210" i="23"/>
  <c r="L995" i="23"/>
  <c r="L994" i="23"/>
  <c r="L999" i="23"/>
  <c r="L992" i="23"/>
  <c r="L1288" i="23"/>
  <c r="L1278" i="23"/>
  <c r="L1300" i="23"/>
  <c r="L1312" i="23"/>
  <c r="L1237" i="23"/>
  <c r="L1240" i="23"/>
  <c r="L1248" i="23"/>
  <c r="L1245" i="23"/>
  <c r="L1243" i="23"/>
  <c r="L831" i="23"/>
  <c r="L828" i="23"/>
  <c r="L900" i="23"/>
  <c r="L1143" i="23"/>
  <c r="L1140" i="23"/>
  <c r="L1139" i="23"/>
  <c r="L1368" i="23"/>
  <c r="L1367" i="23"/>
  <c r="L1369" i="23"/>
  <c r="L1363" i="23"/>
  <c r="L1373" i="23"/>
  <c r="L1147" i="23"/>
  <c r="L1149" i="23"/>
  <c r="L537" i="23"/>
  <c r="L541" i="23"/>
  <c r="L540" i="23"/>
  <c r="L538" i="23"/>
  <c r="L1077" i="23"/>
  <c r="L1070" i="23"/>
  <c r="L1298" i="23"/>
  <c r="L1295" i="23"/>
  <c r="L287" i="23"/>
  <c r="L1302" i="23"/>
  <c r="L1306" i="23"/>
  <c r="L1301" i="23"/>
  <c r="L1304" i="23"/>
  <c r="L1092" i="23"/>
  <c r="L1081" i="23"/>
  <c r="L1086" i="23"/>
  <c r="L1085" i="23"/>
  <c r="L1089" i="23"/>
  <c r="L1344" i="23"/>
  <c r="L1348" i="23"/>
  <c r="L489" i="23"/>
  <c r="L409" i="23"/>
  <c r="L507" i="23"/>
  <c r="L933" i="23"/>
  <c r="L931" i="23"/>
  <c r="L930" i="23"/>
  <c r="L927" i="23"/>
  <c r="L926" i="23"/>
  <c r="L179" i="23"/>
  <c r="L1108" i="23"/>
  <c r="L1118" i="23"/>
  <c r="L1360" i="23"/>
  <c r="L1359" i="23"/>
  <c r="L1356" i="23"/>
  <c r="L1169" i="23"/>
  <c r="L1181" i="23"/>
  <c r="L1187" i="23"/>
  <c r="L1513" i="23"/>
  <c r="L1500" i="23"/>
  <c r="L1501" i="23"/>
  <c r="L1514" i="23"/>
  <c r="L86" i="23"/>
  <c r="L517" i="23"/>
  <c r="L512" i="23"/>
  <c r="L797" i="23"/>
  <c r="L781" i="23"/>
  <c r="L1132" i="23"/>
  <c r="L1136" i="23"/>
  <c r="L1386" i="23"/>
  <c r="L1193" i="23"/>
  <c r="L1199" i="23"/>
  <c r="L1197" i="23"/>
  <c r="L1204" i="23"/>
  <c r="L1198" i="23"/>
  <c r="L1137" i="23"/>
  <c r="L1124" i="23"/>
  <c r="L1122" i="23"/>
  <c r="L1135" i="23"/>
  <c r="L1133" i="23"/>
  <c r="L1138" i="23"/>
  <c r="L1112" i="23"/>
  <c r="L1109" i="23"/>
  <c r="L1110" i="23"/>
  <c r="L117" i="23"/>
  <c r="L118" i="23"/>
  <c r="L341" i="23"/>
  <c r="L778" i="23"/>
  <c r="L786" i="23"/>
  <c r="L288" i="23"/>
  <c r="A664" i="2"/>
  <c r="A416" i="2"/>
  <c r="A656" i="2"/>
  <c r="A370" i="2"/>
  <c r="A460" i="2"/>
  <c r="A204" i="2"/>
  <c r="A425" i="2"/>
  <c r="A342" i="2"/>
  <c r="A646" i="2"/>
  <c r="A202" i="2"/>
  <c r="A301" i="2"/>
  <c r="A666" i="2"/>
  <c r="A462" i="2"/>
  <c r="A7" i="2"/>
  <c r="A213" i="2"/>
  <c r="A689" i="2"/>
  <c r="A405" i="2"/>
  <c r="A265" i="2"/>
  <c r="A41" i="2"/>
  <c r="A566" i="2"/>
  <c r="A259" i="2"/>
  <c r="A176" i="2"/>
  <c r="A304" i="2"/>
  <c r="A120" i="2"/>
  <c r="A748" i="2"/>
  <c r="A524" i="2"/>
  <c r="A751" i="2"/>
  <c r="A221" i="2"/>
  <c r="A739" i="2"/>
  <c r="A111" i="2"/>
  <c r="A360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L172" i="23" s="1"/>
  <c r="H21" i="4"/>
  <c r="L73" i="23" s="1"/>
  <c r="H231" i="4"/>
  <c r="L800" i="23" s="1"/>
  <c r="H277" i="4"/>
  <c r="H39" i="4"/>
  <c r="H59" i="4"/>
  <c r="L194" i="23" s="1"/>
  <c r="H61" i="4"/>
  <c r="H25" i="4"/>
  <c r="L80" i="23" s="1"/>
  <c r="H275" i="4"/>
  <c r="H131" i="4"/>
  <c r="L449" i="23" s="1"/>
  <c r="H63" i="4"/>
  <c r="H241" i="4"/>
  <c r="L837" i="23" s="1"/>
  <c r="H111" i="4"/>
  <c r="L380" i="23" s="1"/>
  <c r="H195" i="4"/>
  <c r="H47" i="4"/>
  <c r="H261" i="4"/>
  <c r="L898" i="23" s="1"/>
  <c r="H19" i="4"/>
  <c r="H211" i="4"/>
  <c r="H107" i="4"/>
  <c r="L372" i="23" s="1"/>
  <c r="H235" i="4"/>
  <c r="L811" i="23" s="1"/>
  <c r="H193" i="4"/>
  <c r="H179" i="4"/>
  <c r="L606" i="23" s="1"/>
  <c r="H41" i="4"/>
  <c r="I41" i="4" s="1"/>
  <c r="H159" i="4"/>
  <c r="L549" i="23" s="1"/>
  <c r="H305" i="4"/>
  <c r="H217" i="4"/>
  <c r="L748" i="23" s="1"/>
  <c r="H29" i="4"/>
  <c r="L97" i="23" s="1"/>
  <c r="H191" i="4"/>
  <c r="H201" i="4"/>
  <c r="L693" i="23" s="1"/>
  <c r="H303" i="4"/>
  <c r="L1049" i="23" s="1"/>
  <c r="H255" i="4"/>
  <c r="L876" i="23" s="1"/>
  <c r="H57" i="4"/>
  <c r="H155" i="4"/>
  <c r="L544" i="23" s="1"/>
  <c r="H183" i="4"/>
  <c r="H257" i="4"/>
  <c r="L894" i="23" s="1"/>
  <c r="H37" i="4"/>
  <c r="L125" i="23" s="1"/>
  <c r="H163" i="4"/>
  <c r="H113" i="4"/>
  <c r="H281" i="4"/>
  <c r="L981" i="23" s="1"/>
  <c r="H197" i="4"/>
  <c r="H79" i="4"/>
  <c r="L266" i="23" s="1"/>
  <c r="H105" i="4"/>
  <c r="H123" i="4"/>
  <c r="H397" i="4"/>
  <c r="L1375" i="23" s="1"/>
  <c r="H103" i="4"/>
  <c r="L355" i="23" s="1"/>
  <c r="H285" i="4"/>
  <c r="L991" i="23" s="1"/>
  <c r="H337" i="4"/>
  <c r="L1173" i="23" s="1"/>
  <c r="H237" i="4"/>
  <c r="H173" i="4"/>
  <c r="H137" i="4"/>
  <c r="H245" i="4"/>
  <c r="H93" i="4"/>
  <c r="L327" i="23" s="1"/>
  <c r="H67" i="4"/>
  <c r="H97" i="4"/>
  <c r="H219" i="4"/>
  <c r="L767" i="23" s="1"/>
  <c r="H293" i="4"/>
  <c r="I293" i="4" s="1"/>
  <c r="H89" i="4"/>
  <c r="L304" i="23" s="1"/>
  <c r="H75" i="4"/>
  <c r="L260" i="23" s="1"/>
  <c r="H169" i="4"/>
  <c r="L574" i="23" s="1"/>
  <c r="H139" i="4"/>
  <c r="L480" i="23" s="1"/>
  <c r="H81" i="4"/>
  <c r="L285" i="23" s="1"/>
  <c r="H401" i="4"/>
  <c r="L1462" i="23" s="1"/>
  <c r="H55" i="4"/>
  <c r="L186" i="23" s="1"/>
  <c r="H263" i="4"/>
  <c r="L914" i="23" s="1"/>
  <c r="H91" i="4"/>
  <c r="H147" i="4"/>
  <c r="L505" i="23" s="1"/>
  <c r="H247" i="4"/>
  <c r="L852" i="23" s="1"/>
  <c r="H203" i="4"/>
  <c r="H199" i="4"/>
  <c r="L691" i="23" s="1"/>
  <c r="H65" i="4"/>
  <c r="H283" i="4"/>
  <c r="H225" i="4"/>
  <c r="H69" i="4"/>
  <c r="H17" i="4"/>
  <c r="H49" i="4"/>
  <c r="H129" i="4"/>
  <c r="H343" i="4"/>
  <c r="H209" i="4"/>
  <c r="L720" i="23" s="1"/>
  <c r="H297" i="4"/>
  <c r="L1021" i="23" s="1"/>
  <c r="H265" i="4"/>
  <c r="L922" i="23" s="1"/>
  <c r="H45" i="4"/>
  <c r="L142" i="23" s="1"/>
  <c r="H153" i="4"/>
  <c r="L525" i="23" s="1"/>
  <c r="H87" i="4"/>
  <c r="L290" i="23" s="1"/>
  <c r="H333" i="4"/>
  <c r="L1164" i="23" s="1"/>
  <c r="H121" i="4"/>
  <c r="L418" i="23" s="1"/>
  <c r="H165" i="4"/>
  <c r="L579" i="23" s="1"/>
  <c r="H101" i="4"/>
  <c r="L342" i="23" s="1"/>
  <c r="H381" i="4"/>
  <c r="L1331" i="23" s="1"/>
  <c r="H73" i="4"/>
  <c r="L250" i="23" s="1"/>
  <c r="H349" i="4"/>
  <c r="L1207" i="23" s="1"/>
  <c r="H353" i="4"/>
  <c r="L1226" i="23" s="1"/>
  <c r="H185" i="4"/>
  <c r="H125" i="4"/>
  <c r="H187" i="4"/>
  <c r="H249" i="4"/>
  <c r="H311" i="4"/>
  <c r="L1078" i="23" s="1"/>
  <c r="H207" i="4"/>
  <c r="H307" i="4"/>
  <c r="H127" i="4"/>
  <c r="H299" i="4"/>
  <c r="L1046" i="23" s="1"/>
  <c r="H117" i="4"/>
  <c r="L405" i="23" s="1"/>
  <c r="H205" i="4"/>
  <c r="H171" i="4"/>
  <c r="L595" i="23" s="1"/>
  <c r="H279" i="4"/>
  <c r="H223" i="4"/>
  <c r="L773" i="23" s="1"/>
  <c r="H161" i="4"/>
  <c r="L555" i="23" s="1"/>
  <c r="H385" i="4"/>
  <c r="L1326" i="23" s="1"/>
  <c r="H115" i="4"/>
  <c r="H181" i="4"/>
  <c r="H175" i="4"/>
  <c r="L600" i="23" s="1"/>
  <c r="H135" i="4"/>
  <c r="H143" i="4"/>
  <c r="H31" i="4"/>
  <c r="L107" i="23" s="1"/>
  <c r="H189" i="4"/>
  <c r="L656" i="23" s="1"/>
  <c r="H365" i="4"/>
  <c r="L1270" i="23" s="1"/>
  <c r="H273" i="4"/>
  <c r="H317" i="4"/>
  <c r="L1107" i="23" s="1"/>
  <c r="H271" i="4"/>
  <c r="L939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I43" i="4" l="1"/>
  <c r="I389" i="4"/>
  <c r="L145" i="23"/>
  <c r="L1358" i="23"/>
  <c r="L1350" i="23"/>
  <c r="L140" i="23"/>
  <c r="L830" i="23"/>
  <c r="L825" i="23"/>
  <c r="I227" i="4"/>
  <c r="L739" i="23"/>
  <c r="I239" i="4"/>
  <c r="I213" i="4"/>
  <c r="L827" i="23"/>
  <c r="L792" i="23"/>
  <c r="L736" i="23"/>
  <c r="L1126" i="23"/>
  <c r="L1127" i="23"/>
  <c r="I325" i="4"/>
  <c r="F1125" i="23" s="1"/>
  <c r="I243" i="4"/>
  <c r="I215" i="4"/>
  <c r="L456" i="23"/>
  <c r="L1115" i="23"/>
  <c r="L1117" i="23"/>
  <c r="I133" i="4"/>
  <c r="G457" i="23" s="1"/>
  <c r="I379" i="4"/>
  <c r="L495" i="23"/>
  <c r="L1314" i="23"/>
  <c r="I145" i="4"/>
  <c r="F511" i="23" s="1"/>
  <c r="F1305" i="23"/>
  <c r="I351" i="4"/>
  <c r="G12" i="23"/>
  <c r="L1224" i="23"/>
  <c r="L1317" i="23"/>
  <c r="L1319" i="23"/>
  <c r="L1313" i="23"/>
  <c r="L56" i="23"/>
  <c r="L1083" i="23"/>
  <c r="L1272" i="23"/>
  <c r="F110" i="23"/>
  <c r="L76" i="23"/>
  <c r="L618" i="23"/>
  <c r="L1100" i="23"/>
  <c r="L1042" i="23"/>
  <c r="L485" i="23"/>
  <c r="L1103" i="23"/>
  <c r="L70" i="23"/>
  <c r="L1152" i="23"/>
  <c r="L1261" i="23"/>
  <c r="L904" i="23"/>
  <c r="L150" i="23"/>
  <c r="L619" i="23"/>
  <c r="L486" i="23"/>
  <c r="L85" i="23"/>
  <c r="L620" i="23"/>
  <c r="L1232" i="23"/>
  <c r="G873" i="23"/>
  <c r="L1517" i="23"/>
  <c r="G1370" i="23"/>
  <c r="L126" i="23"/>
  <c r="L503" i="23"/>
  <c r="L762" i="23"/>
  <c r="L580" i="23"/>
  <c r="L1024" i="23"/>
  <c r="L153" i="23"/>
  <c r="L264" i="23"/>
  <c r="L795" i="23"/>
  <c r="L965" i="23"/>
  <c r="L776" i="23"/>
  <c r="L548" i="23"/>
  <c r="G108" i="23"/>
  <c r="F743" i="23"/>
  <c r="F1002" i="23"/>
  <c r="L314" i="23"/>
  <c r="L1001" i="23"/>
  <c r="L631" i="23"/>
  <c r="L220" i="23"/>
  <c r="F868" i="23"/>
  <c r="G1310" i="23"/>
  <c r="F1343" i="23"/>
  <c r="G21" i="23"/>
  <c r="G8" i="23"/>
  <c r="G29" i="23"/>
  <c r="G1247" i="23"/>
  <c r="G1307" i="23"/>
  <c r="G1079" i="23"/>
  <c r="F17" i="23"/>
  <c r="G6" i="23"/>
  <c r="F47" i="23"/>
  <c r="F36" i="23"/>
  <c r="G1366" i="23"/>
  <c r="L497" i="23"/>
  <c r="L375" i="23"/>
  <c r="F10" i="23"/>
  <c r="L1074" i="23"/>
  <c r="L1330" i="23"/>
  <c r="G46" i="23"/>
  <c r="L578" i="23"/>
  <c r="L370" i="23"/>
  <c r="L711" i="23"/>
  <c r="L387" i="23"/>
  <c r="L1023" i="23"/>
  <c r="G875" i="23"/>
  <c r="L236" i="23"/>
  <c r="L897" i="23"/>
  <c r="G33" i="23"/>
  <c r="L71" i="23"/>
  <c r="L371" i="23"/>
  <c r="L575" i="23"/>
  <c r="L936" i="23"/>
  <c r="L1099" i="23"/>
  <c r="L1096" i="23"/>
  <c r="F42" i="23"/>
  <c r="L668" i="23"/>
  <c r="L1392" i="23"/>
  <c r="F28" i="23"/>
  <c r="F1009" i="23"/>
  <c r="L1022" i="23"/>
  <c r="L687" i="23"/>
  <c r="L483" i="23"/>
  <c r="L473" i="23"/>
  <c r="G1134" i="23"/>
  <c r="L81" i="23"/>
  <c r="L801" i="23"/>
  <c r="L69" i="23"/>
  <c r="L813" i="23"/>
  <c r="I97" i="4"/>
  <c r="L336" i="23"/>
  <c r="L1258" i="23"/>
  <c r="L171" i="23"/>
  <c r="L420" i="23"/>
  <c r="L661" i="23"/>
  <c r="L114" i="23"/>
  <c r="L1027" i="23"/>
  <c r="L750" i="23"/>
  <c r="L603" i="23"/>
  <c r="L599" i="23"/>
  <c r="L1039" i="23"/>
  <c r="L91" i="23"/>
  <c r="L340" i="23"/>
  <c r="L350" i="23"/>
  <c r="L1336" i="23"/>
  <c r="L332" i="23"/>
  <c r="L87" i="23"/>
  <c r="L75" i="23"/>
  <c r="L494" i="23"/>
  <c r="L493" i="23"/>
  <c r="L774" i="23"/>
  <c r="F1069" i="23"/>
  <c r="L860" i="23"/>
  <c r="L866" i="23"/>
  <c r="G1354" i="23"/>
  <c r="L1166" i="23"/>
  <c r="L935" i="23"/>
  <c r="F1236" i="23"/>
  <c r="G1236" i="23"/>
  <c r="F1328" i="23"/>
  <c r="G1328" i="23"/>
  <c r="F520" i="23"/>
  <c r="G520" i="23"/>
  <c r="L425" i="23"/>
  <c r="L417" i="23"/>
  <c r="L887" i="23"/>
  <c r="L883" i="23"/>
  <c r="L504" i="23"/>
  <c r="L496" i="23"/>
  <c r="L732" i="23"/>
  <c r="L731" i="23"/>
  <c r="L1345" i="23"/>
  <c r="L333" i="23"/>
  <c r="L519" i="23"/>
  <c r="L712" i="23"/>
  <c r="L723" i="23"/>
  <c r="L1208" i="23"/>
  <c r="L1011" i="23"/>
  <c r="L492" i="23"/>
  <c r="L1190" i="23"/>
  <c r="L1184" i="23"/>
  <c r="F1350" i="23"/>
  <c r="F1303" i="23"/>
  <c r="F1012" i="23"/>
  <c r="G1072" i="23"/>
  <c r="F1308" i="23"/>
  <c r="F875" i="23"/>
  <c r="F1311" i="23"/>
  <c r="F1177" i="23"/>
  <c r="G1012" i="23"/>
  <c r="F1072" i="23"/>
  <c r="G868" i="23"/>
  <c r="F1307" i="23"/>
  <c r="L1400" i="23"/>
  <c r="L1465" i="23"/>
  <c r="L1446" i="23"/>
  <c r="L397" i="23"/>
  <c r="F43" i="23"/>
  <c r="G37" i="23"/>
  <c r="L893" i="23"/>
  <c r="L92" i="23"/>
  <c r="L101" i="23"/>
  <c r="L810" i="23"/>
  <c r="L488" i="23"/>
  <c r="L261" i="23"/>
  <c r="L258" i="23"/>
  <c r="L255" i="23"/>
  <c r="L899" i="23"/>
  <c r="L184" i="23"/>
  <c r="L1087" i="23"/>
  <c r="F928" i="23"/>
  <c r="L1275" i="23"/>
  <c r="L761" i="23"/>
  <c r="L754" i="23"/>
  <c r="L235" i="23"/>
  <c r="L243" i="23"/>
  <c r="F1172" i="23"/>
  <c r="F1366" i="23"/>
  <c r="F1093" i="23"/>
  <c r="F1175" i="23"/>
  <c r="L1470" i="23"/>
  <c r="L1453" i="23"/>
  <c r="L198" i="23"/>
  <c r="L213" i="23"/>
  <c r="L54" i="23"/>
  <c r="G1286" i="23"/>
  <c r="G1308" i="23"/>
  <c r="L490" i="23"/>
  <c r="L932" i="23"/>
  <c r="L770" i="23"/>
  <c r="L335" i="23"/>
  <c r="G1172" i="23"/>
  <c r="F2" i="23"/>
  <c r="F32" i="23"/>
  <c r="G32" i="23"/>
  <c r="L155" i="23"/>
  <c r="L1333" i="23"/>
  <c r="L1058" i="23"/>
  <c r="L789" i="23"/>
  <c r="L796" i="23"/>
  <c r="F3" i="23"/>
  <c r="L500" i="23"/>
  <c r="L141" i="23"/>
  <c r="L148" i="23"/>
  <c r="L265" i="23"/>
  <c r="L270" i="23"/>
  <c r="L469" i="23"/>
  <c r="L458" i="23"/>
  <c r="L459" i="23"/>
  <c r="L908" i="23"/>
  <c r="L920" i="23"/>
  <c r="L819" i="23"/>
  <c r="L822" i="23"/>
  <c r="L829" i="23"/>
  <c r="L688" i="23"/>
  <c r="L783" i="23"/>
  <c r="L881" i="23"/>
  <c r="L321" i="23"/>
  <c r="G1175" i="23"/>
  <c r="L890" i="23"/>
  <c r="L481" i="23"/>
  <c r="L146" i="23"/>
  <c r="G7" i="23"/>
  <c r="F7" i="23"/>
  <c r="G793" i="23"/>
  <c r="G1069" i="23"/>
  <c r="G1241" i="23"/>
  <c r="F782" i="23"/>
  <c r="F1189" i="23"/>
  <c r="G1189" i="23"/>
  <c r="L647" i="23"/>
  <c r="L651" i="23"/>
  <c r="L1389" i="23"/>
  <c r="L1399" i="23"/>
  <c r="L1403" i="23"/>
  <c r="L1449" i="23"/>
  <c r="L1455" i="23"/>
  <c r="L1450" i="23"/>
  <c r="L1394" i="23"/>
  <c r="L1405" i="23"/>
  <c r="L1388" i="23"/>
  <c r="L1396" i="23"/>
  <c r="I47" i="4"/>
  <c r="L156" i="23"/>
  <c r="L263" i="23"/>
  <c r="L386" i="23"/>
  <c r="F1218" i="23"/>
  <c r="F374" i="23"/>
  <c r="F1365" i="23"/>
  <c r="L338" i="23"/>
  <c r="L945" i="23"/>
  <c r="L951" i="23"/>
  <c r="L398" i="23"/>
  <c r="L413" i="23"/>
  <c r="L434" i="23"/>
  <c r="L433" i="23"/>
  <c r="L411" i="23"/>
  <c r="L419" i="23"/>
  <c r="L281" i="23"/>
  <c r="L277" i="23"/>
  <c r="L354" i="23"/>
  <c r="L349" i="23"/>
  <c r="L1163" i="23"/>
  <c r="L1095" i="23"/>
  <c r="L523" i="23"/>
  <c r="F89" i="23"/>
  <c r="L144" i="23"/>
  <c r="F5" i="23"/>
  <c r="G5" i="23"/>
  <c r="I385" i="4"/>
  <c r="L1338" i="23"/>
  <c r="L1335" i="23"/>
  <c r="L640" i="23"/>
  <c r="L634" i="23"/>
  <c r="L641" i="23"/>
  <c r="L484" i="23"/>
  <c r="L487" i="23"/>
  <c r="L315" i="23"/>
  <c r="L319" i="23"/>
  <c r="L1377" i="23"/>
  <c r="L1371" i="23"/>
  <c r="L1376" i="23"/>
  <c r="L124" i="23"/>
  <c r="L123" i="23"/>
  <c r="L669" i="23"/>
  <c r="L808" i="23"/>
  <c r="L814" i="23"/>
  <c r="L1393" i="23"/>
  <c r="L790" i="23"/>
  <c r="L1161" i="23"/>
  <c r="F1289" i="23"/>
  <c r="G11" i="23"/>
  <c r="F11" i="23"/>
  <c r="L806" i="23"/>
  <c r="L1221" i="23"/>
  <c r="L1228" i="23"/>
  <c r="L299" i="23"/>
  <c r="L294" i="23"/>
  <c r="L581" i="23"/>
  <c r="L577" i="23"/>
  <c r="L576" i="23"/>
  <c r="L53" i="23"/>
  <c r="L1018" i="23"/>
  <c r="L737" i="23"/>
  <c r="L726" i="23"/>
  <c r="L1442" i="23"/>
  <c r="L529" i="23"/>
  <c r="L1075" i="23"/>
  <c r="L1084" i="23"/>
  <c r="L1321" i="23"/>
  <c r="L1323" i="23"/>
  <c r="L905" i="23"/>
  <c r="L911" i="23"/>
  <c r="L949" i="23"/>
  <c r="L962" i="23"/>
  <c r="L952" i="23"/>
  <c r="L164" i="23"/>
  <c r="L174" i="23"/>
  <c r="L279" i="23"/>
  <c r="F1349" i="23"/>
  <c r="L1342" i="23"/>
  <c r="L55" i="23"/>
  <c r="L602" i="23"/>
  <c r="L612" i="23"/>
  <c r="L812" i="23"/>
  <c r="L896" i="23"/>
  <c r="L902" i="23"/>
  <c r="F793" i="23"/>
  <c r="F46" i="23"/>
  <c r="F1309" i="23"/>
  <c r="G408" i="23"/>
  <c r="F15" i="23"/>
  <c r="F1178" i="23"/>
  <c r="G1303" i="23"/>
  <c r="G1309" i="23"/>
  <c r="G30" i="23"/>
  <c r="F267" i="23"/>
  <c r="G792" i="23"/>
  <c r="G1177" i="23"/>
  <c r="G1374" i="23"/>
  <c r="F1247" i="23"/>
  <c r="F1374" i="23"/>
  <c r="F457" i="23"/>
  <c r="G25" i="23"/>
  <c r="F280" i="23"/>
  <c r="F145" i="23"/>
  <c r="G145" i="23"/>
  <c r="F1090" i="23"/>
  <c r="G1090" i="23"/>
  <c r="G511" i="23"/>
  <c r="L571" i="23"/>
  <c r="L572" i="23"/>
  <c r="L227" i="23"/>
  <c r="L221" i="23"/>
  <c r="L1391" i="23"/>
  <c r="L1395" i="23"/>
  <c r="L1407" i="23"/>
  <c r="L1457" i="23"/>
  <c r="L1459" i="23"/>
  <c r="L1412" i="23"/>
  <c r="L1444" i="23"/>
  <c r="L1447" i="23"/>
  <c r="L1390" i="23"/>
  <c r="L1448" i="23"/>
  <c r="L1456" i="23"/>
  <c r="L1397" i="23"/>
  <c r="L1408" i="23"/>
  <c r="L1452" i="23"/>
  <c r="L1454" i="23"/>
  <c r="L1451" i="23"/>
  <c r="L1401" i="23"/>
  <c r="L1406" i="23"/>
  <c r="L1445" i="23"/>
  <c r="L1398" i="23"/>
  <c r="L989" i="23"/>
  <c r="L993" i="23"/>
  <c r="I179" i="4"/>
  <c r="L609" i="23"/>
  <c r="L629" i="23"/>
  <c r="L607" i="23"/>
  <c r="L628" i="23"/>
  <c r="L465" i="23"/>
  <c r="L143" i="23"/>
  <c r="L403" i="23"/>
  <c r="L406" i="23"/>
  <c r="L682" i="23"/>
  <c r="L696" i="23"/>
  <c r="I67" i="4"/>
  <c r="L223" i="23"/>
  <c r="L1320" i="23"/>
  <c r="L1220" i="23"/>
  <c r="G16" i="23"/>
  <c r="F16" i="23"/>
  <c r="L1038" i="23"/>
  <c r="L1047" i="23"/>
  <c r="L1158" i="23"/>
  <c r="L1156" i="23"/>
  <c r="I203" i="4"/>
  <c r="L709" i="23"/>
  <c r="L699" i="23"/>
  <c r="L122" i="23"/>
  <c r="L131" i="23"/>
  <c r="L133" i="23"/>
  <c r="L1044" i="23"/>
  <c r="F24" i="23"/>
  <c r="G24" i="23"/>
  <c r="I189" i="4"/>
  <c r="L655" i="23"/>
  <c r="L445" i="23"/>
  <c r="L444" i="23"/>
  <c r="L173" i="23"/>
  <c r="L166" i="23"/>
  <c r="L850" i="23"/>
  <c r="L846" i="23"/>
  <c r="I29" i="4"/>
  <c r="L90" i="23"/>
  <c r="L102" i="23"/>
  <c r="I277" i="4"/>
  <c r="L958" i="23"/>
  <c r="L286" i="23"/>
  <c r="L799" i="23"/>
  <c r="L735" i="23"/>
  <c r="F1361" i="23"/>
  <c r="L1065" i="23"/>
  <c r="L1068" i="23"/>
  <c r="L1201" i="23"/>
  <c r="L1213" i="23"/>
  <c r="L1209" i="23"/>
  <c r="I137" i="4"/>
  <c r="L478" i="23"/>
  <c r="I105" i="4"/>
  <c r="L363" i="23"/>
  <c r="L359" i="23"/>
  <c r="I183" i="4"/>
  <c r="L630" i="23"/>
  <c r="L771" i="23"/>
  <c r="L775" i="23"/>
  <c r="I45" i="4"/>
  <c r="L149" i="23"/>
  <c r="L225" i="23"/>
  <c r="L228" i="23"/>
  <c r="L309" i="23"/>
  <c r="L317" i="23"/>
  <c r="L310" i="23"/>
  <c r="L318" i="23"/>
  <c r="L543" i="23"/>
  <c r="L532" i="23"/>
  <c r="L1059" i="23"/>
  <c r="L1054" i="23"/>
  <c r="L61" i="23"/>
  <c r="L58" i="23"/>
  <c r="L113" i="23"/>
  <c r="L1443" i="23"/>
  <c r="L482" i="23"/>
  <c r="L1082" i="23"/>
  <c r="L1091" i="23"/>
  <c r="I225" i="4"/>
  <c r="L785" i="23"/>
  <c r="L772" i="23"/>
  <c r="L784" i="23"/>
  <c r="I263" i="4"/>
  <c r="L910" i="23"/>
  <c r="L414" i="23"/>
  <c r="L468" i="23"/>
  <c r="G1004" i="23"/>
  <c r="L467" i="23"/>
  <c r="L940" i="23"/>
  <c r="L938" i="23"/>
  <c r="I101" i="4"/>
  <c r="L351" i="23"/>
  <c r="L974" i="23"/>
  <c r="L979" i="23"/>
  <c r="L185" i="23"/>
  <c r="L193" i="23"/>
  <c r="L191" i="23"/>
  <c r="L189" i="23"/>
  <c r="L877" i="23"/>
  <c r="L882" i="23"/>
  <c r="I25" i="4"/>
  <c r="L82" i="23"/>
  <c r="L242" i="23"/>
  <c r="L234" i="23"/>
  <c r="L1016" i="23"/>
  <c r="L840" i="23"/>
  <c r="F1180" i="23"/>
  <c r="G934" i="23"/>
  <c r="L1014" i="23"/>
  <c r="L1334" i="23"/>
  <c r="G1125" i="23"/>
  <c r="G280" i="23"/>
  <c r="G14" i="23"/>
  <c r="I161" i="4"/>
  <c r="L557" i="23"/>
  <c r="L561" i="23"/>
  <c r="L552" i="23"/>
  <c r="I127" i="4"/>
  <c r="L436" i="23"/>
  <c r="I353" i="4"/>
  <c r="L1227" i="23"/>
  <c r="L1233" i="23"/>
  <c r="L1231" i="23"/>
  <c r="I87" i="4"/>
  <c r="L298" i="23"/>
  <c r="L293" i="23"/>
  <c r="L301" i="23"/>
  <c r="I49" i="4"/>
  <c r="L160" i="23"/>
  <c r="L167" i="23"/>
  <c r="I247" i="4"/>
  <c r="L859" i="23"/>
  <c r="L858" i="23"/>
  <c r="L855" i="23"/>
  <c r="I169" i="4"/>
  <c r="L583" i="23"/>
  <c r="L582" i="23"/>
  <c r="I245" i="4"/>
  <c r="L847" i="23"/>
  <c r="L851" i="23"/>
  <c r="I123" i="4"/>
  <c r="L415" i="23"/>
  <c r="L432" i="23"/>
  <c r="L422" i="23"/>
  <c r="I257" i="4"/>
  <c r="L891" i="23"/>
  <c r="I107" i="4"/>
  <c r="L360" i="23"/>
  <c r="L365" i="23"/>
  <c r="I241" i="4"/>
  <c r="L834" i="23"/>
  <c r="L839" i="23"/>
  <c r="L838" i="23"/>
  <c r="F584" i="23"/>
  <c r="G584" i="23"/>
  <c r="I31" i="4"/>
  <c r="L93" i="23"/>
  <c r="L94" i="23"/>
  <c r="L98" i="23"/>
  <c r="I307" i="4"/>
  <c r="L1067" i="23"/>
  <c r="L1055" i="23"/>
  <c r="I349" i="4"/>
  <c r="L1214" i="23"/>
  <c r="L1211" i="23"/>
  <c r="I153" i="4"/>
  <c r="L536" i="23"/>
  <c r="L530" i="23"/>
  <c r="I17" i="4"/>
  <c r="L52" i="23"/>
  <c r="L48" i="23"/>
  <c r="L50" i="23"/>
  <c r="I147" i="4"/>
  <c r="L501" i="23"/>
  <c r="I75" i="4"/>
  <c r="L248" i="23"/>
  <c r="L256" i="23"/>
  <c r="I217" i="4"/>
  <c r="L760" i="23"/>
  <c r="L758" i="23"/>
  <c r="L759" i="23"/>
  <c r="L756" i="23"/>
  <c r="I211" i="4"/>
  <c r="L728" i="23"/>
  <c r="I63" i="4"/>
  <c r="L208" i="23"/>
  <c r="L214" i="23"/>
  <c r="I231" i="4"/>
  <c r="F800" i="23" s="1"/>
  <c r="L803" i="23"/>
  <c r="L802" i="23"/>
  <c r="L794" i="23"/>
  <c r="F1196" i="23"/>
  <c r="G1196" i="23"/>
  <c r="G1294" i="23"/>
  <c r="F1294" i="23"/>
  <c r="L499" i="23"/>
  <c r="L491" i="23"/>
  <c r="L506" i="23"/>
  <c r="L502" i="23"/>
  <c r="I223" i="4"/>
  <c r="L764" i="23"/>
  <c r="L765" i="23"/>
  <c r="I207" i="4"/>
  <c r="L716" i="23"/>
  <c r="L717" i="23"/>
  <c r="L718" i="23"/>
  <c r="I73" i="4"/>
  <c r="L246" i="23"/>
  <c r="L247" i="23"/>
  <c r="I69" i="4"/>
  <c r="L238" i="23"/>
  <c r="I91" i="4"/>
  <c r="L308" i="23"/>
  <c r="L312" i="23"/>
  <c r="I89" i="4"/>
  <c r="L306" i="23"/>
  <c r="I173" i="4"/>
  <c r="L594" i="23"/>
  <c r="L590" i="23"/>
  <c r="I79" i="4"/>
  <c r="L282" i="23"/>
  <c r="L268" i="23"/>
  <c r="L527" i="23"/>
  <c r="L534" i="23"/>
  <c r="L539" i="23"/>
  <c r="I305" i="4"/>
  <c r="L1060" i="23"/>
  <c r="L1056" i="23"/>
  <c r="I19" i="4"/>
  <c r="L64" i="23"/>
  <c r="I131" i="4"/>
  <c r="L453" i="23"/>
  <c r="L448" i="23"/>
  <c r="L454" i="23"/>
  <c r="I21" i="4"/>
  <c r="L67" i="23"/>
  <c r="L72" i="23"/>
  <c r="L74" i="23"/>
  <c r="L510" i="23"/>
  <c r="F1277" i="23"/>
  <c r="G1277" i="23"/>
  <c r="I135" i="4"/>
  <c r="L463" i="23"/>
  <c r="L464" i="23"/>
  <c r="I279" i="4"/>
  <c r="L969" i="23"/>
  <c r="L967" i="23"/>
  <c r="L972" i="23"/>
  <c r="L968" i="23"/>
  <c r="L1076" i="23"/>
  <c r="L1080" i="23"/>
  <c r="L1088" i="23"/>
  <c r="I381" i="4"/>
  <c r="L1327" i="23"/>
  <c r="L1318" i="23"/>
  <c r="I265" i="4"/>
  <c r="L919" i="23"/>
  <c r="I237" i="4"/>
  <c r="L818" i="23"/>
  <c r="I197" i="4"/>
  <c r="L673" i="23"/>
  <c r="L680" i="23"/>
  <c r="L679" i="23"/>
  <c r="I57" i="4"/>
  <c r="L203" i="23"/>
  <c r="L201" i="23"/>
  <c r="L202" i="23"/>
  <c r="I159" i="4"/>
  <c r="L545" i="23"/>
  <c r="L542" i="23"/>
  <c r="L903" i="23"/>
  <c r="L907" i="23"/>
  <c r="L912" i="23"/>
  <c r="L909" i="23"/>
  <c r="I275" i="4"/>
  <c r="L956" i="23"/>
  <c r="L954" i="23"/>
  <c r="I51" i="4"/>
  <c r="L177" i="23"/>
  <c r="L508" i="23"/>
  <c r="L1153" i="23"/>
  <c r="F1120" i="23"/>
  <c r="G1120" i="23"/>
  <c r="I271" i="4"/>
  <c r="L937" i="23"/>
  <c r="L943" i="23"/>
  <c r="L613" i="23"/>
  <c r="L604" i="23"/>
  <c r="L616" i="23"/>
  <c r="I171" i="4"/>
  <c r="L597" i="23"/>
  <c r="L598" i="23"/>
  <c r="I249" i="4"/>
  <c r="L867" i="23"/>
  <c r="I297" i="4"/>
  <c r="F1021" i="23" s="1"/>
  <c r="L1037" i="23"/>
  <c r="L1028" i="23"/>
  <c r="L1030" i="23"/>
  <c r="I283" i="4"/>
  <c r="L983" i="23"/>
  <c r="L980" i="23"/>
  <c r="I55" i="4"/>
  <c r="L180" i="23"/>
  <c r="L178" i="23"/>
  <c r="I219" i="4"/>
  <c r="L755" i="23"/>
  <c r="L753" i="23"/>
  <c r="I337" i="4"/>
  <c r="L1176" i="23"/>
  <c r="L1170" i="23"/>
  <c r="I281" i="4"/>
  <c r="L975" i="23"/>
  <c r="I255" i="4"/>
  <c r="L886" i="23"/>
  <c r="I71" i="4"/>
  <c r="L244" i="23"/>
  <c r="L83" i="23"/>
  <c r="F182" i="23"/>
  <c r="G182" i="23"/>
  <c r="I317" i="4"/>
  <c r="L1098" i="23"/>
  <c r="L1102" i="23"/>
  <c r="L1097" i="23"/>
  <c r="I181" i="4"/>
  <c r="L623" i="23"/>
  <c r="L626" i="23"/>
  <c r="L622" i="23"/>
  <c r="I205" i="4"/>
  <c r="L708" i="23"/>
  <c r="L706" i="23"/>
  <c r="L650" i="23"/>
  <c r="L643" i="23"/>
  <c r="L642" i="23"/>
  <c r="L648" i="23"/>
  <c r="I165" i="4"/>
  <c r="L567" i="23"/>
  <c r="L562" i="23"/>
  <c r="I209" i="4"/>
  <c r="L729" i="23"/>
  <c r="L721" i="23"/>
  <c r="I65" i="4"/>
  <c r="L218" i="23"/>
  <c r="L222" i="23"/>
  <c r="I401" i="4"/>
  <c r="L1420" i="23"/>
  <c r="L1474" i="23"/>
  <c r="L1477" i="23"/>
  <c r="L1413" i="23"/>
  <c r="L1473" i="23"/>
  <c r="L1478" i="23"/>
  <c r="L1467" i="23"/>
  <c r="L1425" i="23"/>
  <c r="L1421" i="23"/>
  <c r="L1475" i="23"/>
  <c r="L1472" i="23"/>
  <c r="L1415" i="23"/>
  <c r="L1424" i="23"/>
  <c r="L1414" i="23"/>
  <c r="L1476" i="23"/>
  <c r="L1427" i="23"/>
  <c r="L1417" i="23"/>
  <c r="L1426" i="23"/>
  <c r="I285" i="4"/>
  <c r="G1001" i="23" s="1"/>
  <c r="L986" i="23"/>
  <c r="L982" i="23"/>
  <c r="I113" i="4"/>
  <c r="L383" i="23"/>
  <c r="L385" i="23"/>
  <c r="I303" i="4"/>
  <c r="L1053" i="23"/>
  <c r="L1050" i="23"/>
  <c r="I61" i="4"/>
  <c r="L210" i="23"/>
  <c r="L205" i="23"/>
  <c r="L78" i="23"/>
  <c r="F826" i="23"/>
  <c r="G826" i="23"/>
  <c r="L950" i="23"/>
  <c r="L944" i="23"/>
  <c r="I115" i="4"/>
  <c r="L395" i="23"/>
  <c r="I117" i="4"/>
  <c r="L402" i="23"/>
  <c r="L396" i="23"/>
  <c r="L407" i="23"/>
  <c r="I125" i="4"/>
  <c r="L431" i="23"/>
  <c r="L428" i="23"/>
  <c r="I121" i="4"/>
  <c r="L404" i="23"/>
  <c r="L412" i="23"/>
  <c r="I343" i="4"/>
  <c r="L1205" i="23"/>
  <c r="L1195" i="23"/>
  <c r="L1191" i="23"/>
  <c r="L690" i="23"/>
  <c r="L686" i="23"/>
  <c r="I81" i="4"/>
  <c r="L271" i="23"/>
  <c r="I103" i="4"/>
  <c r="L358" i="23"/>
  <c r="L357" i="23"/>
  <c r="L362" i="23"/>
  <c r="I163" i="4"/>
  <c r="L570" i="23"/>
  <c r="L560" i="23"/>
  <c r="L569" i="23"/>
  <c r="I201" i="4"/>
  <c r="L698" i="23"/>
  <c r="L695" i="23"/>
  <c r="L703" i="23"/>
  <c r="I193" i="4"/>
  <c r="L664" i="23"/>
  <c r="L662" i="23"/>
  <c r="I195" i="4"/>
  <c r="L671" i="23"/>
  <c r="L672" i="23"/>
  <c r="I59" i="4"/>
  <c r="L195" i="23"/>
  <c r="L200" i="23"/>
  <c r="L347" i="23"/>
  <c r="F924" i="23"/>
  <c r="G924" i="23"/>
  <c r="I365" i="4"/>
  <c r="L1265" i="23"/>
  <c r="L1274" i="23"/>
  <c r="L1276" i="23"/>
  <c r="I299" i="4"/>
  <c r="L1036" i="23"/>
  <c r="I185" i="4"/>
  <c r="L637" i="23"/>
  <c r="L636" i="23"/>
  <c r="I333" i="4"/>
  <c r="L1154" i="23"/>
  <c r="L1162" i="23"/>
  <c r="L1159" i="23"/>
  <c r="I129" i="4"/>
  <c r="L440" i="23"/>
  <c r="L447" i="23"/>
  <c r="I139" i="4"/>
  <c r="L472" i="23"/>
  <c r="I93" i="4"/>
  <c r="L322" i="23"/>
  <c r="I397" i="4"/>
  <c r="L1380" i="23"/>
  <c r="L1385" i="23"/>
  <c r="L1384" i="23"/>
  <c r="L1378" i="23"/>
  <c r="I37" i="4"/>
  <c r="L127" i="23"/>
  <c r="I191" i="4"/>
  <c r="L667" i="23"/>
  <c r="L666" i="23"/>
  <c r="I235" i="4"/>
  <c r="L820" i="23"/>
  <c r="I111" i="4"/>
  <c r="L384" i="23"/>
  <c r="L376" i="23"/>
  <c r="I39" i="4"/>
  <c r="L130" i="23"/>
  <c r="L138" i="23"/>
  <c r="L137" i="23"/>
  <c r="L346" i="23"/>
  <c r="F1520" i="23"/>
  <c r="G1520" i="23"/>
  <c r="F1025" i="23"/>
  <c r="G1025" i="23"/>
  <c r="M1502" i="23"/>
  <c r="G35" i="23"/>
  <c r="F35" i="23"/>
  <c r="F26" i="23"/>
  <c r="G26" i="23"/>
  <c r="F9" i="23"/>
  <c r="G9" i="23"/>
  <c r="G18" i="23"/>
  <c r="F18" i="23"/>
  <c r="M1515" i="23"/>
  <c r="F787" i="23"/>
  <c r="G27" i="23"/>
  <c r="F27" i="23"/>
  <c r="G19" i="23"/>
  <c r="F19" i="23"/>
  <c r="F1127" i="23"/>
  <c r="G44" i="23"/>
  <c r="F44" i="23"/>
  <c r="G1280" i="23"/>
  <c r="G1178" i="23"/>
  <c r="G47" i="23"/>
  <c r="G1002" i="23"/>
  <c r="G20" i="23"/>
  <c r="F31" i="23"/>
  <c r="I175" i="4"/>
  <c r="I261" i="4"/>
  <c r="I143" i="4"/>
  <c r="I273" i="4"/>
  <c r="I187" i="4"/>
  <c r="G34" i="23"/>
  <c r="F34" i="23"/>
  <c r="I155" i="4"/>
  <c r="I311" i="4"/>
  <c r="G23" i="23"/>
  <c r="F23" i="23"/>
  <c r="I199" i="4"/>
  <c r="F1123" i="23"/>
  <c r="G1123" i="23"/>
  <c r="L777" i="23"/>
  <c r="L768" i="23"/>
  <c r="L779" i="23"/>
  <c r="L780" i="23"/>
  <c r="L769" i="23"/>
  <c r="L1045" i="23"/>
  <c r="L1034" i="23"/>
  <c r="L1040" i="23"/>
  <c r="L1041" i="23"/>
  <c r="L1230" i="23"/>
  <c r="L1234" i="23"/>
  <c r="L1222" i="23"/>
  <c r="L1225" i="23"/>
  <c r="L410" i="23"/>
  <c r="L416" i="23"/>
  <c r="L421" i="23"/>
  <c r="L1035" i="23"/>
  <c r="L1032" i="23"/>
  <c r="L1031" i="23"/>
  <c r="L1033" i="23"/>
  <c r="L439" i="23"/>
  <c r="L446" i="23"/>
  <c r="L443" i="23"/>
  <c r="L441" i="23"/>
  <c r="L702" i="23"/>
  <c r="L700" i="23"/>
  <c r="L705" i="23"/>
  <c r="L707" i="23"/>
  <c r="L694" i="23"/>
  <c r="L316" i="23"/>
  <c r="L329" i="23"/>
  <c r="L313" i="23"/>
  <c r="L311" i="23"/>
  <c r="L187" i="23"/>
  <c r="L181" i="23"/>
  <c r="L183" i="23"/>
  <c r="L196" i="23"/>
  <c r="L192" i="23"/>
  <c r="L356" i="23"/>
  <c r="L364" i="23"/>
  <c r="L352" i="23"/>
  <c r="L361" i="23"/>
  <c r="L367" i="23"/>
  <c r="L889" i="23"/>
  <c r="L901" i="23"/>
  <c r="L895" i="23"/>
  <c r="L697" i="23"/>
  <c r="L692" i="23"/>
  <c r="L701" i="23"/>
  <c r="L550" i="23"/>
  <c r="L551" i="23"/>
  <c r="L547" i="23"/>
  <c r="L546" i="23"/>
  <c r="L817" i="23"/>
  <c r="L807" i="23"/>
  <c r="L815" i="23"/>
  <c r="L816" i="23"/>
  <c r="L821" i="23"/>
  <c r="L154" i="23"/>
  <c r="L157" i="23"/>
  <c r="L451" i="23"/>
  <c r="L460" i="23"/>
  <c r="L455" i="23"/>
  <c r="L450" i="23"/>
  <c r="L132" i="23"/>
  <c r="L129" i="23"/>
  <c r="L128" i="23"/>
  <c r="L106" i="23"/>
  <c r="L104" i="23"/>
  <c r="L103" i="23"/>
  <c r="L111" i="23"/>
  <c r="L99" i="23"/>
  <c r="L645" i="23"/>
  <c r="L644" i="23"/>
  <c r="L649" i="23"/>
  <c r="L635" i="23"/>
  <c r="L646" i="23"/>
  <c r="L573" i="23"/>
  <c r="L568" i="23"/>
  <c r="L566" i="23"/>
  <c r="L563" i="23"/>
  <c r="L921" i="23"/>
  <c r="L913" i="23"/>
  <c r="L918" i="23"/>
  <c r="L925" i="23"/>
  <c r="L1194" i="23"/>
  <c r="L1185" i="23"/>
  <c r="L1202" i="23"/>
  <c r="L1186" i="23"/>
  <c r="L257" i="23"/>
  <c r="L253" i="23"/>
  <c r="L1167" i="23"/>
  <c r="L1174" i="23"/>
  <c r="L1168" i="23"/>
  <c r="L1171" i="23"/>
  <c r="L423" i="23"/>
  <c r="L426" i="23"/>
  <c r="L424" i="23"/>
  <c r="L1063" i="23"/>
  <c r="L1057" i="23"/>
  <c r="L1061" i="23"/>
  <c r="L1062" i="23"/>
  <c r="L217" i="23"/>
  <c r="L209" i="23"/>
  <c r="L216" i="23"/>
  <c r="L215" i="23"/>
  <c r="L1101" i="23"/>
  <c r="L1105" i="23"/>
  <c r="L1106" i="23"/>
  <c r="L1104" i="23"/>
  <c r="L1116" i="23"/>
  <c r="L1160" i="23"/>
  <c r="L1157" i="23"/>
  <c r="L1155" i="23"/>
  <c r="L1151" i="23"/>
  <c r="L162" i="23"/>
  <c r="L165" i="23"/>
  <c r="L158" i="23"/>
  <c r="L237" i="23"/>
  <c r="L239" i="23"/>
  <c r="L232" i="23"/>
  <c r="L233" i="23"/>
  <c r="L307" i="23"/>
  <c r="L302" i="23"/>
  <c r="L303" i="23"/>
  <c r="L305" i="23"/>
  <c r="L984" i="23"/>
  <c r="L990" i="23"/>
  <c r="L269" i="23"/>
  <c r="L262" i="23"/>
  <c r="L276" i="23"/>
  <c r="L274" i="23"/>
  <c r="L633" i="23"/>
  <c r="L632" i="23"/>
  <c r="L638" i="23"/>
  <c r="L639" i="23"/>
  <c r="L135" i="23"/>
  <c r="L136" i="23"/>
  <c r="L134" i="23"/>
  <c r="L139" i="23"/>
  <c r="L366" i="23"/>
  <c r="L369" i="23"/>
  <c r="L368" i="23"/>
  <c r="L964" i="23"/>
  <c r="L960" i="23"/>
  <c r="L959" i="23"/>
  <c r="L963" i="23"/>
  <c r="L624" i="23"/>
  <c r="L625" i="23"/>
  <c r="L627" i="23"/>
  <c r="L973" i="23"/>
  <c r="L971" i="23"/>
  <c r="L961" i="23"/>
  <c r="L966" i="23"/>
  <c r="L978" i="23"/>
  <c r="L292" i="23"/>
  <c r="L300" i="23"/>
  <c r="L296" i="23"/>
  <c r="L57" i="23"/>
  <c r="L49" i="23"/>
  <c r="L51" i="23"/>
  <c r="L791" i="23"/>
  <c r="L788" i="23"/>
  <c r="L915" i="23"/>
  <c r="L906" i="23"/>
  <c r="L916" i="23"/>
  <c r="L917" i="23"/>
  <c r="L1460" i="23"/>
  <c r="L1486" i="23"/>
  <c r="L1461" i="23"/>
  <c r="L1435" i="23"/>
  <c r="L1438" i="23"/>
  <c r="L1440" i="23"/>
  <c r="L1496" i="23"/>
  <c r="L1422" i="23"/>
  <c r="L1430" i="23"/>
  <c r="L1431" i="23"/>
  <c r="L1411" i="23"/>
  <c r="L1489" i="23"/>
  <c r="L1441" i="23"/>
  <c r="L1409" i="23"/>
  <c r="L1433" i="23"/>
  <c r="L1436" i="23"/>
  <c r="L1495" i="23"/>
  <c r="L1419" i="23"/>
  <c r="L1479" i="23"/>
  <c r="L1464" i="23"/>
  <c r="L1480" i="23"/>
  <c r="L1487" i="23"/>
  <c r="L1492" i="23"/>
  <c r="L1439" i="23"/>
  <c r="L1469" i="23"/>
  <c r="L1482" i="23"/>
  <c r="L1468" i="23"/>
  <c r="L1428" i="23"/>
  <c r="L1485" i="23"/>
  <c r="L1437" i="23"/>
  <c r="L1491" i="23"/>
  <c r="L1506" i="23"/>
  <c r="L1484" i="23"/>
  <c r="L1466" i="23"/>
  <c r="L1463" i="23"/>
  <c r="L1483" i="23"/>
  <c r="L1488" i="23"/>
  <c r="L1418" i="23"/>
  <c r="L1432" i="23"/>
  <c r="L1404" i="23"/>
  <c r="L1490" i="23"/>
  <c r="L1416" i="23"/>
  <c r="L1423" i="23"/>
  <c r="L1429" i="23"/>
  <c r="L1481" i="23"/>
  <c r="L1458" i="23"/>
  <c r="L1493" i="23"/>
  <c r="L1402" i="23"/>
  <c r="L1410" i="23"/>
  <c r="L1434" i="23"/>
  <c r="L1494" i="23"/>
  <c r="L1471" i="23"/>
  <c r="L1015" i="23"/>
  <c r="L1026" i="23"/>
  <c r="L1013" i="23"/>
  <c r="L1020" i="23"/>
  <c r="L224" i="23"/>
  <c r="L229" i="23"/>
  <c r="L824" i="23"/>
  <c r="L832" i="23"/>
  <c r="L685" i="23"/>
  <c r="L681" i="23"/>
  <c r="L689" i="23"/>
  <c r="L683" i="23"/>
  <c r="L684" i="23"/>
  <c r="L558" i="23"/>
  <c r="L554" i="23"/>
  <c r="L565" i="23"/>
  <c r="L615" i="23"/>
  <c r="L621" i="23"/>
  <c r="L617" i="23"/>
  <c r="L614" i="23"/>
  <c r="L730" i="23"/>
  <c r="L733" i="23"/>
  <c r="L742" i="23"/>
  <c r="L734" i="23"/>
  <c r="L674" i="23"/>
  <c r="L670" i="23"/>
  <c r="L798" i="23"/>
  <c r="L805" i="23"/>
  <c r="L804" i="23"/>
  <c r="L1269" i="23"/>
  <c r="L1268" i="23"/>
  <c r="L1266" i="23"/>
  <c r="L1262" i="23"/>
  <c r="L1264" i="23"/>
  <c r="L438" i="23"/>
  <c r="L437" i="23"/>
  <c r="L861" i="23"/>
  <c r="L863" i="23"/>
  <c r="L862" i="23"/>
  <c r="L871" i="23"/>
  <c r="L864" i="23"/>
  <c r="L1216" i="23"/>
  <c r="L1212" i="23"/>
  <c r="L1217" i="23"/>
  <c r="L1215" i="23"/>
  <c r="L1219" i="23"/>
  <c r="L987" i="23"/>
  <c r="L988" i="23"/>
  <c r="L985" i="23"/>
  <c r="L977" i="23"/>
  <c r="L272" i="23"/>
  <c r="L275" i="23"/>
  <c r="L289" i="23"/>
  <c r="L273" i="23"/>
  <c r="L278" i="23"/>
  <c r="L766" i="23"/>
  <c r="L763" i="23"/>
  <c r="L757" i="23"/>
  <c r="L752" i="23"/>
  <c r="L324" i="23"/>
  <c r="L323" i="23"/>
  <c r="L353" i="23"/>
  <c r="L348" i="23"/>
  <c r="L658" i="23"/>
  <c r="L663" i="23"/>
  <c r="L659" i="23"/>
  <c r="L953" i="23"/>
  <c r="L957" i="23"/>
  <c r="L955" i="23"/>
  <c r="L946" i="23"/>
  <c r="L59" i="23"/>
  <c r="L60" i="23"/>
  <c r="L66" i="23"/>
  <c r="L657" i="23"/>
  <c r="L653" i="23"/>
  <c r="L652" i="23"/>
  <c r="L654" i="23"/>
  <c r="L452" i="23"/>
  <c r="L466" i="23"/>
  <c r="L462" i="23"/>
  <c r="L392" i="23"/>
  <c r="L393" i="23"/>
  <c r="L394" i="23"/>
  <c r="L586" i="23"/>
  <c r="L601" i="23"/>
  <c r="L589" i="23"/>
  <c r="L1066" i="23"/>
  <c r="L1064" i="23"/>
  <c r="L1073" i="23"/>
  <c r="L1071" i="23"/>
  <c r="L251" i="23"/>
  <c r="L259" i="23"/>
  <c r="L249" i="23"/>
  <c r="L254" i="23"/>
  <c r="L252" i="23"/>
  <c r="L856" i="23"/>
  <c r="L854" i="23"/>
  <c r="L339" i="23"/>
  <c r="L331" i="23"/>
  <c r="L330" i="23"/>
  <c r="L849" i="23"/>
  <c r="L848" i="23"/>
  <c r="L853" i="23"/>
  <c r="L857" i="23"/>
  <c r="L1379" i="23"/>
  <c r="L1381" i="23"/>
  <c r="L1383" i="23"/>
  <c r="L1382" i="23"/>
  <c r="L190" i="23"/>
  <c r="L188" i="23"/>
  <c r="L100" i="23"/>
  <c r="L95" i="23"/>
  <c r="L105" i="23"/>
  <c r="L96" i="23"/>
  <c r="L62" i="23"/>
  <c r="L63" i="23"/>
  <c r="L65" i="23"/>
  <c r="L79" i="23"/>
  <c r="L84" i="23"/>
  <c r="L169" i="23"/>
  <c r="L170" i="23"/>
  <c r="L175" i="23"/>
  <c r="L168" i="23"/>
  <c r="L176" i="23"/>
  <c r="L1337" i="23"/>
  <c r="L1340" i="23"/>
  <c r="L1341" i="23"/>
  <c r="L1339" i="23"/>
  <c r="L704" i="23"/>
  <c r="L719" i="23"/>
  <c r="L715" i="23"/>
  <c r="L710" i="23"/>
  <c r="L714" i="23"/>
  <c r="L713" i="23"/>
  <c r="L1324" i="23"/>
  <c r="L1332" i="23"/>
  <c r="L1322" i="23"/>
  <c r="L1329" i="23"/>
  <c r="L528" i="23"/>
  <c r="L524" i="23"/>
  <c r="L535" i="23"/>
  <c r="L531" i="23"/>
  <c r="L533" i="23"/>
  <c r="L526" i="23"/>
  <c r="L724" i="23"/>
  <c r="L722" i="23"/>
  <c r="L725" i="23"/>
  <c r="L727" i="23"/>
  <c r="L498" i="23"/>
  <c r="L514" i="23"/>
  <c r="L509" i="23"/>
  <c r="L474" i="23"/>
  <c r="L479" i="23"/>
  <c r="L475" i="23"/>
  <c r="L470" i="23"/>
  <c r="L476" i="23"/>
  <c r="L471" i="23"/>
  <c r="L477" i="23"/>
  <c r="L970" i="23"/>
  <c r="L976" i="23"/>
  <c r="L884" i="23"/>
  <c r="L892" i="23"/>
  <c r="L879" i="23"/>
  <c r="L888" i="23"/>
  <c r="L885" i="23"/>
  <c r="L377" i="23"/>
  <c r="L382" i="23"/>
  <c r="L381" i="23"/>
  <c r="L388" i="23"/>
  <c r="L211" i="23"/>
  <c r="L204" i="23"/>
  <c r="L199" i="23"/>
  <c r="L212" i="23"/>
  <c r="L240" i="23"/>
  <c r="L241" i="23"/>
  <c r="L245" i="23"/>
  <c r="L942" i="23"/>
  <c r="L941" i="23"/>
  <c r="L948" i="23"/>
  <c r="L947" i="23"/>
  <c r="L564" i="23"/>
  <c r="L553" i="23"/>
  <c r="L559" i="23"/>
  <c r="L556" i="23"/>
  <c r="L400" i="23"/>
  <c r="L401" i="23"/>
  <c r="L399" i="23"/>
  <c r="L429" i="23"/>
  <c r="L435" i="23"/>
  <c r="L430" i="23"/>
  <c r="L442" i="23"/>
  <c r="L427" i="23"/>
  <c r="L344" i="23"/>
  <c r="L345" i="23"/>
  <c r="L163" i="23"/>
  <c r="L161" i="23"/>
  <c r="L151" i="23"/>
  <c r="L152" i="23"/>
  <c r="L159" i="23"/>
  <c r="L219" i="23"/>
  <c r="L230" i="23"/>
  <c r="L226" i="23"/>
  <c r="L231" i="23"/>
  <c r="L588" i="23"/>
  <c r="L591" i="23"/>
  <c r="L585" i="23"/>
  <c r="L587" i="23"/>
  <c r="L596" i="23"/>
  <c r="L608" i="23"/>
  <c r="L605" i="23"/>
  <c r="L592" i="23"/>
  <c r="L593" i="23"/>
  <c r="L389" i="23"/>
  <c r="L391" i="23"/>
  <c r="L390" i="23"/>
  <c r="L120" i="23"/>
  <c r="L121" i="23"/>
  <c r="L119" i="23"/>
  <c r="L1052" i="23"/>
  <c r="L1048" i="23"/>
  <c r="L1051" i="23"/>
  <c r="L747" i="23"/>
  <c r="L746" i="23"/>
  <c r="L749" i="23"/>
  <c r="L751" i="23"/>
  <c r="L676" i="23"/>
  <c r="L677" i="23"/>
  <c r="L675" i="23"/>
  <c r="L665" i="23"/>
  <c r="L678" i="23"/>
  <c r="L660" i="23"/>
  <c r="L835" i="23"/>
  <c r="L845" i="23"/>
  <c r="L833" i="23"/>
  <c r="L823" i="23"/>
  <c r="L197" i="23"/>
  <c r="L207" i="23"/>
  <c r="L206" i="23"/>
  <c r="M1500" i="23"/>
  <c r="M1517" i="23"/>
  <c r="M1514" i="23"/>
  <c r="M1501" i="23"/>
  <c r="M1513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F485" i="23" l="1"/>
  <c r="G1305" i="23"/>
  <c r="F353" i="23"/>
  <c r="F1493" i="23"/>
  <c r="F1232" i="23"/>
  <c r="F1272" i="23"/>
  <c r="G1032" i="23"/>
  <c r="G743" i="23"/>
  <c r="G1482" i="23"/>
  <c r="F1440" i="23"/>
  <c r="G1471" i="23"/>
  <c r="F694" i="23"/>
  <c r="F153" i="23"/>
  <c r="F674" i="23"/>
  <c r="F817" i="23"/>
  <c r="G928" i="23"/>
  <c r="F1370" i="23"/>
  <c r="G76" i="23"/>
  <c r="F108" i="23"/>
  <c r="F805" i="23"/>
  <c r="G1046" i="23"/>
  <c r="G110" i="23"/>
  <c r="F1024" i="23"/>
  <c r="G333" i="23"/>
  <c r="G852" i="23"/>
  <c r="F134" i="23"/>
  <c r="G614" i="23"/>
  <c r="G342" i="23"/>
  <c r="F342" i="23"/>
  <c r="F632" i="23"/>
  <c r="F1261" i="23"/>
  <c r="F1103" i="23"/>
  <c r="F1226" i="23"/>
  <c r="F864" i="23"/>
  <c r="F1329" i="23"/>
  <c r="F873" i="23"/>
  <c r="F566" i="23"/>
  <c r="F701" i="23"/>
  <c r="G217" i="23"/>
  <c r="F913" i="23"/>
  <c r="G548" i="23"/>
  <c r="G196" i="23"/>
  <c r="G856" i="23"/>
  <c r="F175" i="23"/>
  <c r="F1061" i="23"/>
  <c r="F573" i="23"/>
  <c r="F776" i="23"/>
  <c r="G719" i="23"/>
  <c r="F1001" i="23"/>
  <c r="F176" i="23"/>
  <c r="F209" i="23"/>
  <c r="G143" i="23"/>
  <c r="F430" i="23"/>
  <c r="F151" i="23"/>
  <c r="G960" i="23"/>
  <c r="F212" i="23"/>
  <c r="F884" i="23"/>
  <c r="F1151" i="23"/>
  <c r="F1222" i="23"/>
  <c r="G777" i="23"/>
  <c r="G854" i="23"/>
  <c r="F711" i="23"/>
  <c r="F232" i="23"/>
  <c r="G1074" i="23"/>
  <c r="F1079" i="23"/>
  <c r="F450" i="23"/>
  <c r="F229" i="23"/>
  <c r="F1354" i="23"/>
  <c r="F1345" i="23"/>
  <c r="F1330" i="23"/>
  <c r="F420" i="23"/>
  <c r="G1057" i="23"/>
  <c r="F1134" i="23"/>
  <c r="F120" i="23"/>
  <c r="F119" i="23"/>
  <c r="F1155" i="23"/>
  <c r="G751" i="23"/>
  <c r="G687" i="23"/>
  <c r="F633" i="23"/>
  <c r="F1228" i="23"/>
  <c r="F568" i="23"/>
  <c r="G368" i="23"/>
  <c r="F462" i="23"/>
  <c r="F157" i="23"/>
  <c r="F941" i="23"/>
  <c r="F364" i="23"/>
  <c r="F155" i="23"/>
  <c r="G1009" i="23"/>
  <c r="F1402" i="23"/>
  <c r="F1491" i="23"/>
  <c r="F1382" i="23"/>
  <c r="F715" i="23"/>
  <c r="F879" i="23"/>
  <c r="F230" i="23"/>
  <c r="F579" i="23"/>
  <c r="F83" i="23"/>
  <c r="G163" i="23"/>
  <c r="G663" i="23"/>
  <c r="G43" i="23"/>
  <c r="F1458" i="23"/>
  <c r="F1105" i="23"/>
  <c r="F146" i="23"/>
  <c r="G1262" i="23"/>
  <c r="F158" i="23"/>
  <c r="F1487" i="23"/>
  <c r="F63" i="23"/>
  <c r="F1234" i="23"/>
  <c r="G918" i="23"/>
  <c r="F871" i="23"/>
  <c r="F857" i="23"/>
  <c r="F253" i="23"/>
  <c r="F414" i="23"/>
  <c r="G1342" i="23"/>
  <c r="F578" i="23"/>
  <c r="F657" i="23"/>
  <c r="F905" i="23"/>
  <c r="G162" i="23"/>
  <c r="G375" i="23"/>
  <c r="F370" i="23"/>
  <c r="F57" i="23"/>
  <c r="F170" i="23"/>
  <c r="F810" i="23"/>
  <c r="F799" i="23"/>
  <c r="F1409" i="23"/>
  <c r="G1433" i="23"/>
  <c r="F476" i="23"/>
  <c r="F240" i="23"/>
  <c r="F369" i="23"/>
  <c r="G1349" i="23"/>
  <c r="F1241" i="23"/>
  <c r="G1093" i="23"/>
  <c r="F416" i="23"/>
  <c r="F790" i="23"/>
  <c r="F925" i="23"/>
  <c r="G377" i="23"/>
  <c r="F621" i="23"/>
  <c r="G1350" i="23"/>
  <c r="F1157" i="23"/>
  <c r="F190" i="23"/>
  <c r="F1466" i="23"/>
  <c r="G192" i="23"/>
  <c r="F835" i="23"/>
  <c r="F549" i="23"/>
  <c r="G549" i="23"/>
  <c r="F971" i="23"/>
  <c r="G105" i="23"/>
  <c r="F617" i="23"/>
  <c r="F649" i="23"/>
  <c r="G345" i="23"/>
  <c r="F393" i="23"/>
  <c r="G586" i="23"/>
  <c r="F1074" i="23"/>
  <c r="F1078" i="23"/>
  <c r="F964" i="23"/>
  <c r="F184" i="23"/>
  <c r="F932" i="23"/>
  <c r="G1443" i="23"/>
  <c r="F1468" i="23"/>
  <c r="F1486" i="23"/>
  <c r="F96" i="23"/>
  <c r="G697" i="23"/>
  <c r="F1225" i="23"/>
  <c r="G1101" i="23"/>
  <c r="G959" i="23"/>
  <c r="G273" i="23"/>
  <c r="G183" i="23"/>
  <c r="G800" i="23"/>
  <c r="G608" i="23"/>
  <c r="F1212" i="23"/>
  <c r="F1322" i="23"/>
  <c r="F1439" i="23"/>
  <c r="F429" i="23"/>
  <c r="F763" i="23"/>
  <c r="F1040" i="23"/>
  <c r="G1082" i="23"/>
  <c r="F1216" i="23"/>
  <c r="F1483" i="23"/>
  <c r="F1410" i="23"/>
  <c r="G862" i="23"/>
  <c r="G51" i="23"/>
  <c r="G564" i="23"/>
  <c r="F990" i="23"/>
  <c r="F1107" i="23"/>
  <c r="G1107" i="23"/>
  <c r="F547" i="23"/>
  <c r="G389" i="23"/>
  <c r="F1041" i="23"/>
  <c r="G401" i="23"/>
  <c r="F394" i="23"/>
  <c r="G272" i="23"/>
  <c r="F749" i="23"/>
  <c r="F168" i="23"/>
  <c r="F206" i="23"/>
  <c r="F792" i="23"/>
  <c r="F1186" i="23"/>
  <c r="F692" i="23"/>
  <c r="F435" i="23"/>
  <c r="F1202" i="23"/>
  <c r="F187" i="23"/>
  <c r="F725" i="23"/>
  <c r="F1099" i="23"/>
  <c r="G936" i="23"/>
  <c r="F361" i="23"/>
  <c r="G966" i="23"/>
  <c r="F443" i="23"/>
  <c r="G303" i="23"/>
  <c r="G302" i="23"/>
  <c r="G251" i="23"/>
  <c r="F1026" i="23"/>
  <c r="F1004" i="23"/>
  <c r="F788" i="23"/>
  <c r="F705" i="23"/>
  <c r="G813" i="23"/>
  <c r="F136" i="23"/>
  <c r="F487" i="23"/>
  <c r="F91" i="23"/>
  <c r="G91" i="23"/>
  <c r="F239" i="23"/>
  <c r="G1365" i="23"/>
  <c r="F722" i="23"/>
  <c r="F603" i="23"/>
  <c r="F920" i="23"/>
  <c r="F767" i="23"/>
  <c r="G174" i="23"/>
  <c r="G348" i="23"/>
  <c r="G1289" i="23"/>
  <c r="F351" i="23"/>
  <c r="F1131" i="23"/>
  <c r="G1131" i="23"/>
  <c r="G336" i="23"/>
  <c r="F336" i="23"/>
  <c r="F524" i="23"/>
  <c r="F957" i="23"/>
  <c r="G485" i="23"/>
  <c r="F555" i="23"/>
  <c r="G1334" i="23"/>
  <c r="G1226" i="23"/>
  <c r="G75" i="23"/>
  <c r="F1165" i="23"/>
  <c r="G1165" i="23"/>
  <c r="G782" i="23"/>
  <c r="F498" i="23"/>
  <c r="F888" i="23"/>
  <c r="G605" i="23"/>
  <c r="F892" i="23"/>
  <c r="F866" i="23"/>
  <c r="G866" i="23"/>
  <c r="F356" i="23"/>
  <c r="F601" i="23"/>
  <c r="F774" i="23"/>
  <c r="F535" i="23"/>
  <c r="G481" i="23"/>
  <c r="F367" i="23"/>
  <c r="F439" i="23"/>
  <c r="G970" i="23"/>
  <c r="F425" i="23"/>
  <c r="F125" i="23"/>
  <c r="F482" i="23"/>
  <c r="F687" i="23"/>
  <c r="F387" i="23"/>
  <c r="G387" i="23"/>
  <c r="G712" i="23"/>
  <c r="F732" i="23"/>
  <c r="F494" i="23"/>
  <c r="F204" i="23"/>
  <c r="F519" i="23"/>
  <c r="F492" i="23"/>
  <c r="G670" i="23"/>
  <c r="F500" i="23"/>
  <c r="G893" i="23"/>
  <c r="G355" i="23"/>
  <c r="F355" i="23"/>
  <c r="F1190" i="23"/>
  <c r="G1113" i="23"/>
  <c r="F1113" i="23"/>
  <c r="F1462" i="23"/>
  <c r="G1462" i="23"/>
  <c r="F528" i="23"/>
  <c r="F627" i="23"/>
  <c r="F237" i="23"/>
  <c r="G381" i="23"/>
  <c r="G1361" i="23"/>
  <c r="F625" i="23"/>
  <c r="F587" i="23"/>
  <c r="F556" i="23"/>
  <c r="G531" i="23"/>
  <c r="G588" i="23"/>
  <c r="F1062" i="23"/>
  <c r="G152" i="23"/>
  <c r="G768" i="23"/>
  <c r="G589" i="23"/>
  <c r="G591" i="23"/>
  <c r="F1015" i="23"/>
  <c r="G1266" i="23"/>
  <c r="F780" i="23"/>
  <c r="F207" i="23"/>
  <c r="G340" i="23"/>
  <c r="F526" i="23"/>
  <c r="G1275" i="23"/>
  <c r="G172" i="23"/>
  <c r="F1044" i="23"/>
  <c r="F1013" i="23"/>
  <c r="G460" i="23"/>
  <c r="G479" i="23"/>
  <c r="G197" i="23"/>
  <c r="F1031" i="23"/>
  <c r="F1008" i="23"/>
  <c r="G1008" i="23"/>
  <c r="G441" i="23"/>
  <c r="F226" i="23"/>
  <c r="F455" i="23"/>
  <c r="F574" i="23"/>
  <c r="F121" i="23"/>
  <c r="G483" i="23"/>
  <c r="F1150" i="23"/>
  <c r="G1150" i="23"/>
  <c r="G1326" i="23"/>
  <c r="G254" i="23"/>
  <c r="G1337" i="23"/>
  <c r="F675" i="23"/>
  <c r="F397" i="23"/>
  <c r="F269" i="23"/>
  <c r="F426" i="23"/>
  <c r="F352" i="23"/>
  <c r="F243" i="23"/>
  <c r="G243" i="23"/>
  <c r="F261" i="23"/>
  <c r="F92" i="23"/>
  <c r="G249" i="23"/>
  <c r="G1339" i="23"/>
  <c r="F714" i="23"/>
  <c r="F224" i="23"/>
  <c r="G1052" i="23"/>
  <c r="F1270" i="23"/>
  <c r="G1270" i="23"/>
  <c r="F1033" i="23"/>
  <c r="F761" i="23"/>
  <c r="F890" i="23"/>
  <c r="G1218" i="23"/>
  <c r="F103" i="23"/>
  <c r="F1286" i="23"/>
  <c r="G997" i="23"/>
  <c r="F997" i="23"/>
  <c r="G660" i="23"/>
  <c r="F1331" i="23"/>
  <c r="G1331" i="23"/>
  <c r="G919" i="23"/>
  <c r="F149" i="23"/>
  <c r="F661" i="23"/>
  <c r="G661" i="23"/>
  <c r="F81" i="23"/>
  <c r="G81" i="23"/>
  <c r="F319" i="23"/>
  <c r="F1460" i="23"/>
  <c r="F958" i="23"/>
  <c r="F688" i="23"/>
  <c r="F265" i="23"/>
  <c r="F600" i="23"/>
  <c r="G600" i="23"/>
  <c r="F198" i="23"/>
  <c r="G467" i="23"/>
  <c r="F1254" i="23"/>
  <c r="G1254" i="23"/>
  <c r="G501" i="23"/>
  <c r="F1259" i="23"/>
  <c r="G1259" i="23"/>
  <c r="F1299" i="23"/>
  <c r="G1299" i="23"/>
  <c r="G156" i="23"/>
  <c r="F1441" i="23"/>
  <c r="F1438" i="23"/>
  <c r="F1435" i="23"/>
  <c r="F1496" i="23"/>
  <c r="F746" i="23"/>
  <c r="F1095" i="23"/>
  <c r="F185" i="23"/>
  <c r="F1393" i="23"/>
  <c r="F1437" i="23"/>
  <c r="F1436" i="23"/>
  <c r="G1492" i="23"/>
  <c r="G1430" i="23"/>
  <c r="F1431" i="23"/>
  <c r="M1506" i="23"/>
  <c r="F1506" i="23" s="1"/>
  <c r="F1432" i="23"/>
  <c r="F710" i="23"/>
  <c r="F1423" i="23"/>
  <c r="F1495" i="23"/>
  <c r="F1489" i="23"/>
  <c r="F1429" i="23"/>
  <c r="F169" i="23"/>
  <c r="F329" i="23"/>
  <c r="F704" i="23"/>
  <c r="G146" i="23"/>
  <c r="F165" i="23"/>
  <c r="G1434" i="23"/>
  <c r="F1488" i="23"/>
  <c r="F1422" i="23"/>
  <c r="F1481" i="23"/>
  <c r="F1490" i="23"/>
  <c r="F1485" i="23"/>
  <c r="G1480" i="23"/>
  <c r="F1479" i="23"/>
  <c r="F400" i="23"/>
  <c r="F1442" i="23"/>
  <c r="F1419" i="23"/>
  <c r="F823" i="23"/>
  <c r="F752" i="23"/>
  <c r="F665" i="23"/>
  <c r="F156" i="23"/>
  <c r="F1167" i="23"/>
  <c r="F392" i="23"/>
  <c r="F292" i="23"/>
  <c r="F106" i="23"/>
  <c r="F550" i="23"/>
  <c r="F678" i="23"/>
  <c r="F154" i="23"/>
  <c r="F263" i="23"/>
  <c r="G89" i="23"/>
  <c r="F811" i="23"/>
  <c r="F1163" i="23"/>
  <c r="F215" i="23"/>
  <c r="G685" i="23"/>
  <c r="F669" i="23"/>
  <c r="F812" i="23"/>
  <c r="G1161" i="23"/>
  <c r="F689" i="23"/>
  <c r="F276" i="23"/>
  <c r="G374" i="23"/>
  <c r="F939" i="23"/>
  <c r="F305" i="23"/>
  <c r="F638" i="23"/>
  <c r="G677" i="23"/>
  <c r="F606" i="23"/>
  <c r="G606" i="23"/>
  <c r="G53" i="23"/>
  <c r="F53" i="23"/>
  <c r="F1173" i="23"/>
  <c r="G1173" i="23"/>
  <c r="F911" i="23"/>
  <c r="G911" i="23"/>
  <c r="F271" i="23"/>
  <c r="F405" i="23"/>
  <c r="G405" i="23"/>
  <c r="G902" i="23"/>
  <c r="F223" i="23"/>
  <c r="F1297" i="23"/>
  <c r="G1297" i="23"/>
  <c r="F1281" i="23"/>
  <c r="G1281" i="23"/>
  <c r="F544" i="23"/>
  <c r="G544" i="23"/>
  <c r="F602" i="23"/>
  <c r="F419" i="23"/>
  <c r="G419" i="23"/>
  <c r="G56" i="23"/>
  <c r="G1229" i="23"/>
  <c r="F1229" i="23"/>
  <c r="G73" i="23"/>
  <c r="F73" i="23"/>
  <c r="F1296" i="23"/>
  <c r="G1296" i="23"/>
  <c r="G815" i="23"/>
  <c r="F640" i="23"/>
  <c r="G395" i="23"/>
  <c r="G250" i="23"/>
  <c r="F338" i="23"/>
  <c r="G338" i="23"/>
  <c r="G655" i="23"/>
  <c r="F1321" i="23"/>
  <c r="G581" i="23"/>
  <c r="G630" i="23"/>
  <c r="F1263" i="23"/>
  <c r="G1263" i="23"/>
  <c r="F1200" i="23"/>
  <c r="G1200" i="23"/>
  <c r="F245" i="23"/>
  <c r="G1071" i="23"/>
  <c r="F82" i="23"/>
  <c r="F1145" i="23"/>
  <c r="G1145" i="23"/>
  <c r="F1279" i="23"/>
  <c r="G1279" i="23"/>
  <c r="F1091" i="23"/>
  <c r="F945" i="23"/>
  <c r="F693" i="23"/>
  <c r="G693" i="23"/>
  <c r="F354" i="23"/>
  <c r="F720" i="23"/>
  <c r="G720" i="23"/>
  <c r="F949" i="23"/>
  <c r="G728" i="23"/>
  <c r="F55" i="23"/>
  <c r="G910" i="23"/>
  <c r="F1387" i="23"/>
  <c r="G1387" i="23"/>
  <c r="F171" i="23"/>
  <c r="G171" i="23"/>
  <c r="F1224" i="23"/>
  <c r="G1224" i="23"/>
  <c r="F691" i="23"/>
  <c r="G691" i="23"/>
  <c r="F123" i="23"/>
  <c r="G123" i="23"/>
  <c r="F818" i="23"/>
  <c r="F533" i="23"/>
  <c r="G299" i="23"/>
  <c r="G1228" i="23"/>
  <c r="F1325" i="23"/>
  <c r="G1325" i="23"/>
  <c r="F116" i="23"/>
  <c r="G116" i="23"/>
  <c r="F1239" i="23"/>
  <c r="G1239" i="23"/>
  <c r="F984" i="23"/>
  <c r="F889" i="23"/>
  <c r="F546" i="23"/>
  <c r="G267" i="23"/>
  <c r="F1066" i="23"/>
  <c r="F988" i="23"/>
  <c r="F681" i="23"/>
  <c r="G658" i="23"/>
  <c r="G79" i="23"/>
  <c r="F845" i="23"/>
  <c r="G787" i="23"/>
  <c r="F798" i="23"/>
  <c r="F274" i="23"/>
  <c r="F262" i="23"/>
  <c r="F233" i="23"/>
  <c r="F442" i="23"/>
  <c r="G78" i="23"/>
  <c r="F985" i="23"/>
  <c r="F346" i="23"/>
  <c r="F766" i="23"/>
  <c r="F821" i="23"/>
  <c r="F344" i="23"/>
  <c r="G1180" i="23"/>
  <c r="F469" i="23"/>
  <c r="F559" i="23"/>
  <c r="F241" i="23"/>
  <c r="F791" i="23"/>
  <c r="F424" i="23"/>
  <c r="F257" i="23"/>
  <c r="F366" i="23"/>
  <c r="F296" i="23"/>
  <c r="F816" i="23"/>
  <c r="G676" i="23"/>
  <c r="F515" i="23"/>
  <c r="G515" i="23"/>
  <c r="F824" i="23"/>
  <c r="F468" i="23"/>
  <c r="F347" i="23"/>
  <c r="F713" i="23"/>
  <c r="F702" i="23"/>
  <c r="F300" i="23"/>
  <c r="F389" i="23"/>
  <c r="F465" i="23"/>
  <c r="F286" i="23"/>
  <c r="F1194" i="23"/>
  <c r="G382" i="23"/>
  <c r="F391" i="23"/>
  <c r="F345" i="23"/>
  <c r="F659" i="23"/>
  <c r="F390" i="23"/>
  <c r="G1024" i="23"/>
  <c r="F934" i="23"/>
  <c r="F380" i="23"/>
  <c r="G380" i="23"/>
  <c r="F127" i="23"/>
  <c r="F1156" i="23"/>
  <c r="G1156" i="23"/>
  <c r="F1049" i="23"/>
  <c r="G1049" i="23"/>
  <c r="F244" i="23"/>
  <c r="F965" i="23"/>
  <c r="G965" i="23"/>
  <c r="F64" i="23"/>
  <c r="F1183" i="23"/>
  <c r="G1183" i="23"/>
  <c r="F456" i="23"/>
  <c r="G456" i="23"/>
  <c r="F744" i="23"/>
  <c r="G744" i="23"/>
  <c r="G1253" i="23"/>
  <c r="F1253" i="23"/>
  <c r="F472" i="23"/>
  <c r="G595" i="23"/>
  <c r="F595" i="23"/>
  <c r="F837" i="23"/>
  <c r="G837" i="23"/>
  <c r="F436" i="23"/>
  <c r="F1238" i="23"/>
  <c r="G1238" i="23"/>
  <c r="F1128" i="23"/>
  <c r="G1128" i="23"/>
  <c r="F923" i="23"/>
  <c r="G923" i="23"/>
  <c r="F843" i="23"/>
  <c r="G843" i="23"/>
  <c r="F1019" i="23"/>
  <c r="G1019" i="23"/>
  <c r="F741" i="23"/>
  <c r="G741" i="23"/>
  <c r="F1251" i="23"/>
  <c r="G1251" i="23"/>
  <c r="F886" i="23"/>
  <c r="F529" i="23"/>
  <c r="G529" i="23"/>
  <c r="G337" i="23"/>
  <c r="F337" i="23"/>
  <c r="F115" i="23"/>
  <c r="G115" i="23"/>
  <c r="F841" i="23"/>
  <c r="G841" i="23"/>
  <c r="G87" i="23"/>
  <c r="F87" i="23"/>
  <c r="F1203" i="23"/>
  <c r="G1203" i="23"/>
  <c r="F1130" i="23"/>
  <c r="G1130" i="23"/>
  <c r="F820" i="23"/>
  <c r="G238" i="23"/>
  <c r="F522" i="23"/>
  <c r="G522" i="23"/>
  <c r="F1246" i="23"/>
  <c r="G1246" i="23"/>
  <c r="F325" i="23"/>
  <c r="G325" i="23"/>
  <c r="F478" i="23"/>
  <c r="G478" i="23"/>
  <c r="F1342" i="23"/>
  <c r="F842" i="23"/>
  <c r="G842" i="23"/>
  <c r="F1192" i="23"/>
  <c r="G1192" i="23"/>
  <c r="F929" i="23"/>
  <c r="G929" i="23"/>
  <c r="F1346" i="23"/>
  <c r="G1346" i="23"/>
  <c r="G1142" i="23"/>
  <c r="F1142" i="23"/>
  <c r="F975" i="23"/>
  <c r="F372" i="23"/>
  <c r="G372" i="23"/>
  <c r="G1021" i="23"/>
  <c r="G1358" i="23"/>
  <c r="F1358" i="23"/>
  <c r="F1146" i="23"/>
  <c r="G1146" i="23"/>
  <c r="G1003" i="23"/>
  <c r="F1003" i="23"/>
  <c r="F1316" i="23"/>
  <c r="G1316" i="23"/>
  <c r="F295" i="23"/>
  <c r="G295" i="23"/>
  <c r="F194" i="23"/>
  <c r="G194" i="23"/>
  <c r="F1005" i="23"/>
  <c r="G1005" i="23"/>
  <c r="F1362" i="23"/>
  <c r="G1362" i="23"/>
  <c r="F1315" i="23"/>
  <c r="G1315" i="23"/>
  <c r="F1255" i="23"/>
  <c r="G1255" i="23"/>
  <c r="F291" i="23"/>
  <c r="G291" i="23"/>
  <c r="G867" i="23"/>
  <c r="F449" i="23"/>
  <c r="G449" i="23"/>
  <c r="F306" i="23"/>
  <c r="F891" i="23"/>
  <c r="G1273" i="23"/>
  <c r="F1273" i="23"/>
  <c r="F1148" i="23"/>
  <c r="G1148" i="23"/>
  <c r="F894" i="23"/>
  <c r="G894" i="23"/>
  <c r="F1100" i="23"/>
  <c r="G1100" i="23"/>
  <c r="F1121" i="23"/>
  <c r="G1121" i="23"/>
  <c r="F297" i="23"/>
  <c r="G297" i="23"/>
  <c r="F942" i="23"/>
  <c r="F322" i="23"/>
  <c r="G938" i="23"/>
  <c r="F938" i="23"/>
  <c r="F177" i="23"/>
  <c r="F326" i="23"/>
  <c r="G326" i="23"/>
  <c r="G461" i="23"/>
  <c r="F461" i="23"/>
  <c r="F809" i="23"/>
  <c r="G809" i="23"/>
  <c r="F880" i="23"/>
  <c r="G880" i="23"/>
  <c r="F1129" i="23"/>
  <c r="G1129" i="23"/>
  <c r="G68" i="23"/>
  <c r="F68" i="23"/>
  <c r="G1119" i="23"/>
  <c r="F1119" i="23"/>
  <c r="F1287" i="23"/>
  <c r="G1287" i="23"/>
  <c r="F1223" i="23"/>
  <c r="G1223" i="23"/>
  <c r="F1502" i="23"/>
  <c r="G1502" i="23"/>
  <c r="G1076" i="23"/>
  <c r="G950" i="23"/>
  <c r="F109" i="23"/>
  <c r="G109" i="23"/>
  <c r="F1111" i="23"/>
  <c r="G1111" i="23"/>
  <c r="F480" i="23"/>
  <c r="G480" i="23"/>
  <c r="F738" i="23"/>
  <c r="G738" i="23"/>
  <c r="F343" i="23"/>
  <c r="G343" i="23"/>
  <c r="G690" i="23"/>
  <c r="F499" i="23"/>
  <c r="G284" i="23"/>
  <c r="F284" i="23"/>
  <c r="F141" i="23"/>
  <c r="G141" i="23"/>
  <c r="F870" i="23"/>
  <c r="G870" i="23"/>
  <c r="F1515" i="23"/>
  <c r="G1515" i="23"/>
  <c r="G516" i="23"/>
  <c r="F516" i="23"/>
  <c r="F740" i="23"/>
  <c r="G740" i="23"/>
  <c r="F903" i="23"/>
  <c r="F683" i="23"/>
  <c r="F1011" i="23"/>
  <c r="G1011" i="23"/>
  <c r="F144" i="23"/>
  <c r="G144" i="23"/>
  <c r="G513" i="23"/>
  <c r="F513" i="23"/>
  <c r="F878" i="23"/>
  <c r="G878" i="23"/>
  <c r="F1141" i="23"/>
  <c r="G1141" i="23"/>
  <c r="F1347" i="23"/>
  <c r="G1347" i="23"/>
  <c r="F38" i="23"/>
  <c r="G38" i="23"/>
  <c r="F1242" i="23"/>
  <c r="G1242" i="23"/>
  <c r="F527" i="23"/>
  <c r="F613" i="23"/>
  <c r="G1127" i="23"/>
  <c r="G153" i="23"/>
  <c r="F1014" i="23"/>
  <c r="G1014" i="23"/>
  <c r="F1144" i="23"/>
  <c r="G1144" i="23"/>
  <c r="F1000" i="23"/>
  <c r="G1000" i="23"/>
  <c r="F40" i="23"/>
  <c r="G40" i="23"/>
  <c r="F85" i="23"/>
  <c r="G85" i="23"/>
  <c r="F1039" i="23"/>
  <c r="G1039" i="23"/>
  <c r="F1364" i="23"/>
  <c r="G1364" i="23"/>
  <c r="F142" i="23"/>
  <c r="G142" i="23"/>
  <c r="F1126" i="23"/>
  <c r="G1126" i="23"/>
  <c r="F373" i="23"/>
  <c r="G373" i="23"/>
  <c r="F283" i="23"/>
  <c r="G283" i="23"/>
  <c r="F1029" i="23"/>
  <c r="G1029" i="23"/>
  <c r="F795" i="23"/>
  <c r="G795" i="23"/>
  <c r="F334" i="23"/>
  <c r="G334" i="23"/>
  <c r="F1043" i="23"/>
  <c r="G1043" i="23"/>
  <c r="F558" i="23"/>
  <c r="G684" i="23"/>
  <c r="F947" i="23"/>
  <c r="F1372" i="23"/>
  <c r="G1372" i="23"/>
  <c r="F1284" i="23"/>
  <c r="G1284" i="23"/>
  <c r="F112" i="23"/>
  <c r="G112" i="23"/>
  <c r="G1206" i="23"/>
  <c r="F1206" i="23"/>
  <c r="F1094" i="23"/>
  <c r="G1094" i="23"/>
  <c r="G650" i="23"/>
  <c r="F948" i="23"/>
  <c r="G827" i="23"/>
  <c r="F827" i="23"/>
  <c r="F1336" i="23"/>
  <c r="G1336" i="23"/>
  <c r="F1114" i="23"/>
  <c r="G1114" i="23"/>
  <c r="F1018" i="23"/>
  <c r="G1018" i="23"/>
  <c r="F1220" i="23"/>
  <c r="G1220" i="23"/>
  <c r="F1045" i="23"/>
  <c r="F804" i="23"/>
  <c r="F388" i="23"/>
  <c r="F66" i="23"/>
  <c r="F915" i="23"/>
  <c r="F139" i="23"/>
  <c r="F849" i="23"/>
  <c r="F1020" i="23"/>
  <c r="F1185" i="23"/>
  <c r="F451" i="23"/>
  <c r="F639" i="23"/>
  <c r="F99" i="23"/>
  <c r="F554" i="23"/>
  <c r="F399" i="23"/>
  <c r="F438" i="23"/>
  <c r="F474" i="23"/>
  <c r="F1063" i="23"/>
  <c r="F59" i="23"/>
  <c r="F278" i="23"/>
  <c r="F129" i="23"/>
  <c r="F514" i="23"/>
  <c r="F946" i="23"/>
  <c r="F135" i="23"/>
  <c r="F1035" i="23"/>
  <c r="F885" i="23"/>
  <c r="F730" i="23"/>
  <c r="F313" i="23"/>
  <c r="F917" i="23"/>
  <c r="F807" i="23"/>
  <c r="F977" i="23"/>
  <c r="F906" i="23"/>
  <c r="F769" i="23"/>
  <c r="F128" i="23"/>
  <c r="F159" i="23"/>
  <c r="F509" i="23"/>
  <c r="F84" i="23"/>
  <c r="F848" i="23"/>
  <c r="F452" i="23"/>
  <c r="F733" i="23"/>
  <c r="F311" i="23"/>
  <c r="F1051" i="23"/>
  <c r="F955" i="23"/>
  <c r="F199" i="23"/>
  <c r="F727" i="23"/>
  <c r="F976" i="23"/>
  <c r="F734" i="23"/>
  <c r="F963" i="23"/>
  <c r="F853" i="23"/>
  <c r="F1032" i="23"/>
  <c r="F289" i="23"/>
  <c r="F1048" i="23"/>
  <c r="F161" i="23"/>
  <c r="F437" i="23"/>
  <c r="F111" i="23"/>
  <c r="F551" i="23"/>
  <c r="F553" i="23"/>
  <c r="F275" i="23"/>
  <c r="F1034" i="23"/>
  <c r="F916" i="23"/>
  <c r="F316" i="23"/>
  <c r="F833" i="23"/>
  <c r="F901" i="23"/>
  <c r="F724" i="23"/>
  <c r="F707" i="23"/>
  <c r="F181" i="23"/>
  <c r="F742" i="23"/>
  <c r="F104" i="23"/>
  <c r="F60" i="23"/>
  <c r="F565" i="23"/>
  <c r="F953" i="23"/>
  <c r="F895" i="23"/>
  <c r="F211" i="23"/>
  <c r="F757" i="23"/>
  <c r="F615" i="23"/>
  <c r="F779" i="23"/>
  <c r="F466" i="23"/>
  <c r="F987" i="23"/>
  <c r="F700" i="23"/>
  <c r="F273" i="23"/>
  <c r="F216" i="23"/>
  <c r="F563" i="23"/>
  <c r="F132" i="23"/>
  <c r="F423" i="23"/>
  <c r="G895" i="23"/>
  <c r="G705" i="23"/>
  <c r="F320" i="23"/>
  <c r="G320" i="23"/>
  <c r="F1188" i="23"/>
  <c r="G1188" i="23"/>
  <c r="F113" i="23"/>
  <c r="G113" i="23"/>
  <c r="F1513" i="23"/>
  <c r="G1513" i="23"/>
  <c r="F992" i="23"/>
  <c r="G992" i="23"/>
  <c r="F961" i="23"/>
  <c r="G961" i="23"/>
  <c r="F512" i="23"/>
  <c r="G512" i="23"/>
  <c r="F610" i="23"/>
  <c r="G610" i="23"/>
  <c r="G1232" i="23"/>
  <c r="F735" i="23"/>
  <c r="G735" i="23"/>
  <c r="F1278" i="23"/>
  <c r="G1278" i="23"/>
  <c r="F1217" i="23"/>
  <c r="G1217" i="23"/>
  <c r="F1264" i="23"/>
  <c r="G1264" i="23"/>
  <c r="F1027" i="23"/>
  <c r="G1027" i="23"/>
  <c r="F1320" i="23"/>
  <c r="G1320" i="23"/>
  <c r="F307" i="23"/>
  <c r="G307" i="23"/>
  <c r="F797" i="23"/>
  <c r="G797" i="23"/>
  <c r="F844" i="23"/>
  <c r="G844" i="23"/>
  <c r="F260" i="23"/>
  <c r="G260" i="23"/>
  <c r="F1373" i="23"/>
  <c r="G1373" i="23"/>
  <c r="F1461" i="23"/>
  <c r="G1461" i="23"/>
  <c r="F1494" i="23"/>
  <c r="G1494" i="23"/>
  <c r="F1428" i="23"/>
  <c r="G1428" i="23"/>
  <c r="F475" i="23"/>
  <c r="G475" i="23"/>
  <c r="F1092" i="23"/>
  <c r="G1092" i="23"/>
  <c r="F861" i="23"/>
  <c r="G861" i="23"/>
  <c r="F1199" i="23"/>
  <c r="G1199" i="23"/>
  <c r="F1115" i="23"/>
  <c r="G1115" i="23"/>
  <c r="F748" i="23"/>
  <c r="G748" i="23"/>
  <c r="F1352" i="23"/>
  <c r="G1352" i="23"/>
  <c r="F1282" i="23"/>
  <c r="G1282" i="23"/>
  <c r="F831" i="23"/>
  <c r="G831" i="23"/>
  <c r="F1377" i="23"/>
  <c r="G1377" i="23"/>
  <c r="F41" i="23"/>
  <c r="G41" i="23"/>
  <c r="F69" i="23"/>
  <c r="G69" i="23"/>
  <c r="G892" i="23"/>
  <c r="G438" i="23"/>
  <c r="G906" i="23"/>
  <c r="G733" i="23"/>
  <c r="G798" i="23"/>
  <c r="G791" i="23"/>
  <c r="G551" i="23"/>
  <c r="G823" i="23"/>
  <c r="G638" i="23"/>
  <c r="F328" i="23"/>
  <c r="G328" i="23"/>
  <c r="F1179" i="23"/>
  <c r="G1179" i="23"/>
  <c r="F1070" i="23"/>
  <c r="G1070" i="23"/>
  <c r="F523" i="23"/>
  <c r="G523" i="23"/>
  <c r="F324" i="23"/>
  <c r="G324" i="23"/>
  <c r="F1501" i="23"/>
  <c r="G1501" i="23"/>
  <c r="F652" i="23"/>
  <c r="G652" i="23"/>
  <c r="F517" i="23"/>
  <c r="G517" i="23"/>
  <c r="F896" i="23"/>
  <c r="G896" i="23"/>
  <c r="F1257" i="23"/>
  <c r="G1257" i="23"/>
  <c r="F1153" i="23"/>
  <c r="G1153" i="23"/>
  <c r="F635" i="23"/>
  <c r="G635" i="23"/>
  <c r="F1295" i="23"/>
  <c r="G1295" i="23"/>
  <c r="F869" i="23"/>
  <c r="G869" i="23"/>
  <c r="F1268" i="23"/>
  <c r="G1268" i="23"/>
  <c r="F1022" i="23"/>
  <c r="G1022" i="23"/>
  <c r="F1312" i="23"/>
  <c r="G1312" i="23"/>
  <c r="F840" i="23"/>
  <c r="G840" i="23"/>
  <c r="G190" i="23"/>
  <c r="F1367" i="23"/>
  <c r="G1367" i="23"/>
  <c r="F1469" i="23"/>
  <c r="G1469" i="23"/>
  <c r="F918" i="23"/>
  <c r="F1181" i="23"/>
  <c r="G1181" i="23"/>
  <c r="F1089" i="23"/>
  <c r="G1089" i="23"/>
  <c r="F219" i="23"/>
  <c r="G219" i="23"/>
  <c r="F1197" i="23"/>
  <c r="G1197" i="23"/>
  <c r="F596" i="23"/>
  <c r="G596" i="23"/>
  <c r="F1340" i="23"/>
  <c r="G1340" i="23"/>
  <c r="F1073" i="23"/>
  <c r="G1073" i="23"/>
  <c r="F1006" i="23"/>
  <c r="G1006" i="23"/>
  <c r="F1174" i="23"/>
  <c r="G1174" i="23"/>
  <c r="F1290" i="23"/>
  <c r="G1290" i="23"/>
  <c r="F830" i="23"/>
  <c r="G830" i="23"/>
  <c r="F1375" i="23"/>
  <c r="G1375" i="23"/>
  <c r="F71" i="23"/>
  <c r="G71" i="23"/>
  <c r="G1051" i="23"/>
  <c r="G161" i="23"/>
  <c r="G104" i="23"/>
  <c r="G1015" i="23"/>
  <c r="G889" i="23"/>
  <c r="G788" i="23"/>
  <c r="G292" i="23"/>
  <c r="G204" i="23"/>
  <c r="G316" i="23"/>
  <c r="G275" i="23"/>
  <c r="G424" i="23"/>
  <c r="G714" i="23"/>
  <c r="G106" i="23"/>
  <c r="G1063" i="23"/>
  <c r="G901" i="23"/>
  <c r="G724" i="23"/>
  <c r="F778" i="23"/>
  <c r="G778" i="23"/>
  <c r="F1138" i="23"/>
  <c r="G1138" i="23"/>
  <c r="F1077" i="23"/>
  <c r="G1077" i="23"/>
  <c r="F521" i="23"/>
  <c r="G521" i="23"/>
  <c r="F624" i="23"/>
  <c r="G624" i="23"/>
  <c r="F323" i="23"/>
  <c r="G323" i="23"/>
  <c r="F1514" i="23"/>
  <c r="G1514" i="23"/>
  <c r="F653" i="23"/>
  <c r="G653" i="23"/>
  <c r="F930" i="23"/>
  <c r="G930" i="23"/>
  <c r="F410" i="23"/>
  <c r="G410" i="23"/>
  <c r="F898" i="23"/>
  <c r="G898" i="23"/>
  <c r="F1256" i="23"/>
  <c r="G1256" i="23"/>
  <c r="F1158" i="23"/>
  <c r="G1158" i="23"/>
  <c r="F1298" i="23"/>
  <c r="G1298" i="23"/>
  <c r="F872" i="23"/>
  <c r="G872" i="23"/>
  <c r="F1269" i="23"/>
  <c r="G1269" i="23"/>
  <c r="F1023" i="23"/>
  <c r="G1023" i="23"/>
  <c r="F1317" i="23"/>
  <c r="G1317" i="23"/>
  <c r="F540" i="23"/>
  <c r="G540" i="23"/>
  <c r="F836" i="23"/>
  <c r="G836" i="23"/>
  <c r="F188" i="23"/>
  <c r="G188" i="23"/>
  <c r="F1386" i="23"/>
  <c r="G1386" i="23"/>
  <c r="F1368" i="23"/>
  <c r="G1368" i="23"/>
  <c r="F1404" i="23"/>
  <c r="G1404" i="23"/>
  <c r="F1187" i="23"/>
  <c r="G1187" i="23"/>
  <c r="F1085" i="23"/>
  <c r="G1085" i="23"/>
  <c r="F1193" i="23"/>
  <c r="G1193" i="23"/>
  <c r="F409" i="23"/>
  <c r="G409" i="23"/>
  <c r="F95" i="23"/>
  <c r="G95" i="23"/>
  <c r="F1249" i="23"/>
  <c r="G1249" i="23"/>
  <c r="F378" i="23"/>
  <c r="G378" i="23"/>
  <c r="F1198" i="23"/>
  <c r="G1198" i="23"/>
  <c r="F331" i="23"/>
  <c r="G331" i="23"/>
  <c r="F1016" i="23"/>
  <c r="G1016" i="23"/>
  <c r="F489" i="23"/>
  <c r="G489" i="23"/>
  <c r="F1348" i="23"/>
  <c r="G1348" i="23"/>
  <c r="F1117" i="23"/>
  <c r="G1117" i="23"/>
  <c r="F825" i="23"/>
  <c r="G825" i="23"/>
  <c r="F1381" i="23"/>
  <c r="G1381" i="23"/>
  <c r="F49" i="23"/>
  <c r="G49" i="23"/>
  <c r="F288" i="23"/>
  <c r="G288" i="23"/>
  <c r="F503" i="23"/>
  <c r="G503" i="23"/>
  <c r="G452" i="23"/>
  <c r="G129" i="23"/>
  <c r="G181" i="23"/>
  <c r="G953" i="23"/>
  <c r="G734" i="23"/>
  <c r="G769" i="23"/>
  <c r="G311" i="23"/>
  <c r="G984" i="23"/>
  <c r="G977" i="23"/>
  <c r="G423" i="23"/>
  <c r="G278" i="23"/>
  <c r="G451" i="23"/>
  <c r="G885" i="23"/>
  <c r="G766" i="23"/>
  <c r="G66" i="23"/>
  <c r="G700" i="23"/>
  <c r="F783" i="23"/>
  <c r="G783" i="23"/>
  <c r="F1133" i="23"/>
  <c r="G1133" i="23"/>
  <c r="F1075" i="23"/>
  <c r="G1075" i="23"/>
  <c r="F518" i="23"/>
  <c r="G518" i="23"/>
  <c r="F1283" i="23"/>
  <c r="G1283" i="23"/>
  <c r="F1517" i="23"/>
  <c r="G1517" i="23"/>
  <c r="F654" i="23"/>
  <c r="G654" i="23"/>
  <c r="F933" i="23"/>
  <c r="G933" i="23"/>
  <c r="F421" i="23"/>
  <c r="G421" i="23"/>
  <c r="F897" i="23"/>
  <c r="G897" i="23"/>
  <c r="F1252" i="23"/>
  <c r="G1252" i="23"/>
  <c r="F1147" i="23"/>
  <c r="G1147" i="23"/>
  <c r="F97" i="23"/>
  <c r="G97" i="23"/>
  <c r="F865" i="23"/>
  <c r="G865" i="23"/>
  <c r="F1300" i="23"/>
  <c r="G1300" i="23"/>
  <c r="F538" i="23"/>
  <c r="G538" i="23"/>
  <c r="F781" i="23"/>
  <c r="G781" i="23"/>
  <c r="F341" i="23"/>
  <c r="G341" i="23"/>
  <c r="F1160" i="23"/>
  <c r="G1160" i="23"/>
  <c r="F1240" i="23"/>
  <c r="G1240" i="23"/>
  <c r="F1363" i="23"/>
  <c r="G1363" i="23"/>
  <c r="F1418" i="23"/>
  <c r="G1418" i="23"/>
  <c r="F1463" i="23"/>
  <c r="G1463" i="23"/>
  <c r="F1411" i="23"/>
  <c r="G1411" i="23"/>
  <c r="F921" i="23"/>
  <c r="G921" i="23"/>
  <c r="F1169" i="23"/>
  <c r="G1169" i="23"/>
  <c r="F1086" i="23"/>
  <c r="G1086" i="23"/>
  <c r="F259" i="23"/>
  <c r="G259" i="23"/>
  <c r="F863" i="23"/>
  <c r="G863" i="23"/>
  <c r="F418" i="23"/>
  <c r="G418" i="23"/>
  <c r="F100" i="23"/>
  <c r="G100" i="23"/>
  <c r="F1244" i="23"/>
  <c r="G1244" i="23"/>
  <c r="F386" i="23"/>
  <c r="G386" i="23"/>
  <c r="F1207" i="23"/>
  <c r="G1207" i="23"/>
  <c r="F330" i="23"/>
  <c r="G330" i="23"/>
  <c r="F1010" i="23"/>
  <c r="G1010" i="23"/>
  <c r="F1171" i="23"/>
  <c r="G1171" i="23"/>
  <c r="F1344" i="23"/>
  <c r="G1344" i="23"/>
  <c r="F1108" i="23"/>
  <c r="G1108" i="23"/>
  <c r="F828" i="23"/>
  <c r="G828" i="23"/>
  <c r="F1379" i="23"/>
  <c r="G1379" i="23"/>
  <c r="F290" i="23"/>
  <c r="G290" i="23"/>
  <c r="F507" i="23"/>
  <c r="G507" i="23"/>
  <c r="G559" i="23"/>
  <c r="G466" i="23"/>
  <c r="G128" i="23"/>
  <c r="G199" i="23"/>
  <c r="G84" i="23"/>
  <c r="G985" i="23"/>
  <c r="G257" i="23"/>
  <c r="G849" i="23"/>
  <c r="G963" i="23"/>
  <c r="G241" i="23"/>
  <c r="G554" i="23"/>
  <c r="G976" i="23"/>
  <c r="G399" i="23"/>
  <c r="F786" i="23"/>
  <c r="G786" i="23"/>
  <c r="F1135" i="23"/>
  <c r="G1135" i="23"/>
  <c r="F179" i="23"/>
  <c r="G179" i="23"/>
  <c r="F118" i="23"/>
  <c r="G118" i="23"/>
  <c r="F1132" i="23"/>
  <c r="G1132" i="23"/>
  <c r="F1291" i="23"/>
  <c r="G1291" i="23"/>
  <c r="F1500" i="23"/>
  <c r="G1500" i="23"/>
  <c r="F931" i="23"/>
  <c r="G931" i="23"/>
  <c r="F900" i="23"/>
  <c r="G900" i="23"/>
  <c r="F1250" i="23"/>
  <c r="G1250" i="23"/>
  <c r="F1149" i="23"/>
  <c r="G1149" i="23"/>
  <c r="F446" i="23"/>
  <c r="G446" i="23"/>
  <c r="F86" i="23"/>
  <c r="G86" i="23"/>
  <c r="F1332" i="23"/>
  <c r="G1332" i="23"/>
  <c r="F541" i="23"/>
  <c r="G541" i="23"/>
  <c r="F1355" i="23"/>
  <c r="G1355" i="23"/>
  <c r="F789" i="23"/>
  <c r="G789" i="23"/>
  <c r="F1319" i="23"/>
  <c r="G1319" i="23"/>
  <c r="F1245" i="23"/>
  <c r="G1245" i="23"/>
  <c r="F62" i="23"/>
  <c r="G62" i="23"/>
  <c r="F477" i="23"/>
  <c r="G477" i="23"/>
  <c r="F1356" i="23"/>
  <c r="G1356" i="23"/>
  <c r="F1081" i="23"/>
  <c r="G1081" i="23"/>
  <c r="F862" i="23"/>
  <c r="F427" i="23"/>
  <c r="G427" i="23"/>
  <c r="F411" i="23"/>
  <c r="G411" i="23"/>
  <c r="F1208" i="23"/>
  <c r="G1208" i="23"/>
  <c r="F339" i="23"/>
  <c r="G339" i="23"/>
  <c r="F1017" i="23"/>
  <c r="G1017" i="23"/>
  <c r="F1168" i="23"/>
  <c r="G1168" i="23"/>
  <c r="F488" i="23"/>
  <c r="G488" i="23"/>
  <c r="F1042" i="23"/>
  <c r="G1042" i="23"/>
  <c r="F1118" i="23"/>
  <c r="G1118" i="23"/>
  <c r="F1301" i="23"/>
  <c r="G1301" i="23"/>
  <c r="F508" i="23"/>
  <c r="G508" i="23"/>
  <c r="G835" i="23"/>
  <c r="G730" i="23"/>
  <c r="G848" i="23"/>
  <c r="G707" i="23"/>
  <c r="G752" i="23"/>
  <c r="G946" i="23"/>
  <c r="G136" i="23"/>
  <c r="G99" i="23"/>
  <c r="G216" i="23"/>
  <c r="G240" i="23"/>
  <c r="G1185" i="23"/>
  <c r="G474" i="23"/>
  <c r="G941" i="23"/>
  <c r="G388" i="23"/>
  <c r="G215" i="23"/>
  <c r="F321" i="23"/>
  <c r="G321" i="23"/>
  <c r="F1087" i="23"/>
  <c r="G1087" i="23"/>
  <c r="F1124" i="23"/>
  <c r="G1124" i="23"/>
  <c r="F593" i="23"/>
  <c r="G593" i="23"/>
  <c r="F126" i="23"/>
  <c r="G126" i="23"/>
  <c r="F1136" i="23"/>
  <c r="G1136" i="23"/>
  <c r="F1285" i="23"/>
  <c r="G1285" i="23"/>
  <c r="F999" i="23"/>
  <c r="G999" i="23"/>
  <c r="F926" i="23"/>
  <c r="G926" i="23"/>
  <c r="F140" i="23"/>
  <c r="G140" i="23"/>
  <c r="F620" i="23"/>
  <c r="G620" i="23"/>
  <c r="F881" i="23"/>
  <c r="G881" i="23"/>
  <c r="F645" i="23"/>
  <c r="G645" i="23"/>
  <c r="G439" i="23"/>
  <c r="F88" i="23"/>
  <c r="G88" i="23"/>
  <c r="F1260" i="23"/>
  <c r="G1260" i="23"/>
  <c r="F537" i="23"/>
  <c r="G537" i="23"/>
  <c r="F1357" i="23"/>
  <c r="G1357" i="23"/>
  <c r="F287" i="23"/>
  <c r="G287" i="23"/>
  <c r="F1313" i="23"/>
  <c r="G1313" i="23"/>
  <c r="F1237" i="23"/>
  <c r="G1237" i="23"/>
  <c r="F65" i="23"/>
  <c r="G65" i="23"/>
  <c r="F1484" i="23"/>
  <c r="G1484" i="23"/>
  <c r="F471" i="23"/>
  <c r="G471" i="23"/>
  <c r="F1359" i="23"/>
  <c r="G1359" i="23"/>
  <c r="F1221" i="23"/>
  <c r="G1221" i="23"/>
  <c r="F1140" i="23"/>
  <c r="G1140" i="23"/>
  <c r="F1109" i="23"/>
  <c r="G1109" i="23"/>
  <c r="F575" i="23"/>
  <c r="G575" i="23"/>
  <c r="F379" i="23"/>
  <c r="G379" i="23"/>
  <c r="F1204" i="23"/>
  <c r="G1204" i="23"/>
  <c r="F736" i="23"/>
  <c r="G736" i="23"/>
  <c r="F1116" i="23"/>
  <c r="G1116" i="23"/>
  <c r="F998" i="23"/>
  <c r="G998" i="23"/>
  <c r="F1302" i="23"/>
  <c r="G1302" i="23"/>
  <c r="F1383" i="23"/>
  <c r="G1383" i="23"/>
  <c r="F54" i="23"/>
  <c r="G54" i="23"/>
  <c r="F510" i="23"/>
  <c r="G510" i="23"/>
  <c r="G763" i="23"/>
  <c r="G59" i="23"/>
  <c r="G132" i="23"/>
  <c r="G211" i="23"/>
  <c r="G514" i="23"/>
  <c r="G135" i="23"/>
  <c r="G111" i="23"/>
  <c r="G1026" i="23"/>
  <c r="G565" i="23"/>
  <c r="G659" i="23"/>
  <c r="G713" i="23"/>
  <c r="G915" i="23"/>
  <c r="G639" i="23"/>
  <c r="G1062" i="23"/>
  <c r="G352" i="23"/>
  <c r="G1048" i="23"/>
  <c r="G884" i="23"/>
  <c r="F335" i="23"/>
  <c r="G335" i="23"/>
  <c r="F1137" i="23"/>
  <c r="G1137" i="23"/>
  <c r="F114" i="23"/>
  <c r="G114" i="23"/>
  <c r="F1271" i="23"/>
  <c r="G1271" i="23"/>
  <c r="F994" i="23"/>
  <c r="G994" i="23"/>
  <c r="F973" i="23"/>
  <c r="G973" i="23"/>
  <c r="F927" i="23"/>
  <c r="G927" i="23"/>
  <c r="F150" i="23"/>
  <c r="G150" i="23"/>
  <c r="F611" i="23"/>
  <c r="G611" i="23"/>
  <c r="F874" i="23"/>
  <c r="G874" i="23"/>
  <c r="F644" i="23"/>
  <c r="G644" i="23"/>
  <c r="F739" i="23"/>
  <c r="G739" i="23"/>
  <c r="F1288" i="23"/>
  <c r="G1288" i="23"/>
  <c r="F1215" i="23"/>
  <c r="G1215" i="23"/>
  <c r="F832" i="23"/>
  <c r="G832" i="23"/>
  <c r="F1258" i="23"/>
  <c r="G1258" i="23"/>
  <c r="F1324" i="23"/>
  <c r="G1324" i="23"/>
  <c r="F1164" i="23"/>
  <c r="G1164" i="23"/>
  <c r="F1351" i="23"/>
  <c r="G1351" i="23"/>
  <c r="F285" i="23"/>
  <c r="G285" i="23"/>
  <c r="F332" i="23"/>
  <c r="G332" i="23"/>
  <c r="F266" i="23"/>
  <c r="G266" i="23"/>
  <c r="F1243" i="23"/>
  <c r="G1243" i="23"/>
  <c r="F1464" i="23"/>
  <c r="G1464" i="23"/>
  <c r="F470" i="23"/>
  <c r="G470" i="23"/>
  <c r="F1360" i="23"/>
  <c r="G1360" i="23"/>
  <c r="F1210" i="23"/>
  <c r="G1210" i="23"/>
  <c r="F1139" i="23"/>
  <c r="G1139" i="23"/>
  <c r="F1110" i="23"/>
  <c r="G1110" i="23"/>
  <c r="F580" i="23"/>
  <c r="G580" i="23"/>
  <c r="F745" i="23"/>
  <c r="G745" i="23"/>
  <c r="F1104" i="23"/>
  <c r="G1104" i="23"/>
  <c r="F490" i="23"/>
  <c r="G490" i="23"/>
  <c r="F996" i="23"/>
  <c r="G996" i="23"/>
  <c r="F1304" i="23"/>
  <c r="G1304" i="23"/>
  <c r="F747" i="23"/>
  <c r="G747" i="23"/>
  <c r="F45" i="23"/>
  <c r="G45" i="23"/>
  <c r="F495" i="23"/>
  <c r="G495" i="23"/>
  <c r="G237" i="23"/>
  <c r="G1034" i="23"/>
  <c r="G1020" i="23"/>
  <c r="G987" i="23"/>
  <c r="G853" i="23"/>
  <c r="G702" i="23"/>
  <c r="G553" i="23"/>
  <c r="G833" i="23"/>
  <c r="G779" i="23"/>
  <c r="G289" i="23"/>
  <c r="G139" i="23"/>
  <c r="G563" i="23"/>
  <c r="G392" i="23"/>
  <c r="G509" i="23"/>
  <c r="F327" i="23"/>
  <c r="G327" i="23"/>
  <c r="F1182" i="23"/>
  <c r="G1182" i="23"/>
  <c r="F1122" i="23"/>
  <c r="G1122" i="23"/>
  <c r="F592" i="23"/>
  <c r="G592" i="23"/>
  <c r="F117" i="23"/>
  <c r="G117" i="23"/>
  <c r="F940" i="23"/>
  <c r="G940" i="23"/>
  <c r="F1292" i="23"/>
  <c r="G1292" i="23"/>
  <c r="F995" i="23"/>
  <c r="G995" i="23"/>
  <c r="F978" i="23"/>
  <c r="G978" i="23"/>
  <c r="F505" i="23"/>
  <c r="G505" i="23"/>
  <c r="F147" i="23"/>
  <c r="G147" i="23"/>
  <c r="F618" i="23"/>
  <c r="G618" i="23"/>
  <c r="F1235" i="23"/>
  <c r="G1235" i="23"/>
  <c r="F646" i="23"/>
  <c r="G646" i="23"/>
  <c r="F737" i="23"/>
  <c r="G737" i="23"/>
  <c r="F1219" i="23"/>
  <c r="G1219" i="23"/>
  <c r="F1267" i="23"/>
  <c r="G1267" i="23"/>
  <c r="F1314" i="23"/>
  <c r="G1314" i="23"/>
  <c r="F1353" i="23"/>
  <c r="G1353" i="23"/>
  <c r="F279" i="23"/>
  <c r="G279" i="23"/>
  <c r="F1248" i="23"/>
  <c r="G1248" i="23"/>
  <c r="F1369" i="23"/>
  <c r="G1369" i="23"/>
  <c r="F1416" i="23"/>
  <c r="G1416" i="23"/>
  <c r="F1083" i="23"/>
  <c r="G1083" i="23"/>
  <c r="F231" i="23"/>
  <c r="G231" i="23"/>
  <c r="F252" i="23"/>
  <c r="G252" i="23"/>
  <c r="F1143" i="23"/>
  <c r="G1143" i="23"/>
  <c r="F1112" i="23"/>
  <c r="G1112" i="23"/>
  <c r="F585" i="23"/>
  <c r="G585" i="23"/>
  <c r="F1341" i="23"/>
  <c r="G1341" i="23"/>
  <c r="F1064" i="23"/>
  <c r="G1064" i="23"/>
  <c r="F750" i="23"/>
  <c r="G750" i="23"/>
  <c r="F1230" i="23"/>
  <c r="G1230" i="23"/>
  <c r="F1106" i="23"/>
  <c r="G1106" i="23"/>
  <c r="F486" i="23"/>
  <c r="G486" i="23"/>
  <c r="F1293" i="23"/>
  <c r="G1293" i="23"/>
  <c r="F1007" i="23"/>
  <c r="G1007" i="23"/>
  <c r="F1306" i="23"/>
  <c r="G1306" i="23"/>
  <c r="F39" i="23"/>
  <c r="G39" i="23"/>
  <c r="F77" i="23"/>
  <c r="G77" i="23"/>
  <c r="G224" i="23"/>
  <c r="G437" i="23"/>
  <c r="G269" i="23"/>
  <c r="G103" i="23"/>
  <c r="G1035" i="23"/>
  <c r="G1013" i="23"/>
  <c r="G313" i="23"/>
  <c r="G207" i="23"/>
  <c r="G727" i="23"/>
  <c r="G917" i="23"/>
  <c r="G159" i="23"/>
  <c r="G916" i="23"/>
  <c r="G615" i="23"/>
  <c r="G742" i="23"/>
  <c r="G60" i="23"/>
  <c r="G757" i="23"/>
  <c r="G807" i="23"/>
  <c r="G426" i="23"/>
  <c r="G1202" i="23"/>
  <c r="G1194" i="23"/>
  <c r="G955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F333" i="23" l="1"/>
  <c r="G694" i="23"/>
  <c r="F76" i="23"/>
  <c r="G450" i="23"/>
  <c r="G353" i="23"/>
  <c r="G932" i="23"/>
  <c r="G1272" i="23"/>
  <c r="F1471" i="23"/>
  <c r="G1410" i="23"/>
  <c r="F1101" i="23"/>
  <c r="G1222" i="23"/>
  <c r="G913" i="23"/>
  <c r="G1493" i="23"/>
  <c r="G212" i="23"/>
  <c r="G96" i="23"/>
  <c r="G799" i="23"/>
  <c r="F1482" i="23"/>
  <c r="G175" i="23"/>
  <c r="F608" i="23"/>
  <c r="G176" i="23"/>
  <c r="G674" i="23"/>
  <c r="G805" i="23"/>
  <c r="G632" i="23"/>
  <c r="G120" i="23"/>
  <c r="G566" i="23"/>
  <c r="G817" i="23"/>
  <c r="G1440" i="23"/>
  <c r="G701" i="23"/>
  <c r="F196" i="23"/>
  <c r="F751" i="23"/>
  <c r="G1439" i="23"/>
  <c r="G430" i="23"/>
  <c r="G864" i="23"/>
  <c r="G776" i="23"/>
  <c r="F614" i="23"/>
  <c r="G367" i="23"/>
  <c r="G925" i="23"/>
  <c r="F163" i="23"/>
  <c r="G1103" i="23"/>
  <c r="G149" i="23"/>
  <c r="F852" i="23"/>
  <c r="F548" i="23"/>
  <c r="G1330" i="23"/>
  <c r="F143" i="23"/>
  <c r="F375" i="23"/>
  <c r="F1046" i="23"/>
  <c r="G617" i="23"/>
  <c r="F1433" i="23"/>
  <c r="G253" i="23"/>
  <c r="G790" i="23"/>
  <c r="G1151" i="23"/>
  <c r="G573" i="23"/>
  <c r="G158" i="23"/>
  <c r="G462" i="23"/>
  <c r="G134" i="23"/>
  <c r="G1466" i="23"/>
  <c r="G1491" i="23"/>
  <c r="G1155" i="23"/>
  <c r="G239" i="23"/>
  <c r="G633" i="23"/>
  <c r="G151" i="23"/>
  <c r="G364" i="23"/>
  <c r="G1234" i="23"/>
  <c r="G879" i="23"/>
  <c r="F251" i="23"/>
  <c r="G170" i="23"/>
  <c r="G1329" i="23"/>
  <c r="F777" i="23"/>
  <c r="F856" i="23"/>
  <c r="G1458" i="23"/>
  <c r="F1057" i="23"/>
  <c r="F719" i="23"/>
  <c r="G1468" i="23"/>
  <c r="F217" i="23"/>
  <c r="G621" i="23"/>
  <c r="G1261" i="23"/>
  <c r="F586" i="23"/>
  <c r="F107" i="23"/>
  <c r="G107" i="23"/>
  <c r="F619" i="23"/>
  <c r="G619" i="23"/>
  <c r="F904" i="23"/>
  <c r="G904" i="23"/>
  <c r="F1152" i="23"/>
  <c r="G1152" i="23"/>
  <c r="F70" i="23"/>
  <c r="G70" i="23"/>
  <c r="F762" i="23"/>
  <c r="G762" i="23"/>
  <c r="G264" i="23"/>
  <c r="F264" i="23"/>
  <c r="G119" i="23"/>
  <c r="G857" i="23"/>
  <c r="G1061" i="23"/>
  <c r="G232" i="23"/>
  <c r="G209" i="23"/>
  <c r="F162" i="23"/>
  <c r="G711" i="23"/>
  <c r="G657" i="23"/>
  <c r="G230" i="23"/>
  <c r="F960" i="23"/>
  <c r="G810" i="23"/>
  <c r="F854" i="23"/>
  <c r="G155" i="23"/>
  <c r="G1105" i="23"/>
  <c r="G229" i="23"/>
  <c r="G492" i="23"/>
  <c r="G351" i="23"/>
  <c r="G1402" i="23"/>
  <c r="G416" i="23"/>
  <c r="F1262" i="23"/>
  <c r="F697" i="23"/>
  <c r="F368" i="23"/>
  <c r="G1409" i="23"/>
  <c r="F105" i="23"/>
  <c r="G1345" i="23"/>
  <c r="G83" i="23"/>
  <c r="G964" i="23"/>
  <c r="G63" i="23"/>
  <c r="G393" i="23"/>
  <c r="F51" i="23"/>
  <c r="F1443" i="23"/>
  <c r="G57" i="23"/>
  <c r="F483" i="23"/>
  <c r="G971" i="23"/>
  <c r="G579" i="23"/>
  <c r="G1078" i="23"/>
  <c r="G871" i="23"/>
  <c r="G1157" i="23"/>
  <c r="G905" i="23"/>
  <c r="F152" i="23"/>
  <c r="G568" i="23"/>
  <c r="F670" i="23"/>
  <c r="G692" i="23"/>
  <c r="G990" i="23"/>
  <c r="G1487" i="23"/>
  <c r="G649" i="23"/>
  <c r="F192" i="23"/>
  <c r="F663" i="23"/>
  <c r="G154" i="23"/>
  <c r="G184" i="23"/>
  <c r="G476" i="23"/>
  <c r="G1322" i="23"/>
  <c r="G420" i="23"/>
  <c r="G1483" i="23"/>
  <c r="G157" i="23"/>
  <c r="G414" i="23"/>
  <c r="G1382" i="23"/>
  <c r="G370" i="23"/>
  <c r="G429" i="23"/>
  <c r="G356" i="23"/>
  <c r="G498" i="23"/>
  <c r="G688" i="23"/>
  <c r="F501" i="23"/>
  <c r="G627" i="23"/>
  <c r="F959" i="23"/>
  <c r="G177" i="23"/>
  <c r="G816" i="23"/>
  <c r="F1071" i="23"/>
  <c r="F630" i="23"/>
  <c r="G121" i="23"/>
  <c r="F183" i="23"/>
  <c r="F460" i="23"/>
  <c r="F340" i="23"/>
  <c r="G715" i="23"/>
  <c r="G369" i="23"/>
  <c r="F970" i="23"/>
  <c r="F564" i="23"/>
  <c r="F712" i="23"/>
  <c r="G1486" i="23"/>
  <c r="F381" i="23"/>
  <c r="G601" i="23"/>
  <c r="F377" i="23"/>
  <c r="G226" i="23"/>
  <c r="G455" i="23"/>
  <c r="G1441" i="23"/>
  <c r="F660" i="23"/>
  <c r="G1040" i="23"/>
  <c r="G1490" i="23"/>
  <c r="F1434" i="23"/>
  <c r="G1495" i="23"/>
  <c r="F1082" i="23"/>
  <c r="F272" i="23"/>
  <c r="G555" i="23"/>
  <c r="G198" i="23"/>
  <c r="G526" i="23"/>
  <c r="G811" i="23"/>
  <c r="G774" i="23"/>
  <c r="G1095" i="23"/>
  <c r="F768" i="23"/>
  <c r="G886" i="23"/>
  <c r="F1334" i="23"/>
  <c r="G435" i="23"/>
  <c r="G524" i="23"/>
  <c r="G945" i="23"/>
  <c r="F936" i="23"/>
  <c r="G394" i="23"/>
  <c r="G500" i="23"/>
  <c r="F1052" i="23"/>
  <c r="F919" i="23"/>
  <c r="G767" i="23"/>
  <c r="F481" i="23"/>
  <c r="G1212" i="23"/>
  <c r="G1033" i="23"/>
  <c r="F966" i="23"/>
  <c r="G64" i="23"/>
  <c r="G1216" i="23"/>
  <c r="G1225" i="23"/>
  <c r="G578" i="23"/>
  <c r="G187" i="23"/>
  <c r="G587" i="23"/>
  <c r="F588" i="23"/>
  <c r="G1437" i="23"/>
  <c r="G920" i="23"/>
  <c r="G329" i="23"/>
  <c r="G804" i="23"/>
  <c r="G361" i="23"/>
  <c r="G519" i="23"/>
  <c r="F302" i="23"/>
  <c r="G1479" i="23"/>
  <c r="G988" i="23"/>
  <c r="G319" i="23"/>
  <c r="G821" i="23"/>
  <c r="G675" i="23"/>
  <c r="F902" i="23"/>
  <c r="G533" i="23"/>
  <c r="G602" i="23"/>
  <c r="G746" i="23"/>
  <c r="G400" i="23"/>
  <c r="G274" i="23"/>
  <c r="G725" i="23"/>
  <c r="F591" i="23"/>
  <c r="G958" i="23"/>
  <c r="F1337" i="23"/>
  <c r="G665" i="23"/>
  <c r="F249" i="23"/>
  <c r="G780" i="23"/>
  <c r="F1430" i="23"/>
  <c r="G1099" i="23"/>
  <c r="G812" i="23"/>
  <c r="G168" i="23"/>
  <c r="G261" i="23"/>
  <c r="F401" i="23"/>
  <c r="F655" i="23"/>
  <c r="F813" i="23"/>
  <c r="G1066" i="23"/>
  <c r="G547" i="23"/>
  <c r="G1423" i="23"/>
  <c r="F78" i="23"/>
  <c r="G1163" i="23"/>
  <c r="G443" i="23"/>
  <c r="G749" i="23"/>
  <c r="G165" i="23"/>
  <c r="G603" i="23"/>
  <c r="G245" i="23"/>
  <c r="F254" i="23"/>
  <c r="G1496" i="23"/>
  <c r="G528" i="23"/>
  <c r="F395" i="23"/>
  <c r="G761" i="23"/>
  <c r="F348" i="23"/>
  <c r="F172" i="23"/>
  <c r="G1432" i="23"/>
  <c r="G206" i="23"/>
  <c r="F441" i="23"/>
  <c r="F1076" i="23"/>
  <c r="F589" i="23"/>
  <c r="G669" i="23"/>
  <c r="G640" i="23"/>
  <c r="G1481" i="23"/>
  <c r="G169" i="23"/>
  <c r="G494" i="23"/>
  <c r="G957" i="23"/>
  <c r="F531" i="23"/>
  <c r="G1041" i="23"/>
  <c r="G1435" i="23"/>
  <c r="G1044" i="23"/>
  <c r="F303" i="23"/>
  <c r="G344" i="23"/>
  <c r="G947" i="23"/>
  <c r="F1339" i="23"/>
  <c r="F1266" i="23"/>
  <c r="G888" i="23"/>
  <c r="F56" i="23"/>
  <c r="G425" i="23"/>
  <c r="G276" i="23"/>
  <c r="G1393" i="23"/>
  <c r="G903" i="23"/>
  <c r="G818" i="23"/>
  <c r="G223" i="23"/>
  <c r="G468" i="23"/>
  <c r="G845" i="23"/>
  <c r="G482" i="23"/>
  <c r="G1186" i="23"/>
  <c r="G535" i="23"/>
  <c r="G574" i="23"/>
  <c r="G55" i="23"/>
  <c r="F467" i="23"/>
  <c r="F174" i="23"/>
  <c r="F991" i="23"/>
  <c r="G991" i="23"/>
  <c r="G391" i="23"/>
  <c r="G527" i="23"/>
  <c r="G722" i="23"/>
  <c r="G1031" i="23"/>
  <c r="F605" i="23"/>
  <c r="F950" i="23"/>
  <c r="F497" i="23"/>
  <c r="G497" i="23"/>
  <c r="F1492" i="23"/>
  <c r="F728" i="23"/>
  <c r="G487" i="23"/>
  <c r="F581" i="23"/>
  <c r="G125" i="23"/>
  <c r="F1392" i="23"/>
  <c r="G1392" i="23"/>
  <c r="F371" i="23"/>
  <c r="G371" i="23"/>
  <c r="F1096" i="23"/>
  <c r="G1096" i="23"/>
  <c r="F801" i="23"/>
  <c r="G801" i="23"/>
  <c r="F473" i="23"/>
  <c r="G473" i="23"/>
  <c r="F599" i="23"/>
  <c r="G599" i="23"/>
  <c r="F236" i="23"/>
  <c r="G236" i="23"/>
  <c r="F914" i="23"/>
  <c r="G914" i="23"/>
  <c r="F350" i="23"/>
  <c r="G350" i="23"/>
  <c r="G689" i="23"/>
  <c r="F658" i="23"/>
  <c r="G493" i="23"/>
  <c r="F493" i="23"/>
  <c r="F815" i="23"/>
  <c r="F250" i="23"/>
  <c r="G949" i="23"/>
  <c r="G1422" i="23"/>
  <c r="G1506" i="23"/>
  <c r="G625" i="23"/>
  <c r="F75" i="23"/>
  <c r="F1166" i="23"/>
  <c r="G1166" i="23"/>
  <c r="G185" i="23"/>
  <c r="G1429" i="23"/>
  <c r="G1419" i="23"/>
  <c r="G1190" i="23"/>
  <c r="G732" i="23"/>
  <c r="F935" i="23"/>
  <c r="G935" i="23"/>
  <c r="G233" i="23"/>
  <c r="F883" i="23"/>
  <c r="G883" i="23"/>
  <c r="F731" i="23"/>
  <c r="G731" i="23"/>
  <c r="F496" i="23"/>
  <c r="G496" i="23"/>
  <c r="F417" i="23"/>
  <c r="G417" i="23"/>
  <c r="F867" i="23"/>
  <c r="G723" i="23"/>
  <c r="F723" i="23"/>
  <c r="F1184" i="23"/>
  <c r="G1184" i="23"/>
  <c r="F893" i="23"/>
  <c r="G262" i="23"/>
  <c r="G556" i="23"/>
  <c r="G1442" i="23"/>
  <c r="G271" i="23"/>
  <c r="G296" i="23"/>
  <c r="F299" i="23"/>
  <c r="G1489" i="23"/>
  <c r="G1460" i="23"/>
  <c r="G1488" i="23"/>
  <c r="G286" i="23"/>
  <c r="G306" i="23"/>
  <c r="F1275" i="23"/>
  <c r="G681" i="23"/>
  <c r="G1431" i="23"/>
  <c r="G1321" i="23"/>
  <c r="G265" i="23"/>
  <c r="F1326" i="23"/>
  <c r="F1480" i="23"/>
  <c r="G558" i="23"/>
  <c r="F101" i="23"/>
  <c r="G101" i="23"/>
  <c r="G305" i="23"/>
  <c r="F479" i="23"/>
  <c r="G397" i="23"/>
  <c r="G92" i="23"/>
  <c r="F255" i="23"/>
  <c r="G255" i="23"/>
  <c r="F668" i="23"/>
  <c r="G668" i="23"/>
  <c r="F1465" i="23"/>
  <c r="G1465" i="23"/>
  <c r="F186" i="23"/>
  <c r="G186" i="23"/>
  <c r="F685" i="23"/>
  <c r="F899" i="23"/>
  <c r="G899" i="23"/>
  <c r="G258" i="23"/>
  <c r="F258" i="23"/>
  <c r="G442" i="23"/>
  <c r="G613" i="23"/>
  <c r="F197" i="23"/>
  <c r="G975" i="23"/>
  <c r="F754" i="23"/>
  <c r="G754" i="23"/>
  <c r="F1400" i="23"/>
  <c r="G1400" i="23"/>
  <c r="G678" i="23"/>
  <c r="G472" i="23"/>
  <c r="G300" i="23"/>
  <c r="F676" i="23"/>
  <c r="G890" i="23"/>
  <c r="F1446" i="23"/>
  <c r="G1446" i="23"/>
  <c r="G550" i="23"/>
  <c r="F458" i="23"/>
  <c r="G458" i="23"/>
  <c r="F922" i="23"/>
  <c r="G922" i="23"/>
  <c r="G704" i="23"/>
  <c r="G1438" i="23"/>
  <c r="F504" i="23"/>
  <c r="G504" i="23"/>
  <c r="F1333" i="23"/>
  <c r="G1333" i="23"/>
  <c r="G390" i="23"/>
  <c r="F79" i="23"/>
  <c r="F822" i="23"/>
  <c r="G822" i="23"/>
  <c r="F1470" i="23"/>
  <c r="G1470" i="23"/>
  <c r="G829" i="23"/>
  <c r="F829" i="23"/>
  <c r="F270" i="23"/>
  <c r="G270" i="23"/>
  <c r="G1453" i="23"/>
  <c r="F1453" i="23"/>
  <c r="G1485" i="23"/>
  <c r="G939" i="23"/>
  <c r="G346" i="23"/>
  <c r="G1436" i="23"/>
  <c r="F213" i="23"/>
  <c r="G213" i="23"/>
  <c r="F148" i="23"/>
  <c r="G148" i="23"/>
  <c r="G948" i="23"/>
  <c r="F314" i="23"/>
  <c r="G314" i="23"/>
  <c r="G710" i="23"/>
  <c r="F770" i="23"/>
  <c r="G770" i="23"/>
  <c r="F459" i="23"/>
  <c r="G459" i="23"/>
  <c r="F796" i="23"/>
  <c r="G796" i="23"/>
  <c r="G773" i="23"/>
  <c r="F773" i="23"/>
  <c r="F910" i="23"/>
  <c r="F1161" i="23"/>
  <c r="G82" i="23"/>
  <c r="G354" i="23"/>
  <c r="F677" i="23"/>
  <c r="G263" i="23"/>
  <c r="G436" i="23"/>
  <c r="G1167" i="23"/>
  <c r="G1091" i="23"/>
  <c r="F1058" i="23"/>
  <c r="G1058" i="23"/>
  <c r="F398" i="23"/>
  <c r="G398" i="23"/>
  <c r="F612" i="23"/>
  <c r="G612" i="23"/>
  <c r="F1394" i="23"/>
  <c r="G1394" i="23"/>
  <c r="F962" i="23"/>
  <c r="G962" i="23"/>
  <c r="F631" i="23"/>
  <c r="G631" i="23"/>
  <c r="F1455" i="23"/>
  <c r="G1455" i="23"/>
  <c r="F1450" i="23"/>
  <c r="G1450" i="23"/>
  <c r="F1335" i="23"/>
  <c r="G1335" i="23"/>
  <c r="F952" i="23"/>
  <c r="G952" i="23"/>
  <c r="G433" i="23"/>
  <c r="F433" i="23"/>
  <c r="F656" i="23"/>
  <c r="G656" i="23"/>
  <c r="F641" i="23"/>
  <c r="G641" i="23"/>
  <c r="F1405" i="23"/>
  <c r="G1405" i="23"/>
  <c r="G1388" i="23"/>
  <c r="F1388" i="23"/>
  <c r="F1338" i="23"/>
  <c r="G1338" i="23"/>
  <c r="F294" i="23"/>
  <c r="G294" i="23"/>
  <c r="F806" i="23"/>
  <c r="G806" i="23"/>
  <c r="F235" i="23"/>
  <c r="G235" i="23"/>
  <c r="F577" i="23"/>
  <c r="G577" i="23"/>
  <c r="F434" i="23"/>
  <c r="G434" i="23"/>
  <c r="F634" i="23"/>
  <c r="G634" i="23"/>
  <c r="F1396" i="23"/>
  <c r="G1396" i="23"/>
  <c r="F908" i="23"/>
  <c r="G908" i="23"/>
  <c r="F951" i="23"/>
  <c r="G951" i="23"/>
  <c r="F576" i="23"/>
  <c r="G576" i="23"/>
  <c r="F1376" i="23"/>
  <c r="G1376" i="23"/>
  <c r="F220" i="23"/>
  <c r="G220" i="23"/>
  <c r="F1403" i="23"/>
  <c r="G1403" i="23"/>
  <c r="F525" i="23"/>
  <c r="G525" i="23"/>
  <c r="F1371" i="23"/>
  <c r="G1371" i="23"/>
  <c r="F814" i="23"/>
  <c r="G814" i="23"/>
  <c r="F1449" i="23"/>
  <c r="G1449" i="23"/>
  <c r="F281" i="23"/>
  <c r="G281" i="23"/>
  <c r="F349" i="23"/>
  <c r="G349" i="23"/>
  <c r="G1084" i="23"/>
  <c r="F1084" i="23"/>
  <c r="F80" i="23"/>
  <c r="G80" i="23"/>
  <c r="G1323" i="23"/>
  <c r="F1323" i="23"/>
  <c r="F651" i="23"/>
  <c r="G651" i="23"/>
  <c r="G1399" i="23"/>
  <c r="F1399" i="23"/>
  <c r="G277" i="23"/>
  <c r="F277" i="23"/>
  <c r="F819" i="23"/>
  <c r="G819" i="23"/>
  <c r="F726" i="23"/>
  <c r="G726" i="23"/>
  <c r="F647" i="23"/>
  <c r="G647" i="23"/>
  <c r="F413" i="23"/>
  <c r="G413" i="23"/>
  <c r="F1389" i="23"/>
  <c r="G1389" i="23"/>
  <c r="G546" i="23"/>
  <c r="G465" i="23"/>
  <c r="F238" i="23"/>
  <c r="G469" i="23"/>
  <c r="G942" i="23"/>
  <c r="F382" i="23"/>
  <c r="F690" i="23"/>
  <c r="G820" i="23"/>
  <c r="G347" i="23"/>
  <c r="G366" i="23"/>
  <c r="G127" i="23"/>
  <c r="G322" i="23"/>
  <c r="F684" i="23"/>
  <c r="G824" i="23"/>
  <c r="G244" i="23"/>
  <c r="G891" i="23"/>
  <c r="F887" i="23"/>
  <c r="G887" i="23"/>
  <c r="F90" i="23"/>
  <c r="G90" i="23"/>
  <c r="F191" i="23"/>
  <c r="G191" i="23"/>
  <c r="G784" i="23"/>
  <c r="F784" i="23"/>
  <c r="F1059" i="23"/>
  <c r="G1059" i="23"/>
  <c r="F444" i="23"/>
  <c r="G444" i="23"/>
  <c r="F309" i="23"/>
  <c r="G309" i="23"/>
  <c r="F1447" i="23"/>
  <c r="G1447" i="23"/>
  <c r="F1408" i="23"/>
  <c r="G1408" i="23"/>
  <c r="F242" i="23"/>
  <c r="G242" i="23"/>
  <c r="F131" i="23"/>
  <c r="G131" i="23"/>
  <c r="F102" i="23"/>
  <c r="G102" i="23"/>
  <c r="F772" i="23"/>
  <c r="G772" i="23"/>
  <c r="F227" i="23"/>
  <c r="G227" i="23"/>
  <c r="F1054" i="23"/>
  <c r="G1054" i="23"/>
  <c r="G445" i="23"/>
  <c r="F445" i="23"/>
  <c r="F318" i="23"/>
  <c r="G318" i="23"/>
  <c r="G1390" i="23"/>
  <c r="F1390" i="23"/>
  <c r="F1448" i="23"/>
  <c r="G1448" i="23"/>
  <c r="F1457" i="23"/>
  <c r="G1457" i="23"/>
  <c r="F1201" i="23"/>
  <c r="G1201" i="23"/>
  <c r="F133" i="23"/>
  <c r="G133" i="23"/>
  <c r="F846" i="23"/>
  <c r="G846" i="23"/>
  <c r="G221" i="23"/>
  <c r="F221" i="23"/>
  <c r="F876" i="23"/>
  <c r="G876" i="23"/>
  <c r="F363" i="23"/>
  <c r="G363" i="23"/>
  <c r="F317" i="23"/>
  <c r="G317" i="23"/>
  <c r="F1395" i="23"/>
  <c r="G1395" i="23"/>
  <c r="G1391" i="23"/>
  <c r="F1391" i="23"/>
  <c r="F1398" i="23"/>
  <c r="G1398" i="23"/>
  <c r="F532" i="23"/>
  <c r="G532" i="23"/>
  <c r="F1209" i="23"/>
  <c r="G1209" i="23"/>
  <c r="G860" i="23"/>
  <c r="F860" i="23"/>
  <c r="F122" i="23"/>
  <c r="G122" i="23"/>
  <c r="G850" i="23"/>
  <c r="F850" i="23"/>
  <c r="F1038" i="23"/>
  <c r="G1038" i="23"/>
  <c r="F607" i="23"/>
  <c r="G607" i="23"/>
  <c r="F877" i="23"/>
  <c r="G877" i="23"/>
  <c r="G359" i="23"/>
  <c r="F359" i="23"/>
  <c r="F1406" i="23"/>
  <c r="G1406" i="23"/>
  <c r="F1445" i="23"/>
  <c r="G1445" i="23"/>
  <c r="F1397" i="23"/>
  <c r="G1397" i="23"/>
  <c r="F543" i="23"/>
  <c r="G543" i="23"/>
  <c r="G1213" i="23"/>
  <c r="F1213" i="23"/>
  <c r="G682" i="23"/>
  <c r="F682" i="23"/>
  <c r="F775" i="23"/>
  <c r="G775" i="23"/>
  <c r="F1047" i="23"/>
  <c r="G1047" i="23"/>
  <c r="F628" i="23"/>
  <c r="G628" i="23"/>
  <c r="F882" i="23"/>
  <c r="G882" i="23"/>
  <c r="F1444" i="23"/>
  <c r="G1444" i="23"/>
  <c r="F1401" i="23"/>
  <c r="G1401" i="23"/>
  <c r="F1452" i="23"/>
  <c r="G1452" i="23"/>
  <c r="F173" i="23"/>
  <c r="G173" i="23"/>
  <c r="F315" i="23"/>
  <c r="G315" i="23"/>
  <c r="F989" i="23"/>
  <c r="G989" i="23"/>
  <c r="F696" i="23"/>
  <c r="G696" i="23"/>
  <c r="F771" i="23"/>
  <c r="G771" i="23"/>
  <c r="F609" i="23"/>
  <c r="G609" i="23"/>
  <c r="F225" i="23"/>
  <c r="G225" i="23"/>
  <c r="F1065" i="23"/>
  <c r="G1065" i="23"/>
  <c r="F1459" i="23"/>
  <c r="G1459" i="23"/>
  <c r="F1454" i="23"/>
  <c r="G1454" i="23"/>
  <c r="F406" i="23"/>
  <c r="G406" i="23"/>
  <c r="F709" i="23"/>
  <c r="G709" i="23"/>
  <c r="F974" i="23"/>
  <c r="G974" i="23"/>
  <c r="F166" i="23"/>
  <c r="G166" i="23"/>
  <c r="F993" i="23"/>
  <c r="G993" i="23"/>
  <c r="F193" i="23"/>
  <c r="G193" i="23"/>
  <c r="F629" i="23"/>
  <c r="G629" i="23"/>
  <c r="G228" i="23"/>
  <c r="F228" i="23"/>
  <c r="F808" i="23"/>
  <c r="G808" i="23"/>
  <c r="F571" i="23"/>
  <c r="G571" i="23"/>
  <c r="F1068" i="23"/>
  <c r="G1068" i="23"/>
  <c r="F1412" i="23"/>
  <c r="G1412" i="23"/>
  <c r="F1451" i="23"/>
  <c r="G1451" i="23"/>
  <c r="F403" i="23"/>
  <c r="G403" i="23"/>
  <c r="F699" i="23"/>
  <c r="G699" i="23"/>
  <c r="F58" i="23"/>
  <c r="G58" i="23"/>
  <c r="F979" i="23"/>
  <c r="G979" i="23"/>
  <c r="F124" i="23"/>
  <c r="G124" i="23"/>
  <c r="F164" i="23"/>
  <c r="G164" i="23"/>
  <c r="F304" i="23"/>
  <c r="G304" i="23"/>
  <c r="F189" i="23"/>
  <c r="G189" i="23"/>
  <c r="F785" i="23"/>
  <c r="G785" i="23"/>
  <c r="G981" i="23"/>
  <c r="F981" i="23"/>
  <c r="F572" i="23"/>
  <c r="G572" i="23"/>
  <c r="F310" i="23"/>
  <c r="G310" i="23"/>
  <c r="F1456" i="23"/>
  <c r="G1456" i="23"/>
  <c r="F1407" i="23"/>
  <c r="G1407" i="23"/>
  <c r="F484" i="23"/>
  <c r="G484" i="23"/>
  <c r="F61" i="23"/>
  <c r="G61" i="23"/>
  <c r="G234" i="23"/>
  <c r="F234" i="23"/>
  <c r="G499" i="23"/>
  <c r="G683" i="23"/>
  <c r="G1045" i="23"/>
  <c r="F650" i="23"/>
  <c r="F94" i="23"/>
  <c r="G94" i="23"/>
  <c r="G623" i="23"/>
  <c r="F623" i="23"/>
  <c r="G1036" i="23"/>
  <c r="F1036" i="23"/>
  <c r="F855" i="23"/>
  <c r="G855" i="23"/>
  <c r="F1037" i="23"/>
  <c r="G1037" i="23"/>
  <c r="G440" i="23"/>
  <c r="F440" i="23"/>
  <c r="F301" i="23"/>
  <c r="G301" i="23"/>
  <c r="F464" i="23"/>
  <c r="G464" i="23"/>
  <c r="F560" i="23"/>
  <c r="G560" i="23"/>
  <c r="F248" i="23"/>
  <c r="G248" i="23"/>
  <c r="F956" i="23"/>
  <c r="G956" i="23"/>
  <c r="F404" i="23"/>
  <c r="G404" i="23"/>
  <c r="F1055" i="23"/>
  <c r="G1055" i="23"/>
  <c r="F679" i="23"/>
  <c r="G679" i="23"/>
  <c r="F708" i="23"/>
  <c r="G708" i="23"/>
  <c r="F1474" i="23"/>
  <c r="G1474" i="23"/>
  <c r="G1467" i="23"/>
  <c r="F1467" i="23"/>
  <c r="G50" i="23"/>
  <c r="F50" i="23"/>
  <c r="F969" i="23"/>
  <c r="G969" i="23"/>
  <c r="G1050" i="23"/>
  <c r="F1050" i="23"/>
  <c r="F160" i="23"/>
  <c r="G160" i="23"/>
  <c r="F943" i="23"/>
  <c r="G943" i="23"/>
  <c r="F358" i="23"/>
  <c r="G358" i="23"/>
  <c r="F454" i="23"/>
  <c r="G454" i="23"/>
  <c r="F666" i="23"/>
  <c r="G666" i="23"/>
  <c r="F98" i="23"/>
  <c r="G98" i="23"/>
  <c r="F626" i="23"/>
  <c r="G626" i="23"/>
  <c r="F858" i="23"/>
  <c r="G858" i="23"/>
  <c r="F1028" i="23"/>
  <c r="G1028" i="23"/>
  <c r="G293" i="23"/>
  <c r="F293" i="23"/>
  <c r="F463" i="23"/>
  <c r="G463" i="23"/>
  <c r="F570" i="23"/>
  <c r="G570" i="23"/>
  <c r="F717" i="23"/>
  <c r="G717" i="23"/>
  <c r="F753" i="23"/>
  <c r="G753" i="23"/>
  <c r="F1067" i="23"/>
  <c r="G1067" i="23"/>
  <c r="F542" i="23"/>
  <c r="G542" i="23"/>
  <c r="F706" i="23"/>
  <c r="G706" i="23"/>
  <c r="F1425" i="23"/>
  <c r="G1425" i="23"/>
  <c r="F1421" i="23"/>
  <c r="G1421" i="23"/>
  <c r="F1276" i="23"/>
  <c r="G1276" i="23"/>
  <c r="F907" i="23"/>
  <c r="G907" i="23"/>
  <c r="F48" i="23"/>
  <c r="G48" i="23"/>
  <c r="F972" i="23"/>
  <c r="G972" i="23"/>
  <c r="F1053" i="23"/>
  <c r="G1053" i="23"/>
  <c r="G686" i="23"/>
  <c r="F686" i="23"/>
  <c r="F760" i="23"/>
  <c r="G760" i="23"/>
  <c r="F1176" i="23"/>
  <c r="G1176" i="23"/>
  <c r="F362" i="23"/>
  <c r="G362" i="23"/>
  <c r="F448" i="23"/>
  <c r="G448" i="23"/>
  <c r="F137" i="23"/>
  <c r="G137" i="23"/>
  <c r="G557" i="23"/>
  <c r="F557" i="23"/>
  <c r="G794" i="23"/>
  <c r="F794" i="23"/>
  <c r="F201" i="23"/>
  <c r="G201" i="23"/>
  <c r="F205" i="23"/>
  <c r="G205" i="23"/>
  <c r="F1385" i="23"/>
  <c r="G1385" i="23"/>
  <c r="F360" i="23"/>
  <c r="G360" i="23"/>
  <c r="G1030" i="23"/>
  <c r="F1030" i="23"/>
  <c r="F530" i="23"/>
  <c r="G530" i="23"/>
  <c r="F569" i="23"/>
  <c r="G569" i="23"/>
  <c r="F718" i="23"/>
  <c r="G718" i="23"/>
  <c r="F755" i="23"/>
  <c r="G755" i="23"/>
  <c r="F308" i="23"/>
  <c r="G308" i="23"/>
  <c r="F545" i="23"/>
  <c r="G545" i="23"/>
  <c r="F1472" i="23"/>
  <c r="G1472" i="23"/>
  <c r="F1427" i="23"/>
  <c r="G1427" i="23"/>
  <c r="F1473" i="23"/>
  <c r="G1473" i="23"/>
  <c r="F1265" i="23"/>
  <c r="G1265" i="23"/>
  <c r="F912" i="23"/>
  <c r="G912" i="23"/>
  <c r="F208" i="23"/>
  <c r="G208" i="23"/>
  <c r="F1327" i="23"/>
  <c r="G1327" i="23"/>
  <c r="F672" i="23"/>
  <c r="G672" i="23"/>
  <c r="F758" i="23"/>
  <c r="G758" i="23"/>
  <c r="F1170" i="23"/>
  <c r="G1170" i="23"/>
  <c r="F357" i="23"/>
  <c r="G357" i="23"/>
  <c r="F944" i="23"/>
  <c r="G944" i="23"/>
  <c r="G1211" i="23"/>
  <c r="F1211" i="23"/>
  <c r="G453" i="23"/>
  <c r="F453" i="23"/>
  <c r="F138" i="23"/>
  <c r="G138" i="23"/>
  <c r="G552" i="23"/>
  <c r="F552" i="23"/>
  <c r="G803" i="23"/>
  <c r="F803" i="23"/>
  <c r="F203" i="23"/>
  <c r="G203" i="23"/>
  <c r="F210" i="23"/>
  <c r="G210" i="23"/>
  <c r="F1378" i="23"/>
  <c r="G1378" i="23"/>
  <c r="F642" i="23"/>
  <c r="G642" i="23"/>
  <c r="F365" i="23"/>
  <c r="G365" i="23"/>
  <c r="F536" i="23"/>
  <c r="G536" i="23"/>
  <c r="F716" i="23"/>
  <c r="G716" i="23"/>
  <c r="F604" i="23"/>
  <c r="G604" i="23"/>
  <c r="F312" i="23"/>
  <c r="G312" i="23"/>
  <c r="G598" i="23"/>
  <c r="F598" i="23"/>
  <c r="F1420" i="23"/>
  <c r="G1420" i="23"/>
  <c r="F1426" i="23"/>
  <c r="G1426" i="23"/>
  <c r="G1414" i="23"/>
  <c r="F1414" i="23"/>
  <c r="F1274" i="23"/>
  <c r="G1274" i="23"/>
  <c r="F909" i="23"/>
  <c r="G909" i="23"/>
  <c r="G214" i="23"/>
  <c r="F214" i="23"/>
  <c r="F1318" i="23"/>
  <c r="G1318" i="23"/>
  <c r="F671" i="23"/>
  <c r="G671" i="23"/>
  <c r="F759" i="23"/>
  <c r="G759" i="23"/>
  <c r="G729" i="23"/>
  <c r="F729" i="23"/>
  <c r="F703" i="23"/>
  <c r="G703" i="23"/>
  <c r="F1214" i="23"/>
  <c r="G1214" i="23"/>
  <c r="F130" i="23"/>
  <c r="G130" i="23"/>
  <c r="F561" i="23"/>
  <c r="G561" i="23"/>
  <c r="F802" i="23"/>
  <c r="G802" i="23"/>
  <c r="F202" i="23"/>
  <c r="G202" i="23"/>
  <c r="G431" i="23"/>
  <c r="F431" i="23"/>
  <c r="F1384" i="23"/>
  <c r="G1384" i="23"/>
  <c r="F648" i="23"/>
  <c r="G648" i="23"/>
  <c r="F383" i="23"/>
  <c r="G383" i="23"/>
  <c r="F664" i="23"/>
  <c r="G664" i="23"/>
  <c r="F422" i="23"/>
  <c r="G422" i="23"/>
  <c r="F67" i="23"/>
  <c r="G67" i="23"/>
  <c r="F616" i="23"/>
  <c r="G616" i="23"/>
  <c r="F282" i="23"/>
  <c r="G282" i="23"/>
  <c r="F597" i="23"/>
  <c r="G597" i="23"/>
  <c r="F1477" i="23"/>
  <c r="G1477" i="23"/>
  <c r="F1424" i="23"/>
  <c r="G1424" i="23"/>
  <c r="G396" i="23"/>
  <c r="F396" i="23"/>
  <c r="F983" i="23"/>
  <c r="G983" i="23"/>
  <c r="G1159" i="23"/>
  <c r="F1159" i="23"/>
  <c r="F1231" i="23"/>
  <c r="G1231" i="23"/>
  <c r="F756" i="23"/>
  <c r="G756" i="23"/>
  <c r="F721" i="23"/>
  <c r="G721" i="23"/>
  <c r="F695" i="23"/>
  <c r="G695" i="23"/>
  <c r="F1080" i="23"/>
  <c r="G1080" i="23"/>
  <c r="F247" i="23"/>
  <c r="G247" i="23"/>
  <c r="F847" i="23"/>
  <c r="G847" i="23"/>
  <c r="F178" i="23"/>
  <c r="G178" i="23"/>
  <c r="F428" i="23"/>
  <c r="G428" i="23"/>
  <c r="F1380" i="23"/>
  <c r="G1380" i="23"/>
  <c r="F643" i="23"/>
  <c r="G643" i="23"/>
  <c r="F222" i="23"/>
  <c r="G222" i="23"/>
  <c r="F385" i="23"/>
  <c r="G385" i="23"/>
  <c r="F662" i="23"/>
  <c r="G662" i="23"/>
  <c r="F415" i="23"/>
  <c r="G415" i="23"/>
  <c r="F72" i="23"/>
  <c r="G72" i="23"/>
  <c r="G562" i="23"/>
  <c r="F562" i="23"/>
  <c r="F839" i="23"/>
  <c r="G839" i="23"/>
  <c r="F268" i="23"/>
  <c r="G268" i="23"/>
  <c r="F1102" i="23"/>
  <c r="G1102" i="23"/>
  <c r="G1413" i="23"/>
  <c r="F1413" i="23"/>
  <c r="F1478" i="23"/>
  <c r="G1478" i="23"/>
  <c r="F407" i="23"/>
  <c r="G407" i="23"/>
  <c r="G583" i="23"/>
  <c r="F583" i="23"/>
  <c r="F980" i="23"/>
  <c r="G980" i="23"/>
  <c r="F1154" i="23"/>
  <c r="G1154" i="23"/>
  <c r="F491" i="23"/>
  <c r="G491" i="23"/>
  <c r="F1233" i="23"/>
  <c r="G1233" i="23"/>
  <c r="G1191" i="23"/>
  <c r="F1191" i="23"/>
  <c r="G698" i="23"/>
  <c r="F698" i="23"/>
  <c r="F1088" i="23"/>
  <c r="G1088" i="23"/>
  <c r="F246" i="23"/>
  <c r="G246" i="23"/>
  <c r="F986" i="23"/>
  <c r="G986" i="23"/>
  <c r="G851" i="23"/>
  <c r="F851" i="23"/>
  <c r="F764" i="23"/>
  <c r="G764" i="23"/>
  <c r="F180" i="23"/>
  <c r="G180" i="23"/>
  <c r="F200" i="23"/>
  <c r="G200" i="23"/>
  <c r="G594" i="23"/>
  <c r="F594" i="23"/>
  <c r="F218" i="23"/>
  <c r="G218" i="23"/>
  <c r="G1060" i="23"/>
  <c r="F1060" i="23"/>
  <c r="F637" i="23"/>
  <c r="G637" i="23"/>
  <c r="F432" i="23"/>
  <c r="G432" i="23"/>
  <c r="F74" i="23"/>
  <c r="G74" i="23"/>
  <c r="F567" i="23"/>
  <c r="G567" i="23"/>
  <c r="F539" i="23"/>
  <c r="G539" i="23"/>
  <c r="F834" i="23"/>
  <c r="G834" i="23"/>
  <c r="F680" i="23"/>
  <c r="G680" i="23"/>
  <c r="F1097" i="23"/>
  <c r="G1097" i="23"/>
  <c r="G1415" i="23"/>
  <c r="F1415" i="23"/>
  <c r="F1417" i="23"/>
  <c r="G1417" i="23"/>
  <c r="G402" i="23"/>
  <c r="F402" i="23"/>
  <c r="F384" i="23"/>
  <c r="G384" i="23"/>
  <c r="F582" i="23"/>
  <c r="G582" i="23"/>
  <c r="F967" i="23"/>
  <c r="G967" i="23"/>
  <c r="F1162" i="23"/>
  <c r="G1162" i="23"/>
  <c r="G506" i="23"/>
  <c r="F506" i="23"/>
  <c r="F1227" i="23"/>
  <c r="G1227" i="23"/>
  <c r="F1205" i="23"/>
  <c r="G1205" i="23"/>
  <c r="F982" i="23"/>
  <c r="G982" i="23"/>
  <c r="F93" i="23"/>
  <c r="G93" i="23"/>
  <c r="F765" i="23"/>
  <c r="G765" i="23"/>
  <c r="F622" i="23"/>
  <c r="G622" i="23"/>
  <c r="F195" i="23"/>
  <c r="G195" i="23"/>
  <c r="F859" i="23"/>
  <c r="G859" i="23"/>
  <c r="G590" i="23"/>
  <c r="F590" i="23"/>
  <c r="F447" i="23"/>
  <c r="G447" i="23"/>
  <c r="F298" i="23"/>
  <c r="G298" i="23"/>
  <c r="G1056" i="23"/>
  <c r="F1056" i="23"/>
  <c r="F636" i="23"/>
  <c r="G636" i="23"/>
  <c r="F256" i="23"/>
  <c r="G256" i="23"/>
  <c r="F954" i="23"/>
  <c r="G954" i="23"/>
  <c r="F412" i="23"/>
  <c r="G412" i="23"/>
  <c r="F534" i="23"/>
  <c r="G534" i="23"/>
  <c r="F838" i="23"/>
  <c r="G838" i="23"/>
  <c r="F673" i="23"/>
  <c r="G673" i="23"/>
  <c r="F1098" i="23"/>
  <c r="G1098" i="23"/>
  <c r="F1476" i="23"/>
  <c r="G1476" i="23"/>
  <c r="F1475" i="23"/>
  <c r="G1475" i="23"/>
  <c r="F376" i="23"/>
  <c r="G376" i="23"/>
  <c r="F52" i="23"/>
  <c r="G52" i="23"/>
  <c r="F968" i="23"/>
  <c r="G968" i="23"/>
  <c r="G502" i="23"/>
  <c r="F502" i="23"/>
  <c r="F167" i="23"/>
  <c r="G167" i="23"/>
  <c r="F937" i="23"/>
  <c r="G937" i="23"/>
  <c r="F1195" i="23"/>
  <c r="G1195" i="23"/>
  <c r="F667" i="23"/>
  <c r="G667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4" i="2" l="1"/>
  <c r="N112" i="4" l="1"/>
  <c r="N113" i="4"/>
  <c r="N114" i="4"/>
  <c r="N115" i="4"/>
  <c r="N116" i="4"/>
  <c r="N117" i="4"/>
  <c r="N118" i="4"/>
  <c r="N119" i="4"/>
  <c r="N120" i="4"/>
  <c r="N121" i="4"/>
  <c r="C404" i="23" l="1"/>
  <c r="C425" i="23"/>
  <c r="C410" i="23"/>
  <c r="C411" i="23"/>
  <c r="C382" i="23"/>
  <c r="C383" i="23"/>
  <c r="C385" i="23"/>
  <c r="C389" i="23"/>
  <c r="C418" i="23"/>
  <c r="C414" i="23"/>
  <c r="C409" i="23"/>
  <c r="C420" i="23"/>
  <c r="C419" i="23"/>
  <c r="C408" i="23"/>
  <c r="C392" i="23"/>
  <c r="C413" i="23"/>
  <c r="C398" i="23"/>
  <c r="C397" i="23"/>
  <c r="C399" i="23"/>
  <c r="C401" i="23"/>
  <c r="C402" i="23"/>
  <c r="C406" i="23"/>
  <c r="C407" i="23"/>
  <c r="C396" i="23"/>
  <c r="C400" i="23"/>
  <c r="C405" i="23"/>
  <c r="C395" i="23"/>
  <c r="C393" i="23"/>
  <c r="C394" i="23"/>
  <c r="C403" i="23"/>
  <c r="C416" i="23"/>
  <c r="C423" i="23"/>
  <c r="C421" i="23"/>
  <c r="C412" i="23"/>
  <c r="C390" i="23"/>
  <c r="C391" i="23"/>
  <c r="C388" i="23"/>
  <c r="C387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6" i="23" l="1"/>
  <c r="C3" i="23"/>
  <c r="C4" i="23"/>
  <c r="C12" i="23"/>
  <c r="C9" i="23"/>
  <c r="C11" i="23"/>
  <c r="C23" i="23"/>
  <c r="C25" i="23"/>
  <c r="C29" i="23"/>
  <c r="C28" i="23"/>
  <c r="C20" i="23"/>
  <c r="C22" i="23"/>
  <c r="C18" i="23"/>
  <c r="C21" i="23"/>
  <c r="C2" i="23"/>
  <c r="C8" i="23"/>
  <c r="C7" i="23"/>
  <c r="C13" i="23"/>
  <c r="N6" i="4"/>
  <c r="C16" i="23" s="1"/>
  <c r="N10" i="4"/>
  <c r="C31" i="12"/>
  <c r="C30" i="12"/>
  <c r="C5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26" i="12" l="1"/>
  <c r="C44" i="23"/>
  <c r="C33" i="23"/>
  <c r="C32" i="23"/>
  <c r="C10" i="23"/>
  <c r="C24" i="12"/>
  <c r="C15" i="23"/>
  <c r="C30" i="23"/>
  <c r="C31" i="23"/>
  <c r="C26" i="23"/>
  <c r="C36" i="23"/>
  <c r="C37" i="23"/>
  <c r="C35" i="23"/>
  <c r="C27" i="23"/>
  <c r="C14" i="23"/>
  <c r="C17" i="23"/>
  <c r="C19" i="23"/>
  <c r="C24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4" i="23" l="1"/>
  <c r="H4" i="23"/>
  <c r="G4" i="23" l="1"/>
  <c r="F4" i="23"/>
  <c r="C180" i="2" l="1"/>
  <c r="C120" i="2"/>
  <c r="C416" i="2"/>
  <c r="C524" i="2"/>
  <c r="C301" i="2"/>
  <c r="C370" i="2"/>
  <c r="C654" i="2"/>
  <c r="C269" i="2"/>
  <c r="C319" i="2"/>
  <c r="C144" i="2"/>
  <c r="C457" i="2"/>
  <c r="C132" i="2"/>
  <c r="C347" i="2"/>
  <c r="C242" i="2"/>
  <c r="C442" i="2"/>
  <c r="C438" i="2"/>
  <c r="C281" i="2"/>
  <c r="C331" i="2"/>
  <c r="C64" i="2"/>
  <c r="C644" i="2"/>
  <c r="C121" i="2"/>
  <c r="C116" i="2"/>
  <c r="C463" i="2"/>
  <c r="C322" i="2"/>
  <c r="C263" i="2"/>
  <c r="C369" i="2"/>
  <c r="C677" i="2"/>
  <c r="C355" i="2"/>
  <c r="C606" i="2"/>
  <c r="C394" i="2"/>
  <c r="C584" i="2"/>
  <c r="C262" i="2"/>
  <c r="C127" i="2"/>
  <c r="C495" i="2"/>
  <c r="C518" i="2"/>
  <c r="C291" i="2"/>
  <c r="C22" i="2"/>
  <c r="C279" i="2"/>
  <c r="C238" i="2"/>
  <c r="C160" i="2"/>
  <c r="C493" i="2"/>
  <c r="C441" i="2"/>
  <c r="C270" i="2"/>
  <c r="C209" i="2"/>
  <c r="C72" i="2"/>
  <c r="C150" i="2"/>
  <c r="C254" i="2"/>
  <c r="C230" i="2"/>
  <c r="C510" i="2"/>
  <c r="C34" i="2"/>
  <c r="C151" i="2"/>
  <c r="C158" i="2"/>
  <c r="C290" i="2"/>
  <c r="C286" i="2"/>
  <c r="C220" i="2"/>
  <c r="C456" i="2"/>
  <c r="C125" i="2"/>
  <c r="C76" i="2"/>
  <c r="C90" i="2"/>
  <c r="C575" i="2"/>
  <c r="C114" i="2"/>
  <c r="C311" i="2"/>
  <c r="C104" i="2"/>
  <c r="C134" i="2"/>
  <c r="C185" i="2"/>
  <c r="C244" i="2"/>
  <c r="C471" i="2"/>
  <c r="C409" i="2"/>
  <c r="C74" i="2"/>
  <c r="C14" i="2"/>
  <c r="C289" i="2"/>
  <c r="C464" i="2"/>
  <c r="C148" i="2"/>
  <c r="C580" i="2"/>
  <c r="C306" i="2"/>
  <c r="C166" i="2"/>
  <c r="C248" i="2"/>
  <c r="C461" i="2"/>
  <c r="C317" i="2"/>
  <c r="C48" i="2"/>
  <c r="C112" i="2"/>
  <c r="C486" i="2"/>
  <c r="C534" i="2"/>
  <c r="C588" i="2"/>
  <c r="C407" i="2"/>
  <c r="C173" i="2"/>
  <c r="C50" i="2"/>
  <c r="C378" i="2"/>
  <c r="C434" i="2"/>
  <c r="C479" i="2"/>
  <c r="C205" i="2"/>
  <c r="C302" i="2"/>
  <c r="C567" i="2"/>
  <c r="C249" i="2"/>
  <c r="C335" i="2"/>
  <c r="C443" i="2"/>
  <c r="C650" i="2"/>
  <c r="C391" i="2"/>
  <c r="C428" i="2"/>
  <c r="C118" i="2"/>
  <c r="C629" i="2"/>
  <c r="C539" i="2"/>
  <c r="C139" i="2"/>
  <c r="C480" i="2"/>
  <c r="C181" i="2"/>
  <c r="C171" i="2"/>
  <c r="C550" i="2"/>
  <c r="C155" i="2"/>
  <c r="C177" i="2"/>
  <c r="C100" i="2"/>
  <c r="C275" i="2"/>
  <c r="C447" i="2"/>
  <c r="C512" i="2"/>
  <c r="C54" i="2"/>
  <c r="C448" i="2"/>
  <c r="C383" i="2"/>
  <c r="C266" i="2"/>
  <c r="C153" i="2"/>
  <c r="C168" i="2"/>
  <c r="C142" i="2"/>
  <c r="C414" i="2"/>
  <c r="C424" i="2"/>
  <c r="C26" i="2"/>
  <c r="C296" i="2"/>
  <c r="C444" i="2"/>
  <c r="C88" i="2"/>
  <c r="C147" i="2"/>
  <c r="C622" i="2"/>
  <c r="C253" i="2"/>
  <c r="C197" i="2"/>
  <c r="C396" i="2"/>
  <c r="C241" i="2"/>
  <c r="C28" i="2"/>
  <c r="C422" i="2"/>
  <c r="C346" i="2"/>
  <c r="C502" i="2"/>
  <c r="C193" i="2"/>
  <c r="C529" i="2"/>
  <c r="C429" i="2"/>
  <c r="C280" i="2"/>
  <c r="C195" i="2"/>
  <c r="C285" i="2"/>
  <c r="C299" i="2"/>
  <c r="C329" i="2"/>
  <c r="C36" i="2"/>
  <c r="C272" i="2"/>
  <c r="C38" i="2"/>
  <c r="C122" i="2"/>
  <c r="C485" i="2"/>
  <c r="C596" i="2"/>
  <c r="C641" i="2"/>
  <c r="C358" i="2"/>
  <c r="C217" i="2"/>
  <c r="C141" i="2"/>
  <c r="C126" i="2"/>
  <c r="C356" i="2"/>
  <c r="C80" i="2"/>
  <c r="C501" i="2"/>
  <c r="C86" i="2"/>
  <c r="C451" i="2"/>
  <c r="C92" i="2"/>
  <c r="C169" i="2"/>
  <c r="C400" i="2"/>
  <c r="C138" i="2"/>
  <c r="C558" i="2"/>
  <c r="C130" i="2"/>
  <c r="C465" i="2"/>
  <c r="C431" i="2"/>
  <c r="C598" i="2"/>
  <c r="C614" i="2"/>
  <c r="C478" i="2"/>
  <c r="C449" i="2"/>
  <c r="C470" i="2"/>
  <c r="C52" i="2"/>
  <c r="C667" i="2"/>
  <c r="C458" i="2"/>
  <c r="C382" i="2"/>
  <c r="C528" i="2"/>
  <c r="C616" i="2"/>
  <c r="C172" i="2"/>
  <c r="C233" i="2"/>
  <c r="C393" i="2"/>
  <c r="C437" i="2"/>
  <c r="C62" i="2"/>
  <c r="C300" i="2"/>
  <c r="C345" i="2"/>
  <c r="C359" i="2"/>
  <c r="C568" i="2"/>
  <c r="C227" i="2"/>
  <c r="C333" i="2"/>
  <c r="C10" i="2"/>
  <c r="C260" i="2"/>
  <c r="C96" i="2"/>
  <c r="C368" i="2"/>
  <c r="C186" i="2"/>
  <c r="C207" i="2"/>
  <c r="C341" i="2"/>
  <c r="C503" i="2"/>
  <c r="C572" i="2"/>
  <c r="C583" i="2"/>
  <c r="C637" i="2"/>
  <c r="C643" i="2"/>
  <c r="C631" i="2"/>
  <c r="C184" i="2"/>
  <c r="C371" i="2"/>
  <c r="C423" i="2"/>
  <c r="C133" i="2"/>
  <c r="C612" i="2"/>
  <c r="C292" i="2"/>
  <c r="C519" i="2"/>
  <c r="C381" i="2"/>
  <c r="C395" i="2"/>
  <c r="C603" i="2"/>
  <c r="C555" i="2"/>
  <c r="C408" i="2"/>
  <c r="C511" i="2"/>
  <c r="C157" i="2"/>
  <c r="C192" i="2"/>
  <c r="C380" i="2"/>
  <c r="C135" i="2"/>
  <c r="C271" i="2"/>
  <c r="C161" i="2"/>
  <c r="C256" i="2"/>
  <c r="C600" i="2"/>
  <c r="C18" i="2"/>
  <c r="C487" i="2"/>
  <c r="C591" i="2"/>
  <c r="C16" i="2"/>
  <c r="C634" i="2"/>
  <c r="C421" i="2"/>
  <c r="C619" i="2"/>
  <c r="C647" i="2"/>
  <c r="C492" i="2"/>
  <c r="C404" i="2"/>
  <c r="C108" i="2"/>
  <c r="C102" i="2"/>
  <c r="C627" i="2"/>
  <c r="C418" i="2"/>
  <c r="C435" i="2"/>
  <c r="C657" i="2"/>
  <c r="C6" i="2"/>
  <c r="C535" i="2"/>
  <c r="C129" i="2"/>
  <c r="C551" i="2"/>
  <c r="C313" i="2" l="1"/>
  <c r="C342" i="2"/>
  <c r="C143" i="2"/>
  <c r="C527" i="2"/>
  <c r="C473" i="2"/>
  <c r="C664" i="2"/>
  <c r="C496" i="2"/>
  <c r="C32" i="2"/>
  <c r="G17" i="5" s="1"/>
  <c r="C462" i="2"/>
  <c r="C196" i="2"/>
  <c r="C190" i="2"/>
  <c r="C295" i="2"/>
  <c r="C406" i="2"/>
  <c r="C321" i="2"/>
  <c r="C310" i="2"/>
  <c r="C655" i="2"/>
  <c r="C204" i="2"/>
  <c r="C660" i="2"/>
  <c r="C353" i="2"/>
  <c r="G12" i="5"/>
  <c r="G18" i="5"/>
  <c r="G19" i="5"/>
  <c r="G43" i="5"/>
  <c r="G44" i="5"/>
  <c r="C255" i="18" s="1"/>
  <c r="D255" i="18" s="1"/>
  <c r="G13" i="5"/>
  <c r="G37" i="5"/>
  <c r="G38" i="5"/>
  <c r="G15" i="5"/>
  <c r="G41" i="5"/>
  <c r="C258" i="18"/>
  <c r="D258" i="18" s="1"/>
  <c r="C254" i="18"/>
  <c r="D254" i="18" s="1"/>
  <c r="C256" i="18"/>
  <c r="D256" i="18" s="1"/>
  <c r="C259" i="18"/>
  <c r="D259" i="18" s="1"/>
  <c r="C257" i="18" l="1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365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354" i="2"/>
  <c r="G39" i="5"/>
  <c r="G14" i="5"/>
  <c r="C670" i="2"/>
  <c r="C665" i="2"/>
  <c r="C476" i="2"/>
  <c r="C488" i="2"/>
  <c r="G45" i="5"/>
  <c r="C305" i="2"/>
  <c r="C44" i="2"/>
  <c r="C530" i="2"/>
  <c r="C513" i="2"/>
  <c r="C544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20" i="2"/>
  <c r="C202" i="2"/>
  <c r="C325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248" i="18"/>
  <c r="D248" i="18" s="1"/>
  <c r="C252" i="18"/>
  <c r="D252" i="18" s="1"/>
  <c r="C251" i="18"/>
  <c r="D251" i="18" s="1"/>
  <c r="C249" i="18"/>
  <c r="D249" i="18" s="1"/>
  <c r="C250" i="18"/>
  <c r="D250" i="18" s="1"/>
  <c r="C253" i="18"/>
  <c r="D253" i="18" s="1"/>
  <c r="C102" i="18"/>
  <c r="D102" i="18" s="1"/>
  <c r="C101" i="18"/>
  <c r="D101" i="18" s="1"/>
  <c r="C103" i="18"/>
  <c r="D103" i="18" s="1"/>
  <c r="C99" i="18"/>
  <c r="D99" i="18" s="1"/>
  <c r="C100" i="18"/>
  <c r="D100" i="18" s="1"/>
  <c r="C98" i="18"/>
  <c r="D98" i="18" s="1"/>
  <c r="C216" i="2"/>
  <c r="C683" i="2"/>
  <c r="C674" i="2"/>
  <c r="C208" i="2"/>
  <c r="C152" i="2"/>
  <c r="C420" i="2"/>
  <c r="C213" i="2" l="1"/>
  <c r="C58" i="2"/>
  <c r="C675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433" i="2"/>
  <c r="C30" i="2"/>
  <c r="G16" i="5" s="1"/>
  <c r="C316" i="2"/>
  <c r="C680" i="2"/>
  <c r="C377" i="2"/>
  <c r="C163" i="2"/>
  <c r="C226" i="2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C367" i="2"/>
  <c r="C452" i="2"/>
  <c r="C560" i="2"/>
  <c r="C504" i="2"/>
  <c r="G46" i="5" s="1"/>
  <c r="C219" i="2"/>
  <c r="C74" i="18"/>
  <c r="D74" i="18" s="1"/>
  <c r="C75" i="18"/>
  <c r="D75" i="18" s="1"/>
  <c r="C76" i="18"/>
  <c r="D76" i="18" s="1"/>
  <c r="C79" i="18"/>
  <c r="D79" i="18" s="1"/>
  <c r="C77" i="18"/>
  <c r="D77" i="18" s="1"/>
  <c r="C78" i="18"/>
  <c r="D78" i="18" s="1"/>
  <c r="C491" i="2"/>
  <c r="C337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229" i="2" l="1"/>
  <c r="C390" i="2"/>
  <c r="C70" i="2"/>
  <c r="G36" i="5" s="1"/>
  <c r="C271" i="18"/>
  <c r="D271" i="18" s="1"/>
  <c r="C270" i="18"/>
  <c r="D270" i="18" s="1"/>
  <c r="C268" i="18"/>
  <c r="D268" i="18" s="1"/>
  <c r="C267" i="18"/>
  <c r="D267" i="18" s="1"/>
  <c r="C266" i="18"/>
  <c r="D266" i="18" s="1"/>
  <c r="C269" i="18"/>
  <c r="D269" i="18" s="1"/>
  <c r="C446" i="2"/>
  <c r="C349" i="2"/>
  <c r="C520" i="2"/>
  <c r="C688" i="2"/>
  <c r="C224" i="2"/>
  <c r="C379" i="2"/>
  <c r="C236" i="2"/>
  <c r="C508" i="2"/>
  <c r="C174" i="2"/>
  <c r="C328" i="2"/>
  <c r="C576" i="2"/>
  <c r="C466" i="2"/>
  <c r="C42" i="2"/>
  <c r="C684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481" i="2"/>
  <c r="C460" i="2"/>
  <c r="C82" i="2"/>
  <c r="G42" i="5" s="1"/>
  <c r="C340" i="2"/>
  <c r="C392" i="2"/>
  <c r="C692" i="2"/>
  <c r="C187" i="2"/>
  <c r="C525" i="2"/>
  <c r="C56" i="2"/>
  <c r="C234" i="2"/>
  <c r="G47" i="5"/>
  <c r="C536" i="2"/>
  <c r="C592" i="2"/>
  <c r="C247" i="2"/>
  <c r="C417" i="2"/>
  <c r="C403" i="2"/>
  <c r="C696" i="2"/>
  <c r="C361" i="2"/>
  <c r="C240" i="2"/>
  <c r="C244" i="18" l="1"/>
  <c r="D244" i="18" s="1"/>
  <c r="C246" i="18"/>
  <c r="D246" i="18" s="1"/>
  <c r="C247" i="18"/>
  <c r="D247" i="18" s="1"/>
  <c r="C242" i="18"/>
  <c r="D242" i="18" s="1"/>
  <c r="C243" i="18"/>
  <c r="D243" i="18" s="1"/>
  <c r="C245" i="18"/>
  <c r="D245" i="18" s="1"/>
  <c r="C373" i="2"/>
  <c r="C608" i="2"/>
  <c r="C541" i="2"/>
  <c r="C352" i="2"/>
  <c r="C552" i="2"/>
  <c r="G49" i="5" s="1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703" i="2"/>
  <c r="C199" i="2"/>
  <c r="C94" i="2"/>
  <c r="G48" i="5" s="1"/>
  <c r="C257" i="2"/>
  <c r="C245" i="2"/>
  <c r="C700" i="2"/>
  <c r="C475" i="2"/>
  <c r="C497" i="2"/>
  <c r="C252" i="2"/>
  <c r="C259" i="2"/>
  <c r="C78" i="2"/>
  <c r="G40" i="5" s="1"/>
  <c r="C66" i="2"/>
  <c r="C405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232" i="18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264" i="2"/>
  <c r="C707" i="2"/>
  <c r="C287" i="18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557" i="2"/>
  <c r="C569" i="2"/>
  <c r="G50" i="5" s="1"/>
  <c r="C110" i="2"/>
  <c r="C514" i="2"/>
  <c r="C419" i="2"/>
  <c r="C210" i="2"/>
  <c r="C623" i="2"/>
  <c r="C268" i="2"/>
  <c r="C710" i="2"/>
  <c r="C364" i="2"/>
  <c r="C385" i="2"/>
  <c r="C490" i="2"/>
  <c r="C376" i="2" l="1"/>
  <c r="C278" i="2"/>
  <c r="C221" i="2"/>
  <c r="C574" i="2"/>
  <c r="C445" i="2"/>
  <c r="C432" i="2"/>
  <c r="C714" i="2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506" i="2"/>
  <c r="C724" i="2"/>
  <c r="C717" i="2"/>
  <c r="C531" i="2"/>
  <c r="C585" i="2"/>
  <c r="C273" i="2"/>
  <c r="C638" i="2"/>
  <c r="C397" i="2"/>
  <c r="C131" i="2"/>
  <c r="C123" i="2"/>
  <c r="C605" i="2" l="1"/>
  <c r="C590" i="2"/>
  <c r="C283" i="2"/>
  <c r="C522" i="2"/>
  <c r="C232" i="2"/>
  <c r="C601" i="2"/>
  <c r="C721" i="2"/>
  <c r="C288" i="2"/>
  <c r="C411" i="2"/>
  <c r="C547" i="2"/>
  <c r="C389" i="2"/>
  <c r="C651" i="2"/>
  <c r="C425" i="2" l="1"/>
  <c r="C661" i="2"/>
  <c r="C671" i="2"/>
  <c r="C538" i="2"/>
  <c r="C415" i="2"/>
  <c r="C401" i="2"/>
  <c r="C298" i="2"/>
  <c r="C617" i="2"/>
  <c r="C293" i="2"/>
  <c r="C578" i="2"/>
  <c r="C563" i="2"/>
  <c r="C727" i="2"/>
  <c r="C243" i="2"/>
  <c r="C255" i="2" l="1"/>
  <c r="C303" i="2"/>
  <c r="C733" i="2"/>
  <c r="C632" i="2"/>
  <c r="C554" i="2"/>
  <c r="C309" i="2"/>
  <c r="C439" i="2"/>
  <c r="C645" i="2" l="1"/>
  <c r="C739" i="2"/>
  <c r="C453" i="2"/>
  <c r="C320" i="2"/>
  <c r="C314" i="2"/>
  <c r="C571" i="2"/>
  <c r="C265" i="2"/>
  <c r="C274" i="2" l="1"/>
  <c r="C586" i="2"/>
  <c r="C332" i="2"/>
  <c r="C344" i="2"/>
  <c r="C467" i="2"/>
  <c r="C745" i="2"/>
  <c r="C326" i="2"/>
  <c r="C666" i="2"/>
  <c r="C656" i="2"/>
  <c r="C482" i="2" l="1"/>
  <c r="C338" i="2"/>
  <c r="C750" i="2"/>
  <c r="C602" i="2"/>
  <c r="C284" i="2"/>
  <c r="C618" i="2" l="1"/>
  <c r="C755" i="2"/>
  <c r="C350" i="2"/>
  <c r="C294" i="2"/>
  <c r="C498" i="2"/>
  <c r="C515" i="2" l="1"/>
  <c r="C304" i="2"/>
  <c r="C362" i="2"/>
  <c r="C759" i="2"/>
  <c r="C646" i="2"/>
  <c r="C633" i="2"/>
  <c r="C5" i="2" l="1"/>
  <c r="C374" i="2"/>
  <c r="C327" i="2"/>
  <c r="C315" i="2"/>
  <c r="C532" i="2"/>
  <c r="C548" i="2" l="1"/>
  <c r="C386" i="2"/>
  <c r="C13" i="2"/>
  <c r="C19" i="2" l="1"/>
  <c r="C398" i="2"/>
  <c r="C564" i="2"/>
  <c r="C595" i="2" l="1"/>
  <c r="C579" i="2"/>
  <c r="C426" i="2"/>
  <c r="C412" i="2"/>
  <c r="C25" i="2"/>
  <c r="C31" i="2" l="1"/>
  <c r="C37" i="2" l="1"/>
  <c r="C43" i="2" l="1"/>
  <c r="C49" i="2" l="1"/>
  <c r="C55" i="2" l="1"/>
  <c r="C61" i="2" l="1"/>
  <c r="C67" i="2" l="1"/>
  <c r="C73" i="2" l="1"/>
  <c r="C79" i="2" l="1"/>
  <c r="C85" i="2" l="1"/>
  <c r="C91" i="2" l="1"/>
  <c r="C97" i="2" l="1"/>
  <c r="C101" i="2" l="1"/>
  <c r="C105" i="2" l="1"/>
  <c r="C113" i="2" l="1"/>
  <c r="C109" i="2"/>
  <c r="G52" i="5"/>
  <c r="G51" i="5"/>
  <c r="C307" i="18"/>
  <c r="D307" i="18" s="1"/>
  <c r="G9" i="5"/>
  <c r="C45" i="18"/>
  <c r="D45" i="18" s="1"/>
  <c r="G5" i="5"/>
  <c r="C24" i="18"/>
  <c r="D24" i="18" s="1"/>
  <c r="G35" i="5"/>
  <c r="C203" i="18" s="1"/>
  <c r="D203" i="18" s="1"/>
  <c r="C27" i="2"/>
  <c r="G75" i="5" s="1"/>
  <c r="C442" i="18" s="1"/>
  <c r="D442" i="18" s="1"/>
  <c r="C21" i="2"/>
  <c r="G74" i="5" s="1"/>
  <c r="C439" i="18" s="1"/>
  <c r="D439" i="18" s="1"/>
  <c r="C676" i="2"/>
  <c r="G58" i="5" s="1"/>
  <c r="G10" i="5"/>
  <c r="G25" i="5"/>
  <c r="C141" i="18" s="1"/>
  <c r="D141" i="18" s="1"/>
  <c r="C87" i="2"/>
  <c r="G85" i="5" s="1"/>
  <c r="C503" i="18" s="1"/>
  <c r="D503" i="18" s="1"/>
  <c r="G11" i="5"/>
  <c r="C59" i="18"/>
  <c r="D59" i="18" s="1"/>
  <c r="C760" i="2"/>
  <c r="G71" i="5" s="1"/>
  <c r="G23" i="5"/>
  <c r="C132" i="18" s="1"/>
  <c r="D132" i="18" s="1"/>
  <c r="G8" i="5"/>
  <c r="C38" i="18" s="1"/>
  <c r="D38" i="18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/>
  <c r="D179" i="18" s="1"/>
  <c r="C715" i="2"/>
  <c r="G63" i="5" s="1"/>
  <c r="G2" i="5"/>
  <c r="G6" i="5"/>
  <c r="C45" i="2"/>
  <c r="G4" i="5"/>
  <c r="C17" i="18" s="1"/>
  <c r="D17" i="18" s="1"/>
  <c r="C305" i="18"/>
  <c r="D305" i="18" s="1"/>
  <c r="G22" i="5"/>
  <c r="G21" i="5"/>
  <c r="C685" i="2"/>
  <c r="G59" i="5" s="1"/>
  <c r="C346" i="18" s="1"/>
  <c r="D346" i="18" s="1"/>
  <c r="C15" i="2"/>
  <c r="G73" i="5"/>
  <c r="G24" i="5"/>
  <c r="C134" i="18" s="1"/>
  <c r="D134" i="18" s="1"/>
  <c r="C20" i="18"/>
  <c r="D20" i="18" s="1"/>
  <c r="C177" i="18"/>
  <c r="D177" i="18" s="1"/>
  <c r="G96" i="5"/>
  <c r="C570" i="18" s="1"/>
  <c r="D570" i="18" s="1"/>
  <c r="C740" i="2"/>
  <c r="G67" i="5" s="1"/>
  <c r="C734" i="2"/>
  <c r="G66" i="5"/>
  <c r="C388" i="18" s="1"/>
  <c r="D388" i="18" s="1"/>
  <c r="C50" i="18"/>
  <c r="D50" i="18" s="1"/>
  <c r="G26" i="5"/>
  <c r="C151" i="18" s="1"/>
  <c r="D151" i="18" s="1"/>
  <c r="C701" i="2"/>
  <c r="G61" i="5" s="1"/>
  <c r="C361" i="18" s="1"/>
  <c r="D361" i="18" s="1"/>
  <c r="C3" i="18"/>
  <c r="D3" i="18" s="1"/>
  <c r="C153" i="18"/>
  <c r="D153" i="18" s="1"/>
  <c r="C27" i="18"/>
  <c r="D27" i="18" s="1"/>
  <c r="C6" i="18"/>
  <c r="D6" i="18" s="1"/>
  <c r="G99" i="5"/>
  <c r="C584" i="18" s="1"/>
  <c r="D584" i="18" s="1"/>
  <c r="C40" i="18"/>
  <c r="D40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99" i="2"/>
  <c r="G87" i="5" s="1"/>
  <c r="C517" i="18" s="1"/>
  <c r="D517" i="18" s="1"/>
  <c r="C121" i="18"/>
  <c r="D121" i="18" s="1"/>
  <c r="C144" i="18"/>
  <c r="D144" i="18" s="1"/>
  <c r="C60" i="18"/>
  <c r="D60" i="18" s="1"/>
  <c r="G53" i="5"/>
  <c r="C311" i="18" s="1"/>
  <c r="D311" i="18" s="1"/>
  <c r="G92" i="5"/>
  <c r="C542" i="18" s="1"/>
  <c r="D542" i="18" s="1"/>
  <c r="C47" i="18"/>
  <c r="D47" i="18" s="1"/>
  <c r="C36" i="18"/>
  <c r="D36" i="18" s="1"/>
  <c r="C30" i="18"/>
  <c r="D30" i="18" s="1"/>
  <c r="C300" i="18"/>
  <c r="D300" i="18" s="1"/>
  <c r="G109" i="5"/>
  <c r="C649" i="18" s="1"/>
  <c r="D649" i="18" s="1"/>
  <c r="C435" i="18"/>
  <c r="D435" i="18" s="1"/>
  <c r="C115" i="2"/>
  <c r="G91" i="5" s="1"/>
  <c r="C536" i="18" s="1"/>
  <c r="D536" i="18" s="1"/>
  <c r="G55" i="5"/>
  <c r="C49" i="18"/>
  <c r="D49" i="18" s="1"/>
  <c r="C119" i="18"/>
  <c r="D119" i="18" s="1"/>
  <c r="C53" i="18"/>
  <c r="D53" i="18" s="1"/>
  <c r="C69" i="2"/>
  <c r="G82" i="5" s="1"/>
  <c r="C16" i="18"/>
  <c r="D16" i="18" s="1"/>
  <c r="G200" i="5"/>
  <c r="C1190" i="18" s="1"/>
  <c r="D1190" i="18" s="1"/>
  <c r="C57" i="18"/>
  <c r="D57" i="18" s="1"/>
  <c r="C21" i="18"/>
  <c r="D21" i="18" s="1"/>
  <c r="C28" i="18"/>
  <c r="D28" i="18" s="1"/>
  <c r="C52" i="18"/>
  <c r="D52" i="18" s="1"/>
  <c r="C178" i="18"/>
  <c r="D178" i="18" s="1"/>
  <c r="C42" i="18"/>
  <c r="D42" i="18" s="1"/>
  <c r="C51" i="18"/>
  <c r="D51" i="18" s="1"/>
  <c r="G197" i="5"/>
  <c r="C1174" i="18" s="1"/>
  <c r="D1174" i="18" s="1"/>
  <c r="C205" i="18"/>
  <c r="D205" i="18" s="1"/>
  <c r="C7" i="18"/>
  <c r="D7" i="18" s="1"/>
  <c r="C126" i="18"/>
  <c r="D126" i="18" s="1"/>
  <c r="C342" i="18"/>
  <c r="D342" i="18" s="1"/>
  <c r="C107" i="2"/>
  <c r="G89" i="5" s="1"/>
  <c r="C150" i="18"/>
  <c r="D150" i="18" s="1"/>
  <c r="C23" i="18"/>
  <c r="D23" i="18" s="1"/>
  <c r="C129" i="18"/>
  <c r="D129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386" i="18"/>
  <c r="D386" i="18" s="1"/>
  <c r="C138" i="18"/>
  <c r="D138" i="18" s="1"/>
  <c r="C35" i="18"/>
  <c r="D35" i="18" s="1"/>
  <c r="C162" i="18"/>
  <c r="D162" i="18" s="1"/>
  <c r="C5" i="18"/>
  <c r="D5" i="18" s="1"/>
  <c r="G32" i="5"/>
  <c r="G54" i="5"/>
  <c r="C314" i="18" s="1"/>
  <c r="D314" i="18" s="1"/>
  <c r="C29" i="18"/>
  <c r="D29" i="18" s="1"/>
  <c r="C34" i="18"/>
  <c r="D34" i="18" s="1"/>
  <c r="C48" i="18"/>
  <c r="D48" i="18" s="1"/>
  <c r="C373" i="18"/>
  <c r="D373" i="18" s="1"/>
  <c r="C301" i="18"/>
  <c r="D301" i="18" s="1"/>
  <c r="C120" i="18"/>
  <c r="D120" i="18" s="1"/>
  <c r="C54" i="18"/>
  <c r="D54" i="18" s="1"/>
  <c r="C587" i="18"/>
  <c r="D587" i="18" s="1"/>
  <c r="C344" i="18"/>
  <c r="D344" i="18" s="1"/>
  <c r="C75" i="2"/>
  <c r="G83" i="5" s="1"/>
  <c r="C32" i="18"/>
  <c r="D32" i="18" s="1"/>
  <c r="C751" i="2"/>
  <c r="C43" i="18"/>
  <c r="D43" i="18" s="1"/>
  <c r="C159" i="18"/>
  <c r="D159" i="18" s="1"/>
  <c r="G33" i="5"/>
  <c r="C192" i="18" s="1"/>
  <c r="D192" i="18" s="1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7" i="2"/>
  <c r="G72" i="5" s="1"/>
  <c r="G637" i="5"/>
  <c r="C3817" i="18" s="1"/>
  <c r="D3817" i="18" s="1"/>
  <c r="C541" i="18"/>
  <c r="D541" i="18" s="1"/>
  <c r="C539" i="18"/>
  <c r="D539" i="18" s="1"/>
  <c r="C540" i="18"/>
  <c r="D540" i="18" s="1"/>
  <c r="C538" i="18"/>
  <c r="D538" i="18" s="1"/>
  <c r="G675" i="5"/>
  <c r="C4042" i="18" s="1"/>
  <c r="D4042" i="18" s="1"/>
  <c r="C746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116" i="18"/>
  <c r="D116" i="18" s="1"/>
  <c r="C25" i="18"/>
  <c r="D25" i="18" s="1"/>
  <c r="G30" i="5"/>
  <c r="C175" i="18" s="1"/>
  <c r="D175" i="18" s="1"/>
  <c r="C722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C546" i="18"/>
  <c r="D546" i="18" s="1"/>
  <c r="C544" i="18"/>
  <c r="D544" i="18" s="1"/>
  <c r="C547" i="18"/>
  <c r="D547" i="18" s="1"/>
  <c r="C543" i="18"/>
  <c r="D543" i="18" s="1"/>
  <c r="C545" i="18"/>
  <c r="D545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103" i="2"/>
  <c r="G88" i="5" s="1"/>
  <c r="G665" i="5"/>
  <c r="C3984" i="18" s="1"/>
  <c r="D3984" i="18" s="1"/>
  <c r="G297" i="5"/>
  <c r="G578" i="5"/>
  <c r="C348" i="18"/>
  <c r="D348" i="18" s="1"/>
  <c r="C347" i="18"/>
  <c r="D347" i="18" s="1"/>
  <c r="C345" i="18"/>
  <c r="D345" i="18" s="1"/>
  <c r="C349" i="18"/>
  <c r="D349" i="18" s="1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656" i="5"/>
  <c r="C3929" i="18" s="1"/>
  <c r="D3929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81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687" i="5"/>
  <c r="G495" i="5"/>
  <c r="C2962" i="18" s="1"/>
  <c r="D2962" i="18" s="1"/>
  <c r="C2964" i="18"/>
  <c r="D2964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33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93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63" i="2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57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443" i="18"/>
  <c r="D443" i="18" s="1"/>
  <c r="C441" i="18"/>
  <c r="D441" i="18" s="1"/>
  <c r="C440" i="18"/>
  <c r="D440" i="18" s="1"/>
  <c r="C445" i="18"/>
  <c r="D445" i="18" s="1"/>
  <c r="C444" i="18"/>
  <c r="D444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693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708" i="2"/>
  <c r="G649" i="5" s="1"/>
  <c r="G62" i="5"/>
  <c r="C366" i="18" s="1"/>
  <c r="D366" i="18" s="1"/>
  <c r="G385" i="5"/>
  <c r="C2303" i="18" s="1"/>
  <c r="D2303" i="18" s="1"/>
  <c r="G321" i="5"/>
  <c r="C728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51" i="2"/>
  <c r="G79" i="5" s="1"/>
  <c r="G437" i="5"/>
  <c r="C2615" i="18" s="1"/>
  <c r="D2615" i="18" s="1"/>
  <c r="G309" i="5"/>
  <c r="C1849" i="18" s="1"/>
  <c r="D1849" i="18" s="1"/>
  <c r="C1846" i="18"/>
  <c r="D1846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C2591" i="18"/>
  <c r="D2591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630" i="2"/>
  <c r="G571" i="5" s="1"/>
  <c r="C744" i="2"/>
  <c r="G685" i="5" s="1"/>
  <c r="C735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111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719" i="2"/>
  <c r="G660" i="5" s="1"/>
  <c r="C543" i="2"/>
  <c r="G484" i="5" s="1"/>
  <c r="G607" i="5"/>
  <c r="C3634" i="18" s="1"/>
  <c r="D3634" i="18" s="1"/>
  <c r="C95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756" i="2"/>
  <c r="G298" i="5"/>
  <c r="C1781" i="18" s="1"/>
  <c r="D1781" i="18" s="1"/>
  <c r="C222" i="2"/>
  <c r="G163" i="5" s="1"/>
  <c r="C250" i="2"/>
  <c r="G191" i="5" s="1"/>
  <c r="C640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694" i="2"/>
  <c r="G635" i="5" s="1"/>
  <c r="C753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212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754" i="2"/>
  <c r="G695" i="5" s="1"/>
  <c r="C625" i="2"/>
  <c r="G566" i="5" s="1"/>
  <c r="C516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336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589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384" i="2"/>
  <c r="G325" i="5" s="1"/>
  <c r="C500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C339" i="18"/>
  <c r="D339" i="18" s="1"/>
  <c r="C341" i="18"/>
  <c r="D341" i="18" s="1"/>
  <c r="C340" i="18"/>
  <c r="D340" i="18" s="1"/>
  <c r="C343" i="18"/>
  <c r="D343" i="18" s="1"/>
  <c r="G97" i="5"/>
  <c r="C572" i="18" s="1"/>
  <c r="D572" i="18" s="1"/>
  <c r="G323" i="5"/>
  <c r="C1932" i="18" s="1"/>
  <c r="D1932" i="18" s="1"/>
  <c r="C570" i="2"/>
  <c r="G511" i="5" s="1"/>
  <c r="C709" i="2"/>
  <c r="G650" i="5" s="1"/>
  <c r="C2456" i="18"/>
  <c r="D2456" i="18" s="1"/>
  <c r="C624" i="2"/>
  <c r="G565" i="5" s="1"/>
  <c r="C705" i="2"/>
  <c r="G646" i="5" s="1"/>
  <c r="C669" i="2"/>
  <c r="G610" i="5" s="1"/>
  <c r="C659" i="2"/>
  <c r="G600" i="5" s="1"/>
  <c r="C59" i="2"/>
  <c r="C610" i="2"/>
  <c r="G551" i="5" s="1"/>
  <c r="C738" i="2"/>
  <c r="G679" i="5" s="1"/>
  <c r="C711" i="2"/>
  <c r="G652" i="5" s="1"/>
  <c r="C687" i="2"/>
  <c r="G628" i="5" s="1"/>
  <c r="C427" i="2"/>
  <c r="G368" i="5" s="1"/>
  <c r="C658" i="2"/>
  <c r="G599" i="5" s="1"/>
  <c r="C556" i="2"/>
  <c r="G497" i="5" s="1"/>
  <c r="C713" i="2"/>
  <c r="G654" i="5" s="1"/>
  <c r="C732" i="2"/>
  <c r="G673" i="5" s="1"/>
  <c r="C375" i="2"/>
  <c r="G316" i="5" s="1"/>
  <c r="C440" i="2"/>
  <c r="G381" i="5" s="1"/>
  <c r="G406" i="5"/>
  <c r="C2431" i="18" s="1"/>
  <c r="D2431" i="18" s="1"/>
  <c r="G488" i="5"/>
  <c r="G581" i="5"/>
  <c r="G29" i="5"/>
  <c r="G167" i="5"/>
  <c r="C994" i="18" s="1"/>
  <c r="D994" i="18" s="1"/>
  <c r="G233" i="5"/>
  <c r="G602" i="5"/>
  <c r="G472" i="5"/>
  <c r="G138" i="5"/>
  <c r="C39" i="2"/>
  <c r="G77" i="5"/>
  <c r="G629" i="5"/>
  <c r="G513" i="5"/>
  <c r="G532" i="5"/>
  <c r="G443" i="5"/>
  <c r="G231" i="5"/>
  <c r="C287" i="2"/>
  <c r="G228" i="5" s="1"/>
  <c r="C718" i="2"/>
  <c r="G659" i="5" s="1"/>
  <c r="C642" i="2"/>
  <c r="G583" i="5" s="1"/>
  <c r="C682" i="2"/>
  <c r="G623" i="5" s="1"/>
  <c r="C83" i="2"/>
  <c r="C695" i="2"/>
  <c r="G636" i="5" s="1"/>
  <c r="C372" i="2"/>
  <c r="G313" i="5" s="1"/>
  <c r="C609" i="2"/>
  <c r="G550" i="5" s="1"/>
  <c r="C663" i="2"/>
  <c r="G604" i="5" s="1"/>
  <c r="C175" i="2"/>
  <c r="G116" i="5" s="1"/>
  <c r="C277" i="2"/>
  <c r="G218" i="5" s="1"/>
  <c r="C743" i="2"/>
  <c r="G684" i="5" s="1"/>
  <c r="C636" i="2"/>
  <c r="G577" i="5" s="1"/>
  <c r="C324" i="2"/>
  <c r="G265" i="5" s="1"/>
  <c r="C737" i="2"/>
  <c r="G678" i="5" s="1"/>
  <c r="C620" i="2"/>
  <c r="G561" i="5" s="1"/>
  <c r="C413" i="2"/>
  <c r="G354" i="5" s="1"/>
  <c r="C215" i="2"/>
  <c r="G156" i="5" s="1"/>
  <c r="C726" i="2"/>
  <c r="G667" i="5" s="1"/>
  <c r="C639" i="2"/>
  <c r="G580" i="5" s="1"/>
  <c r="C521" i="2"/>
  <c r="G462" i="5" s="1"/>
  <c r="C577" i="2"/>
  <c r="G518" i="5" s="1"/>
  <c r="C736" i="2"/>
  <c r="G677" i="5" s="1"/>
  <c r="C351" i="2"/>
  <c r="G292" i="5" s="1"/>
  <c r="C686" i="2"/>
  <c r="G627" i="5" s="1"/>
  <c r="C239" i="2"/>
  <c r="G180" i="5" s="1"/>
  <c r="C689" i="2"/>
  <c r="G630" i="5" s="1"/>
  <c r="C749" i="2"/>
  <c r="G690" i="5" s="1"/>
  <c r="C41" i="2"/>
  <c r="C183" i="2"/>
  <c r="G124" i="5" s="1"/>
  <c r="C704" i="2"/>
  <c r="G645" i="5" s="1"/>
  <c r="C649" i="2"/>
  <c r="G590" i="5" s="1"/>
  <c r="C399" i="2"/>
  <c r="G340" i="5" s="1"/>
  <c r="C474" i="2"/>
  <c r="G415" i="5" s="1"/>
  <c r="C454" i="2"/>
  <c r="G395" i="5" s="1"/>
  <c r="C725" i="2"/>
  <c r="G666" i="5" s="1"/>
  <c r="C71" i="2"/>
  <c r="C29" i="2"/>
  <c r="C690" i="2"/>
  <c r="G631" i="5" s="1"/>
  <c r="C17" i="2"/>
  <c r="C179" i="2"/>
  <c r="G120" i="5" s="1"/>
  <c r="C712" i="2"/>
  <c r="G653" i="5" s="1"/>
  <c r="C499" i="2"/>
  <c r="G440" i="5" s="1"/>
  <c r="C89" i="2"/>
  <c r="C613" i="2"/>
  <c r="G554" i="5" s="1"/>
  <c r="C267" i="2"/>
  <c r="G208" i="5" s="1"/>
  <c r="C593" i="2"/>
  <c r="G534" i="5" s="1"/>
  <c r="C742" i="2"/>
  <c r="G683" i="5" s="1"/>
  <c r="C159" i="2"/>
  <c r="G100" i="5" s="1"/>
  <c r="C149" i="2"/>
  <c r="G90" i="5" s="1"/>
  <c r="C648" i="2"/>
  <c r="G589" i="5" s="1"/>
  <c r="C170" i="2"/>
  <c r="G111" i="5" s="1"/>
  <c r="C218" i="2"/>
  <c r="G159" i="5" s="1"/>
  <c r="C731" i="2"/>
  <c r="G672" i="5" s="1"/>
  <c r="C387" i="2"/>
  <c r="G328" i="5" s="1"/>
  <c r="C697" i="2"/>
  <c r="G638" i="5" s="1"/>
  <c r="C145" i="2"/>
  <c r="C652" i="2"/>
  <c r="G593" i="5" s="1"/>
  <c r="C4034" i="18"/>
  <c r="D4034" i="18" s="1"/>
  <c r="C573" i="2"/>
  <c r="G514" i="5" s="1"/>
  <c r="C729" i="2"/>
  <c r="G670" i="5" s="1"/>
  <c r="C672" i="2"/>
  <c r="G613" i="5" s="1"/>
  <c r="C720" i="2"/>
  <c r="G661" i="5" s="1"/>
  <c r="C553" i="2"/>
  <c r="G494" i="5" s="1"/>
  <c r="C194" i="2"/>
  <c r="G135" i="5" s="1"/>
  <c r="C702" i="2"/>
  <c r="G643" i="5" s="1"/>
  <c r="C35" i="2"/>
  <c r="C201" i="2"/>
  <c r="G142" i="5" s="1"/>
  <c r="C211" i="2"/>
  <c r="G152" i="5" s="1"/>
  <c r="C662" i="2"/>
  <c r="G603" i="5" s="1"/>
  <c r="C235" i="2"/>
  <c r="G176" i="5" s="1"/>
  <c r="C225" i="2"/>
  <c r="G166" i="5" s="1"/>
  <c r="C228" i="2"/>
  <c r="G169" i="5" s="1"/>
  <c r="C203" i="2"/>
  <c r="G144" i="5" s="1"/>
  <c r="C699" i="2"/>
  <c r="G640" i="5" s="1"/>
  <c r="C757" i="2"/>
  <c r="G698" i="5" s="1"/>
  <c r="C489" i="2"/>
  <c r="G430" i="5" s="1"/>
  <c r="C668" i="2"/>
  <c r="G609" i="5" s="1"/>
  <c r="C581" i="2"/>
  <c r="G522" i="5" s="1"/>
  <c r="C47" i="2"/>
  <c r="C653" i="2"/>
  <c r="G594" i="5" s="1"/>
  <c r="C549" i="2"/>
  <c r="G490" i="5" s="1"/>
  <c r="C706" i="2"/>
  <c r="G647" i="5" s="1"/>
  <c r="C137" i="2"/>
  <c r="G78" i="5" s="1"/>
  <c r="C673" i="2"/>
  <c r="G614" i="5" s="1"/>
  <c r="C628" i="2"/>
  <c r="G569" i="5" s="1"/>
  <c r="C597" i="2"/>
  <c r="G538" i="5" s="1"/>
  <c r="C246" i="2"/>
  <c r="G187" i="5" s="1"/>
  <c r="C77" i="2"/>
  <c r="C188" i="2"/>
  <c r="G129" i="5" s="1"/>
  <c r="C537" i="2"/>
  <c r="G478" i="5" s="1"/>
  <c r="C615" i="2"/>
  <c r="G556" i="5" s="1"/>
  <c r="C678" i="2"/>
  <c r="G619" i="5" s="1"/>
  <c r="C484" i="2"/>
  <c r="G425" i="5" s="1"/>
  <c r="C468" i="2"/>
  <c r="G409" i="5" s="1"/>
  <c r="C154" i="2"/>
  <c r="G95" i="5" s="1"/>
  <c r="C469" i="2"/>
  <c r="G410" i="5" s="1"/>
  <c r="C505" i="2"/>
  <c r="G446" i="5" s="1"/>
  <c r="C206" i="2"/>
  <c r="G147" i="5" s="1"/>
  <c r="C566" i="2"/>
  <c r="G507" i="5" s="1"/>
  <c r="C23" i="2"/>
  <c r="C53" i="2"/>
  <c r="C258" i="2"/>
  <c r="G199" i="5" s="1"/>
  <c r="C165" i="2"/>
  <c r="G106" i="5" s="1"/>
  <c r="C200" i="2"/>
  <c r="G141" i="5" s="1"/>
  <c r="C748" i="2"/>
  <c r="G689" i="5" s="1"/>
  <c r="C65" i="2"/>
  <c r="C679" i="2"/>
  <c r="G620" i="5" s="1"/>
  <c r="C3" i="2"/>
  <c r="C526" i="2"/>
  <c r="G467" i="5" s="1"/>
  <c r="C533" i="2"/>
  <c r="G474" i="5" s="1"/>
  <c r="C483" i="2"/>
  <c r="G424" i="5" s="1"/>
  <c r="C747" i="2"/>
  <c r="G688" i="5" s="1"/>
  <c r="C9" i="2"/>
  <c r="C11" i="2"/>
  <c r="C681" i="2"/>
  <c r="G622" i="5" s="1"/>
  <c r="C360" i="2"/>
  <c r="G301" i="5" s="1"/>
  <c r="C191" i="2"/>
  <c r="G132" i="5" s="1"/>
  <c r="C761" i="2"/>
  <c r="G702" i="5" s="1"/>
  <c r="C752" i="2"/>
  <c r="G693" i="5" s="1"/>
  <c r="C698" i="2"/>
  <c r="G639" i="5" s="1"/>
  <c r="C635" i="2"/>
  <c r="G576" i="5" s="1"/>
  <c r="C363" i="2"/>
  <c r="G304" i="5" s="1"/>
  <c r="C290" i="10" s="1"/>
  <c r="E290" i="10" s="1"/>
  <c r="C9" i="10"/>
  <c r="E9" i="10" s="1"/>
  <c r="C3606" i="18"/>
  <c r="D3606" i="18" s="1"/>
  <c r="C3605" i="18"/>
  <c r="D3605" i="18" s="1"/>
  <c r="C3604" i="18"/>
  <c r="D3604" i="18" s="1"/>
  <c r="C3603" i="18"/>
  <c r="D3603" i="18" s="1"/>
  <c r="C3607" i="18"/>
  <c r="D3607" i="18" s="1"/>
  <c r="C3602" i="18"/>
  <c r="D3602" i="18" s="1"/>
  <c r="C1377" i="18"/>
  <c r="D1377" i="18" s="1"/>
  <c r="C1376" i="18"/>
  <c r="D1376" i="18" s="1"/>
  <c r="C1380" i="18"/>
  <c r="D1380" i="18" s="1"/>
  <c r="C1381" i="18"/>
  <c r="D1381" i="18" s="1"/>
  <c r="C1379" i="18"/>
  <c r="D1379" i="18" s="1"/>
  <c r="C1378" i="18"/>
  <c r="D1378" i="18" s="1"/>
  <c r="C2428" i="18"/>
  <c r="D2428" i="18" s="1"/>
  <c r="C2426" i="18"/>
  <c r="D2426" i="18" s="1"/>
  <c r="C2429" i="18"/>
  <c r="D2429" i="18" s="1"/>
  <c r="C2430" i="18"/>
  <c r="D2430" i="18" s="1"/>
  <c r="C2427" i="18"/>
  <c r="D2427" i="18" s="1"/>
  <c r="C995" i="18"/>
  <c r="D995" i="18" s="1"/>
  <c r="C993" i="18"/>
  <c r="D993" i="18" s="1"/>
  <c r="C996" i="18"/>
  <c r="D996" i="18" s="1"/>
  <c r="C997" i="18"/>
  <c r="D997" i="18" s="1"/>
  <c r="C377" i="10"/>
  <c r="E377" i="10" s="1"/>
  <c r="C140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17" i="18"/>
  <c r="D11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324" i="10"/>
  <c r="E324" i="10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13" i="18"/>
  <c r="D113" i="18" s="1"/>
  <c r="C111" i="18"/>
  <c r="D111" i="18" s="1"/>
  <c r="C114" i="18"/>
  <c r="D114" i="18" s="1"/>
  <c r="C130" i="18"/>
  <c r="D130" i="18" s="1"/>
  <c r="C131" i="18"/>
  <c r="D131" i="18" s="1"/>
  <c r="C133" i="18"/>
  <c r="D133" i="18" s="1"/>
  <c r="C128" i="18"/>
  <c r="D128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6" i="18"/>
  <c r="D3476" i="18" s="1"/>
  <c r="C3478" i="18"/>
  <c r="D3478" i="18" s="1"/>
  <c r="C3477" i="18"/>
  <c r="D3477" i="18" s="1"/>
  <c r="C3481" i="18"/>
  <c r="D3481" i="18" s="1"/>
  <c r="C3479" i="18"/>
  <c r="D3479" i="18" s="1"/>
  <c r="C3480" i="18"/>
  <c r="D3480" i="18" s="1"/>
  <c r="C3072" i="18"/>
  <c r="D3072" i="18" s="1"/>
  <c r="C3068" i="18"/>
  <c r="D3068" i="18" s="1"/>
  <c r="C3069" i="18"/>
  <c r="D3069" i="18" s="1"/>
  <c r="C3070" i="18"/>
  <c r="D3070" i="18" s="1"/>
  <c r="C3073" i="18"/>
  <c r="D3073" i="18" s="1"/>
  <c r="C3071" i="18"/>
  <c r="D3071" i="18" s="1"/>
  <c r="C559" i="2"/>
  <c r="G500" i="5" s="1"/>
  <c r="C758" i="2"/>
  <c r="G699" i="5" s="1"/>
  <c r="C312" i="2"/>
  <c r="G253" i="5" s="1"/>
  <c r="C621" i="2"/>
  <c r="G562" i="5" s="1"/>
  <c r="C466" i="10" s="1"/>
  <c r="E466" i="10" s="1"/>
  <c r="C546" i="2"/>
  <c r="G487" i="5" s="1"/>
  <c r="C128" i="2"/>
  <c r="C167" i="2"/>
  <c r="G108" i="5" s="1"/>
  <c r="C741" i="2"/>
  <c r="G682" i="5" s="1"/>
  <c r="C604" i="2"/>
  <c r="G545" i="5" s="1"/>
  <c r="C382" i="10" s="1"/>
  <c r="E382" i="10" s="1"/>
  <c r="C716" i="2"/>
  <c r="G657" i="5" s="1"/>
  <c r="C509" i="2"/>
  <c r="G450" i="5" s="1"/>
  <c r="C459" i="2"/>
  <c r="G400" i="5" s="1"/>
  <c r="C348" i="2"/>
  <c r="G289" i="5" s="1"/>
  <c r="C561" i="2"/>
  <c r="G502" i="5" s="1"/>
  <c r="C545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22" i="18"/>
  <c r="D22" i="18" s="1"/>
  <c r="C2" i="11"/>
  <c r="D2" i="11" s="1"/>
  <c r="C691" i="2"/>
  <c r="G632" i="5" s="1"/>
  <c r="C189" i="2"/>
  <c r="G130" i="5" s="1"/>
  <c r="C599" i="2"/>
  <c r="G540" i="5" s="1"/>
  <c r="C123" i="10" s="1"/>
  <c r="E123" i="10" s="1"/>
  <c r="C318" i="10"/>
  <c r="E318" i="10" s="1"/>
  <c r="C46" i="18"/>
  <c r="D46" i="18" s="1"/>
  <c r="C455" i="2"/>
  <c r="G396" i="5" s="1"/>
  <c r="C594" i="2"/>
  <c r="G535" i="5" s="1"/>
  <c r="C452" i="18"/>
  <c r="D452" i="18" s="1"/>
  <c r="C456" i="18"/>
  <c r="D456" i="18" s="1"/>
  <c r="C453" i="18"/>
  <c r="D453" i="18" s="1"/>
  <c r="C454" i="18"/>
  <c r="D454" i="18" s="1"/>
  <c r="C455" i="18"/>
  <c r="D455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474" i="10"/>
  <c r="E474" i="10" s="1"/>
  <c r="C180" i="18"/>
  <c r="D180" i="18" s="1"/>
  <c r="C176" i="18"/>
  <c r="D176" i="18" s="1"/>
  <c r="C181" i="18"/>
  <c r="D181" i="18" s="1"/>
  <c r="C400" i="10"/>
  <c r="E400" i="10" s="1"/>
  <c r="C202" i="18"/>
  <c r="D202" i="18" s="1"/>
  <c r="C201" i="18"/>
  <c r="D201" i="18" s="1"/>
  <c r="C204" i="18"/>
  <c r="D204" i="18" s="1"/>
  <c r="C41" i="18"/>
  <c r="D41" i="18" s="1"/>
  <c r="C39" i="18"/>
  <c r="D39" i="18" s="1"/>
  <c r="C196" i="18"/>
  <c r="D196" i="18" s="1"/>
  <c r="C194" i="18"/>
  <c r="D194" i="18" s="1"/>
  <c r="C197" i="18"/>
  <c r="D197" i="18" s="1"/>
  <c r="C198" i="18"/>
  <c r="D198" i="18" s="1"/>
  <c r="C58" i="18"/>
  <c r="D58" i="18" s="1"/>
  <c r="C61" i="18"/>
  <c r="D61" i="18" s="1"/>
  <c r="C56" i="18"/>
  <c r="D56" i="18" s="1"/>
  <c r="C183" i="18"/>
  <c r="D183" i="18" s="1"/>
  <c r="C185" i="18"/>
  <c r="D185" i="18" s="1"/>
  <c r="C186" i="18"/>
  <c r="D186" i="18" s="1"/>
  <c r="C184" i="18"/>
  <c r="D184" i="18" s="1"/>
  <c r="C187" i="18"/>
  <c r="D187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517" i="2"/>
  <c r="G458" i="5" s="1"/>
  <c r="C730" i="2"/>
  <c r="G671" i="5" s="1"/>
  <c r="C339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540" i="2"/>
  <c r="G481" i="5" s="1"/>
  <c r="C821" i="18"/>
  <c r="D821" i="18" s="1"/>
  <c r="C819" i="18"/>
  <c r="D819" i="18" s="1"/>
  <c r="C823" i="18"/>
  <c r="D823" i="18" s="1"/>
  <c r="C818" i="18"/>
  <c r="D818" i="18" s="1"/>
  <c r="C822" i="18"/>
  <c r="D822" i="18" s="1"/>
  <c r="C820" i="18"/>
  <c r="D820" i="18" s="1"/>
  <c r="C318" i="2"/>
  <c r="G259" i="5" s="1"/>
  <c r="C611" i="2"/>
  <c r="G552" i="5" s="1"/>
  <c r="C10" i="10" s="1"/>
  <c r="E10" i="10" s="1"/>
  <c r="C723" i="2"/>
  <c r="G664" i="5" s="1"/>
  <c r="C303" i="10" s="1"/>
  <c r="E303" i="10" s="1"/>
  <c r="C330" i="2"/>
  <c r="G271" i="5" s="1"/>
  <c r="C626" i="2"/>
  <c r="G567" i="5" s="1"/>
  <c r="C124" i="10" s="1"/>
  <c r="E124" i="10" s="1"/>
  <c r="C562" i="2"/>
  <c r="G503" i="5" s="1"/>
  <c r="C379" i="10" s="1"/>
  <c r="E379" i="10" s="1"/>
  <c r="C164" i="2"/>
  <c r="G105" i="5" s="1"/>
  <c r="C176" i="2"/>
  <c r="G117" i="5" s="1"/>
  <c r="C197" i="10" s="1"/>
  <c r="E197" i="10" s="1"/>
  <c r="C67" i="10" l="1"/>
  <c r="E67" i="10" s="1"/>
  <c r="C409" i="10"/>
  <c r="E409" i="10" s="1"/>
  <c r="C366" i="10"/>
  <c r="E366" i="10" s="1"/>
  <c r="C147" i="10"/>
  <c r="E147" i="10" s="1"/>
  <c r="C95" i="10"/>
  <c r="E95" i="10" s="1"/>
  <c r="C311" i="10"/>
  <c r="E311" i="10" s="1"/>
  <c r="C240" i="10"/>
  <c r="E240" i="10" s="1"/>
  <c r="C3" i="10"/>
  <c r="E3" i="10" s="1"/>
  <c r="C300" i="10"/>
  <c r="E300" i="10" s="1"/>
  <c r="C28" i="10"/>
  <c r="E28" i="10" s="1"/>
  <c r="C360" i="10"/>
  <c r="E360" i="10" s="1"/>
  <c r="C136" i="10"/>
  <c r="E136" i="10" s="1"/>
  <c r="C117" i="10"/>
  <c r="E117" i="10" s="1"/>
  <c r="C145" i="10"/>
  <c r="E145" i="10" s="1"/>
  <c r="C214" i="10"/>
  <c r="E214" i="10" s="1"/>
  <c r="C430" i="10"/>
  <c r="E430" i="10" s="1"/>
  <c r="C4" i="18"/>
  <c r="D4" i="18" s="1"/>
  <c r="C3" i="11"/>
  <c r="D3" i="11" s="1"/>
  <c r="C58" i="7" s="1"/>
  <c r="C316" i="10"/>
  <c r="E316" i="10" s="1"/>
  <c r="C142" i="10"/>
  <c r="E142" i="10" s="1"/>
  <c r="C481" i="10"/>
  <c r="E481" i="10" s="1"/>
  <c r="C18" i="18"/>
  <c r="D18" i="18" s="1"/>
  <c r="C19" i="18"/>
  <c r="D19" i="18" s="1"/>
  <c r="C13" i="18"/>
  <c r="D13" i="18" s="1"/>
  <c r="C14" i="18"/>
  <c r="D14" i="18" s="1"/>
  <c r="C320" i="10"/>
  <c r="E320" i="10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254" i="10"/>
  <c r="E254" i="10" s="1"/>
  <c r="C292" i="10"/>
  <c r="E292" i="10" s="1"/>
  <c r="C173" i="10"/>
  <c r="E173" i="10" s="1"/>
  <c r="C298" i="10"/>
  <c r="E298" i="10" s="1"/>
  <c r="C199" i="10"/>
  <c r="E199" i="10" s="1"/>
  <c r="C40" i="10"/>
  <c r="E40" i="10" s="1"/>
  <c r="C122" i="10"/>
  <c r="E122" i="10" s="1"/>
  <c r="C457" i="10"/>
  <c r="E457" i="10" s="1"/>
  <c r="C323" i="10"/>
  <c r="E323" i="10" s="1"/>
  <c r="C16" i="10"/>
  <c r="E16" i="10" s="1"/>
  <c r="C1480" i="18"/>
  <c r="D1480" i="18" s="1"/>
  <c r="C47" i="10"/>
  <c r="E47" i="10" s="1"/>
  <c r="C4" i="10"/>
  <c r="E4" i="10" s="1"/>
  <c r="C5" i="10"/>
  <c r="E5" i="10" s="1"/>
  <c r="C29" i="10"/>
  <c r="E29" i="10" s="1"/>
  <c r="C267" i="10"/>
  <c r="E267" i="10" s="1"/>
  <c r="C1834" i="18"/>
  <c r="D1834" i="18" s="1"/>
  <c r="C2665" i="18"/>
  <c r="D2665" i="18" s="1"/>
  <c r="C477" i="10"/>
  <c r="E477" i="10" s="1"/>
  <c r="C41" i="10"/>
  <c r="E41" i="10" s="1"/>
  <c r="C781" i="18"/>
  <c r="D781" i="18" s="1"/>
  <c r="C3718" i="18"/>
  <c r="D3718" i="18" s="1"/>
  <c r="C3466" i="18"/>
  <c r="D3466" i="18" s="1"/>
  <c r="C239" i="10"/>
  <c r="E239" i="10" s="1"/>
  <c r="C992" i="18"/>
  <c r="D992" i="18" s="1"/>
  <c r="C30" i="10"/>
  <c r="E30" i="10" s="1"/>
  <c r="C91" i="10"/>
  <c r="E91" i="10" s="1"/>
  <c r="C3844" i="18"/>
  <c r="D3844" i="18" s="1"/>
  <c r="C3188" i="18"/>
  <c r="D3188" i="18" s="1"/>
  <c r="C2218" i="18"/>
  <c r="D2218" i="18" s="1"/>
  <c r="C306" i="10"/>
  <c r="E306" i="10" s="1"/>
  <c r="C207" i="10"/>
  <c r="E207" i="10" s="1"/>
  <c r="C4166" i="18"/>
  <c r="D4166" i="18" s="1"/>
  <c r="C1012" i="18"/>
  <c r="D1012" i="18" s="1"/>
  <c r="C490" i="10"/>
  <c r="E490" i="10" s="1"/>
  <c r="C220" i="10"/>
  <c r="E220" i="10" s="1"/>
  <c r="C51" i="10"/>
  <c r="E51" i="10" s="1"/>
  <c r="C2888" i="18"/>
  <c r="D2888" i="18" s="1"/>
  <c r="C1429" i="18"/>
  <c r="D1429" i="18" s="1"/>
  <c r="C673" i="18"/>
  <c r="D673" i="18" s="1"/>
  <c r="C174" i="10"/>
  <c r="E174" i="10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23" i="10"/>
  <c r="E23" i="10" s="1"/>
  <c r="C336" i="10"/>
  <c r="E336" i="10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25" i="10"/>
  <c r="E225" i="10" s="1"/>
  <c r="C266" i="10"/>
  <c r="E266" i="10" s="1"/>
  <c r="C1555" i="18"/>
  <c r="D1555" i="18" s="1"/>
  <c r="C478" i="10"/>
  <c r="E478" i="10" s="1"/>
  <c r="C1615" i="18"/>
  <c r="D1615" i="18" s="1"/>
  <c r="C348" i="10"/>
  <c r="E348" i="10" s="1"/>
  <c r="C4039" i="18"/>
  <c r="D4039" i="18" s="1"/>
  <c r="C500" i="10"/>
  <c r="E500" i="10" s="1"/>
  <c r="C143" i="10"/>
  <c r="E143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22" i="10"/>
  <c r="E22" i="10" s="1"/>
  <c r="C177" i="10"/>
  <c r="E177" i="10" s="1"/>
  <c r="C3081" i="18"/>
  <c r="D3081" i="18" s="1"/>
  <c r="C2546" i="18"/>
  <c r="D2546" i="18" s="1"/>
  <c r="C449" i="10"/>
  <c r="E449" i="10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287" i="10"/>
  <c r="E287" i="10" s="1"/>
  <c r="C25" i="10"/>
  <c r="E25" i="10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319" i="10"/>
  <c r="E319" i="10" s="1"/>
  <c r="C2817" i="18"/>
  <c r="D2817" i="18" s="1"/>
  <c r="C667" i="18"/>
  <c r="D667" i="18" s="1"/>
  <c r="C2802" i="18"/>
  <c r="D2802" i="18" s="1"/>
  <c r="C669" i="18"/>
  <c r="D669" i="18" s="1"/>
  <c r="C454" i="10"/>
  <c r="E454" i="10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71" i="10"/>
  <c r="E71" i="10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416" i="10"/>
  <c r="E416" i="10" s="1"/>
  <c r="C2620" i="18"/>
  <c r="D2620" i="18" s="1"/>
  <c r="C2800" i="18"/>
  <c r="D2800" i="18" s="1"/>
  <c r="C1142" i="18"/>
  <c r="D1142" i="18" s="1"/>
  <c r="C228" i="10"/>
  <c r="E228" i="10" s="1"/>
  <c r="C471" i="10"/>
  <c r="E471" i="10" s="1"/>
  <c r="C2256" i="18"/>
  <c r="D2256" i="18" s="1"/>
  <c r="C265" i="10"/>
  <c r="E265" i="10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5" i="10"/>
  <c r="E105" i="10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326" i="10"/>
  <c r="E326" i="10" s="1"/>
  <c r="C1438" i="18"/>
  <c r="D1438" i="18" s="1"/>
  <c r="C618" i="18"/>
  <c r="D618" i="18" s="1"/>
  <c r="C329" i="10"/>
  <c r="E329" i="10" s="1"/>
  <c r="C321" i="10"/>
  <c r="E321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172" i="10"/>
  <c r="E172" i="10" s="1"/>
  <c r="C2000" i="18"/>
  <c r="D2000" i="18" s="1"/>
  <c r="C1503" i="18"/>
  <c r="D1503" i="18" s="1"/>
  <c r="C141" i="10"/>
  <c r="E141" i="10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440" i="10"/>
  <c r="E440" i="10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33" i="10"/>
  <c r="E33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77" i="10"/>
  <c r="E277" i="10" s="1"/>
  <c r="C2002" i="18"/>
  <c r="D2002" i="18" s="1"/>
  <c r="C2082" i="18"/>
  <c r="D2082" i="18" s="1"/>
  <c r="C4154" i="18"/>
  <c r="D4154" i="18" s="1"/>
  <c r="C1387" i="18"/>
  <c r="D1387" i="18" s="1"/>
  <c r="C340" i="10"/>
  <c r="E340" i="10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80" i="10"/>
  <c r="E80" i="10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63" i="10"/>
  <c r="E163" i="10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484" i="10"/>
  <c r="E484" i="10" s="1"/>
  <c r="C2749" i="18"/>
  <c r="D2749" i="18" s="1"/>
  <c r="C1086" i="18"/>
  <c r="D1086" i="18" s="1"/>
  <c r="C610" i="18"/>
  <c r="D610" i="18" s="1"/>
  <c r="C2241" i="18"/>
  <c r="D2241" i="18" s="1"/>
  <c r="C144" i="10"/>
  <c r="E144" i="10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263" i="10"/>
  <c r="E263" i="10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98" i="10"/>
  <c r="E98" i="10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389" i="10"/>
  <c r="E389" i="10" s="1"/>
  <c r="C1697" i="18"/>
  <c r="D1697" i="18" s="1"/>
  <c r="C894" i="18"/>
  <c r="D894" i="18" s="1"/>
  <c r="C2191" i="18"/>
  <c r="D2191" i="18" s="1"/>
  <c r="C456" i="10"/>
  <c r="E456" i="10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282" i="10"/>
  <c r="E282" i="10" s="1"/>
  <c r="C3313" i="18"/>
  <c r="D3313" i="18" s="1"/>
  <c r="C2676" i="18"/>
  <c r="D2676" i="18" s="1"/>
  <c r="C460" i="10"/>
  <c r="E460" i="10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65" i="10"/>
  <c r="E65" i="10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203" i="10"/>
  <c r="E203" i="10" s="1"/>
  <c r="C3693" i="18"/>
  <c r="D3693" i="18" s="1"/>
  <c r="C343" i="10"/>
  <c r="E343" i="10" s="1"/>
  <c r="C432" i="10"/>
  <c r="E432" i="10" s="1"/>
  <c r="C349" i="10"/>
  <c r="E349" i="10" s="1"/>
  <c r="C354" i="10"/>
  <c r="E354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70" i="10"/>
  <c r="E70" i="10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437" i="10"/>
  <c r="E437" i="10" s="1"/>
  <c r="C56" i="10"/>
  <c r="E56" i="10" s="1"/>
  <c r="C160" i="10"/>
  <c r="E160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43" i="10"/>
  <c r="E243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196" i="10"/>
  <c r="E196" i="10" s="1"/>
  <c r="C557" i="18"/>
  <c r="D557" i="18" s="1"/>
  <c r="C335" i="10"/>
  <c r="E335" i="10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487" i="10"/>
  <c r="E487" i="10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431" i="10"/>
  <c r="E431" i="10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444" i="10"/>
  <c r="E444" i="10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401" i="10"/>
  <c r="E401" i="10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283" i="10"/>
  <c r="E283" i="10" s="1"/>
  <c r="C1757" i="18"/>
  <c r="D1757" i="18" s="1"/>
  <c r="C2089" i="18"/>
  <c r="D2089" i="18" s="1"/>
  <c r="C32" i="10"/>
  <c r="E32" i="10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175" i="10"/>
  <c r="E175" i="10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414" i="10"/>
  <c r="E414" i="10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195" i="10"/>
  <c r="E195" i="10" s="1"/>
  <c r="C2162" i="18"/>
  <c r="D2162" i="18" s="1"/>
  <c r="C486" i="10"/>
  <c r="E486" i="10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439" i="10"/>
  <c r="E439" i="10" s="1"/>
  <c r="C2684" i="18"/>
  <c r="D2684" i="18" s="1"/>
  <c r="C483" i="10"/>
  <c r="E483" i="10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274" i="10"/>
  <c r="E274" i="10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59" i="10"/>
  <c r="E59" i="10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442" i="10"/>
  <c r="E442" i="10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60" i="10"/>
  <c r="E60" i="10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410" i="10"/>
  <c r="E410" i="10" s="1"/>
  <c r="C104" i="10"/>
  <c r="E104" i="10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61" i="10"/>
  <c r="E61" i="10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423" i="10"/>
  <c r="E423" i="10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426" i="10"/>
  <c r="E426" i="10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251" i="10"/>
  <c r="E251" i="10" s="1"/>
  <c r="C3839" i="18"/>
  <c r="D3839" i="18" s="1"/>
  <c r="C2865" i="18"/>
  <c r="D2865" i="18" s="1"/>
  <c r="C3440" i="18"/>
  <c r="D3440" i="18" s="1"/>
  <c r="C273" i="10"/>
  <c r="E273" i="10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498" i="10"/>
  <c r="E498" i="10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26" i="10"/>
  <c r="E226" i="10" s="1"/>
  <c r="C376" i="10"/>
  <c r="E376" i="10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85" i="10"/>
  <c r="E385" i="10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229" i="10"/>
  <c r="E229" i="10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242" i="10"/>
  <c r="E242" i="10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87" i="10"/>
  <c r="E87" i="10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162" i="10"/>
  <c r="E162" i="10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81" i="10"/>
  <c r="E18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235" i="10"/>
  <c r="E235" i="10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200" i="10"/>
  <c r="E200" i="10" s="1"/>
  <c r="C3671" i="18"/>
  <c r="D3671" i="18" s="1"/>
  <c r="C3670" i="18"/>
  <c r="D3670" i="18" s="1"/>
  <c r="C3673" i="18"/>
  <c r="D3673" i="18" s="1"/>
  <c r="C403" i="10"/>
  <c r="E403" i="10" s="1"/>
  <c r="C3668" i="18"/>
  <c r="D3668" i="18" s="1"/>
  <c r="C357" i="10"/>
  <c r="E357" i="10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205" i="10"/>
  <c r="E205" i="10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169" i="10"/>
  <c r="E169" i="10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345" i="10"/>
  <c r="E345" i="10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491" i="10"/>
  <c r="E491" i="10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36" i="10"/>
  <c r="E436" i="10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85" i="10"/>
  <c r="E185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11" i="10"/>
  <c r="E11" i="10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211" i="10"/>
  <c r="E211" i="10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412" i="10"/>
  <c r="E412" i="10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394" i="10"/>
  <c r="E394" i="10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280" i="10"/>
  <c r="E280" i="10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119" i="10"/>
  <c r="E119" i="10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453" i="10"/>
  <c r="E453" i="10" s="1"/>
  <c r="C3280" i="18"/>
  <c r="D3280" i="18" s="1"/>
  <c r="C3279" i="18"/>
  <c r="D3279" i="18" s="1"/>
  <c r="C3278" i="18"/>
  <c r="D3278" i="18" s="1"/>
  <c r="C186" i="10"/>
  <c r="E186" i="10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402" i="10"/>
  <c r="E402" i="10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255" i="10"/>
  <c r="E255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301" i="10"/>
  <c r="E301" i="10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182" i="10"/>
  <c r="E182" i="10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234" i="10"/>
  <c r="E234" i="10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396" i="10"/>
  <c r="E396" i="10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89" i="10"/>
  <c r="E89" i="10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128" i="10"/>
  <c r="E128" i="10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420" i="10"/>
  <c r="E420" i="10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167" i="10"/>
  <c r="E167" i="10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C435" i="10" s="1"/>
  <c r="E435" i="10" s="1"/>
  <c r="G697" i="5"/>
  <c r="C281" i="10" s="1"/>
  <c r="E281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297" i="10"/>
  <c r="E297" i="10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208" i="10" s="1"/>
  <c r="E208" i="10" s="1"/>
  <c r="G669" i="5"/>
  <c r="C94" i="10" s="1"/>
  <c r="E94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464" i="10"/>
  <c r="E464" i="10" s="1"/>
  <c r="C18" i="10"/>
  <c r="E18" i="10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55" i="10"/>
  <c r="E55" i="10" s="1"/>
  <c r="C165" i="10"/>
  <c r="E165" i="10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8" i="10"/>
  <c r="E258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26" i="10" s="1"/>
  <c r="E2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334" i="10"/>
  <c r="E334" i="10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399" i="10" s="1"/>
  <c r="E399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309" i="10"/>
  <c r="E309" i="10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97" i="10"/>
  <c r="E397" i="10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425" i="10" s="1"/>
  <c r="E425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0" i="18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508" i="18"/>
  <c r="C507" i="18"/>
  <c r="C510" i="18"/>
  <c r="D510" i="18" s="1"/>
  <c r="C511" i="18"/>
  <c r="C506" i="18"/>
  <c r="C479" i="18"/>
  <c r="D479" i="18" s="1"/>
  <c r="C481" i="18"/>
  <c r="C480" i="18"/>
  <c r="C478" i="18"/>
  <c r="D478" i="18" s="1"/>
  <c r="C477" i="18"/>
  <c r="D477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493" i="10" l="1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507" i="18"/>
  <c r="D400" i="18"/>
  <c r="D411" i="18"/>
  <c r="C45" i="10"/>
  <c r="E45" i="10" s="1"/>
  <c r="D825" i="18"/>
  <c r="D508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506" i="18"/>
  <c r="D353" i="18"/>
  <c r="C102" i="10"/>
  <c r="E102" i="10" s="1"/>
  <c r="D382" i="18"/>
  <c r="D15" i="18"/>
  <c r="D370" i="18"/>
  <c r="D511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155" i="19"/>
  <c r="C156" i="19"/>
  <c r="D156" i="19" s="1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3" i="19"/>
  <c r="D193" i="19" s="1"/>
  <c r="C191" i="19"/>
  <c r="C197" i="19"/>
  <c r="D197" i="19" s="1"/>
  <c r="C194" i="19"/>
  <c r="D194" i="19" s="1"/>
  <c r="C192" i="19"/>
  <c r="D192" i="19" s="1"/>
  <c r="C196" i="19"/>
  <c r="D196" i="19" s="1"/>
  <c r="C198" i="19"/>
  <c r="D198" i="19" s="1"/>
  <c r="C195" i="19"/>
  <c r="D195" i="19" s="1"/>
  <c r="C199" i="19"/>
  <c r="D199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1372" i="19"/>
  <c r="D1372" i="19" s="1"/>
  <c r="C1376" i="19"/>
  <c r="D1376" i="19" s="1"/>
  <c r="C1374" i="19"/>
  <c r="D1374" i="19" s="1"/>
  <c r="C1378" i="19"/>
  <c r="D1378" i="19" s="1"/>
  <c r="C1377" i="19"/>
  <c r="D1377" i="19" s="1"/>
  <c r="C1375" i="19"/>
  <c r="D1375" i="19" s="1"/>
  <c r="C1373" i="19"/>
  <c r="D1373" i="19" s="1"/>
  <c r="C1371" i="19"/>
  <c r="D1371" i="19" s="1"/>
  <c r="C1370" i="19"/>
  <c r="D1370" i="19" s="1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D587" i="19" l="1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e2bc5db6-9d05-480a-bc47-32d663fb9ebd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<sst xmlns="http://schemas.openxmlformats.org/spreadsheetml/2006/main" count="421" uniqueCount="355">
  <si>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</si>
  <si>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</si>
  <si>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</si>
  <si>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</si>
  <si>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</si>
  <si>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</si>
  <si>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</si>
  <si>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</si>
  <si>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</si>
  <si>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</si>
  <si>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</si>
  <si>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</si>
  <si>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</si>
  <si>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</si>
  <si>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</si>
  <si>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</si>
  <si>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</si>
  <si>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</si>
  <si>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</si>
  <si>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</si>
  <si>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</si>
  <si>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</si>
  <si>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</si>
  <si>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</si>
  <si>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</si>
  <si>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</si>
  <si>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</si>
  <si>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</si>
  <si>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</si>
  <si>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</si>
  <si>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</si>
  <si>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</si>
  <si>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</si>
  <si>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</si>
  <si>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</si>
  <si>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</si>
  <si>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</si>
  <si>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</si>
  <si>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</si>
  <si>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</si>
  <si>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</si>
  <si>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</si>
  <si>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</si>
  <si>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</si>
  <si>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</si>
  <si>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</si>
  <si>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</si>
  <si>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</si>
  <si>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</si>
  <si>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</si>
  <si>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</si>
  <si>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</si>
  <si>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</si>
  <si>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</si>
  <si>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</si>
  <si>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</si>
  <si>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</si>
  <si>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</si>
  <si>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</si>
  <si>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</si>
  <si>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</si>
  <si>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</si>
  <si>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</si>
  <si>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</si>
  <si>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</si>
  <si>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</si>
  <si>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</si>
  <si>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</si>
  <si>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</si>
  <si>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</si>
  <si>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</si>
  <si>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</si>
  <si>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</si>
  <si>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</si>
  <si>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</si>
  <si>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</si>
  <si>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</si>
  <si>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</si>
  <si>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</si>
  <si>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</si>
  <si>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</si>
  <si>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</si>
  <si>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</si>
  <si>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</si>
  <si>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</si>
  <si>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</si>
  <si>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</si>
  <si>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</si>
  <si>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</si>
  <si>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</si>
  <si>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</si>
  <si>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</si>
  <si>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</si>
  <si>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</si>
  <si>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</si>
  <si>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</si>
  <si>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</si>
  <si>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</si>
  <si>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</si>
  <si>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</si>
  <si>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</si>
  <si>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</si>
  <si>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</si>
  <si>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</si>
  <si>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</si>
  <si>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</si>
  <si>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</si>
  <si>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</si>
  <si>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</si>
  <si>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</si>
  <si>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</si>
  <si>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</si>
  <si>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</si>
  <si>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</si>
  <si>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</si>
  <si>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</si>
  <si>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</si>
  <si>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</si>
  <si>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</si>
  <si>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</si>
  <si>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</si>
  <si>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</si>
  <si>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</si>
  <si>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</si>
  <si>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</si>
  <si>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</si>
  <si>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</si>
  <si>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</si>
  <si>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</si>
  <si>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</si>
  <si>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</si>
  <si>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</si>
  <si>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</si>
  <si>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</si>
  <si>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</si>
  <si>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</si>
  <si>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</si>
  <si>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</si>
  <si>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</si>
  <si>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</si>
  <si>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</si>
  <si>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</si>
  <si>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</si>
  <si>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</si>
  <si>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</si>
  <si>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</si>
  <si>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</si>
  <si>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</si>
  <si>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</si>
  <si>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</si>
  <si>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</si>
  <si>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</si>
  <si>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</si>
  <si>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</si>
  <si>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</si>
  <si>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</si>
  <si>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</si>
  <si>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</si>
  <si>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</si>
  <si>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</si>
  <si>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</si>
  <si>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</si>
  <si>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</si>
  <si>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</si>
  <si>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</si>
  <si>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</si>
  <si>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</si>
  <si>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</si>
  <si>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</si>
  <si>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</si>
  <si>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</si>
  <si>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</si>
  <si>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</si>
  <si>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</si>
  <si>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</si>
  <si>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</si>
  <si>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</si>
  <si>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</si>
  <si>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</si>
  <si>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</si>
  <si>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</si>
  <si>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</si>
  <si>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</si>
  <si>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</si>
  <si>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</si>
  <si>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</si>
  <si>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</si>
  <si>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</si>
  <si>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</si>
  <si>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</si>
  <si>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</si>
  <si>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</si>
  <si>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</si>
  <si>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</si>
  <si>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</si>
  <si>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</si>
  <si>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</si>
  <si>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</si>
  <si>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</si>
  <si>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</si>
  <si>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</si>
  <si>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</si>
  <si>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</si>
  <si>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</si>
  <si>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</si>
  <si>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</si>
  <si>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</si>
  <si>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</si>
  <si>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</si>
  <si>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</si>
  <si>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</si>
  <si>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</si>
  <si>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</si>
  <si>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</si>
  <si>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</si>
  <si>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</si>
  <si>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</si>
  <si>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</si>
  <si>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</si>
  <si>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</si>
  <si>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</si>
  <si>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</si>
  <si>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</si>
  <si>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</si>
  <si>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</si>
  <si>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</si>
  <si>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</si>
  <si>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</si>
  <si>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</si>
  <si>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</si>
  <si>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</si>
  <si>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</si>
  <si>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</si>
  <si>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</si>
  <si>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</si>
  <si>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</si>
  <si>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</si>
  <si>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</si>
  <si>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</si>
  <si>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</si>
  <si>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</si>
  <si>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</si>
  <si>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</si>
  <si>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</si>
  <si>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</si>
  <si>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</si>
  <si>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</si>
  <si>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</si>
  <si>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</si>
  <si>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</si>
  <si>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</si>
  <si>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</si>
  <si>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</si>
  <si>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</si>
  <si>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</si>
  <si>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</si>
  <si>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</si>
  <si>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</si>
  <si>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</si>
  <si>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</si>
  <si>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</si>
  <si>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</si>
  <si>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</si>
  <si>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</si>
  <si>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</si>
  <si>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</si>
  <si>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</si>
  <si>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</si>
  <si>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</si>
  <si>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</si>
  <si>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</si>
  <si>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</si>
  <si>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</si>
  <si>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</si>
  <si>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</si>
  <si>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</si>
  <si>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</si>
  <si>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</si>
  <si>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</si>
  <si>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</si>
  <si>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</si>
  <si>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</si>
  <si>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</si>
  <si>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</si>
  <si>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</si>
  <si>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</si>
  <si>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</si>
  <si>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</si>
  <si>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</si>
  <si>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</si>
  <si>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</si>
  <si>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</si>
  <si>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</si>
  <si>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</si>
  <si>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</si>
  <si>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</si>
  <si>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</si>
  <si>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</si>
  <si>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</si>
  <si>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</si>
  <si>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</si>
  <si>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</si>
  <si>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</si>
  <si>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</si>
  <si>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</si>
  <si>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</si>
  <si>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</si>
  <si>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</si>
  <si>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</si>
  <si>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</si>
  <si>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</si>
  <si>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</si>
  <si>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</si>
  <si>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</si>
  <si>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</si>
  <si>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</si>
  <si>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</si>
  <si>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</si>
  <si>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</si>
  <si>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</si>
  <si>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</si>
  <si>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</si>
  <si>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</si>
  <si>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</si>
  <si>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</si>
  <si>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</si>
  <si>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</si>
  <si>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</si>
  <si>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</si>
  <si>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</si>
  <si>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</si>
  <si>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</si>
  <si>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</si>
  <si>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</si>
  <si>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</si>
  <si>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</si>
  <si>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</si>
  <si>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</si>
  <si>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</si>
  <si>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</si>
  <si>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</si>
  <si>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</si>
  <si>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</si>
  <si>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</si>
  <si>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</si>
  <si>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</si>
  <si>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</si>
  <si>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=WENN(MIN(SUMMENPRODUKT(TEILERGEBNIS(103;BEREICH.VERSCHIEBEN(table_Persons[ID];ZEILE(table_Persons[ID])-MIN(ZEILE(table_Persons[ID]));;1))*(table_Persons[ID]=[@[ID_Persons]]));SUMMENPRODUKT(TEILERGEBNIS(103;BEREICH.VERSCHIEBEN(table_Methods[ID];ZEILE(tabl</t>
  </si>
  <si>
    <t>Spalte1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</si>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</sst>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5"/>
      <tableStyleElement type="headerRow" dxfId="74"/>
      <tableStyleElement type="firstRowStripe" dxfId="73"/>
    </tableStyle>
    <tableStyle name="TableStyleQueryResult" pivot="0" count="3">
      <tableStyleElement type="wholeTable" dxfId="72"/>
      <tableStyleElement type="headerRow" dxfId="71"/>
      <tableStyleElement type="first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3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7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6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5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4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3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2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1">
      <calculatedColumnFormula>IF(table_Units[[#This Row],[unit_factor]]&gt;0,1,0)</calculatedColumnFormula>
    </tableColumn>
    <tableColumn id="6" name="direction_invers" dataDxfId="60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59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J702" totalsRowShown="0">
  <autoFilter ref="A1:J702"/>
  <tableColumns count="10">
    <tableColumn id="1" name="ID"/>
    <tableColumn id="2" name="name"/>
    <tableColumn id="3" name="investcost" dataDxfId="58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7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  <tableColumn id="10" name="Spalte1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6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5">
      <calculatedColumnFormula>COUNTIF(dict_zuord_Meth_Pos[ignored_help],table_Positions[[#This Row],[ID]])&gt;0</calculatedColumnFormula>
    </tableColumn>
    <tableColumn id="4" name="temp_lb" dataDxfId="54">
      <calculatedColumnFormula>20+RANDBETWEEN(0,10)*RANDBETWEEN(0,10)-RANDBETWEEN(0,20)</calculatedColumnFormula>
    </tableColumn>
    <tableColumn id="5" name="temp_ub" dataDxfId="53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2">
      <calculatedColumnFormula>COUNTIF(dict_zuord_Meth_Transfers[ignored_help],table_Transfers[[#This Row],[ID]])&gt;0</calculatedColumnFormula>
    </tableColumn>
    <tableColumn id="3" name="bandwidth_ub" dataDxfId="51">
      <calculatedColumnFormula>2^RANDBETWEEN(6,12)*100*RANDBETWEEN(10,100)</calculatedColumnFormula>
    </tableColumn>
    <tableColumn id="4" name="investcost" dataDxfId="50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49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48">
      <calculatedColumnFormula>CONCATENATE("Storage ",table_Storages[[#This Row],[ID]])</calculatedColumnFormula>
    </tableColumn>
    <tableColumn id="6" name="kval_active" dataDxfId="47">
      <calculatedColumnFormula>COUNTIF(dict_zuord_Transfers_Storages[ignored_help],table_Storages[[#This Row],[ID]])&gt;0</calculatedColumnFormula>
    </tableColumn>
    <tableColumn id="3" name="bandwidth_ub" dataDxfId="46">
      <calculatedColumnFormula>2^RANDBETWEEN(4,12)*1000*RANDBETWEEN(10,100)</calculatedColumnFormula>
    </tableColumn>
    <tableColumn id="4" name="investcost" dataDxfId="45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1" dataDxfId="40">
  <autoFilter ref="A1:M1521"/>
  <sortState ref="A2:M1521">
    <sortCondition ref="A1:A1521"/>
  </sortState>
  <tableColumns count="13">
    <tableColumn id="1" uniqueName="1" name="ID_DataQualities" queryTableFieldId="1" dataDxfId="2"/>
    <tableColumn id="2" uniqueName="2" name="ID_Methods" queryTableFieldId="2" dataDxfId="0"/>
    <tableColumn id="3" uniqueName="3" name="kval_active" queryTableFieldId="13" dataDxfId="1"/>
    <tableColumn id="4" uniqueName="4" name="z_J_worst" queryTableFieldId="12" dataDxfId="12"/>
    <tableColumn id="5" uniqueName="5" name="z_J_best" queryTableFieldId="11" dataDxfId="11"/>
    <tableColumn id="6" uniqueName="6" name="z_J_lb" queryTableFieldId="10" dataDxfId="10"/>
    <tableColumn id="7" uniqueName="7" name="z_J_ub" queryTableFieldId="9" dataDxfId="9"/>
    <tableColumn id="8" uniqueName="8" name="ignore_unit" queryTableFieldId="8" dataDxfId="8"/>
    <tableColumn id="9" uniqueName="9" name="processcost_per_unit" queryTableFieldId="7" dataDxfId="7"/>
    <tableColumn id="10" uniqueName="10" name="bandwidth_fix" queryTableFieldId="6" dataDxfId="6"/>
    <tableColumn id="11" uniqueName="11" name="bandwidth_per_z" queryTableFieldId="5" dataDxfId="5"/>
    <tableColumn id="12" uniqueName="12" name="Vergleich_lb" queryTableFieldId="4" dataDxfId="4"/>
    <tableColumn id="13" uniqueName="13" name="Vergleich_ub" queryTableFieldId="3" dataDxfId="3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B1:B761"/>
  </sortState>
  <tableColumns count="5">
    <tableColumn id="1" name="ID_Variables" dataDxfId="39">
      <calculatedColumnFormula>VLOOKUP(dict_zul_Var_Meth[[#This Row],[ignored_rank]],help_zuord_Var_Meth[],2)</calculatedColumnFormula>
    </tableColumn>
    <tableColumn id="2" name="ID_Methods"/>
    <tableColumn id="6" name="kval_active" dataDxfId="38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37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36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35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34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33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3" totalsRowShown="0">
  <autoFilter ref="A1:D3"/>
  <sortState ref="A2:C14">
    <sortCondition ref="A1:A14"/>
  </sortState>
  <tableColumns count="4">
    <tableColumn id="1" name="ID_Methods"/>
    <tableColumn id="2" name="ID_Positions"/>
    <tableColumn id="3" name="kval_active" dataDxfId="32">
      <calculatedColumnFormula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Row],[ID_Positions]])),SUMPRODUCT(SUBTOTAL(103,OFFSET(table_Methods[ID],ROW(table_Methods[ID])-MIN(ROW(table_Methods[ID])),,1))*INDEX(table_Methods[kval_active],MATCH(dict_zuord_Meth_Pos[[#This Row],[ID_Methods]],table_Methods[ID],0))))&gt;0,TRUE,FALSE)</calculatedColumnFormula>
    </tableColumn>
    <tableColumn id="4" name="ignored_help" dataDxfId="3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30">
      <calculatedColumnFormula>RANDBETWEEN(0,200)</calculatedColumnFormula>
    </tableColumn>
    <tableColumn id="3" name="kval_active" dataDxfId="2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2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27">
      <calculatedColumnFormula>RANDBETWEEN(0,100)</calculatedColumnFormula>
    </tableColumn>
    <tableColumn id="3" name="kval_active" dataDxfId="2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2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24">
      <calculatedColumnFormula>IFERROR(table_DataQualities[ID],"")</calculatedColumnFormula>
    </tableColumn>
    <tableColumn id="2" name="ID_Units" dataDxfId="23">
      <calculatedColumnFormula>IFERROR(table_DataQualities[unit_ID],"")</calculatedColumnFormula>
    </tableColumn>
    <tableColumn id="3" name="kval_active" dataDxfId="2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1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1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1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1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14">
      <calculatedColumnFormula>VLOOKUP(dict_DQ_Meth_max_deprecated[[#This Row],[ID_DataQualities]],table_DataQualities!$A:$I,8,FALSE)</calculatedColumnFormula>
    </tableColumn>
    <tableColumn id="15" name="Vergleich_ub" dataDxfId="1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  <sheetView workbookViewId="1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/>
    <sheetView workbookViewId="1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351</v>
      </c>
    </row>
    <row r="3" spans="1:1" x14ac:dyDescent="0.45">
      <c r="A3" t="s">
        <v>352</v>
      </c>
    </row>
    <row r="4" spans="1:1" x14ac:dyDescent="0.45">
      <c r="A4" t="s">
        <v>353</v>
      </c>
    </row>
    <row r="5" spans="1:1" x14ac:dyDescent="0.45">
      <c r="A5" t="s">
        <v>354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workbookViewId="0">
      <selection activeCell="A17" sqref="A17"/>
    </sheetView>
    <sheetView workbookViewId="1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349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B7" sqref="B7"/>
    </sheetView>
    <sheetView workbookViewId="1"/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hidden="1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hidden="1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hidden="1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hidden="1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hidden="1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hidden="1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hidden="1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hidden="1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hidden="1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hidden="1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hidden="1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hidden="1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hidden="1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hidden="1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hidden="1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hidden="1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hidden="1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403"/>
  <sheetViews>
    <sheetView workbookViewId="0">
      <selection activeCell="A9" sqref="A9"/>
    </sheetView>
    <sheetView tabSelected="1" workbookViewId="1">
      <selection activeCell="A2" sqref="A2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0.83899999999999997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7500.9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0.83899999999999997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7500.9</v>
      </c>
      <c r="K2">
        <f t="shared" ref="K2:K13" ca="1" si="0">ROUND(RAND(),2)</f>
        <v>0.76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3.6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0_Bildgröße</v>
      </c>
      <c r="C3">
        <f ca="1">RANDBETWEEN(5,10)*100</f>
        <v>1000</v>
      </c>
      <c r="D3" s="3" t="str">
        <f ca="1">VLOOKUP(table_DataQualities[[#This Row],[unit_ID]],table_Units[#All],2)</f>
        <v>bit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82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9766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82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9766</v>
      </c>
      <c r="K3">
        <f t="shared" ca="1" si="0"/>
        <v>0.99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1.9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0.70799999999999996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3277.5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0.70799999999999996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3277.5</v>
      </c>
      <c r="K4">
        <f t="shared" ca="1" si="0"/>
        <v>0.19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4.5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1_Leistungsmessgenauigkeit W</v>
      </c>
      <c r="C5">
        <f t="shared" ref="C5" ca="1" si="2">RANDBETWEEN(5,10)*100</f>
        <v>600</v>
      </c>
      <c r="D5" s="3" t="str">
        <f ca="1">VLOOKUP(table_DataQualities[[#This Row],[unit_ID]],table_Units[#All],2)</f>
        <v>+/- W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3.48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3.48</v>
      </c>
      <c r="K5">
        <f t="shared" ca="1" si="0"/>
        <v>0.98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2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0.57199999999999995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6939.4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0.57199999999999995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6939.4</v>
      </c>
      <c r="K6">
        <f t="shared" ca="1" si="0"/>
        <v>0.86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3.9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2_Bildgröße</v>
      </c>
      <c r="C7">
        <f t="shared" ref="C7" ca="1" si="3">RANDBETWEEN(5,10)*100</f>
        <v>1000</v>
      </c>
      <c r="D7" s="3" t="str">
        <f ca="1">VLOOKUP(table_DataQualities[[#This Row],[unit_ID]],table_Units[#All],2)</f>
        <v>bit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80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7519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80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7519</v>
      </c>
      <c r="K7">
        <f t="shared" ca="1" si="0"/>
        <v>0.74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3.3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0.13900000000000001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3795.4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0.13900000000000001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3795.4</v>
      </c>
      <c r="K8">
        <f t="shared" ca="1" si="0"/>
        <v>0.55000000000000004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0</v>
      </c>
      <c r="O8">
        <f t="shared" ca="1" si="1"/>
        <v>3.6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3_Bildgröße</v>
      </c>
      <c r="C9">
        <f ca="1">RANDBETWEEN(5,10)*100</f>
        <v>1000</v>
      </c>
      <c r="D9" s="3" t="str">
        <f ca="1">VLOOKUP(table_DataQualities[[#This Row],[unit_ID]],table_Units[#All],2)</f>
        <v>bit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84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1629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84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1629</v>
      </c>
      <c r="K9">
        <f t="shared" ca="1" si="0"/>
        <v>0.15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0</v>
      </c>
      <c r="O9">
        <f t="shared" ca="1" si="1"/>
        <v>3.5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0.63900000000000001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4141.1000000000004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0.63900000000000001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4141.1000000000004</v>
      </c>
      <c r="K10">
        <f t="shared" ca="1" si="0"/>
        <v>0.13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0</v>
      </c>
      <c r="O10">
        <f t="shared" ca="1" si="1"/>
        <v>2.7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4_Temperaturmessgenauigkeit °C</v>
      </c>
      <c r="C11">
        <f t="shared" ref="C11" ca="1" si="4">RANDBETWEEN(5,10)*100</f>
        <v>500</v>
      </c>
      <c r="D11" s="3" t="str">
        <f ca="1">VLOOKUP(table_DataQualities[[#This Row],[unit_ID]],table_Units[#All],2)</f>
        <v>+/- °C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1">
        <f t="shared" ca="1" si="0"/>
        <v>0.39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0</v>
      </c>
      <c r="O11">
        <f t="shared" ca="1" si="1"/>
        <v>2.2999999999999998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0.80300000000000005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1241.4000000000001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0.80300000000000005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1241.4000000000001</v>
      </c>
      <c r="K12">
        <f t="shared" ca="1" si="0"/>
        <v>0.83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0</v>
      </c>
      <c r="O12">
        <f t="shared" ca="1" si="1"/>
        <v>1.2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5_Längenmessgenauigkeit mm</v>
      </c>
      <c r="C13">
        <f t="shared" ref="C13" ca="1" si="5">RANDBETWEEN(5,10)*100</f>
        <v>900</v>
      </c>
      <c r="D13" s="3" t="str">
        <f ca="1">VLOOKUP(table_DataQualities[[#This Row],[unit_ID]],table_Units[#All],2)</f>
        <v>+/- mm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7.69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7.69</v>
      </c>
      <c r="K13">
        <f t="shared" ca="1" si="0"/>
        <v>0.66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0</v>
      </c>
      <c r="O13">
        <f t="shared" ca="1" si="1"/>
        <v>2.2000000000000002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7192.7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0.90700000000000003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7192.7</v>
      </c>
      <c r="K14">
        <f ca="1">ROUND(RAND(),2)</f>
        <v>0.5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0</v>
      </c>
      <c r="O14">
        <f t="shared" ca="1" si="1"/>
        <v>2.2999999999999998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6_Bildgröße</v>
      </c>
      <c r="C15">
        <f ca="1">RANDBETWEEN(5,10)*100</f>
        <v>1000</v>
      </c>
      <c r="D15" s="3" t="str">
        <f ca="1">VLOOKUP(table_DataQualities[[#This Row],[unit_ID]],table_Units[#All],2)</f>
        <v>bit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50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3925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50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3925</v>
      </c>
      <c r="K15">
        <f t="shared" ref="K15:K78" ca="1" si="6">ROUND(RAND(),2)</f>
        <v>0.1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0</v>
      </c>
      <c r="O15">
        <f t="shared" ca="1" si="1"/>
        <v>3.3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0.28399999999999997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5567.6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0.28399999999999997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5567.6</v>
      </c>
      <c r="K16">
        <f t="shared" ca="1" si="6"/>
        <v>0.15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0</v>
      </c>
      <c r="O16">
        <f t="shared" ca="1" si="1"/>
        <v>2.5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7_Durchflussmessgenauigkeit cm³/s</v>
      </c>
      <c r="C17">
        <f t="shared" ref="C17:C27" ca="1" si="7">RANDBETWEEN(5,10)*100</f>
        <v>800</v>
      </c>
      <c r="D17" s="3" t="str">
        <f ca="1">VLOOKUP(table_DataQualities[[#This Row],[unit_ID]],table_Units[#All],2)</f>
        <v>+/- cm³/s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0.875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0.875</v>
      </c>
      <c r="K17">
        <f t="shared" ca="1" si="6"/>
        <v>0.63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0</v>
      </c>
      <c r="O17">
        <f t="shared" ca="1" si="1"/>
        <v>3.6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0.20200000000000001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8710.9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0.20200000000000001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8710.9</v>
      </c>
      <c r="K18">
        <f t="shared" ca="1" si="6"/>
        <v>0.25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0</v>
      </c>
      <c r="O18">
        <f t="shared" ca="1" si="1"/>
        <v>3.6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8_Geschwindigkeitsmessgenauigkeit mm/s</v>
      </c>
      <c r="C19">
        <f t="shared" ref="C19" ca="1" si="8">RANDBETWEEN(5,10)*100</f>
        <v>700</v>
      </c>
      <c r="D19" s="3" t="str">
        <f ca="1">VLOOKUP(table_DataQualities[[#This Row],[unit_ID]],table_Units[#All],2)</f>
        <v>+/- mm/s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4.4000000000000004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4.4000000000000004</v>
      </c>
      <c r="K19">
        <f t="shared" ca="1" si="6"/>
        <v>0.53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0</v>
      </c>
      <c r="O19">
        <f t="shared" ca="1" si="1"/>
        <v>3.9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925.5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925.5</v>
      </c>
      <c r="K20">
        <f t="shared" ca="1" si="6"/>
        <v>0.97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0</v>
      </c>
      <c r="O20">
        <f t="shared" ca="1" si="1"/>
        <v>3.3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9_Temperaturmessgenauigkeit °C</v>
      </c>
      <c r="C21">
        <f t="shared" ca="1" si="7"/>
        <v>500</v>
      </c>
      <c r="D21" s="3" t="str">
        <f ca="1">VLOOKUP(table_DataQualities[[#This Row],[unit_ID]],table_Units[#All],2)</f>
        <v>+/- °C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1">
        <f t="shared" ca="1" si="6"/>
        <v>0.16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0</v>
      </c>
      <c r="O21">
        <f t="shared" ca="1" si="1"/>
        <v>2.2000000000000002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0.80700000000000005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9216.6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0.80700000000000005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9216.6</v>
      </c>
      <c r="K22">
        <f t="shared" ca="1" si="6"/>
        <v>0.85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0</v>
      </c>
      <c r="O22">
        <f t="shared" ca="1" si="1"/>
        <v>2.4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10_Geschwindigkeitsmessgenauigkeit mm/s</v>
      </c>
      <c r="C23">
        <f t="shared" ref="C23" ca="1" si="9">RANDBETWEEN(5,10)*100</f>
        <v>700</v>
      </c>
      <c r="D23" s="3" t="str">
        <f ca="1">VLOOKUP(table_DataQualities[[#This Row],[unit_ID]],table_Units[#All],2)</f>
        <v>+/- mm/s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3">
        <f t="shared" ca="1" si="6"/>
        <v>0.17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0</v>
      </c>
      <c r="O23">
        <f t="shared" ca="1" si="1"/>
        <v>2.4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9.6000000000000002E-2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2065.6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2065.6</v>
      </c>
      <c r="K24">
        <f t="shared" ca="1" si="6"/>
        <v>0.05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0</v>
      </c>
      <c r="O24">
        <f t="shared" ca="1" si="1"/>
        <v>2.5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11_Längenmessgenauigkeit mm</v>
      </c>
      <c r="C25">
        <f t="shared" ca="1" si="7"/>
        <v>900</v>
      </c>
      <c r="D25" s="3" t="str">
        <f ca="1">VLOOKUP(table_DataQualities[[#This Row],[unit_ID]],table_Units[#All],2)</f>
        <v>+/- mm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</v>
      </c>
      <c r="K25">
        <f t="shared" ca="1" si="6"/>
        <v>0.59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0</v>
      </c>
      <c r="O25">
        <f t="shared" ca="1" si="1"/>
        <v>4.3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0.753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9602.2999999999993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0.753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9602.2999999999993</v>
      </c>
      <c r="K26">
        <f t="shared" ca="1" si="6"/>
        <v>0.56999999999999995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0</v>
      </c>
      <c r="O26">
        <f t="shared" ca="1" si="1"/>
        <v>3.7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12_Durchflussmessgenauigkeit cm³/s</v>
      </c>
      <c r="C27">
        <f t="shared" ca="1" si="7"/>
        <v>800</v>
      </c>
      <c r="D27" s="3" t="str">
        <f ca="1">VLOOKUP(table_DataQualities[[#This Row],[unit_ID]],table_Units[#All],2)</f>
        <v>+/- cm³/s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0.27200000000000002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4.4999999999999997E-3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4.4999999999999997E-3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0.27200000000000002</v>
      </c>
      <c r="K27">
        <f t="shared" ca="1" si="6"/>
        <v>0.84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0</v>
      </c>
      <c r="O27">
        <f t="shared" ca="1" si="1"/>
        <v>2.7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5128.8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5128.8</v>
      </c>
      <c r="K28">
        <f t="shared" ca="1" si="6"/>
        <v>0.16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0</v>
      </c>
      <c r="O28">
        <f t="shared" ca="1" si="1"/>
        <v>3.2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13_Durchflussmessgenauigkeit cm³/s</v>
      </c>
      <c r="C29">
        <f ca="1">RANDBETWEEN(5,10)*100</f>
        <v>800</v>
      </c>
      <c r="D29" s="3" t="str">
        <f ca="1">VLOOKUP(table_DataQualities[[#This Row],[unit_ID]],table_Units[#All],2)</f>
        <v>+/- cm³/s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0.55600000000000005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9.1999999999999998E-3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9.1999999999999998E-3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0.55600000000000005</v>
      </c>
      <c r="K29">
        <f t="shared" ca="1" si="6"/>
        <v>0.76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0</v>
      </c>
      <c r="O29">
        <f t="shared" ca="1" si="1"/>
        <v>4.7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0.63400000000000001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9362.9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0.63400000000000001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9362.9</v>
      </c>
      <c r="K30">
        <f t="shared" ca="1" si="6"/>
        <v>0.36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0</v>
      </c>
      <c r="O30">
        <f t="shared" ca="1" si="1"/>
        <v>3.8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14_Durchflussmessgenauigkeit cm³/s</v>
      </c>
      <c r="C31">
        <f t="shared" ref="C31:C41" ca="1" si="10">RANDBETWEEN(5,10)*100</f>
        <v>800</v>
      </c>
      <c r="D31" s="3" t="str">
        <f ca="1">VLOOKUP(table_DataQualities[[#This Row],[unit_ID]],table_Units[#All],2)</f>
        <v>+/- cm³/s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9.4E-2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4.4000000000000003E-3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4.4000000000000003E-3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9.4E-2</v>
      </c>
      <c r="K31">
        <f t="shared" ca="1" si="6"/>
        <v>0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0</v>
      </c>
      <c r="O31">
        <f t="shared" ca="1" si="1"/>
        <v>4.9000000000000004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0.61099999999999999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589.29999999999995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0.61099999999999999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589.29999999999995</v>
      </c>
      <c r="K32">
        <f t="shared" ca="1" si="6"/>
        <v>0.51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0</v>
      </c>
      <c r="O32">
        <f t="shared" ca="1" si="1"/>
        <v>4.5999999999999996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15_Leistungsmessgenauigkeit W</v>
      </c>
      <c r="C33">
        <f t="shared" ref="C33" ca="1" si="11">RANDBETWEEN(5,10)*100</f>
        <v>600</v>
      </c>
      <c r="D33" s="3" t="str">
        <f ca="1">VLOOKUP(table_DataQualities[[#This Row],[unit_ID]],table_Units[#All],2)</f>
        <v>+/- W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7.45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7.45</v>
      </c>
      <c r="K33">
        <f t="shared" ca="1" si="6"/>
        <v>0.04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0</v>
      </c>
      <c r="O33">
        <f t="shared" ca="1" si="1"/>
        <v>2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0.77800000000000002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7511.7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0.77800000000000002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7511.7</v>
      </c>
      <c r="K34">
        <f t="shared" ca="1" si="6"/>
        <v>0.75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0</v>
      </c>
      <c r="O34">
        <f t="shared" ca="1" si="1"/>
        <v>4.7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16_Durchflussmessgenauigkeit cm³/s</v>
      </c>
      <c r="C35">
        <f t="shared" ca="1" si="10"/>
        <v>800</v>
      </c>
      <c r="D35" s="3" t="str">
        <f ca="1">VLOOKUP(table_DataQualities[[#This Row],[unit_ID]],table_Units[#All],2)</f>
        <v>+/- cm³/s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0.83399999999999996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1.9E-3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1.9E-3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0.83399999999999996</v>
      </c>
      <c r="K35">
        <f t="shared" ca="1" si="6"/>
        <v>0.5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0</v>
      </c>
      <c r="O35">
        <f t="shared" ca="1" si="1"/>
        <v>3.9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0.14299999999999999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8813.5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0.14299999999999999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8813.5</v>
      </c>
      <c r="K36">
        <f t="shared" ca="1" si="6"/>
        <v>0.38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0</v>
      </c>
      <c r="O36">
        <f t="shared" ca="1" si="1"/>
        <v>2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17_Leistungsmessgenauigkeit W</v>
      </c>
      <c r="C37">
        <f t="shared" ref="C37" ca="1" si="12">RANDBETWEEN(5,10)*100</f>
        <v>600</v>
      </c>
      <c r="D37" s="3" t="str">
        <f ca="1">VLOOKUP(table_DataQualities[[#This Row],[unit_ID]],table_Units[#All],2)</f>
        <v>+/- W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5.27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5.1999999999999998E-2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5.1999999999999998E-2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5.27</v>
      </c>
      <c r="K37">
        <f t="shared" ca="1" si="6"/>
        <v>0.98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0</v>
      </c>
      <c r="O37">
        <f t="shared" ca="1" si="1"/>
        <v>1.2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0.22600000000000001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2946.2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0.22600000000000001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2946.2</v>
      </c>
      <c r="K38">
        <f t="shared" ca="1" si="6"/>
        <v>0.53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0</v>
      </c>
      <c r="O38">
        <f t="shared" ca="1" si="1"/>
        <v>4.9000000000000004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18_Längenmessgenauigkeit mm</v>
      </c>
      <c r="C39">
        <f t="shared" ca="1" si="10"/>
        <v>900</v>
      </c>
      <c r="D39" s="3" t="str">
        <f ca="1">VLOOKUP(table_DataQualities[[#This Row],[unit_ID]],table_Units[#All],2)</f>
        <v>+/- mm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1.06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1.06</v>
      </c>
      <c r="K39">
        <f t="shared" ca="1" si="6"/>
        <v>0.28000000000000003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0</v>
      </c>
      <c r="O39">
        <f t="shared" ca="1" si="1"/>
        <v>4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0.183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2792.2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0.183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2792.2</v>
      </c>
      <c r="K40">
        <f t="shared" ca="1" si="6"/>
        <v>0.55000000000000004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0</v>
      </c>
      <c r="O40">
        <f t="shared" ca="1" si="1"/>
        <v>2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19_Geschwindigkeitsmessgenauigkeit mm/s</v>
      </c>
      <c r="C41">
        <f t="shared" ca="1" si="10"/>
        <v>700</v>
      </c>
      <c r="D41" s="3" t="str">
        <f ca="1">VLOOKUP(table_DataQualities[[#This Row],[unit_ID]],table_Units[#All],2)</f>
        <v>+/- mm/s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0.64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41">
        <f t="shared" ca="1" si="6"/>
        <v>0.79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0</v>
      </c>
      <c r="O41">
        <f t="shared" ca="1" si="1"/>
        <v>1.6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6.2E-2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7516.2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7516.2</v>
      </c>
      <c r="K42">
        <f t="shared" ca="1" si="6"/>
        <v>0.5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3.7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20_Leistungsmessgenauigkeit W</v>
      </c>
      <c r="C43">
        <f ca="1">RANDBETWEEN(5,10)*100</f>
        <v>600</v>
      </c>
      <c r="D43" s="3" t="str">
        <f ca="1">VLOOKUP(table_DataQualities[[#This Row],[unit_ID]],table_Units[#All],2)</f>
        <v>+/- W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2.57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2.57</v>
      </c>
      <c r="K43">
        <f t="shared" ca="1" si="6"/>
        <v>0.32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3.6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0.83299999999999996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3399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0.83299999999999996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3399</v>
      </c>
      <c r="K44">
        <f t="shared" ca="1" si="6"/>
        <v>0.05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4.8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21_Geschwindigkeitsmessgenauigkeit mm/s</v>
      </c>
      <c r="C45">
        <f t="shared" ref="C45:C55" ca="1" si="13">RANDBETWEEN(5,10)*100</f>
        <v>700</v>
      </c>
      <c r="D45" s="3" t="str">
        <f ca="1">VLOOKUP(table_DataQualities[[#This Row],[unit_ID]],table_Units[#All],2)</f>
        <v>+/- mm/s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0.48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45">
        <f t="shared" ca="1" si="6"/>
        <v>0.18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3.8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0.88600000000000001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7626.6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0.88600000000000001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7626.6</v>
      </c>
      <c r="K46">
        <f t="shared" ca="1" si="6"/>
        <v>0.54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4.8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22_Längenmessgenauigkeit mm</v>
      </c>
      <c r="C47">
        <f t="shared" ref="C47" ca="1" si="14">RANDBETWEEN(5,10)*100</f>
        <v>900</v>
      </c>
      <c r="D47" s="3" t="str">
        <f ca="1">VLOOKUP(table_DataQualities[[#This Row],[unit_ID]],table_Units[#All],2)</f>
        <v>+/- mm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2.65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2.65</v>
      </c>
      <c r="K47">
        <f t="shared" ca="1" si="6"/>
        <v>0.6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1.4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3.6999999999999998E-2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5930.6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5930.6</v>
      </c>
      <c r="K48">
        <f t="shared" ca="1" si="6"/>
        <v>0.44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2.8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23_Bildgröße</v>
      </c>
      <c r="C49">
        <f t="shared" ca="1" si="13"/>
        <v>1000</v>
      </c>
      <c r="D49" s="3" t="str">
        <f ca="1">VLOOKUP(table_DataQualities[[#This Row],[unit_ID]],table_Units[#All],2)</f>
        <v>bit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20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2612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20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2612</v>
      </c>
      <c r="K49">
        <f t="shared" ca="1" si="6"/>
        <v>0.64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1.2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0.39300000000000002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5219.8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0.39300000000000002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5219.8</v>
      </c>
      <c r="K50">
        <f t="shared" ca="1" si="6"/>
        <v>0.94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1.7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24_Bildgröße</v>
      </c>
      <c r="C51">
        <f t="shared" ref="C51" ca="1" si="15">RANDBETWEEN(5,10)*100</f>
        <v>1000</v>
      </c>
      <c r="D51" s="3" t="str">
        <f ca="1">VLOOKUP(table_DataQualities[[#This Row],[unit_ID]],table_Units[#All],2)</f>
        <v>bit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33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8375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33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8375</v>
      </c>
      <c r="K51">
        <f t="shared" ca="1" si="6"/>
        <v>0.01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2.9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0.56299999999999994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6349.6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0.56299999999999994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6349.6</v>
      </c>
      <c r="K52">
        <f t="shared" ca="1" si="6"/>
        <v>0.39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3.6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25_Längenmessgenauigkeit mm</v>
      </c>
      <c r="C53">
        <f t="shared" ca="1" si="13"/>
        <v>900</v>
      </c>
      <c r="D53" s="3" t="str">
        <f ca="1">VLOOKUP(table_DataQualities[[#This Row],[unit_ID]],table_Units[#All],2)</f>
        <v>+/- mm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1.62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9.0999999999999998E-2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9.0999999999999998E-2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1.62</v>
      </c>
      <c r="K53">
        <f t="shared" ca="1" si="6"/>
        <v>0.17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4.4000000000000004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0.32600000000000001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9558.7999999999993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0.32600000000000001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9558.7999999999993</v>
      </c>
      <c r="K54">
        <f t="shared" ca="1" si="6"/>
        <v>0.28000000000000003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4.8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26_Bildgröße</v>
      </c>
      <c r="C55">
        <f t="shared" ca="1" si="13"/>
        <v>1000</v>
      </c>
      <c r="D55" s="3" t="str">
        <f ca="1">VLOOKUP(table_DataQualities[[#This Row],[unit_ID]],table_Units[#All],2)</f>
        <v>bit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32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6177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32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6177</v>
      </c>
      <c r="K55">
        <f t="shared" ca="1" si="6"/>
        <v>0.87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1.8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0.46700000000000003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1707.2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0.46700000000000003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1707.2</v>
      </c>
      <c r="K56">
        <f t="shared" ca="1" si="6"/>
        <v>0.6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4.8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27_Bildgröße</v>
      </c>
      <c r="C57">
        <f ca="1">RANDBETWEEN(5,10)*100</f>
        <v>1000</v>
      </c>
      <c r="D57" s="3" t="str">
        <f ca="1">VLOOKUP(table_DataQualities[[#This Row],[unit_ID]],table_Units[#All],2)</f>
        <v>bit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25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8614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25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8614</v>
      </c>
      <c r="K57">
        <f t="shared" ca="1" si="6"/>
        <v>0.66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1.5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4101.8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4101.8</v>
      </c>
      <c r="K58">
        <f t="shared" ca="1" si="6"/>
        <v>0.67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4.4000000000000004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28_Temperaturmessgenauigkeit °C</v>
      </c>
      <c r="C59">
        <f t="shared" ref="C59:C69" ca="1" si="16">RANDBETWEEN(5,10)*100</f>
        <v>500</v>
      </c>
      <c r="D59" s="3" t="str">
        <f ca="1">VLOOKUP(table_DataQualities[[#This Row],[unit_ID]],table_Units[#All],2)</f>
        <v>+/- °C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59">
        <f t="shared" ca="1" si="6"/>
        <v>0.64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3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0.50600000000000001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9217.2999999999993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0.50600000000000001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9217.2999999999993</v>
      </c>
      <c r="K60">
        <f t="shared" ca="1" si="6"/>
        <v>0.21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1.5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29_Geschwindigkeitsmessgenauigkeit mm/s</v>
      </c>
      <c r="C61">
        <f t="shared" ref="C61" ca="1" si="17">RANDBETWEEN(5,10)*100</f>
        <v>700</v>
      </c>
      <c r="D61" s="3" t="str">
        <f ca="1">VLOOKUP(table_DataQualities[[#This Row],[unit_ID]],table_Units[#All],2)</f>
        <v>+/- mm/s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0.75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</v>
      </c>
      <c r="K61">
        <f t="shared" ca="1" si="6"/>
        <v>0.96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3.2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0.78700000000000003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2223.5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0.78700000000000003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2223.5</v>
      </c>
      <c r="K62">
        <f t="shared" ca="1" si="6"/>
        <v>0.92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3.5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30_Bildgröße</v>
      </c>
      <c r="C63">
        <f t="shared" ca="1" si="16"/>
        <v>1000</v>
      </c>
      <c r="D63" s="3" t="str">
        <f ca="1">VLOOKUP(table_DataQualities[[#This Row],[unit_ID]],table_Units[#All],2)</f>
        <v>bit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9500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9500</v>
      </c>
      <c r="K63">
        <f t="shared" ca="1" si="6"/>
        <v>0.49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2.2000000000000002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6372.5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6372.5</v>
      </c>
      <c r="K64">
        <f t="shared" ca="1" si="6"/>
        <v>0.52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1.7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31_Durchflussmessgenauigkeit cm³/s</v>
      </c>
      <c r="C65">
        <f t="shared" ref="C65" ca="1" si="18">RANDBETWEEN(5,10)*100</f>
        <v>800</v>
      </c>
      <c r="D65" s="3" t="str">
        <f ca="1">VLOOKUP(table_DataQualities[[#This Row],[unit_ID]],table_Units[#All],2)</f>
        <v>+/- cm³/s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0.40500000000000003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0.40500000000000003</v>
      </c>
      <c r="K65">
        <f t="shared" ca="1" si="6"/>
        <v>0.22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3.3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0.35599999999999998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3624.5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0.35599999999999998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3624.5</v>
      </c>
      <c r="K66">
        <f t="shared" ca="1" si="6"/>
        <v>0.44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4.3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32_Bildgröße</v>
      </c>
      <c r="C67">
        <f t="shared" ca="1" si="16"/>
        <v>1000</v>
      </c>
      <c r="D67" s="3" t="str">
        <f ca="1">VLOOKUP(table_DataQualities[[#This Row],[unit_ID]],table_Units[#All],2)</f>
        <v>bit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100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5276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100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5276</v>
      </c>
      <c r="K67">
        <f t="shared" ca="1" si="6"/>
        <v>0.66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4.5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0.73399999999999999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1233.8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0.73399999999999999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1233.8</v>
      </c>
      <c r="K68">
        <f t="shared" ca="1" si="6"/>
        <v>0.68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3.5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33_Temperaturmessgenauigkeit °C</v>
      </c>
      <c r="C69">
        <f t="shared" ca="1" si="16"/>
        <v>500</v>
      </c>
      <c r="D69" s="3" t="str">
        <f ca="1">VLOOKUP(table_DataQualities[[#This Row],[unit_ID]],table_Units[#All],2)</f>
        <v>+/- °C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69">
        <f t="shared" ca="1" si="6"/>
        <v>0.1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1.6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0.67700000000000005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4507.8999999999996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0.67700000000000005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4507.8999999999996</v>
      </c>
      <c r="K70">
        <f t="shared" ca="1" si="6"/>
        <v>0.74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4.2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34_Leistungsmessgenauigkeit W</v>
      </c>
      <c r="C71">
        <f ca="1">RANDBETWEEN(5,10)*100</f>
        <v>600</v>
      </c>
      <c r="D71" s="3" t="str">
        <f ca="1">VLOOKUP(table_DataQualities[[#This Row],[unit_ID]],table_Units[#All],2)</f>
        <v>+/- W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6.33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6.33</v>
      </c>
      <c r="K71">
        <f t="shared" ca="1" si="6"/>
        <v>0.96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2.8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0.14599999999999999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1002.1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0.14599999999999999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1002.1</v>
      </c>
      <c r="K72">
        <f t="shared" ca="1" si="6"/>
        <v>0.79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3.3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35_Durchflussmessgenauigkeit cm³/s</v>
      </c>
      <c r="C73">
        <f t="shared" ref="C73:C83" ca="1" si="20">RANDBETWEEN(5,10)*100</f>
        <v>800</v>
      </c>
      <c r="D73" s="3" t="str">
        <f ca="1">VLOOKUP(table_DataQualities[[#This Row],[unit_ID]],table_Units[#All],2)</f>
        <v>+/- cm³/s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0.80300000000000005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0.80300000000000005</v>
      </c>
      <c r="K73">
        <f t="shared" ca="1" si="6"/>
        <v>0.73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2.2999999999999998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0.20499999999999999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5684.3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0.20499999999999999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5684.3</v>
      </c>
      <c r="K74">
        <f t="shared" ca="1" si="6"/>
        <v>0.06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1.3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36_Temperaturmessgenauigkeit °C</v>
      </c>
      <c r="C75">
        <f t="shared" ref="C75" ca="1" si="21">RANDBETWEEN(5,10)*100</f>
        <v>500</v>
      </c>
      <c r="D75" s="3" t="str">
        <f ca="1">VLOOKUP(table_DataQualities[[#This Row],[unit_ID]],table_Units[#All],2)</f>
        <v>+/- °C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75">
        <f t="shared" ca="1" si="6"/>
        <v>0.99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2.6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0.42399999999999999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8826.2999999999993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0.42399999999999999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8826.2999999999993</v>
      </c>
      <c r="K76">
        <f t="shared" ca="1" si="6"/>
        <v>0.11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2.2000000000000002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37_Bildgröße</v>
      </c>
      <c r="C77">
        <f t="shared" ca="1" si="20"/>
        <v>1000</v>
      </c>
      <c r="D77" s="3" t="str">
        <f ca="1">VLOOKUP(table_DataQualities[[#This Row],[unit_ID]],table_Units[#All],2)</f>
        <v>bit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9439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9439</v>
      </c>
      <c r="K77">
        <f t="shared" ca="1" si="6"/>
        <v>0.76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4.5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3100.5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3100.5</v>
      </c>
      <c r="K78">
        <f t="shared" ca="1" si="6"/>
        <v>0.74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2.6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38_Geschwindigkeitsmessgenauigkeit mm/s</v>
      </c>
      <c r="C79">
        <f t="shared" ref="C79" ca="1" si="22">RANDBETWEEN(5,10)*100</f>
        <v>700</v>
      </c>
      <c r="D79" s="3" t="str">
        <f ca="1">VLOOKUP(table_DataQualities[[#This Row],[unit_ID]],table_Units[#All],2)</f>
        <v>+/- mm/s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</v>
      </c>
      <c r="K79">
        <f t="shared" ref="K79:K142" ca="1" si="23">ROUND(RAND(),2)</f>
        <v>0.11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2.2000000000000002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0.69399999999999995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4080.7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0.69399999999999995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4080.7</v>
      </c>
      <c r="K80">
        <f t="shared" ca="1" si="23"/>
        <v>0.79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2.7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39_Geschwindigkeitsmessgenauigkeit mm/s</v>
      </c>
      <c r="C81">
        <f t="shared" ca="1" si="20"/>
        <v>700</v>
      </c>
      <c r="D81" s="3" t="str">
        <f ca="1">VLOOKUP(table_DataQualities[[#This Row],[unit_ID]],table_Units[#All],2)</f>
        <v>+/- mm/s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0.15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</v>
      </c>
      <c r="K81">
        <f t="shared" ca="1" si="23"/>
        <v>0.37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1.7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0.46100000000000002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4455.8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0.46100000000000002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4455.8</v>
      </c>
      <c r="K82">
        <f t="shared" ca="1" si="23"/>
        <v>0.97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1.9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40_Temperaturmessgenauigkeit °C</v>
      </c>
      <c r="C83">
        <f t="shared" ca="1" si="20"/>
        <v>500</v>
      </c>
      <c r="D83" s="3" t="str">
        <f ca="1">VLOOKUP(table_DataQualities[[#This Row],[unit_ID]],table_Units[#All],2)</f>
        <v>+/- °C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83">
        <f t="shared" ca="1" si="23"/>
        <v>0.21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2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5007.8999999999996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5007.8999999999996</v>
      </c>
      <c r="K84">
        <f t="shared" ca="1" si="23"/>
        <v>0.62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1.4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41_Geschwindigkeitsmessgenauigkeit mm/s</v>
      </c>
      <c r="C85">
        <f ca="1">RANDBETWEEN(5,10)*100</f>
        <v>700</v>
      </c>
      <c r="D85" s="3" t="str">
        <f ca="1">VLOOKUP(table_DataQualities[[#This Row],[unit_ID]],table_Units[#All],2)</f>
        <v>+/- mm/s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</v>
      </c>
      <c r="K85">
        <f t="shared" ca="1" si="23"/>
        <v>0.88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1.7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0.76100000000000001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6346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0.76100000000000001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6346</v>
      </c>
      <c r="K86">
        <f t="shared" ca="1" si="23"/>
        <v>0.8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2.1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42_Längenmessgenauigkeit mm</v>
      </c>
      <c r="C87">
        <f t="shared" ref="C87:C97" ca="1" si="24">RANDBETWEEN(5,10)*100</f>
        <v>900</v>
      </c>
      <c r="D87" s="3" t="str">
        <f ca="1">VLOOKUP(table_DataQualities[[#This Row],[unit_ID]],table_Units[#All],2)</f>
        <v>+/- mm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6.98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6.98</v>
      </c>
      <c r="K87">
        <f t="shared" ca="1" si="23"/>
        <v>0.24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2.2000000000000002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0.44600000000000001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8644.2999999999993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0.44600000000000001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8644.2999999999993</v>
      </c>
      <c r="K88">
        <f t="shared" ca="1" si="23"/>
        <v>0.8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3.2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43_Temperaturmessgenauigkeit °C</v>
      </c>
      <c r="C89">
        <f t="shared" ref="C89" ca="1" si="25">RANDBETWEEN(5,10)*100</f>
        <v>500</v>
      </c>
      <c r="D89" s="3" t="str">
        <f ca="1">VLOOKUP(table_DataQualities[[#This Row],[unit_ID]],table_Units[#All],2)</f>
        <v>+/- °C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89">
        <f t="shared" ca="1" si="23"/>
        <v>0.99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4.9000000000000004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0.03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3003.6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3003.6</v>
      </c>
      <c r="K90">
        <f t="shared" ca="1" si="23"/>
        <v>0.45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2.8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44_Bildgröße</v>
      </c>
      <c r="C91">
        <f t="shared" ca="1" si="24"/>
        <v>1000</v>
      </c>
      <c r="D91" s="3" t="str">
        <f ca="1">VLOOKUP(table_DataQualities[[#This Row],[unit_ID]],table_Units[#All],2)</f>
        <v>bit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66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8318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66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8318</v>
      </c>
      <c r="K91">
        <f t="shared" ca="1" si="23"/>
        <v>0.65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4.8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8.2000000000000003E-2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7117.7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7117.7</v>
      </c>
      <c r="K92">
        <f t="shared" ca="1" si="23"/>
        <v>0.83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1.2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45_Längenmessgenauigkeit mm</v>
      </c>
      <c r="C93">
        <f t="shared" ref="C93" ca="1" si="26">RANDBETWEEN(5,10)*100</f>
        <v>900</v>
      </c>
      <c r="D93" s="3" t="str">
        <f ca="1">VLOOKUP(table_DataQualities[[#This Row],[unit_ID]],table_Units[#All],2)</f>
        <v>+/- mm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2.2400000000000002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3.3000000000000002E-2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2.2400000000000002</v>
      </c>
      <c r="K93">
        <f t="shared" ca="1" si="23"/>
        <v>0.48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1.2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0.38600000000000001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8674.7999999999993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0.38600000000000001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8674.7999999999993</v>
      </c>
      <c r="K94">
        <f t="shared" ca="1" si="23"/>
        <v>0.77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1.2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46_Längenmessgenauigkeit mm</v>
      </c>
      <c r="C95">
        <f t="shared" ca="1" si="24"/>
        <v>900</v>
      </c>
      <c r="D95" s="3" t="str">
        <f ca="1">VLOOKUP(table_DataQualities[[#This Row],[unit_ID]],table_Units[#All],2)</f>
        <v>+/- mm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3.2000000000000001E-2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</v>
      </c>
      <c r="K95">
        <f t="shared" ca="1" si="23"/>
        <v>0.14000000000000001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2.2999999999999998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0.58199999999999996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689.9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0.58199999999999996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689.9</v>
      </c>
      <c r="K96">
        <f t="shared" ca="1" si="23"/>
        <v>0.89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1.8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47_Geschwindigkeitsmessgenauigkeit mm/s</v>
      </c>
      <c r="C97">
        <f t="shared" ca="1" si="24"/>
        <v>700</v>
      </c>
      <c r="D97" s="3" t="str">
        <f ca="1">VLOOKUP(table_DataQualities[[#This Row],[unit_ID]],table_Units[#All],2)</f>
        <v>+/- mm/s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0.85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97">
        <f t="shared" ca="1" si="23"/>
        <v>0.46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3.9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3.1E-2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8549.5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8549.5</v>
      </c>
      <c r="K98">
        <f t="shared" ca="1" si="23"/>
        <v>0.23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4.3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48_Bildgröße</v>
      </c>
      <c r="C99">
        <f ca="1">RANDBETWEEN(5,10)*100</f>
        <v>1000</v>
      </c>
      <c r="D99" s="3" t="str">
        <f ca="1">VLOOKUP(table_DataQualities[[#This Row],[unit_ID]],table_Units[#All],2)</f>
        <v>bit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90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3002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90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3002</v>
      </c>
      <c r="K99">
        <f t="shared" ca="1" si="23"/>
        <v>0.93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1.7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0.61099999999999999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6282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0.61099999999999999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6282</v>
      </c>
      <c r="K100">
        <f t="shared" ca="1" si="23"/>
        <v>0.4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3.2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49_Längenmessgenauigkeit mm</v>
      </c>
      <c r="C101">
        <f t="shared" ref="C101:C111" ca="1" si="27">RANDBETWEEN(5,10)*100</f>
        <v>900</v>
      </c>
      <c r="D101" s="3" t="str">
        <f ca="1">VLOOKUP(table_DataQualities[[#This Row],[unit_ID]],table_Units[#All],2)</f>
        <v>+/- mm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2.38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5.5E-2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2.38</v>
      </c>
      <c r="K101">
        <f t="shared" ca="1" si="23"/>
        <v>0.16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3.6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0.625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1404.5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0.625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1404.5</v>
      </c>
      <c r="K102">
        <f t="shared" ca="1" si="23"/>
        <v>0.03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3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50_Geschwindigkeitsmessgenauigkeit mm/s</v>
      </c>
      <c r="C103">
        <f t="shared" ref="C103" ca="1" si="28">RANDBETWEEN(5,10)*100</f>
        <v>700</v>
      </c>
      <c r="D103" s="3" t="str">
        <f ca="1">VLOOKUP(table_DataQualities[[#This Row],[unit_ID]],table_Units[#All],2)</f>
        <v>+/- mm/s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0.43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103">
        <f t="shared" ca="1" si="23"/>
        <v>0.99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3.8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0.69699999999999995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5469.9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0.69699999999999995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5469.9</v>
      </c>
      <c r="K104">
        <f t="shared" ca="1" si="23"/>
        <v>0.73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1.2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51_Temperaturmessgenauigkeit °C</v>
      </c>
      <c r="C105">
        <f t="shared" ca="1" si="27"/>
        <v>500</v>
      </c>
      <c r="D105" s="3" t="str">
        <f ca="1">VLOOKUP(table_DataQualities[[#This Row],[unit_ID]],table_Units[#All],2)</f>
        <v>+/- °C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05">
        <f t="shared" ca="1" si="23"/>
        <v>0.33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4.9000000000000004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0.82899999999999996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7758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0.82899999999999996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7758</v>
      </c>
      <c r="K106">
        <f t="shared" ca="1" si="23"/>
        <v>0.84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2.6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52_Längenmessgenauigkeit mm</v>
      </c>
      <c r="C107">
        <f t="shared" ref="C107" ca="1" si="29">RANDBETWEEN(5,10)*100</f>
        <v>900</v>
      </c>
      <c r="D107" s="3" t="str">
        <f ca="1">VLOOKUP(table_DataQualities[[#This Row],[unit_ID]],table_Units[#All],2)</f>
        <v>+/- mm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4.59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4.59</v>
      </c>
      <c r="K107">
        <f t="shared" ca="1" si="23"/>
        <v>0.11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2.5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0.89400000000000002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3306.8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0.89400000000000002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3306.8</v>
      </c>
      <c r="K108">
        <f t="shared" ca="1" si="23"/>
        <v>0.94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2.9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53_Durchflussmessgenauigkeit cm³/s</v>
      </c>
      <c r="C109">
        <f t="shared" ca="1" si="27"/>
        <v>800</v>
      </c>
      <c r="D109" s="3" t="str">
        <f ca="1">VLOOKUP(table_DataQualities[[#This Row],[unit_ID]],table_Units[#All],2)</f>
        <v>+/- cm³/s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0.17799999999999999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1.6000000000000001E-3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1.6000000000000001E-3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0.17799999999999999</v>
      </c>
      <c r="K109">
        <f t="shared" ca="1" si="23"/>
        <v>0.45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2.5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0.65200000000000002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558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0.65200000000000002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558</v>
      </c>
      <c r="K110">
        <f t="shared" ca="1" si="23"/>
        <v>0.86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3.8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54_Temperaturmessgenauigkeit °C</v>
      </c>
      <c r="C111">
        <f t="shared" ca="1" si="27"/>
        <v>500</v>
      </c>
      <c r="D111" s="3" t="str">
        <f ca="1">VLOOKUP(table_DataQualities[[#This Row],[unit_ID]],table_Units[#All],2)</f>
        <v>+/- °C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11">
        <f t="shared" ca="1" si="23"/>
        <v>0.55000000000000004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4.4000000000000004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0.02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5850.6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5850.6</v>
      </c>
      <c r="K112">
        <f t="shared" ca="1" si="23"/>
        <v>0.4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3.4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55_Leistungsmessgenauigkeit W</v>
      </c>
      <c r="C113">
        <f ca="1">RANDBETWEEN(5,10)*100</f>
        <v>600</v>
      </c>
      <c r="D113" s="3" t="str">
        <f ca="1">VLOOKUP(table_DataQualities[[#This Row],[unit_ID]],table_Units[#All],2)</f>
        <v>+/- W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2.74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2.74</v>
      </c>
      <c r="K113">
        <f t="shared" ca="1" si="23"/>
        <v>0.28000000000000003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4.5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0.36099999999999999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392.8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0.36099999999999999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392.8</v>
      </c>
      <c r="K114">
        <f t="shared" ca="1" si="23"/>
        <v>0.66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4.3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56_Geschwindigkeitsmessgenauigkeit mm/s</v>
      </c>
      <c r="C115">
        <f t="shared" ref="C115:C125" ca="1" si="30">RANDBETWEEN(5,10)*100</f>
        <v>700</v>
      </c>
      <c r="D115" s="3" t="str">
        <f ca="1">VLOOKUP(table_DataQualities[[#This Row],[unit_ID]],table_Units[#All],2)</f>
        <v>+/- mm/s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0.57999999999999996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0.57999999999999996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115">
        <f t="shared" ca="1" si="23"/>
        <v>0.25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2.9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0.93600000000000005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3724.4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0.93600000000000005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3724.4</v>
      </c>
      <c r="K116">
        <f t="shared" ca="1" si="23"/>
        <v>0.05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3.6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57_Leistungsmessgenauigkeit W</v>
      </c>
      <c r="C117">
        <f t="shared" ref="C117" ca="1" si="31">RANDBETWEEN(5,10)*100</f>
        <v>600</v>
      </c>
      <c r="D117" s="3" t="str">
        <f ca="1">VLOOKUP(table_DataQualities[[#This Row],[unit_ID]],table_Units[#All],2)</f>
        <v>+/- W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5.72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5.72</v>
      </c>
      <c r="K117">
        <f t="shared" ca="1" si="23"/>
        <v>0.72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4.2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5618.2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5618.2</v>
      </c>
      <c r="K118">
        <f t="shared" ca="1" si="23"/>
        <v>0.92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2.1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58_Temperaturmessgenauigkeit °C</v>
      </c>
      <c r="C119">
        <f t="shared" ca="1" si="30"/>
        <v>500</v>
      </c>
      <c r="D119" s="3" t="str">
        <f ca="1">VLOOKUP(table_DataQualities[[#This Row],[unit_ID]],table_Units[#All],2)</f>
        <v>+/- °C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19">
        <f t="shared" ca="1" si="23"/>
        <v>0.7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2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0.69399999999999995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7592.5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0.69399999999999995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7592.5</v>
      </c>
      <c r="K120">
        <f t="shared" ca="1" si="23"/>
        <v>0.66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2.2000000000000002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59_Bildgröße</v>
      </c>
      <c r="C121">
        <f t="shared" ref="C121" ca="1" si="32">RANDBETWEEN(5,10)*100</f>
        <v>1000</v>
      </c>
      <c r="D121" s="3" t="str">
        <f ca="1">VLOOKUP(table_DataQualities[[#This Row],[unit_ID]],table_Units[#All],2)</f>
        <v>bit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47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7073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47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7073</v>
      </c>
      <c r="K121">
        <f t="shared" ca="1" si="23"/>
        <v>0.49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4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0.57099999999999995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5584.5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0.57099999999999995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5584.5</v>
      </c>
      <c r="K122">
        <f t="shared" ca="1" si="23"/>
        <v>0.02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2.2000000000000002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60_Längenmessgenauigkeit mm</v>
      </c>
      <c r="C123">
        <f t="shared" ca="1" si="30"/>
        <v>900</v>
      </c>
      <c r="D123" s="3" t="str">
        <f ca="1">VLOOKUP(table_DataQualities[[#This Row],[unit_ID]],table_Units[#All],2)</f>
        <v>+/- mm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8.98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1.6E-2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8.98</v>
      </c>
      <c r="K123">
        <f t="shared" ca="1" si="23"/>
        <v>0.95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2.2000000000000002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5.8999999999999997E-2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4329.1000000000004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4329.1000000000004</v>
      </c>
      <c r="K124">
        <f t="shared" ca="1" si="23"/>
        <v>0.11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3.6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61_Geschwindigkeitsmessgenauigkeit mm/s</v>
      </c>
      <c r="C125">
        <f t="shared" ca="1" si="30"/>
        <v>700</v>
      </c>
      <c r="D125" s="3" t="str">
        <f ca="1">VLOOKUP(table_DataQualities[[#This Row],[unit_ID]],table_Units[#All],2)</f>
        <v>+/- mm/s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0.99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</v>
      </c>
      <c r="K125">
        <f t="shared" ca="1" si="23"/>
        <v>0.61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4.5999999999999996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0.877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6957.9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0.877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6957.9</v>
      </c>
      <c r="K126">
        <f t="shared" ca="1" si="23"/>
        <v>0.06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2.4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62_Temperaturmessgenauigkeit °C</v>
      </c>
      <c r="C127">
        <f ca="1">RANDBETWEEN(5,10)*100</f>
        <v>500</v>
      </c>
      <c r="D127" s="3" t="str">
        <f ca="1">VLOOKUP(table_DataQualities[[#This Row],[unit_ID]],table_Units[#All],2)</f>
        <v>+/- °C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27">
        <f t="shared" ca="1" si="23"/>
        <v>0.77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1.7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0.23200000000000001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9262.5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0.23200000000000001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9262.5</v>
      </c>
      <c r="K128">
        <f t="shared" ca="1" si="23"/>
        <v>0.27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3.1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63_Geschwindigkeitsmessgenauigkeit mm/s</v>
      </c>
      <c r="C129">
        <f t="shared" ref="C129:C139" ca="1" si="33">RANDBETWEEN(5,10)*100</f>
        <v>700</v>
      </c>
      <c r="D129" s="3" t="str">
        <f ca="1">VLOOKUP(table_DataQualities[[#This Row],[unit_ID]],table_Units[#All],2)</f>
        <v>+/- mm/s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0.78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</v>
      </c>
      <c r="K129">
        <f t="shared" ca="1" si="23"/>
        <v>0.97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1.6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8.5000000000000006E-2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5394.4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5394.4</v>
      </c>
      <c r="K130">
        <f t="shared" ca="1" si="23"/>
        <v>0.16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2.8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64_Längenmessgenauigkeit mm</v>
      </c>
      <c r="C131">
        <f t="shared" ref="C131" ca="1" si="34">RANDBETWEEN(5,10)*100</f>
        <v>900</v>
      </c>
      <c r="D131" s="3" t="str">
        <f ca="1">VLOOKUP(table_DataQualities[[#This Row],[unit_ID]],table_Units[#All],2)</f>
        <v>+/- mm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6.35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6.35</v>
      </c>
      <c r="K131">
        <f t="shared" ca="1" si="23"/>
        <v>0.67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2.5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9229.7000000000007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0.72199999999999998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9229.7000000000007</v>
      </c>
      <c r="K132">
        <f t="shared" ca="1" si="23"/>
        <v>0.5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2.7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65_Durchflussmessgenauigkeit cm³/s</v>
      </c>
      <c r="C133">
        <f t="shared" ca="1" si="33"/>
        <v>800</v>
      </c>
      <c r="D133" s="3" t="str">
        <f ca="1">VLOOKUP(table_DataQualities[[#This Row],[unit_ID]],table_Units[#All],2)</f>
        <v>+/- cm³/s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0.92300000000000004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7.9000000000000008E-3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7.9000000000000008E-3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0.92300000000000004</v>
      </c>
      <c r="K133">
        <f t="shared" ca="1" si="23"/>
        <v>0.08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3.8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994.5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994.5</v>
      </c>
      <c r="K134">
        <f t="shared" ca="1" si="23"/>
        <v>0.61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1.6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66_Längenmessgenauigkeit mm</v>
      </c>
      <c r="C135">
        <f t="shared" ref="C135" ca="1" si="36">RANDBETWEEN(5,10)*100</f>
        <v>900</v>
      </c>
      <c r="D135" s="3" t="str">
        <f ca="1">VLOOKUP(table_DataQualities[[#This Row],[unit_ID]],table_Units[#All],2)</f>
        <v>+/- mm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3.09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3.09</v>
      </c>
      <c r="K135">
        <f t="shared" ca="1" si="23"/>
        <v>7.0000000000000007E-2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3.1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0.156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2973.3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0.156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2973.3</v>
      </c>
      <c r="K136">
        <f t="shared" ca="1" si="23"/>
        <v>0.05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3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67_Bildgröße</v>
      </c>
      <c r="C137">
        <f t="shared" ca="1" si="33"/>
        <v>1000</v>
      </c>
      <c r="D137" s="3" t="str">
        <f ca="1">VLOOKUP(table_DataQualities[[#This Row],[unit_ID]],table_Units[#All],2)</f>
        <v>bit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77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7808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77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7808</v>
      </c>
      <c r="K137">
        <f t="shared" ca="1" si="23"/>
        <v>0.92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4.5999999999999996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0.97599999999999998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1382.2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0.97599999999999998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1382.2</v>
      </c>
      <c r="K138">
        <f t="shared" ca="1" si="23"/>
        <v>0.57999999999999996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3.2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68_Bildgröße</v>
      </c>
      <c r="C139">
        <f t="shared" ca="1" si="33"/>
        <v>1000</v>
      </c>
      <c r="D139" s="3" t="str">
        <f ca="1">VLOOKUP(table_DataQualities[[#This Row],[unit_ID]],table_Units[#All],2)</f>
        <v>bit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69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7979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69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7979</v>
      </c>
      <c r="K139">
        <f t="shared" ca="1" si="23"/>
        <v>0.27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3.2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0.83899999999999997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9537.1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0.83899999999999997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9537.1</v>
      </c>
      <c r="K140">
        <f t="shared" ca="1" si="23"/>
        <v>0.91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4.4000000000000004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69_Geschwindigkeitsmessgenauigkeit mm/s</v>
      </c>
      <c r="C141">
        <f ca="1">RANDBETWEEN(5,10)*100</f>
        <v>700</v>
      </c>
      <c r="D141" s="3" t="str">
        <f ca="1">VLOOKUP(table_DataQualities[[#This Row],[unit_ID]],table_Units[#All],2)</f>
        <v>+/- mm/s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</v>
      </c>
      <c r="K141">
        <f t="shared" ca="1" si="23"/>
        <v>0.08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4.3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1.7999999999999999E-2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9312.2999999999993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9312.2999999999993</v>
      </c>
      <c r="K142">
        <f t="shared" ca="1" si="23"/>
        <v>0.68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3.4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70_Geschwindigkeitsmessgenauigkeit mm/s</v>
      </c>
      <c r="C143">
        <f t="shared" ref="C143:C153" ca="1" si="37">RANDBETWEEN(5,10)*100</f>
        <v>700</v>
      </c>
      <c r="D143" s="3" t="str">
        <f ca="1">VLOOKUP(table_DataQualities[[#This Row],[unit_ID]],table_Units[#All],2)</f>
        <v>+/- mm/s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</v>
      </c>
      <c r="K143">
        <f t="shared" ref="K143:K206" ca="1" si="38">ROUND(RAND(),2)</f>
        <v>0.73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2.2000000000000002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0.60799999999999998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233.8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0.60799999999999998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233.8</v>
      </c>
      <c r="K144">
        <f t="shared" ca="1" si="38"/>
        <v>0.4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3.9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71_Bildgröße</v>
      </c>
      <c r="C145">
        <f t="shared" ref="C145" ca="1" si="39">RANDBETWEEN(5,10)*100</f>
        <v>1000</v>
      </c>
      <c r="D145" s="3" t="str">
        <f ca="1">VLOOKUP(table_DataQualities[[#This Row],[unit_ID]],table_Units[#All],2)</f>
        <v>bit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47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7887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47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7887</v>
      </c>
      <c r="K145">
        <f t="shared" ca="1" si="38"/>
        <v>0.32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1.9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0.30299999999999999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4733.3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0.30299999999999999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4733.3</v>
      </c>
      <c r="K146">
        <f t="shared" ca="1" si="38"/>
        <v>0.73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2.1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72_Durchflussmessgenauigkeit cm³/s</v>
      </c>
      <c r="C147">
        <f t="shared" ca="1" si="37"/>
        <v>800</v>
      </c>
      <c r="D147" s="3" t="str">
        <f ca="1">VLOOKUP(table_DataQualities[[#This Row],[unit_ID]],table_Units[#All],2)</f>
        <v>+/- cm³/s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0.83199999999999996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3.8E-3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3.8E-3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0.83199999999999996</v>
      </c>
      <c r="K147">
        <f t="shared" ca="1" si="38"/>
        <v>0.03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5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6045.8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6045.8</v>
      </c>
      <c r="K148">
        <f t="shared" ca="1" si="38"/>
        <v>0.46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2.5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73_Geschwindigkeitsmessgenauigkeit mm/s</v>
      </c>
      <c r="C149">
        <f t="shared" ref="C149" ca="1" si="40">RANDBETWEEN(5,10)*100</f>
        <v>700</v>
      </c>
      <c r="D149" s="3" t="str">
        <f ca="1">VLOOKUP(table_DataQualities[[#This Row],[unit_ID]],table_Units[#All],2)</f>
        <v>+/- mm/s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0.22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</v>
      </c>
      <c r="K149">
        <f t="shared" ca="1" si="38"/>
        <v>0.45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4.5999999999999996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0.41299999999999998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4598.3999999999996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0.41299999999999998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4598.3999999999996</v>
      </c>
      <c r="K150">
        <f t="shared" ca="1" si="38"/>
        <v>0.25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2.4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74_Bildgröße</v>
      </c>
      <c r="C151">
        <f t="shared" ca="1" si="37"/>
        <v>1000</v>
      </c>
      <c r="D151" s="3" t="str">
        <f ca="1">VLOOKUP(table_DataQualities[[#This Row],[unit_ID]],table_Units[#All],2)</f>
        <v>bit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7156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7156</v>
      </c>
      <c r="K151">
        <f t="shared" ca="1" si="38"/>
        <v>0.36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4.5999999999999996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0.14099999999999999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9725.1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0.14099999999999999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9725.1</v>
      </c>
      <c r="K152">
        <f t="shared" ca="1" si="38"/>
        <v>0.95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4.4000000000000004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75_Temperaturmessgenauigkeit °C</v>
      </c>
      <c r="C153">
        <f t="shared" ca="1" si="37"/>
        <v>500</v>
      </c>
      <c r="D153" s="3" t="str">
        <f ca="1">VLOOKUP(table_DataQualities[[#This Row],[unit_ID]],table_Units[#All],2)</f>
        <v>+/- °C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53">
        <f t="shared" ca="1" si="38"/>
        <v>0.78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1.7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0.40799999999999997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6786.1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0.40799999999999997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6786.1</v>
      </c>
      <c r="K154">
        <f t="shared" ca="1" si="38"/>
        <v>0.63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3.7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76_Temperaturmessgenauigkeit °C</v>
      </c>
      <c r="C155">
        <f ca="1">RANDBETWEEN(5,10)*100</f>
        <v>500</v>
      </c>
      <c r="D155" s="3" t="str">
        <f ca="1">VLOOKUP(table_DataQualities[[#This Row],[unit_ID]],table_Units[#All],2)</f>
        <v>+/- °C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55">
        <f t="shared" ca="1" si="38"/>
        <v>0.54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2.2000000000000002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0.40600000000000003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5086.2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0.40600000000000003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5086.2</v>
      </c>
      <c r="K156">
        <f t="shared" ca="1" si="38"/>
        <v>0.57999999999999996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3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77_Geschwindigkeitsmessgenauigkeit mm/s</v>
      </c>
      <c r="C157">
        <f t="shared" ref="C157:C167" ca="1" si="41">RANDBETWEEN(5,10)*100</f>
        <v>700</v>
      </c>
      <c r="D157" s="3" t="str">
        <f ca="1">VLOOKUP(table_DataQualities[[#This Row],[unit_ID]],table_Units[#All],2)</f>
        <v>+/- mm/s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57">
        <f t="shared" ca="1" si="38"/>
        <v>0.37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3.7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0.86499999999999999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1393.4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0.86499999999999999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1393.4</v>
      </c>
      <c r="K158">
        <f t="shared" ca="1" si="38"/>
        <v>0.01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1.9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78_Temperaturmessgenauigkeit °C</v>
      </c>
      <c r="C159">
        <f t="shared" ref="C159" ca="1" si="42">RANDBETWEEN(5,10)*100</f>
        <v>500</v>
      </c>
      <c r="D159" s="3" t="str">
        <f ca="1">VLOOKUP(table_DataQualities[[#This Row],[unit_ID]],table_Units[#All],2)</f>
        <v>+/- °C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59">
        <f t="shared" ca="1" si="38"/>
        <v>0.36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4.9000000000000004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0.93100000000000005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9112.5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0.93100000000000005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9112.5</v>
      </c>
      <c r="K160">
        <f t="shared" ca="1" si="38"/>
        <v>0.01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3.9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79_Temperaturmessgenauigkeit °C</v>
      </c>
      <c r="C161">
        <f t="shared" ca="1" si="41"/>
        <v>500</v>
      </c>
      <c r="D161" s="3" t="str">
        <f ca="1">VLOOKUP(table_DataQualities[[#This Row],[unit_ID]],table_Units[#All],2)</f>
        <v>+/- °C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61">
        <f t="shared" ca="1" si="38"/>
        <v>0.11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2.9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9.4E-2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5048.1000000000004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5048.1000000000004</v>
      </c>
      <c r="K162">
        <f t="shared" ca="1" si="38"/>
        <v>0.98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4.8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80_Bildgröße</v>
      </c>
      <c r="C163">
        <f t="shared" ref="C163" ca="1" si="43">RANDBETWEEN(5,10)*100</f>
        <v>1000</v>
      </c>
      <c r="D163" s="3" t="str">
        <f ca="1">VLOOKUP(table_DataQualities[[#This Row],[unit_ID]],table_Units[#All],2)</f>
        <v>bit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6621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6621</v>
      </c>
      <c r="K163">
        <f t="shared" ca="1" si="38"/>
        <v>0.42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4.5999999999999996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0.13400000000000001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5285.1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0.13400000000000001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5285.1</v>
      </c>
      <c r="K164">
        <f t="shared" ca="1" si="38"/>
        <v>0.89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3.9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81_Bildgröße</v>
      </c>
      <c r="C165">
        <f t="shared" ca="1" si="41"/>
        <v>1000</v>
      </c>
      <c r="D165" s="3" t="str">
        <f ca="1">VLOOKUP(table_DataQualities[[#This Row],[unit_ID]],table_Units[#All],2)</f>
        <v>bit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99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1911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99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1911</v>
      </c>
      <c r="K165">
        <f t="shared" ca="1" si="38"/>
        <v>0.57999999999999996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1.6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0.98399999999999999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4768.6000000000004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0.98399999999999999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4768.6000000000004</v>
      </c>
      <c r="K166">
        <f t="shared" ca="1" si="38"/>
        <v>0.49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1.4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82_Bildgröße</v>
      </c>
      <c r="C167">
        <f t="shared" ca="1" si="41"/>
        <v>1000</v>
      </c>
      <c r="D167" s="3" t="str">
        <f ca="1">VLOOKUP(table_DataQualities[[#This Row],[unit_ID]],table_Units[#All],2)</f>
        <v>bit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2786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2786</v>
      </c>
      <c r="K167">
        <f t="shared" ca="1" si="38"/>
        <v>0.76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3.4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0.20499999999999999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6237.2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0.20499999999999999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6237.2</v>
      </c>
      <c r="K168">
        <f t="shared" ca="1" si="38"/>
        <v>0.45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4.5999999999999996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83_Längenmessgenauigkeit mm</v>
      </c>
      <c r="C169">
        <f ca="1">RANDBETWEEN(5,10)*100</f>
        <v>900</v>
      </c>
      <c r="D169" s="3" t="str">
        <f ca="1">VLOOKUP(table_DataQualities[[#This Row],[unit_ID]],table_Units[#All],2)</f>
        <v>+/- mm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6.66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6.66</v>
      </c>
      <c r="K169">
        <f t="shared" ca="1" si="38"/>
        <v>0.45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3.7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0.34300000000000003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570.20000000000005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0.34300000000000003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570.20000000000005</v>
      </c>
      <c r="K170">
        <f t="shared" ca="1" si="38"/>
        <v>0.54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2.5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84_Temperaturmessgenauigkeit °C</v>
      </c>
      <c r="C171">
        <f t="shared" ref="C171:C181" ca="1" si="44">RANDBETWEEN(5,10)*100</f>
        <v>500</v>
      </c>
      <c r="D171" s="3" t="str">
        <f ca="1">VLOOKUP(table_DataQualities[[#This Row],[unit_ID]],table_Units[#All],2)</f>
        <v>+/- °C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71">
        <f t="shared" ca="1" si="38"/>
        <v>0.92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4.0999999999999996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0.94099999999999995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7827.2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0.94099999999999995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7827.2</v>
      </c>
      <c r="K172">
        <f t="shared" ca="1" si="38"/>
        <v>0.02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2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85_Bildgröße</v>
      </c>
      <c r="C173">
        <f t="shared" ref="C173" ca="1" si="45">RANDBETWEEN(5,10)*100</f>
        <v>1000</v>
      </c>
      <c r="D173" s="3" t="str">
        <f ca="1">VLOOKUP(table_DataQualities[[#This Row],[unit_ID]],table_Units[#All],2)</f>
        <v>bit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49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1340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49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1340</v>
      </c>
      <c r="K173">
        <f t="shared" ca="1" si="38"/>
        <v>0.6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3.9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0.64300000000000002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9854.7999999999993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0.64300000000000002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9854.7999999999993</v>
      </c>
      <c r="K174">
        <f t="shared" ca="1" si="38"/>
        <v>0.73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4.5999999999999996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86_Längenmessgenauigkeit mm</v>
      </c>
      <c r="C175">
        <f t="shared" ca="1" si="44"/>
        <v>900</v>
      </c>
      <c r="D175" s="3" t="str">
        <f ca="1">VLOOKUP(table_DataQualities[[#This Row],[unit_ID]],table_Units[#All],2)</f>
        <v>+/- mm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0.99</v>
      </c>
      <c r="K175">
        <f t="shared" ca="1" si="38"/>
        <v>0.44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3.5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0.44500000000000001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6549.8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0.44500000000000001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6549.8</v>
      </c>
      <c r="K176">
        <f t="shared" ca="1" si="38"/>
        <v>0.9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3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87_Bildgröße</v>
      </c>
      <c r="C177">
        <f t="shared" ref="C177" ca="1" si="46">RANDBETWEEN(5,10)*100</f>
        <v>1000</v>
      </c>
      <c r="D177" s="3" t="str">
        <f ca="1">VLOOKUP(table_DataQualities[[#This Row],[unit_ID]],table_Units[#All],2)</f>
        <v>bit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48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4980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48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4980</v>
      </c>
      <c r="K177">
        <f t="shared" ca="1" si="38"/>
        <v>0.28000000000000003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2.2000000000000002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0.20899999999999999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2723.5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0.20899999999999999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2723.5</v>
      </c>
      <c r="K178">
        <f t="shared" ca="1" si="38"/>
        <v>0.89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3.5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88_Leistungsmessgenauigkeit W</v>
      </c>
      <c r="C179">
        <f t="shared" ca="1" si="44"/>
        <v>600</v>
      </c>
      <c r="D179" s="3" t="str">
        <f ca="1">VLOOKUP(table_DataQualities[[#This Row],[unit_ID]],table_Units[#All],2)</f>
        <v>+/- W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4.3600000000000003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4.3600000000000003</v>
      </c>
      <c r="K179">
        <f t="shared" ca="1" si="38"/>
        <v>0.27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4.7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0.29499999999999998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3635.4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0.29499999999999998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3635.4</v>
      </c>
      <c r="K180">
        <f t="shared" ca="1" si="38"/>
        <v>0.84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2.1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89_Bildgröße</v>
      </c>
      <c r="C181">
        <f t="shared" ca="1" si="44"/>
        <v>1000</v>
      </c>
      <c r="D181" s="3" t="str">
        <f ca="1">VLOOKUP(table_DataQualities[[#This Row],[unit_ID]],table_Units[#All],2)</f>
        <v>bit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48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7510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48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7510</v>
      </c>
      <c r="K181">
        <f t="shared" ca="1" si="38"/>
        <v>0.92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1.2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0.50800000000000001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2596.8000000000002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0.50800000000000001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2596.8000000000002</v>
      </c>
      <c r="K182">
        <f t="shared" ca="1" si="38"/>
        <v>0.39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1.3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90_Geschwindigkeitsmessgenauigkeit mm/s</v>
      </c>
      <c r="C183">
        <f ca="1">RANDBETWEEN(5,10)*100</f>
        <v>700</v>
      </c>
      <c r="D183" s="3" t="str">
        <f ca="1">VLOOKUP(table_DataQualities[[#This Row],[unit_ID]],table_Units[#All],2)</f>
        <v>+/- mm/s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8.8000000000000007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8.8000000000000007</v>
      </c>
      <c r="K183">
        <f t="shared" ca="1" si="38"/>
        <v>0.72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1.7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0.73299999999999998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9737.9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0.73299999999999998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9737.9</v>
      </c>
      <c r="K184">
        <f t="shared" ca="1" si="38"/>
        <v>0.84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4.8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91_Geschwindigkeitsmessgenauigkeit mm/s</v>
      </c>
      <c r="C185">
        <f t="shared" ref="C185:C195" ca="1" si="47">RANDBETWEEN(5,10)*100</f>
        <v>700</v>
      </c>
      <c r="D185" s="3" t="str">
        <f ca="1">VLOOKUP(table_DataQualities[[#This Row],[unit_ID]],table_Units[#All],2)</f>
        <v>+/- mm/s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</v>
      </c>
      <c r="K185">
        <f t="shared" ca="1" si="38"/>
        <v>0.41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1.4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7174.1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7174.1</v>
      </c>
      <c r="K186">
        <f t="shared" ca="1" si="38"/>
        <v>0.56000000000000005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4.8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92_Geschwindigkeitsmessgenauigkeit mm/s</v>
      </c>
      <c r="C187">
        <f t="shared" ref="C187" ca="1" si="48">RANDBETWEEN(5,10)*100</f>
        <v>700</v>
      </c>
      <c r="D187" s="3" t="str">
        <f ca="1">VLOOKUP(table_DataQualities[[#This Row],[unit_ID]],table_Units[#All],2)</f>
        <v>+/- mm/s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0.43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</v>
      </c>
      <c r="K187">
        <f t="shared" ca="1" si="38"/>
        <v>0.59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1.5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3798.6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3798.6</v>
      </c>
      <c r="K188">
        <f t="shared" ca="1" si="38"/>
        <v>0.85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3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93_Leistungsmessgenauigkeit W</v>
      </c>
      <c r="C189">
        <f t="shared" ca="1" si="47"/>
        <v>600</v>
      </c>
      <c r="D189" s="3" t="str">
        <f ca="1">VLOOKUP(table_DataQualities[[#This Row],[unit_ID]],table_Units[#All],2)</f>
        <v>+/- W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4.3499999999999996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4.3499999999999996</v>
      </c>
      <c r="K189">
        <f t="shared" ca="1" si="38"/>
        <v>0.11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2.4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0.98899999999999999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345.8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0.98899999999999999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345.8</v>
      </c>
      <c r="K190">
        <f t="shared" ca="1" si="38"/>
        <v>0.87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3.8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94_Leistungsmessgenauigkeit W</v>
      </c>
      <c r="C191">
        <f t="shared" ref="C191" ca="1" si="49">RANDBETWEEN(5,10)*100</f>
        <v>600</v>
      </c>
      <c r="D191" s="3" t="str">
        <f ca="1">VLOOKUP(table_DataQualities[[#This Row],[unit_ID]],table_Units[#All],2)</f>
        <v>+/- W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2.38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2.38</v>
      </c>
      <c r="K191">
        <f t="shared" ca="1" si="38"/>
        <v>0.88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4.5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0.373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5900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0.373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5900</v>
      </c>
      <c r="K192">
        <f t="shared" ca="1" si="38"/>
        <v>0.83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2.1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95_Bildgröße</v>
      </c>
      <c r="C193">
        <f t="shared" ca="1" si="47"/>
        <v>1000</v>
      </c>
      <c r="D193" s="3" t="str">
        <f ca="1">VLOOKUP(table_DataQualities[[#This Row],[unit_ID]],table_Units[#All],2)</f>
        <v>bit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4936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4936</v>
      </c>
      <c r="K193">
        <f t="shared" ca="1" si="38"/>
        <v>0.9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1.6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0.76500000000000001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3206.4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0.76500000000000001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3206.4</v>
      </c>
      <c r="K194">
        <f t="shared" ca="1" si="38"/>
        <v>0.63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3.4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96_Geschwindigkeitsmessgenauigkeit mm/s</v>
      </c>
      <c r="C195">
        <f t="shared" ca="1" si="47"/>
        <v>700</v>
      </c>
      <c r="D195" s="3" t="str">
        <f ca="1">VLOOKUP(table_DataQualities[[#This Row],[unit_ID]],table_Units[#All],2)</f>
        <v>+/- mm/s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0.62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</v>
      </c>
      <c r="K195">
        <f t="shared" ca="1" si="38"/>
        <v>0.94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4.4000000000000004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0.68700000000000006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376.6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0.68700000000000006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376.6</v>
      </c>
      <c r="K196">
        <f t="shared" ca="1" si="38"/>
        <v>0.01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3.7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97_Leistungsmessgenauigkeit W</v>
      </c>
      <c r="C197">
        <f ca="1">RANDBETWEEN(5,10)*100</f>
        <v>600</v>
      </c>
      <c r="D197" s="3" t="str">
        <f ca="1">VLOOKUP(table_DataQualities[[#This Row],[unit_ID]],table_Units[#All],2)</f>
        <v>+/- W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3.94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3.94</v>
      </c>
      <c r="K197">
        <f t="shared" ca="1" si="38"/>
        <v>0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3.7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0.08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7327.9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7327.9</v>
      </c>
      <c r="K198">
        <f t="shared" ca="1" si="38"/>
        <v>0.77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2.5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98_Geschwindigkeitsmessgenauigkeit mm/s</v>
      </c>
      <c r="C199">
        <f t="shared" ref="C199:C209" ca="1" si="51">RANDBETWEEN(5,10)*100</f>
        <v>700</v>
      </c>
      <c r="D199" s="3" t="str">
        <f ca="1">VLOOKUP(table_DataQualities[[#This Row],[unit_ID]],table_Units[#All],2)</f>
        <v>+/- mm/s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199">
        <f t="shared" ca="1" si="38"/>
        <v>0.28000000000000003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4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4.4999999999999998E-2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2719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2719</v>
      </c>
      <c r="K200">
        <f t="shared" ca="1" si="38"/>
        <v>0.79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3.5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99_Temperaturmessgenauigkeit °C</v>
      </c>
      <c r="C201">
        <f t="shared" ref="C201" ca="1" si="52">RANDBETWEEN(5,10)*100</f>
        <v>500</v>
      </c>
      <c r="D201" s="3" t="str">
        <f ca="1">VLOOKUP(table_DataQualities[[#This Row],[unit_ID]],table_Units[#All],2)</f>
        <v>+/- °C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01">
        <f t="shared" ca="1" si="38"/>
        <v>0.31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1.4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5573.2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5573.2</v>
      </c>
      <c r="K202">
        <f t="shared" ca="1" si="38"/>
        <v>0.25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4.4000000000000004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100_Geschwindigkeitsmessgenauigkeit mm/s</v>
      </c>
      <c r="C203">
        <f t="shared" ca="1" si="51"/>
        <v>700</v>
      </c>
      <c r="D203" s="3" t="str">
        <f ca="1">VLOOKUP(table_DataQualities[[#This Row],[unit_ID]],table_Units[#All],2)</f>
        <v>+/- mm/s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0.28999999999999998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</v>
      </c>
      <c r="K203">
        <f t="shared" ca="1" si="38"/>
        <v>0.61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2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0.69699999999999995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747.7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0.69699999999999995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747.7</v>
      </c>
      <c r="K204">
        <f t="shared" ca="1" si="38"/>
        <v>0.09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3.3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101_Temperaturmessgenauigkeit °C</v>
      </c>
      <c r="C205">
        <f t="shared" ref="C205" ca="1" si="53">RANDBETWEEN(5,10)*100</f>
        <v>500</v>
      </c>
      <c r="D205" s="3" t="str">
        <f ca="1">VLOOKUP(table_DataQualities[[#This Row],[unit_ID]],table_Units[#All],2)</f>
        <v>+/- °C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05">
        <f t="shared" ca="1" si="38"/>
        <v>0.55000000000000004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3.8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0.39300000000000002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400.5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0.39300000000000002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400.5</v>
      </c>
      <c r="K206">
        <f t="shared" ca="1" si="38"/>
        <v>0.87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4.5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102_Leistungsmessgenauigkeit W</v>
      </c>
      <c r="C207">
        <f t="shared" ca="1" si="51"/>
        <v>600</v>
      </c>
      <c r="D207" s="3" t="str">
        <f ca="1">VLOOKUP(table_DataQualities[[#This Row],[unit_ID]],table_Units[#All],2)</f>
        <v>+/- W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5.46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5.46</v>
      </c>
      <c r="K207">
        <f t="shared" ref="K207:K270" ca="1" si="54">ROUND(RAND(),2)</f>
        <v>0.08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2.6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4871.6000000000004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4871.6000000000004</v>
      </c>
      <c r="K208">
        <f t="shared" ca="1" si="54"/>
        <v>0.4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5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103_Temperaturmessgenauigkeit °C</v>
      </c>
      <c r="C209">
        <f t="shared" ca="1" si="51"/>
        <v>500</v>
      </c>
      <c r="D209" s="3" t="str">
        <f ca="1">VLOOKUP(table_DataQualities[[#This Row],[unit_ID]],table_Units[#All],2)</f>
        <v>+/- °C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09">
        <f t="shared" ca="1" si="54"/>
        <v>0.04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2.2000000000000002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0.61799999999999999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5775.5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0.61799999999999999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5775.5</v>
      </c>
      <c r="K210">
        <f t="shared" ca="1" si="54"/>
        <v>1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3.3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104_Längenmessgenauigkeit mm</v>
      </c>
      <c r="C211">
        <f ca="1">RANDBETWEEN(5,10)*100</f>
        <v>900</v>
      </c>
      <c r="D211" s="3" t="str">
        <f ca="1">VLOOKUP(table_DataQualities[[#This Row],[unit_ID]],table_Units[#All],2)</f>
        <v>+/- mm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4.53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3.5000000000000003E-2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4.53</v>
      </c>
      <c r="K211">
        <f t="shared" ca="1" si="54"/>
        <v>0.28000000000000003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2.6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0.14000000000000001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3602.7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0.14000000000000001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3602.7</v>
      </c>
      <c r="K212">
        <f t="shared" ca="1" si="54"/>
        <v>0.2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4.5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105_Leistungsmessgenauigkeit W</v>
      </c>
      <c r="C213">
        <f t="shared" ref="C213:C223" ca="1" si="55">RANDBETWEEN(5,10)*100</f>
        <v>600</v>
      </c>
      <c r="D213" s="3" t="str">
        <f ca="1">VLOOKUP(table_DataQualities[[#This Row],[unit_ID]],table_Units[#All],2)</f>
        <v>+/- W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9.82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8.2000000000000003E-2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9.82</v>
      </c>
      <c r="K213">
        <f t="shared" ca="1" si="54"/>
        <v>0.69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1.7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0.34200000000000003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4428.8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0.34200000000000003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4428.8</v>
      </c>
      <c r="K214">
        <f t="shared" ca="1" si="54"/>
        <v>0.16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2.5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106_Temperaturmessgenauigkeit °C</v>
      </c>
      <c r="C215">
        <f t="shared" ref="C215" ca="1" si="56">RANDBETWEEN(5,10)*100</f>
        <v>500</v>
      </c>
      <c r="D215" s="3" t="str">
        <f ca="1">VLOOKUP(table_DataQualities[[#This Row],[unit_ID]],table_Units[#All],2)</f>
        <v>+/- °C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15">
        <f t="shared" ca="1" si="54"/>
        <v>0.12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5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0.65300000000000002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5871.5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0.65300000000000002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5871.5</v>
      </c>
      <c r="K216">
        <f t="shared" ca="1" si="54"/>
        <v>0.27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1.8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107_Bildgröße</v>
      </c>
      <c r="C217">
        <f t="shared" ca="1" si="55"/>
        <v>1000</v>
      </c>
      <c r="D217" s="3" t="str">
        <f ca="1">VLOOKUP(table_DataQualities[[#This Row],[unit_ID]],table_Units[#All],2)</f>
        <v>bit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77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8059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77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8059</v>
      </c>
      <c r="K217">
        <f t="shared" ca="1" si="54"/>
        <v>0.51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4.5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0.26100000000000001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3498.9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0.26100000000000001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3498.9</v>
      </c>
      <c r="K218">
        <f t="shared" ca="1" si="54"/>
        <v>0.1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2.8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108_Bildgröße</v>
      </c>
      <c r="C219">
        <f t="shared" ref="C219" ca="1" si="57">RANDBETWEEN(5,10)*100</f>
        <v>1000</v>
      </c>
      <c r="D219" s="3" t="str">
        <f ca="1">VLOOKUP(table_DataQualities[[#This Row],[unit_ID]],table_Units[#All],2)</f>
        <v>bit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7313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7313</v>
      </c>
      <c r="K219">
        <f t="shared" ca="1" si="54"/>
        <v>0.62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3.7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0.98799999999999999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5285.1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0.98799999999999999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5285.1</v>
      </c>
      <c r="K220">
        <f t="shared" ca="1" si="54"/>
        <v>0.76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1.7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109_Längenmessgenauigkeit mm</v>
      </c>
      <c r="C221">
        <f t="shared" ca="1" si="55"/>
        <v>900</v>
      </c>
      <c r="D221" s="3" t="str">
        <f ca="1">VLOOKUP(table_DataQualities[[#This Row],[unit_ID]],table_Units[#All],2)</f>
        <v>+/- mm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1.23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9.9000000000000005E-2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1.23</v>
      </c>
      <c r="K221">
        <f t="shared" ca="1" si="54"/>
        <v>0.06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1.9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0.23400000000000001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7444.3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0.23400000000000001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7444.3</v>
      </c>
      <c r="K222">
        <f t="shared" ca="1" si="54"/>
        <v>0.86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2.2999999999999998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110_Bildgröße</v>
      </c>
      <c r="C223">
        <f t="shared" ca="1" si="55"/>
        <v>1000</v>
      </c>
      <c r="D223" s="3" t="str">
        <f ca="1">VLOOKUP(table_DataQualities[[#This Row],[unit_ID]],table_Units[#All],2)</f>
        <v>bit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56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1765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56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1765</v>
      </c>
      <c r="K223">
        <f t="shared" ca="1" si="54"/>
        <v>0.48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4.0999999999999996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0.24099999999999999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9017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0.24099999999999999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9017</v>
      </c>
      <c r="K224">
        <f t="shared" ca="1" si="54"/>
        <v>0.41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4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111_Längenmessgenauigkeit mm</v>
      </c>
      <c r="C225">
        <f ca="1">RANDBETWEEN(5,10)*100</f>
        <v>900</v>
      </c>
      <c r="D225" s="3" t="str">
        <f ca="1">VLOOKUP(table_DataQualities[[#This Row],[unit_ID]],table_Units[#All],2)</f>
        <v>+/- mm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0.89</v>
      </c>
      <c r="K225">
        <f t="shared" ca="1" si="54"/>
        <v>0.93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4.5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0.36199999999999999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1939.2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0.36199999999999999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1939.2</v>
      </c>
      <c r="K226">
        <f t="shared" ca="1" si="54"/>
        <v>0.52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2.6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112_Längenmessgenauigkeit mm</v>
      </c>
      <c r="C227">
        <f t="shared" ref="C227:C237" ca="1" si="58">RANDBETWEEN(5,10)*100</f>
        <v>900</v>
      </c>
      <c r="D227" s="3" t="str">
        <f ca="1">VLOOKUP(table_DataQualities[[#This Row],[unit_ID]],table_Units[#All],2)</f>
        <v>+/- mm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8.7899999999999991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3.7999999999999999E-2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8.7899999999999991</v>
      </c>
      <c r="K227">
        <f t="shared" ca="1" si="54"/>
        <v>0.89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1.4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1941.7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1941.7</v>
      </c>
      <c r="K228">
        <f t="shared" ca="1" si="54"/>
        <v>0.43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3.8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113_Durchflussmessgenauigkeit cm³/s</v>
      </c>
      <c r="C229">
        <f t="shared" ref="C229" ca="1" si="59">RANDBETWEEN(5,10)*100</f>
        <v>800</v>
      </c>
      <c r="D229" s="3" t="str">
        <f ca="1">VLOOKUP(table_DataQualities[[#This Row],[unit_ID]],table_Units[#All],2)</f>
        <v>+/- cm³/s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0.29799999999999999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0.29799999999999999</v>
      </c>
      <c r="K229">
        <f t="shared" ca="1" si="54"/>
        <v>0.45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2.8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8.8999999999999996E-2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</v>
      </c>
      <c r="K230">
        <f t="shared" ca="1" si="54"/>
        <v>0.83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4.5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114_Geschwindigkeitsmessgenauigkeit mm/s</v>
      </c>
      <c r="C231">
        <f t="shared" ca="1" si="58"/>
        <v>700</v>
      </c>
      <c r="D231" s="3" t="str">
        <f ca="1">VLOOKUP(table_DataQualities[[#This Row],[unit_ID]],table_Units[#All],2)</f>
        <v>+/- mm/s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</v>
      </c>
      <c r="K231">
        <f t="shared" ca="1" si="54"/>
        <v>0.32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4.5999999999999996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6180.7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6180.7</v>
      </c>
      <c r="K232">
        <f t="shared" ca="1" si="54"/>
        <v>0.15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2.1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115_Leistungsmessgenauigkeit W</v>
      </c>
      <c r="C233">
        <f t="shared" ref="C233" ca="1" si="60">RANDBETWEEN(5,10)*100</f>
        <v>600</v>
      </c>
      <c r="D233" s="3" t="str">
        <f ca="1">VLOOKUP(table_DataQualities[[#This Row],[unit_ID]],table_Units[#All],2)</f>
        <v>+/- W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6.82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6.82</v>
      </c>
      <c r="K233">
        <f t="shared" ca="1" si="54"/>
        <v>0.69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2.9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0.51200000000000001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9444.2000000000007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0.51200000000000001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9444.2000000000007</v>
      </c>
      <c r="K234">
        <f t="shared" ca="1" si="54"/>
        <v>7.0000000000000007E-2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4.9000000000000004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116_Bildgröße</v>
      </c>
      <c r="C235">
        <f t="shared" ca="1" si="58"/>
        <v>1000</v>
      </c>
      <c r="D235" s="3" t="str">
        <f ca="1">VLOOKUP(table_DataQualities[[#This Row],[unit_ID]],table_Units[#All],2)</f>
        <v>bit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96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2344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96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2344</v>
      </c>
      <c r="K235">
        <f t="shared" ca="1" si="54"/>
        <v>0.11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2.4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0.22500000000000001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7295.1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0.22500000000000001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7295.1</v>
      </c>
      <c r="K236">
        <f t="shared" ca="1" si="54"/>
        <v>0.21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3.1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117_Geschwindigkeitsmessgenauigkeit mm/s</v>
      </c>
      <c r="C237">
        <f t="shared" ca="1" si="58"/>
        <v>700</v>
      </c>
      <c r="D237" s="3" t="str">
        <f ca="1">VLOOKUP(table_DataQualities[[#This Row],[unit_ID]],table_Units[#All],2)</f>
        <v>+/- mm/s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0.18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237">
        <f t="shared" ca="1" si="54"/>
        <v>0.88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3.4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0.48099999999999998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1532.4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0.48099999999999998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1532.4</v>
      </c>
      <c r="K238">
        <f t="shared" ca="1" si="54"/>
        <v>0.09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1.8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118_Durchflussmessgenauigkeit cm³/s</v>
      </c>
      <c r="C239">
        <f ca="1">RANDBETWEEN(5,10)*100</f>
        <v>800</v>
      </c>
      <c r="D239" s="3" t="str">
        <f ca="1">VLOOKUP(table_DataQualities[[#This Row],[unit_ID]],table_Units[#All],2)</f>
        <v>+/- cm³/s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4.0000000000000001E-3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6.1999999999999998E-3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6.1999999999999998E-3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6.1999999999999998E-3</v>
      </c>
      <c r="K239">
        <f t="shared" ca="1" si="54"/>
        <v>0.18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5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0.90100000000000002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5441.4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0.90100000000000002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5441.4</v>
      </c>
      <c r="K240">
        <f t="shared" ca="1" si="54"/>
        <v>0.88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3.4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119_Durchflussmessgenauigkeit cm³/s</v>
      </c>
      <c r="C241">
        <f t="shared" ref="C241:C251" ca="1" si="61">RANDBETWEEN(5,10)*100</f>
        <v>800</v>
      </c>
      <c r="D241" s="3" t="str">
        <f ca="1">VLOOKUP(table_DataQualities[[#This Row],[unit_ID]],table_Units[#All],2)</f>
        <v>+/- cm³/s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0.93500000000000005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0.93500000000000005</v>
      </c>
      <c r="K241">
        <f t="shared" ca="1" si="54"/>
        <v>0.45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1.7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0.61699999999999999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8220.2000000000007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0.61699999999999999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8220.2000000000007</v>
      </c>
      <c r="K242">
        <f t="shared" ca="1" si="54"/>
        <v>0.41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1.2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120_Temperaturmessgenauigkeit °C</v>
      </c>
      <c r="C243">
        <f t="shared" ref="C243" ca="1" si="62">RANDBETWEEN(5,10)*100</f>
        <v>500</v>
      </c>
      <c r="D243" s="3" t="str">
        <f ca="1">VLOOKUP(table_DataQualities[[#This Row],[unit_ID]],table_Units[#All],2)</f>
        <v>+/- °C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43">
        <f t="shared" ca="1" si="54"/>
        <v>0.34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4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0.59599999999999997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7446.6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0.59599999999999997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7446.6</v>
      </c>
      <c r="K244">
        <f t="shared" ca="1" si="54"/>
        <v>0.66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3.5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121_Längenmessgenauigkeit mm</v>
      </c>
      <c r="C245">
        <f t="shared" ca="1" si="61"/>
        <v>900</v>
      </c>
      <c r="D245" s="3" t="str">
        <f ca="1">VLOOKUP(table_DataQualities[[#This Row],[unit_ID]],table_Units[#All],2)</f>
        <v>+/- mm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8.86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8.86</v>
      </c>
      <c r="K245">
        <f t="shared" ca="1" si="54"/>
        <v>0.83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2.9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0.93300000000000005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7654.9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0.93300000000000005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7654.9</v>
      </c>
      <c r="K246">
        <f t="shared" ca="1" si="54"/>
        <v>0.91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2.9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122_Längenmessgenauigkeit mm</v>
      </c>
      <c r="C247">
        <f t="shared" ref="C247" ca="1" si="63">RANDBETWEEN(5,10)*100</f>
        <v>900</v>
      </c>
      <c r="D247" s="3" t="str">
        <f ca="1">VLOOKUP(table_DataQualities[[#This Row],[unit_ID]],table_Units[#All],2)</f>
        <v>+/- mm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5.74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5.74</v>
      </c>
      <c r="K247">
        <f t="shared" ca="1" si="54"/>
        <v>0.63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4.3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0.85099999999999998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4832.7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0.85099999999999998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4832.7</v>
      </c>
      <c r="K248">
        <f t="shared" ca="1" si="54"/>
        <v>0.98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2.7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123_Leistungsmessgenauigkeit W</v>
      </c>
      <c r="C249">
        <f t="shared" ca="1" si="61"/>
        <v>600</v>
      </c>
      <c r="D249" s="3" t="str">
        <f ca="1">VLOOKUP(table_DataQualities[[#This Row],[unit_ID]],table_Units[#All],2)</f>
        <v>+/- W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5.52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5.52</v>
      </c>
      <c r="K249">
        <f t="shared" ca="1" si="54"/>
        <v>0.74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3.4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0.98599999999999999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1545.3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0.98599999999999999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1545.3</v>
      </c>
      <c r="K250">
        <f t="shared" ca="1" si="54"/>
        <v>0.77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2.4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124_Geschwindigkeitsmessgenauigkeit mm/s</v>
      </c>
      <c r="C251">
        <f t="shared" ca="1" si="61"/>
        <v>700</v>
      </c>
      <c r="D251" s="3" t="str">
        <f ca="1">VLOOKUP(table_DataQualities[[#This Row],[unit_ID]],table_Units[#All],2)</f>
        <v>+/- mm/s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</v>
      </c>
      <c r="K251">
        <f t="shared" ca="1" si="54"/>
        <v>0.43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2.9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0.51100000000000001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7618.2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0.51100000000000001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7618.2</v>
      </c>
      <c r="K252">
        <f t="shared" ca="1" si="54"/>
        <v>0.43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3.8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125_Bildgröße</v>
      </c>
      <c r="C253">
        <f ca="1">RANDBETWEEN(5,10)*100</f>
        <v>1000</v>
      </c>
      <c r="D253" s="3" t="str">
        <f ca="1">VLOOKUP(table_DataQualities[[#This Row],[unit_ID]],table_Units[#All],2)</f>
        <v>bit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23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6409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23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6409</v>
      </c>
      <c r="K253">
        <f t="shared" ca="1" si="54"/>
        <v>0.36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3.9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0.97299999999999998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1648.1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0.97299999999999998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1648.1</v>
      </c>
      <c r="K254">
        <f t="shared" ca="1" si="54"/>
        <v>0.73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2.9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126_Geschwindigkeitsmessgenauigkeit mm/s</v>
      </c>
      <c r="C255">
        <f t="shared" ref="C255:C265" ca="1" si="64">RANDBETWEEN(5,10)*100</f>
        <v>700</v>
      </c>
      <c r="D255" s="3" t="str">
        <f ca="1">VLOOKUP(table_DataQualities[[#This Row],[unit_ID]],table_Units[#All],2)</f>
        <v>+/- mm/s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255">
        <f t="shared" ca="1" si="54"/>
        <v>0.43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4.5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0.82399999999999995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4697.2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0.82399999999999995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4697.2</v>
      </c>
      <c r="K256">
        <f t="shared" ca="1" si="54"/>
        <v>0.25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2.7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127_Temperaturmessgenauigkeit °C</v>
      </c>
      <c r="C257">
        <f t="shared" ref="C257" ca="1" si="65">RANDBETWEEN(5,10)*100</f>
        <v>500</v>
      </c>
      <c r="D257" s="3" t="str">
        <f ca="1">VLOOKUP(table_DataQualities[[#This Row],[unit_ID]],table_Units[#All],2)</f>
        <v>+/- °C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57">
        <f t="shared" ca="1" si="54"/>
        <v>0.63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4.2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9.4E-2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7567.9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7567.9</v>
      </c>
      <c r="K258">
        <f t="shared" ca="1" si="54"/>
        <v>0.13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3.8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128_Durchflussmessgenauigkeit cm³/s</v>
      </c>
      <c r="C259">
        <f t="shared" ca="1" si="64"/>
        <v>800</v>
      </c>
      <c r="D259" s="3" t="str">
        <f ca="1">VLOOKUP(table_DataQualities[[#This Row],[unit_ID]],table_Units[#All],2)</f>
        <v>+/- cm³/s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0.28000000000000003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8.2000000000000007E-3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8.2000000000000007E-3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0.28000000000000003</v>
      </c>
      <c r="K259">
        <f t="shared" ca="1" si="54"/>
        <v>0.11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1.3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0.434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8623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0.434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8623</v>
      </c>
      <c r="K260">
        <f t="shared" ca="1" si="54"/>
        <v>0.35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4.4000000000000004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129_Längenmessgenauigkeit mm</v>
      </c>
      <c r="C261">
        <f t="shared" ref="C261" ca="1" si="67">RANDBETWEEN(5,10)*100</f>
        <v>900</v>
      </c>
      <c r="D261" s="3" t="str">
        <f ca="1">VLOOKUP(table_DataQualities[[#This Row],[unit_ID]],table_Units[#All],2)</f>
        <v>+/- mm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6.54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6.54</v>
      </c>
      <c r="K261">
        <f t="shared" ca="1" si="54"/>
        <v>0.45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5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0.76400000000000001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4429.3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0.76400000000000001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4429.3</v>
      </c>
      <c r="K262">
        <f t="shared" ca="1" si="54"/>
        <v>0.63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3.8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130_Geschwindigkeitsmessgenauigkeit mm/s</v>
      </c>
      <c r="C263">
        <f t="shared" ca="1" si="64"/>
        <v>700</v>
      </c>
      <c r="D263" s="3" t="str">
        <f ca="1">VLOOKUP(table_DataQualities[[#This Row],[unit_ID]],table_Units[#All],2)</f>
        <v>+/- mm/s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0.94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3.2</v>
      </c>
      <c r="K263">
        <f t="shared" ca="1" si="54"/>
        <v>0.24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3.9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0.193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9455.5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0.193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9455.5</v>
      </c>
      <c r="K264">
        <f t="shared" ca="1" si="54"/>
        <v>0.81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1.7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131_Leistungsmessgenauigkeit W</v>
      </c>
      <c r="C265">
        <f t="shared" ca="1" si="64"/>
        <v>600</v>
      </c>
      <c r="D265" s="3" t="str">
        <f ca="1">VLOOKUP(table_DataQualities[[#This Row],[unit_ID]],table_Units[#All],2)</f>
        <v>+/- W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7.09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7.09</v>
      </c>
      <c r="K265">
        <f t="shared" ca="1" si="54"/>
        <v>0.23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4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0.73899999999999999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923.5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0.73899999999999999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923.5</v>
      </c>
      <c r="K266">
        <f t="shared" ca="1" si="54"/>
        <v>0.89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2.8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132_Temperaturmessgenauigkeit °C</v>
      </c>
      <c r="C267">
        <f ca="1">RANDBETWEEN(5,10)*100</f>
        <v>500</v>
      </c>
      <c r="D267" s="3" t="str">
        <f ca="1">VLOOKUP(table_DataQualities[[#This Row],[unit_ID]],table_Units[#All],2)</f>
        <v>+/- °C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67">
        <f t="shared" ca="1" si="54"/>
        <v>0.98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3.5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9875.4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9875.4</v>
      </c>
      <c r="K268">
        <f t="shared" ca="1" si="54"/>
        <v>0.66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4.3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133_Längenmessgenauigkeit mm</v>
      </c>
      <c r="C269">
        <f t="shared" ref="C269:C277" ca="1" si="68">RANDBETWEEN(5,10)*100</f>
        <v>900</v>
      </c>
      <c r="D269" s="3" t="str">
        <f ca="1">VLOOKUP(table_DataQualities[[#This Row],[unit_ID]],table_Units[#All],2)</f>
        <v>+/- mm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4.7300000000000004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4.7300000000000004</v>
      </c>
      <c r="K269">
        <f t="shared" ca="1" si="54"/>
        <v>0.48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3.8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0.29399999999999998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4703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0.29399999999999998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4703</v>
      </c>
      <c r="K270">
        <f t="shared" ca="1" si="54"/>
        <v>0.33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4.3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134_Bildgröße</v>
      </c>
      <c r="C271">
        <f t="shared" ref="C271" ca="1" si="69">RANDBETWEEN(5,10)*100</f>
        <v>1000</v>
      </c>
      <c r="D271" s="3" t="str">
        <f ca="1">VLOOKUP(table_DataQualities[[#This Row],[unit_ID]],table_Units[#All],2)</f>
        <v>bit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9067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9067</v>
      </c>
      <c r="K271">
        <f t="shared" ref="K271:K334" ca="1" si="70">ROUND(RAND(),2)</f>
        <v>0.02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1.6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0.35499999999999998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7533.4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0.35499999999999998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7533.4</v>
      </c>
      <c r="K272">
        <f t="shared" ca="1" si="70"/>
        <v>1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3.3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135_Bildgröße</v>
      </c>
      <c r="C273">
        <f t="shared" ca="1" si="68"/>
        <v>1000</v>
      </c>
      <c r="D273" s="3" t="str">
        <f ca="1">VLOOKUP(table_DataQualities[[#This Row],[unit_ID]],table_Units[#All],2)</f>
        <v>bit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19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2182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19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2182</v>
      </c>
      <c r="K273">
        <f t="shared" ca="1" si="70"/>
        <v>0.23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3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0.185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8093.6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0.185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8093.6</v>
      </c>
      <c r="K274">
        <f t="shared" ca="1" si="70"/>
        <v>0.28000000000000003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4.9000000000000004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136_Durchflussmessgenauigkeit cm³/s</v>
      </c>
      <c r="C275">
        <f t="shared" ref="C275" ca="1" si="71">RANDBETWEEN(5,10)*100</f>
        <v>800</v>
      </c>
      <c r="D275" s="3" t="str">
        <f ca="1">VLOOKUP(table_DataQualities[[#This Row],[unit_ID]],table_Units[#All],2)</f>
        <v>+/- cm³/s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0.42699999999999999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7.4999999999999997E-3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7.4999999999999997E-3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0.42699999999999999</v>
      </c>
      <c r="K275">
        <f t="shared" ca="1" si="70"/>
        <v>0.95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3.9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0.79700000000000004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1616.5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0.79700000000000004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1616.5</v>
      </c>
      <c r="K276">
        <f t="shared" ca="1" si="70"/>
        <v>0.19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2.2999999999999998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137_Durchflussmessgenauigkeit cm³/s</v>
      </c>
      <c r="C277">
        <f t="shared" ca="1" si="68"/>
        <v>800</v>
      </c>
      <c r="D277" s="3" t="str">
        <f ca="1">VLOOKUP(table_DataQualities[[#This Row],[unit_ID]],table_Units[#All],2)</f>
        <v>+/- cm³/s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0.16300000000000001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1.1999999999999999E-3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1.1999999999999999E-3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0.16300000000000001</v>
      </c>
      <c r="K277">
        <f t="shared" ca="1" si="70"/>
        <v>0.14000000000000001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3.2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0.83499999999999996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3064.6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0.83499999999999996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3064.6</v>
      </c>
      <c r="K278">
        <f t="shared" ca="1" si="70"/>
        <v>0.39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2.5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138_Geschwindigkeitsmessgenauigkeit mm/s</v>
      </c>
      <c r="C279">
        <f t="shared" ref="C279:C285" ca="1" si="72">RANDBETWEEN(5,10)*100</f>
        <v>700</v>
      </c>
      <c r="D279" s="3" t="str">
        <f ca="1">VLOOKUP(table_DataQualities[[#This Row],[unit_ID]],table_Units[#All],2)</f>
        <v>+/- mm/s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</v>
      </c>
      <c r="K279">
        <f t="shared" ca="1" si="70"/>
        <v>0.09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3.2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0.11899999999999999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8217.2000000000007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0.11899999999999999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8217.2000000000007</v>
      </c>
      <c r="K280">
        <f t="shared" ca="1" si="70"/>
        <v>0.16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3.4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139_Durchflussmessgenauigkeit cm³/s</v>
      </c>
      <c r="C281">
        <f t="shared" ref="C281:C283" ca="1" si="73">RANDBETWEEN(5,10)*100</f>
        <v>800</v>
      </c>
      <c r="D281" s="3" t="str">
        <f ca="1">VLOOKUP(table_DataQualities[[#This Row],[unit_ID]],table_Units[#All],2)</f>
        <v>+/- cm³/s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0.14000000000000001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4.1999999999999997E-3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4.1999999999999997E-3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0.14000000000000001</v>
      </c>
      <c r="K281">
        <f t="shared" ca="1" si="70"/>
        <v>0.14000000000000001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2.8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0.41299999999999998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620.1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0.41299999999999998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620.1</v>
      </c>
      <c r="K282">
        <f t="shared" ca="1" si="70"/>
        <v>0.61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1.4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140_Bildgröße</v>
      </c>
      <c r="C283">
        <f t="shared" ca="1" si="73"/>
        <v>1000</v>
      </c>
      <c r="D283" s="3" t="str">
        <f ca="1">VLOOKUP(table_DataQualities[[#This Row],[unit_ID]],table_Units[#All],2)</f>
        <v>bit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34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6311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34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6311</v>
      </c>
      <c r="K283">
        <f t="shared" ca="1" si="70"/>
        <v>0.95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2.7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0.224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5066.8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0.224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5066.8</v>
      </c>
      <c r="K284">
        <f t="shared" ca="1" si="70"/>
        <v>0.4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4.7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141_Geschwindigkeitsmessgenauigkeit mm/s</v>
      </c>
      <c r="C285">
        <f t="shared" ca="1" si="72"/>
        <v>700</v>
      </c>
      <c r="D285" s="3" t="str">
        <f ca="1">VLOOKUP(table_DataQualities[[#This Row],[unit_ID]],table_Units[#All],2)</f>
        <v>+/- mm/s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0.27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285">
        <f t="shared" ca="1" si="70"/>
        <v>0.21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2.1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5.0999999999999997E-2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5411.1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5411.1</v>
      </c>
      <c r="K286">
        <f t="shared" ca="1" si="70"/>
        <v>0.26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3.9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142_Bildgröße</v>
      </c>
      <c r="C287">
        <f ca="1">RANDBETWEEN(5,10)*100</f>
        <v>1000</v>
      </c>
      <c r="D287" s="3" t="str">
        <f ca="1">VLOOKUP(table_DataQualities[[#This Row],[unit_ID]],table_Units[#All],2)</f>
        <v>bit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24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2183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24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2183</v>
      </c>
      <c r="K287">
        <f t="shared" ca="1" si="70"/>
        <v>0.61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1.3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0.111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8594.2000000000007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0.111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8594.2000000000007</v>
      </c>
      <c r="K288">
        <f t="shared" ca="1" si="70"/>
        <v>0.77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2.6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143_Längenmessgenauigkeit mm</v>
      </c>
      <c r="C289">
        <f t="shared" ref="C289:C299" ca="1" si="74">RANDBETWEEN(5,10)*100</f>
        <v>900</v>
      </c>
      <c r="D289" s="3" t="str">
        <f ca="1">VLOOKUP(table_DataQualities[[#This Row],[unit_ID]],table_Units[#All],2)</f>
        <v>+/- mm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0.48</v>
      </c>
      <c r="K289">
        <f t="shared" ca="1" si="70"/>
        <v>0.88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3.5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0.83299999999999996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2785.9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0.83299999999999996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2785.9</v>
      </c>
      <c r="K290">
        <f t="shared" ca="1" si="70"/>
        <v>0.56000000000000005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2.4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144_Bildgröße</v>
      </c>
      <c r="C291">
        <f t="shared" ref="C291" ca="1" si="75">RANDBETWEEN(5,10)*100</f>
        <v>1000</v>
      </c>
      <c r="D291" s="3" t="str">
        <f ca="1">VLOOKUP(table_DataQualities[[#This Row],[unit_ID]],table_Units[#All],2)</f>
        <v>bit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46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3499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46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3499</v>
      </c>
      <c r="K291">
        <f t="shared" ca="1" si="70"/>
        <v>0.53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4.5999999999999996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0.51200000000000001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3229.4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0.51200000000000001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3229.4</v>
      </c>
      <c r="K292">
        <f t="shared" ca="1" si="70"/>
        <v>0.56999999999999995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1.2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145_Temperaturmessgenauigkeit °C</v>
      </c>
      <c r="C293">
        <f t="shared" ca="1" si="74"/>
        <v>500</v>
      </c>
      <c r="D293" s="3" t="str">
        <f ca="1">VLOOKUP(table_DataQualities[[#This Row],[unit_ID]],table_Units[#All],2)</f>
        <v>+/- °C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93">
        <f t="shared" ca="1" si="70"/>
        <v>0.17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3.5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0.72099999999999997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3699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0.72099999999999997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3699</v>
      </c>
      <c r="K294">
        <f t="shared" ca="1" si="70"/>
        <v>0.22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4.9000000000000004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146_Bildgröße</v>
      </c>
      <c r="C295">
        <f t="shared" ref="C295" ca="1" si="76">RANDBETWEEN(5,10)*100</f>
        <v>1000</v>
      </c>
      <c r="D295" s="3" t="str">
        <f ca="1">VLOOKUP(table_DataQualities[[#This Row],[unit_ID]],table_Units[#All],2)</f>
        <v>bit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58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7705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58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7705</v>
      </c>
      <c r="K295">
        <f t="shared" ca="1" si="70"/>
        <v>0.06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3.9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0.95699999999999996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7502.1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0.95699999999999996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7502.1</v>
      </c>
      <c r="K296">
        <f t="shared" ca="1" si="70"/>
        <v>0.75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2.8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147_Leistungsmessgenauigkeit W</v>
      </c>
      <c r="C297">
        <f t="shared" ca="1" si="74"/>
        <v>600</v>
      </c>
      <c r="D297" s="3" t="str">
        <f ca="1">VLOOKUP(table_DataQualities[[#This Row],[unit_ID]],table_Units[#All],2)</f>
        <v>+/- W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9.7100000000000009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9.7100000000000009</v>
      </c>
      <c r="K297">
        <f t="shared" ca="1" si="70"/>
        <v>0.52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2.7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0.222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2295.6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0.222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2295.6</v>
      </c>
      <c r="K298">
        <f t="shared" ca="1" si="70"/>
        <v>0.74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1.7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148_Bildgröße</v>
      </c>
      <c r="C299">
        <f t="shared" ca="1" si="74"/>
        <v>1000</v>
      </c>
      <c r="D299" s="3" t="str">
        <f ca="1">VLOOKUP(table_DataQualities[[#This Row],[unit_ID]],table_Units[#All],2)</f>
        <v>bit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56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3212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56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3212</v>
      </c>
      <c r="K299">
        <f t="shared" ca="1" si="70"/>
        <v>0.97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1.5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1.9E-2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8242.2999999999993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8242.2999999999993</v>
      </c>
      <c r="K300">
        <f t="shared" ca="1" si="70"/>
        <v>0.41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1.4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149_Geschwindigkeitsmessgenauigkeit mm/s</v>
      </c>
      <c r="C301">
        <f ca="1">RANDBETWEEN(5,10)*100</f>
        <v>700</v>
      </c>
      <c r="D301" s="3" t="str">
        <f ca="1">VLOOKUP(table_DataQualities[[#This Row],[unit_ID]],table_Units[#All],2)</f>
        <v>+/- mm/s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0.68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301">
        <f t="shared" ca="1" si="70"/>
        <v>0.99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1.5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0.11899999999999999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9324.6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0.11899999999999999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9324.6</v>
      </c>
      <c r="K302">
        <f t="shared" ca="1" si="70"/>
        <v>0.2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3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150_Leistungsmessgenauigkeit W</v>
      </c>
      <c r="C303">
        <f t="shared" ref="C303:C313" ca="1" si="77">RANDBETWEEN(5,10)*100</f>
        <v>600</v>
      </c>
      <c r="D303" s="3" t="str">
        <f ca="1">VLOOKUP(table_DataQualities[[#This Row],[unit_ID]],table_Units[#All],2)</f>
        <v>+/- W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6.03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9.5000000000000001E-2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9.5000000000000001E-2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6.03</v>
      </c>
      <c r="K303">
        <f t="shared" ca="1" si="70"/>
        <v>0.8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3.8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0.16500000000000001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3462.3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0.16500000000000001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3462.3</v>
      </c>
      <c r="K304">
        <f t="shared" ca="1" si="70"/>
        <v>0.12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4.8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151_Temperaturmessgenauigkeit °C</v>
      </c>
      <c r="C305">
        <f t="shared" ref="C305" ca="1" si="78">RANDBETWEEN(5,10)*100</f>
        <v>500</v>
      </c>
      <c r="D305" s="3" t="str">
        <f ca="1">VLOOKUP(table_DataQualities[[#This Row],[unit_ID]],table_Units[#All],2)</f>
        <v>+/- °C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05">
        <f t="shared" ca="1" si="70"/>
        <v>0.2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1.3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0.53400000000000003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8837.9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0.53400000000000003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8837.9</v>
      </c>
      <c r="K306">
        <f t="shared" ca="1" si="70"/>
        <v>0.64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2.9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152_Durchflussmessgenauigkeit cm³/s</v>
      </c>
      <c r="C307">
        <f t="shared" ca="1" si="77"/>
        <v>800</v>
      </c>
      <c r="D307" s="3" t="str">
        <f ca="1">VLOOKUP(table_DataQualities[[#This Row],[unit_ID]],table_Units[#All],2)</f>
        <v>+/- cm³/s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0.80700000000000005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3.5000000000000001E-3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3.5000000000000001E-3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0.80700000000000005</v>
      </c>
      <c r="K307">
        <f t="shared" ca="1" si="70"/>
        <v>0.52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2.9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0.96799999999999997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1073.5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0.96799999999999997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1073.5</v>
      </c>
      <c r="K308">
        <f t="shared" ca="1" si="70"/>
        <v>0.11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3.3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153_Längenmessgenauigkeit mm</v>
      </c>
      <c r="C309">
        <f t="shared" ref="C309" ca="1" si="79">RANDBETWEEN(5,10)*100</f>
        <v>900</v>
      </c>
      <c r="D309" s="3" t="str">
        <f ca="1">VLOOKUP(table_DataQualities[[#This Row],[unit_ID]],table_Units[#All],2)</f>
        <v>+/- mm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7.34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7.34</v>
      </c>
      <c r="K309">
        <f t="shared" ca="1" si="70"/>
        <v>0.38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1.5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0.33200000000000002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2617.5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0.33200000000000002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2617.5</v>
      </c>
      <c r="K310">
        <f t="shared" ca="1" si="70"/>
        <v>0.06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2.2999999999999998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154_Durchflussmessgenauigkeit cm³/s</v>
      </c>
      <c r="C311">
        <f t="shared" ca="1" si="77"/>
        <v>800</v>
      </c>
      <c r="D311" s="3" t="str">
        <f ca="1">VLOOKUP(table_DataQualities[[#This Row],[unit_ID]],table_Units[#All],2)</f>
        <v>+/- cm³/s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0.33800000000000002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3.0999999999999999E-3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3.0999999999999999E-3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0.33800000000000002</v>
      </c>
      <c r="K311">
        <f t="shared" ca="1" si="70"/>
        <v>0.08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1.8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0.34699999999999998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9320.7999999999993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0.34699999999999998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9320.7999999999993</v>
      </c>
      <c r="K312">
        <f t="shared" ca="1" si="70"/>
        <v>0.32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1.2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155_Temperaturmessgenauigkeit °C</v>
      </c>
      <c r="C313">
        <f t="shared" ca="1" si="77"/>
        <v>500</v>
      </c>
      <c r="D313" s="3" t="str">
        <f ca="1">VLOOKUP(table_DataQualities[[#This Row],[unit_ID]],table_Units[#All],2)</f>
        <v>+/- °C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13">
        <f t="shared" ca="1" si="70"/>
        <v>0.63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1.7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0.79100000000000004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8706.7000000000007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0.79100000000000004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8706.7000000000007</v>
      </c>
      <c r="K314">
        <f t="shared" ca="1" si="70"/>
        <v>0.99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2.4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156_Temperaturmessgenauigkeit °C</v>
      </c>
      <c r="C315">
        <f ca="1">RANDBETWEEN(5,10)*100</f>
        <v>500</v>
      </c>
      <c r="D315" s="3" t="str">
        <f ca="1">VLOOKUP(table_DataQualities[[#This Row],[unit_ID]],table_Units[#All],2)</f>
        <v>+/- °C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15">
        <f t="shared" ca="1" si="70"/>
        <v>0.04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4.8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0.39400000000000002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5469.1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0.39400000000000002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5469.1</v>
      </c>
      <c r="K316">
        <f t="shared" ca="1" si="70"/>
        <v>0.21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2.4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157_Durchflussmessgenauigkeit cm³/s</v>
      </c>
      <c r="C317">
        <f t="shared" ref="C317:C327" ca="1" si="80">RANDBETWEEN(5,10)*100</f>
        <v>800</v>
      </c>
      <c r="D317" s="3" t="str">
        <f ca="1">VLOOKUP(table_DataQualities[[#This Row],[unit_ID]],table_Units[#All],2)</f>
        <v>+/- cm³/s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0.84199999999999997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5.7999999999999996E-3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5.7999999999999996E-3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0.84199999999999997</v>
      </c>
      <c r="K317">
        <f t="shared" ca="1" si="70"/>
        <v>0.83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1.6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4069.4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4069.4</v>
      </c>
      <c r="K318">
        <f t="shared" ca="1" si="70"/>
        <v>0.97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1.3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158_Leistungsmessgenauigkeit W</v>
      </c>
      <c r="C319">
        <f t="shared" ref="C319" ca="1" si="81">RANDBETWEEN(5,10)*100</f>
        <v>600</v>
      </c>
      <c r="D319" s="3" t="str">
        <f ca="1">VLOOKUP(table_DataQualities[[#This Row],[unit_ID]],table_Units[#All],2)</f>
        <v>+/- W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4.6399999999999997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8.2000000000000003E-2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4.6399999999999997</v>
      </c>
      <c r="K319">
        <f t="shared" ca="1" si="70"/>
        <v>0.19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3.3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0.65600000000000003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3644.8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0.65600000000000003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3644.8</v>
      </c>
      <c r="K320">
        <f t="shared" ca="1" si="70"/>
        <v>0.08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1.6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159_Bildgröße</v>
      </c>
      <c r="C321">
        <f t="shared" ca="1" si="80"/>
        <v>1000</v>
      </c>
      <c r="D321" s="3" t="str">
        <f ca="1">VLOOKUP(table_DataQualities[[#This Row],[unit_ID]],table_Units[#All],2)</f>
        <v>bit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87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2729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87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2729</v>
      </c>
      <c r="K321">
        <f t="shared" ca="1" si="70"/>
        <v>0.9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1.2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0.23499999999999999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6243.1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0.23499999999999999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6243.1</v>
      </c>
      <c r="K322">
        <f t="shared" ca="1" si="70"/>
        <v>0.81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4.8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160_Durchflussmessgenauigkeit cm³/s</v>
      </c>
      <c r="C323">
        <f t="shared" ref="C323" ca="1" si="82">RANDBETWEEN(5,10)*100</f>
        <v>800</v>
      </c>
      <c r="D323" s="3" t="str">
        <f ca="1">VLOOKUP(table_DataQualities[[#This Row],[unit_ID]],table_Units[#All],2)</f>
        <v>+/- cm³/s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0.189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3.3999999999999998E-3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3.3999999999999998E-3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0.189</v>
      </c>
      <c r="K323">
        <f t="shared" ca="1" si="70"/>
        <v>0.73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3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0.64900000000000002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6545.9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0.64900000000000002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6545.9</v>
      </c>
      <c r="K324">
        <f t="shared" ca="1" si="70"/>
        <v>0.25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2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161_Bildgröße</v>
      </c>
      <c r="C325">
        <f t="shared" ca="1" si="80"/>
        <v>1000</v>
      </c>
      <c r="D325" s="3" t="str">
        <f ca="1">VLOOKUP(table_DataQualities[[#This Row],[unit_ID]],table_Units[#All],2)</f>
        <v>bit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100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5490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100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5490</v>
      </c>
      <c r="K325">
        <f t="shared" ca="1" si="70"/>
        <v>0.43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4.8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0.41499999999999998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7877.4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0.41499999999999998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7877.4</v>
      </c>
      <c r="K326">
        <f t="shared" ca="1" si="70"/>
        <v>0.22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2.2000000000000002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162_Bildgröße</v>
      </c>
      <c r="C327">
        <f t="shared" ca="1" si="80"/>
        <v>1000</v>
      </c>
      <c r="D327" s="3" t="str">
        <f ca="1">VLOOKUP(table_DataQualities[[#This Row],[unit_ID]],table_Units[#All],2)</f>
        <v>bit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23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7535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23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7535</v>
      </c>
      <c r="K327">
        <f t="shared" ca="1" si="70"/>
        <v>0.56000000000000005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2.8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0.45500000000000002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1190.8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0.45500000000000002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1190.8</v>
      </c>
      <c r="K328">
        <f t="shared" ca="1" si="70"/>
        <v>0.81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2.5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163_Leistungsmessgenauigkeit W</v>
      </c>
      <c r="C329">
        <f ca="1">RANDBETWEEN(5,10)*100</f>
        <v>600</v>
      </c>
      <c r="D329" s="3" t="str">
        <f ca="1">VLOOKUP(table_DataQualities[[#This Row],[unit_ID]],table_Units[#All],2)</f>
        <v>+/- W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3.85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8.4000000000000005E-2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3.85</v>
      </c>
      <c r="K329">
        <f t="shared" ca="1" si="70"/>
        <v>0.79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3.5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0.73499999999999999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5313.4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0.73499999999999999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5313.4</v>
      </c>
      <c r="K330">
        <f t="shared" ca="1" si="70"/>
        <v>0.94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1.3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164_Temperaturmessgenauigkeit °C</v>
      </c>
      <c r="C331">
        <f t="shared" ref="C331:C341" ca="1" si="84">RANDBETWEEN(5,10)*100</f>
        <v>500</v>
      </c>
      <c r="D331" s="3" t="str">
        <f ca="1">VLOOKUP(table_DataQualities[[#This Row],[unit_ID]],table_Units[#All],2)</f>
        <v>+/- °C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31">
        <f t="shared" ca="1" si="70"/>
        <v>0.26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4.3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0.39200000000000002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3280.3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0.39200000000000002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3280.3</v>
      </c>
      <c r="K332">
        <f t="shared" ca="1" si="70"/>
        <v>0.76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1.3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165_Durchflussmessgenauigkeit cm³/s</v>
      </c>
      <c r="C333">
        <f t="shared" ref="C333" ca="1" si="85">RANDBETWEEN(5,10)*100</f>
        <v>800</v>
      </c>
      <c r="D333" s="3" t="str">
        <f ca="1">VLOOKUP(table_DataQualities[[#This Row],[unit_ID]],table_Units[#All],2)</f>
        <v>+/- cm³/s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5.2999999999999999E-2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2.0000000000000001E-4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2.0000000000000001E-4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5.2999999999999999E-2</v>
      </c>
      <c r="K333">
        <f t="shared" ca="1" si="70"/>
        <v>0.12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3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2103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0.72199999999999998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2103</v>
      </c>
      <c r="K334">
        <f t="shared" ca="1" si="70"/>
        <v>0.42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3.9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166_Durchflussmessgenauigkeit cm³/s</v>
      </c>
      <c r="C335">
        <f t="shared" ca="1" si="84"/>
        <v>800</v>
      </c>
      <c r="D335" s="3" t="str">
        <f ca="1">VLOOKUP(table_DataQualities[[#This Row],[unit_ID]],table_Units[#All],2)</f>
        <v>+/- cm³/s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0.57899999999999996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1.1999999999999999E-3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1.1999999999999999E-3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0.57899999999999996</v>
      </c>
      <c r="K335">
        <f t="shared" ref="K335:K398" ca="1" si="86">ROUND(RAND(),2)</f>
        <v>0.69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3.9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0.67500000000000004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9007.2000000000007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0.67500000000000004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9007.2000000000007</v>
      </c>
      <c r="K336">
        <f t="shared" ca="1" si="86"/>
        <v>0.43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1.3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167_Längenmessgenauigkeit mm</v>
      </c>
      <c r="C337">
        <f t="shared" ref="C337" ca="1" si="87">RANDBETWEEN(5,10)*100</f>
        <v>900</v>
      </c>
      <c r="D337" s="3" t="str">
        <f ca="1">VLOOKUP(table_DataQualities[[#This Row],[unit_ID]],table_Units[#All],2)</f>
        <v>+/- mm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1.48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5.8999999999999997E-2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1.48</v>
      </c>
      <c r="K337">
        <f t="shared" ca="1" si="86"/>
        <v>0.47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3.1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8857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0.90700000000000003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8857</v>
      </c>
      <c r="K338">
        <f t="shared" ca="1" si="86"/>
        <v>0.68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3.5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168_Leistungsmessgenauigkeit W</v>
      </c>
      <c r="C339">
        <f t="shared" ca="1" si="84"/>
        <v>600</v>
      </c>
      <c r="D339" s="3" t="str">
        <f ca="1">VLOOKUP(table_DataQualities[[#This Row],[unit_ID]],table_Units[#All],2)</f>
        <v>+/- W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8.0299999999999994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8.0299999999999994</v>
      </c>
      <c r="K339">
        <f t="shared" ca="1" si="86"/>
        <v>0.27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3.9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0.98799999999999999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5170.6000000000004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0.98799999999999999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5170.6000000000004</v>
      </c>
      <c r="K340">
        <f t="shared" ca="1" si="86"/>
        <v>0.15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1.4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169_Leistungsmessgenauigkeit W</v>
      </c>
      <c r="C341">
        <f t="shared" ca="1" si="84"/>
        <v>600</v>
      </c>
      <c r="D341" s="3" t="str">
        <f ca="1">VLOOKUP(table_DataQualities[[#This Row],[unit_ID]],table_Units[#All],2)</f>
        <v>+/- W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3.71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5.7000000000000002E-2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3.71</v>
      </c>
      <c r="K341">
        <f t="shared" ca="1" si="86"/>
        <v>0.7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3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0.14000000000000001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6776.1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0.14000000000000001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6776.1</v>
      </c>
      <c r="K342">
        <f t="shared" ca="1" si="86"/>
        <v>0.36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2.2000000000000002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170_Durchflussmessgenauigkeit cm³/s</v>
      </c>
      <c r="C343">
        <f ca="1">RANDBETWEEN(5,10)*100</f>
        <v>800</v>
      </c>
      <c r="D343" s="3" t="str">
        <f ca="1">VLOOKUP(table_DataQualities[[#This Row],[unit_ID]],table_Units[#All],2)</f>
        <v>+/- cm³/s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0.58499999999999996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0.58499999999999996</v>
      </c>
      <c r="K343">
        <f t="shared" ca="1" si="86"/>
        <v>0.16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4.8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0.21099999999999999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5839.7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0.21099999999999999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5839.7</v>
      </c>
      <c r="K344">
        <f t="shared" ca="1" si="86"/>
        <v>0.94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3.5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171_Durchflussmessgenauigkeit cm³/s</v>
      </c>
      <c r="C345">
        <f t="shared" ref="C345:C355" ca="1" si="88">RANDBETWEEN(5,10)*100</f>
        <v>800</v>
      </c>
      <c r="D345" s="3" t="str">
        <f ca="1">VLOOKUP(table_DataQualities[[#This Row],[unit_ID]],table_Units[#All],2)</f>
        <v>+/- cm³/s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0.749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8.6E-3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8.6E-3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0.749</v>
      </c>
      <c r="K345">
        <f t="shared" ca="1" si="86"/>
        <v>0.75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3.6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2454.6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2454.6</v>
      </c>
      <c r="K346">
        <f t="shared" ca="1" si="86"/>
        <v>0.19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4.3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172_Bildgröße</v>
      </c>
      <c r="C347">
        <f t="shared" ref="C347" ca="1" si="89">RANDBETWEEN(5,10)*100</f>
        <v>1000</v>
      </c>
      <c r="D347" s="3" t="str">
        <f ca="1">VLOOKUP(table_DataQualities[[#This Row],[unit_ID]],table_Units[#All],2)</f>
        <v>bit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57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8572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57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8572</v>
      </c>
      <c r="K347">
        <f t="shared" ca="1" si="86"/>
        <v>0.86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4.7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9677.6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9677.6</v>
      </c>
      <c r="K348">
        <f t="shared" ca="1" si="86"/>
        <v>0.17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2.7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173_Durchflussmessgenauigkeit cm³/s</v>
      </c>
      <c r="C349">
        <f t="shared" ca="1" si="88"/>
        <v>800</v>
      </c>
      <c r="D349" s="3" t="str">
        <f ca="1">VLOOKUP(table_DataQualities[[#This Row],[unit_ID]],table_Units[#All],2)</f>
        <v>+/- cm³/s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0.79600000000000004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6.7000000000000002E-3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6.7000000000000002E-3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0.79600000000000004</v>
      </c>
      <c r="K349">
        <f t="shared" ca="1" si="86"/>
        <v>0.79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2.1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9582.9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0.90700000000000003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9582.9</v>
      </c>
      <c r="K350">
        <f t="shared" ca="1" si="86"/>
        <v>0.18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3.3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174_Bildgröße</v>
      </c>
      <c r="C351">
        <f t="shared" ref="C351" ca="1" si="90">RANDBETWEEN(5,10)*100</f>
        <v>1000</v>
      </c>
      <c r="D351" s="3" t="str">
        <f ca="1">VLOOKUP(table_DataQualities[[#This Row],[unit_ID]],table_Units[#All],2)</f>
        <v>bit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73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8255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73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8255</v>
      </c>
      <c r="K351">
        <f t="shared" ca="1" si="86"/>
        <v>0.48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3.1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0.59099999999999997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5301.7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0.59099999999999997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5301.7</v>
      </c>
      <c r="K352">
        <f t="shared" ca="1" si="86"/>
        <v>0.55000000000000004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1.4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175_Temperaturmessgenauigkeit °C</v>
      </c>
      <c r="C353">
        <f t="shared" ca="1" si="88"/>
        <v>500</v>
      </c>
      <c r="D353" s="3" t="str">
        <f ca="1">VLOOKUP(table_DataQualities[[#This Row],[unit_ID]],table_Units[#All],2)</f>
        <v>+/- °C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53">
        <f t="shared" ca="1" si="86"/>
        <v>0.06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2.8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0.82799999999999996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7897.6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0.82799999999999996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7897.6</v>
      </c>
      <c r="K354">
        <f t="shared" ca="1" si="86"/>
        <v>0.89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3.3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176_Durchflussmessgenauigkeit cm³/s</v>
      </c>
      <c r="C355">
        <f t="shared" ca="1" si="88"/>
        <v>800</v>
      </c>
      <c r="D355" s="3" t="str">
        <f ca="1">VLOOKUP(table_DataQualities[[#This Row],[unit_ID]],table_Units[#All],2)</f>
        <v>+/- cm³/s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0.57399999999999995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5.4999999999999997E-3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5.4999999999999997E-3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0.57399999999999995</v>
      </c>
      <c r="K355">
        <f t="shared" ca="1" si="86"/>
        <v>0.86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3.1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0.96899999999999997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6941.3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0.96899999999999997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6941.3</v>
      </c>
      <c r="K356">
        <f t="shared" ca="1" si="86"/>
        <v>0.42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3.7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177_Längenmessgenauigkeit mm</v>
      </c>
      <c r="C357">
        <f ca="1">RANDBETWEEN(5,10)*100</f>
        <v>900</v>
      </c>
      <c r="D357" s="3" t="str">
        <f ca="1">VLOOKUP(table_DataQualities[[#This Row],[unit_ID]],table_Units[#All],2)</f>
        <v>+/- mm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8.2100000000000009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8.2100000000000009</v>
      </c>
      <c r="K357">
        <f t="shared" ca="1" si="86"/>
        <v>0.37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2.1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0.60399999999999998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8113.6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0.60399999999999998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8113.6</v>
      </c>
      <c r="K358">
        <f t="shared" ca="1" si="86"/>
        <v>0.49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2.5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178_Leistungsmessgenauigkeit W</v>
      </c>
      <c r="C359">
        <f t="shared" ref="C359:C369" ca="1" si="91">RANDBETWEEN(5,10)*100</f>
        <v>600</v>
      </c>
      <c r="D359" s="3" t="str">
        <f ca="1">VLOOKUP(table_DataQualities[[#This Row],[unit_ID]],table_Units[#All],2)</f>
        <v>+/- W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1.04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3.2000000000000001E-2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1.04</v>
      </c>
      <c r="K359">
        <f t="shared" ca="1" si="86"/>
        <v>0.73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1.6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0.502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8366.7999999999993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0.502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8366.7999999999993</v>
      </c>
      <c r="K360">
        <f t="shared" ca="1" si="86"/>
        <v>0.2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4.8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179_Leistungsmessgenauigkeit W</v>
      </c>
      <c r="C361">
        <f t="shared" ref="C361" ca="1" si="92">RANDBETWEEN(5,10)*100</f>
        <v>600</v>
      </c>
      <c r="D361" s="3" t="str">
        <f ca="1">VLOOKUP(table_DataQualities[[#This Row],[unit_ID]],table_Units[#All],2)</f>
        <v>+/- W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8.5000000000000006E-2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361">
        <f t="shared" ca="1" si="86"/>
        <v>0.78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2.2000000000000002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0.78600000000000003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6706.3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0.78600000000000003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6706.3</v>
      </c>
      <c r="K362">
        <f t="shared" ca="1" si="86"/>
        <v>0.46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4.5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180_Längenmessgenauigkeit mm</v>
      </c>
      <c r="C363">
        <f t="shared" ca="1" si="91"/>
        <v>900</v>
      </c>
      <c r="D363" s="3" t="str">
        <f ca="1">VLOOKUP(table_DataQualities[[#This Row],[unit_ID]],table_Units[#All],2)</f>
        <v>+/- mm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8.44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8.44</v>
      </c>
      <c r="K363">
        <f t="shared" ca="1" si="86"/>
        <v>0.55000000000000004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3.2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0.41699999999999998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6490.3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0.41699999999999998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6490.3</v>
      </c>
      <c r="K364">
        <f t="shared" ca="1" si="86"/>
        <v>0.03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2.2000000000000002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181_Längenmessgenauigkeit mm</v>
      </c>
      <c r="C365">
        <f t="shared" ref="C365" ca="1" si="93">RANDBETWEEN(5,10)*100</f>
        <v>900</v>
      </c>
      <c r="D365" s="3" t="str">
        <f ca="1">VLOOKUP(table_DataQualities[[#This Row],[unit_ID]],table_Units[#All],2)</f>
        <v>+/- mm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9.41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9.41</v>
      </c>
      <c r="K365">
        <f t="shared" ca="1" si="86"/>
        <v>0.76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2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0.70499999999999996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9315.4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0.70499999999999996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9315.4</v>
      </c>
      <c r="K366">
        <f t="shared" ca="1" si="86"/>
        <v>0.03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3.4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182_Leistungsmessgenauigkeit W</v>
      </c>
      <c r="C367">
        <f t="shared" ca="1" si="91"/>
        <v>600</v>
      </c>
      <c r="D367" s="3" t="str">
        <f ca="1">VLOOKUP(table_DataQualities[[#This Row],[unit_ID]],table_Units[#All],2)</f>
        <v>+/- W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8.82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8.82</v>
      </c>
      <c r="K367">
        <f t="shared" ca="1" si="86"/>
        <v>0.33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1.7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0.86199999999999999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523.1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0.86199999999999999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523.1</v>
      </c>
      <c r="K368">
        <f t="shared" ca="1" si="86"/>
        <v>0.69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2.2999999999999998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183_Geschwindigkeitsmessgenauigkeit mm/s</v>
      </c>
      <c r="C369">
        <f t="shared" ca="1" si="91"/>
        <v>700</v>
      </c>
      <c r="D369" s="3" t="str">
        <f ca="1">VLOOKUP(table_DataQualities[[#This Row],[unit_ID]],table_Units[#All],2)</f>
        <v>+/- mm/s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</v>
      </c>
      <c r="K369">
        <f t="shared" ca="1" si="86"/>
        <v>0.65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3.4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0.92300000000000004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3166.5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0.92300000000000004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3166.5</v>
      </c>
      <c r="K370">
        <f t="shared" ca="1" si="86"/>
        <v>0.03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3.7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184_Durchflussmessgenauigkeit cm³/s</v>
      </c>
      <c r="C371">
        <f ca="1">RANDBETWEEN(5,10)*100</f>
        <v>800</v>
      </c>
      <c r="D371" s="3" t="str">
        <f ca="1">VLOOKUP(table_DataQualities[[#This Row],[unit_ID]],table_Units[#All],2)</f>
        <v>+/- cm³/s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0.76900000000000002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0.76900000000000002</v>
      </c>
      <c r="K371">
        <f t="shared" ca="1" si="86"/>
        <v>0.02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3.5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6.8000000000000005E-2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7148.8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7148.8</v>
      </c>
      <c r="K372">
        <f t="shared" ca="1" si="86"/>
        <v>0.35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3.4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185_Längenmessgenauigkeit mm</v>
      </c>
      <c r="C373">
        <f t="shared" ref="C373:C383" ca="1" si="94">RANDBETWEEN(5,10)*100</f>
        <v>900</v>
      </c>
      <c r="D373" s="3" t="str">
        <f ca="1">VLOOKUP(table_DataQualities[[#This Row],[unit_ID]],table_Units[#All],2)</f>
        <v>+/- mm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1.93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1.93</v>
      </c>
      <c r="K373">
        <f t="shared" ca="1" si="86"/>
        <v>0.61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3.8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0.99299999999999999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5327.1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0.99299999999999999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5327.1</v>
      </c>
      <c r="K374">
        <f t="shared" ca="1" si="86"/>
        <v>0.51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4.5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186_Leistungsmessgenauigkeit W</v>
      </c>
      <c r="C375">
        <f t="shared" ref="C375" ca="1" si="95">RANDBETWEEN(5,10)*100</f>
        <v>600</v>
      </c>
      <c r="D375" s="3" t="str">
        <f ca="1">VLOOKUP(table_DataQualities[[#This Row],[unit_ID]],table_Units[#All],2)</f>
        <v>+/- W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3.37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3.37</v>
      </c>
      <c r="K375">
        <f t="shared" ca="1" si="86"/>
        <v>0.7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4.0999999999999996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3.5000000000000003E-2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2945.7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2945.7</v>
      </c>
      <c r="K376">
        <f t="shared" ca="1" si="86"/>
        <v>0.31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1.7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187_Temperaturmessgenauigkeit °C</v>
      </c>
      <c r="C377">
        <f t="shared" ca="1" si="94"/>
        <v>500</v>
      </c>
      <c r="D377" s="3" t="str">
        <f ca="1">VLOOKUP(table_DataQualities[[#This Row],[unit_ID]],table_Units[#All],2)</f>
        <v>+/- °C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77">
        <f t="shared" ca="1" si="86"/>
        <v>0.01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1.9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0.874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8914.2999999999993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0.874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8914.2999999999993</v>
      </c>
      <c r="K378">
        <f t="shared" ca="1" si="86"/>
        <v>0.52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2.4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188_Längenmessgenauigkeit mm</v>
      </c>
      <c r="C379">
        <f t="shared" ref="C379" ca="1" si="96">RANDBETWEEN(5,10)*100</f>
        <v>900</v>
      </c>
      <c r="D379" s="3" t="str">
        <f ca="1">VLOOKUP(table_DataQualities[[#This Row],[unit_ID]],table_Units[#All],2)</f>
        <v>+/- mm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6.3E-2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0.67</v>
      </c>
      <c r="K379">
        <f t="shared" ca="1" si="86"/>
        <v>0.23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3.8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0.53600000000000003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7761.5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0.53600000000000003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7761.5</v>
      </c>
      <c r="K380">
        <f t="shared" ca="1" si="86"/>
        <v>0.05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1.3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189_Leistungsmessgenauigkeit W</v>
      </c>
      <c r="C381">
        <f t="shared" ca="1" si="94"/>
        <v>600</v>
      </c>
      <c r="D381" s="3" t="str">
        <f ca="1">VLOOKUP(table_DataQualities[[#This Row],[unit_ID]],table_Units[#All],2)</f>
        <v>+/- W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3.82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3.82</v>
      </c>
      <c r="K381">
        <f t="shared" ca="1" si="86"/>
        <v>0.55000000000000004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1.4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8.5000000000000006E-2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6898.2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6898.2</v>
      </c>
      <c r="K382">
        <f t="shared" ca="1" si="86"/>
        <v>0.64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3.8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190_Bildgröße</v>
      </c>
      <c r="C383">
        <f t="shared" ca="1" si="94"/>
        <v>1000</v>
      </c>
      <c r="D383" s="3" t="str">
        <f ca="1">VLOOKUP(table_DataQualities[[#This Row],[unit_ID]],table_Units[#All],2)</f>
        <v>bit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25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8693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25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8693</v>
      </c>
      <c r="K383">
        <f t="shared" ca="1" si="86"/>
        <v>0.79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4.5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0.13400000000000001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1984.8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0.13400000000000001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1984.8</v>
      </c>
      <c r="K384">
        <f t="shared" ca="1" si="86"/>
        <v>0.9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3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191_Durchflussmessgenauigkeit cm³/s</v>
      </c>
      <c r="C385">
        <f ca="1">RANDBETWEEN(5,10)*100</f>
        <v>800</v>
      </c>
      <c r="D385" s="3" t="str">
        <f ca="1">VLOOKUP(table_DataQualities[[#This Row],[unit_ID]],table_Units[#All],2)</f>
        <v>+/- cm³/s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0.24299999999999999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5.1000000000000004E-3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5.1000000000000004E-3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0.24299999999999999</v>
      </c>
      <c r="K385">
        <f t="shared" ca="1" si="86"/>
        <v>0.15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1.6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9331.2999999999993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0.72199999999999998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9331.2999999999993</v>
      </c>
      <c r="K386">
        <f t="shared" ca="1" si="86"/>
        <v>0.53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4.4000000000000004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192_Geschwindigkeitsmessgenauigkeit mm/s</v>
      </c>
      <c r="C387">
        <f t="shared" ref="C387:C397" ca="1" si="97">RANDBETWEEN(5,10)*100</f>
        <v>700</v>
      </c>
      <c r="D387" s="3" t="str">
        <f ca="1">VLOOKUP(table_DataQualities[[#This Row],[unit_ID]],table_Units[#All],2)</f>
        <v>+/- mm/s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0.21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87">
        <f t="shared" ca="1" si="86"/>
        <v>0.69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2.9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0.55700000000000005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8832.2999999999993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0.55700000000000005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8832.2999999999993</v>
      </c>
      <c r="K388">
        <f t="shared" ca="1" si="86"/>
        <v>0.91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1.9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193_Temperaturmessgenauigkeit °C</v>
      </c>
      <c r="C389">
        <f t="shared" ref="C389" ca="1" si="99">RANDBETWEEN(5,10)*100</f>
        <v>500</v>
      </c>
      <c r="D389" s="3" t="str">
        <f ca="1">VLOOKUP(table_DataQualities[[#This Row],[unit_ID]],table_Units[#All],2)</f>
        <v>+/- °C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89">
        <f t="shared" ca="1" si="86"/>
        <v>0.01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4.3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0.76900000000000002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3269.6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0.76900000000000002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3269.6</v>
      </c>
      <c r="K390">
        <f t="shared" ca="1" si="86"/>
        <v>0.95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2.7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194_Temperaturmessgenauigkeit °C</v>
      </c>
      <c r="C391">
        <f t="shared" ca="1" si="97"/>
        <v>500</v>
      </c>
      <c r="D391" s="3" t="str">
        <f ca="1">VLOOKUP(table_DataQualities[[#This Row],[unit_ID]],table_Units[#All],2)</f>
        <v>+/- °C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91">
        <f t="shared" ca="1" si="86"/>
        <v>0.94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1.4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0.17899999999999999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1457.1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0.17899999999999999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1457.1</v>
      </c>
      <c r="K392">
        <f t="shared" ca="1" si="86"/>
        <v>0.35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3.4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195_Geschwindigkeitsmessgenauigkeit mm/s</v>
      </c>
      <c r="C393">
        <f t="shared" ref="C393" ca="1" si="100">RANDBETWEEN(5,10)*100</f>
        <v>700</v>
      </c>
      <c r="D393" s="3" t="str">
        <f ca="1">VLOOKUP(table_DataQualities[[#This Row],[unit_ID]],table_Units[#All],2)</f>
        <v>+/- mm/s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0.83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</v>
      </c>
      <c r="K393">
        <f t="shared" ca="1" si="86"/>
        <v>0.76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1.2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0.56899999999999995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5396.1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0.56899999999999995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5396.1</v>
      </c>
      <c r="K394">
        <f t="shared" ca="1" si="86"/>
        <v>0.84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3.2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196_Temperaturmessgenauigkeit °C</v>
      </c>
      <c r="C395">
        <f t="shared" ca="1" si="97"/>
        <v>500</v>
      </c>
      <c r="D395" s="3" t="str">
        <f ca="1">VLOOKUP(table_DataQualities[[#This Row],[unit_ID]],table_Units[#All],2)</f>
        <v>+/- °C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95">
        <f t="shared" ca="1" si="86"/>
        <v>0.03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3.6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0.84299999999999997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8553.2000000000007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0.84299999999999997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8553.2000000000007</v>
      </c>
      <c r="K396">
        <f t="shared" ca="1" si="86"/>
        <v>0.35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2.1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197_Bildgröße</v>
      </c>
      <c r="C397">
        <f t="shared" ca="1" si="97"/>
        <v>1000</v>
      </c>
      <c r="D397" s="3" t="str">
        <f ca="1">VLOOKUP(table_DataQualities[[#This Row],[unit_ID]],table_Units[#All],2)</f>
        <v>bit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9373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9373</v>
      </c>
      <c r="K397">
        <f t="shared" ca="1" si="86"/>
        <v>0.27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1.2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0.624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9731.2999999999993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0.624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9731.2999999999993</v>
      </c>
      <c r="K398">
        <f t="shared" ca="1" si="86"/>
        <v>0.56999999999999995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1.7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198_Bildgröße</v>
      </c>
      <c r="C399">
        <f ca="1">RANDBETWEEN(5,10)*100</f>
        <v>1000</v>
      </c>
      <c r="D399" s="3" t="str">
        <f ca="1">VLOOKUP(table_DataQualities[[#This Row],[unit_ID]],table_Units[#All],2)</f>
        <v>bit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48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5061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48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5061</v>
      </c>
      <c r="K399">
        <f t="shared" ref="K399:K403" ca="1" si="101">ROUND(RAND(),2)</f>
        <v>0.88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3.9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0.97199999999999998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5406.6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0.97199999999999998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5406.6</v>
      </c>
      <c r="K400">
        <f t="shared" ca="1" si="101"/>
        <v>0.47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3.3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199_Temperaturmessgenauigkeit °C</v>
      </c>
      <c r="C401">
        <f t="shared" ref="C401" ca="1" si="102">RANDBETWEEN(5,10)*100</f>
        <v>500</v>
      </c>
      <c r="D401" s="3" t="str">
        <f ca="1">VLOOKUP(table_DataQualities[[#This Row],[unit_ID]],table_Units[#All],2)</f>
        <v>+/- °C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401">
        <f t="shared" ca="1" si="101"/>
        <v>0.76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3.6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0.85399999999999998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5897.7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0.85399999999999998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5897.7</v>
      </c>
      <c r="K402">
        <f t="shared" ca="1" si="101"/>
        <v>0.74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3.8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200_Geschwindigkeitsmessgenauigkeit mm/s</v>
      </c>
      <c r="C403">
        <f t="shared" ref="C403" ca="1" si="103">RANDBETWEEN(5,10)*100</f>
        <v>700</v>
      </c>
      <c r="D403" s="3" t="str">
        <f ca="1">VLOOKUP(table_DataQualities[[#This Row],[unit_ID]],table_Units[#All],2)</f>
        <v>+/- mm/s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0.14000000000000001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0.14000000000000001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</v>
      </c>
      <c r="K403">
        <f t="shared" ca="1" si="101"/>
        <v>7.0000000000000007E-2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2.7</v>
      </c>
    </row>
  </sheetData>
  <conditionalFormatting sqref="I1:I1048576">
    <cfRule type="cellIs" dxfId="69" priority="2" operator="lessThan">
      <formula>$H1</formula>
    </cfRule>
  </conditionalFormatting>
  <conditionalFormatting sqref="H1:H1048576">
    <cfRule type="cellIs" dxfId="68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D15" sqref="D15"/>
    </sheetView>
    <sheetView workbookViewId="1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  <sheetView workbookViewId="1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702"/>
  <sheetViews>
    <sheetView topLeftCell="A79" workbookViewId="0">
      <selection activeCell="G31" sqref="G31"/>
    </sheetView>
    <sheetView workbookViewId="1">
      <selection activeCell="D2" sqref="D2:D34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  <c r="J1" t="s">
        <v>348</v>
      </c>
    </row>
    <row r="2" spans="1:10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790</v>
      </c>
      <c r="D2">
        <f ca="1">RANDBETWEEN(10,1000)/(100)</f>
        <v>6.54</v>
      </c>
      <c r="E2">
        <f t="shared" ref="E2:E34" ca="1" si="1">RANDBETWEEN(-10,3)*10</f>
        <v>-20</v>
      </c>
      <c r="F2">
        <f t="shared" ref="F2:F34" ca="1" si="2">RANDBETWEEN(2,100)*10</f>
        <v>660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18730</v>
      </c>
      <c r="I2">
        <f t="shared" ref="I2:I35" ca="1" si="4">2^RANDBETWEEN(1,10)*RANDBETWEEN(1,100)</f>
        <v>1152</v>
      </c>
      <c r="J2" t="s">
        <v>347</v>
      </c>
    </row>
    <row r="3" spans="1:10" x14ac:dyDescent="0.45">
      <c r="A3">
        <v>1</v>
      </c>
      <c r="B3" t="str">
        <f>CONCATENATE("Methode ",table_Methods[[#This Row],[ID]])</f>
        <v>Methode 1</v>
      </c>
      <c r="C3">
        <f t="shared" ca="1" si="0"/>
        <v>39</v>
      </c>
      <c r="D3">
        <f t="shared" ref="D3:D34" ca="1" si="5">RANDBETWEEN(10,1000)/(100)</f>
        <v>1.98</v>
      </c>
      <c r="E3">
        <f t="shared" ca="1" si="1"/>
        <v>20</v>
      </c>
      <c r="F3">
        <f t="shared" ca="1" si="2"/>
        <v>690</v>
      </c>
      <c r="G3" t="b">
        <f ca="1">INDEX(dict_zul_Var_Meth[kval_active],MATCH(table_Methods[[#This Row],[ID]],dict_zul_Var_Meth[ID_Methods],0))</f>
        <v>0</v>
      </c>
      <c r="H3">
        <f t="shared" ca="1" si="3"/>
        <v>18210</v>
      </c>
      <c r="I3">
        <f t="shared" ca="1" si="4"/>
        <v>832</v>
      </c>
    </row>
    <row r="4" spans="1:10" x14ac:dyDescent="0.45">
      <c r="A4">
        <v>2</v>
      </c>
      <c r="B4" t="str">
        <f>CONCATENATE("Methode ",table_Methods[[#This Row],[ID]])</f>
        <v>Methode 2</v>
      </c>
      <c r="C4">
        <f t="shared" ca="1" si="0"/>
        <v>78</v>
      </c>
      <c r="D4">
        <f t="shared" ca="1" si="5"/>
        <v>9.19</v>
      </c>
      <c r="E4">
        <f t="shared" ca="1" si="1"/>
        <v>0</v>
      </c>
      <c r="F4">
        <f t="shared" ca="1" si="2"/>
        <v>950</v>
      </c>
      <c r="G4" t="b">
        <f ca="1">INDEX(dict_zul_Var_Meth[kval_active],MATCH(table_Methods[[#This Row],[ID]],dict_zul_Var_Meth[ID_Methods],0))</f>
        <v>0</v>
      </c>
      <c r="H4">
        <f t="shared" ca="1" si="3"/>
        <v>3062</v>
      </c>
      <c r="I4">
        <f t="shared" ca="1" si="4"/>
        <v>60</v>
      </c>
    </row>
    <row r="5" spans="1:10" x14ac:dyDescent="0.45">
      <c r="A5">
        <v>3</v>
      </c>
      <c r="B5" t="str">
        <f>CONCATENATE("Methode ",table_Methods[[#This Row],[ID]])</f>
        <v>Methode 3</v>
      </c>
      <c r="C5">
        <f t="shared" ca="1" si="0"/>
        <v>52</v>
      </c>
      <c r="D5">
        <f t="shared" ca="1" si="5"/>
        <v>3.38</v>
      </c>
      <c r="E5">
        <f t="shared" ca="1" si="1"/>
        <v>-10</v>
      </c>
      <c r="F5">
        <f t="shared" ca="1" si="2"/>
        <v>570</v>
      </c>
      <c r="G5" t="b">
        <f ca="1">INDEX(dict_zul_Var_Meth[kval_active],MATCH(table_Methods[[#This Row],[ID]],dict_zul_Var_Meth[ID_Methods],0))</f>
        <v>0</v>
      </c>
      <c r="H5">
        <f t="shared" ca="1" si="3"/>
        <v>14037</v>
      </c>
      <c r="I5">
        <f t="shared" ca="1" si="4"/>
        <v>55296</v>
      </c>
    </row>
    <row r="6" spans="1:10" x14ac:dyDescent="0.45">
      <c r="A6">
        <v>4</v>
      </c>
      <c r="B6" t="str">
        <f>CONCATENATE("Methode ",table_Methods[[#This Row],[ID]])</f>
        <v>Methode 4</v>
      </c>
      <c r="C6">
        <f t="shared" ca="1" si="0"/>
        <v>81</v>
      </c>
      <c r="D6">
        <f t="shared" ca="1" si="5"/>
        <v>5.21</v>
      </c>
      <c r="E6">
        <f t="shared" ca="1" si="1"/>
        <v>10</v>
      </c>
      <c r="F6">
        <f t="shared" ca="1" si="2"/>
        <v>60</v>
      </c>
      <c r="G6" t="b">
        <f ca="1">INDEX(dict_zul_Var_Meth[kval_active],MATCH(table_Methods[[#This Row],[ID]],dict_zul_Var_Meth[ID_Methods],0))</f>
        <v>0</v>
      </c>
      <c r="H6">
        <f t="shared" ca="1" si="3"/>
        <v>10512</v>
      </c>
      <c r="I6">
        <f t="shared" ca="1" si="4"/>
        <v>512</v>
      </c>
    </row>
    <row r="7" spans="1:10" x14ac:dyDescent="0.45">
      <c r="A7">
        <v>5</v>
      </c>
      <c r="B7" t="str">
        <f>CONCATENATE("Methode ",table_Methods[[#This Row],[ID]])</f>
        <v>Methode 5</v>
      </c>
      <c r="C7">
        <f t="shared" ca="1" si="0"/>
        <v>360</v>
      </c>
      <c r="D7">
        <f t="shared" ca="1" si="5"/>
        <v>4.0199999999999996</v>
      </c>
      <c r="E7">
        <f t="shared" ca="1" si="1"/>
        <v>10</v>
      </c>
      <c r="F7">
        <f t="shared" ca="1" si="2"/>
        <v>60</v>
      </c>
      <c r="G7" t="b">
        <f ca="1">INDEX(dict_zul_Var_Meth[kval_active],MATCH(table_Methods[[#This Row],[ID]],dict_zul_Var_Meth[ID_Methods],0))</f>
        <v>0</v>
      </c>
      <c r="H7">
        <f t="shared" ca="1" si="3"/>
        <v>12996</v>
      </c>
      <c r="I7">
        <f t="shared" ca="1" si="4"/>
        <v>1584</v>
      </c>
    </row>
    <row r="8" spans="1:10" x14ac:dyDescent="0.45">
      <c r="A8">
        <v>6</v>
      </c>
      <c r="B8" t="str">
        <f>CONCATENATE("Methode ",table_Methods[[#This Row],[ID]])</f>
        <v>Methode 6</v>
      </c>
      <c r="C8">
        <f t="shared" ca="1" si="0"/>
        <v>99</v>
      </c>
      <c r="D8">
        <f t="shared" ca="1" si="5"/>
        <v>8.27</v>
      </c>
      <c r="E8">
        <f t="shared" ca="1" si="1"/>
        <v>-50</v>
      </c>
      <c r="F8">
        <f t="shared" ca="1" si="2"/>
        <v>320</v>
      </c>
      <c r="G8" t="b">
        <f ca="1">INDEX(dict_zul_Var_Meth[kval_active],MATCH(table_Methods[[#This Row],[ID]],dict_zul_Var_Meth[ID_Methods],0))</f>
        <v>0</v>
      </c>
      <c r="H8">
        <f t="shared" ca="1" si="3"/>
        <v>36972</v>
      </c>
      <c r="I8">
        <f t="shared" ca="1" si="4"/>
        <v>90112</v>
      </c>
    </row>
    <row r="9" spans="1:10" x14ac:dyDescent="0.45">
      <c r="A9">
        <v>7</v>
      </c>
      <c r="B9" t="str">
        <f>CONCATENATE("Methode ",table_Methods[[#This Row],[ID]])</f>
        <v>Methode 7</v>
      </c>
      <c r="C9">
        <f t="shared" ca="1" si="0"/>
        <v>59</v>
      </c>
      <c r="D9">
        <f t="shared" ca="1" si="5"/>
        <v>1.83</v>
      </c>
      <c r="E9">
        <f t="shared" ca="1" si="1"/>
        <v>20</v>
      </c>
      <c r="F9">
        <f t="shared" ca="1" si="2"/>
        <v>170</v>
      </c>
      <c r="G9" t="b">
        <f ca="1">INDEX(dict_zul_Var_Meth[kval_active],MATCH(table_Methods[[#This Row],[ID]],dict_zul_Var_Meth[ID_Methods],0))</f>
        <v>0</v>
      </c>
      <c r="H9">
        <f t="shared" ca="1" si="3"/>
        <v>9441</v>
      </c>
      <c r="I9">
        <f t="shared" ca="1" si="4"/>
        <v>1568</v>
      </c>
    </row>
    <row r="10" spans="1:10" x14ac:dyDescent="0.45">
      <c r="A10">
        <v>8</v>
      </c>
      <c r="B10" t="str">
        <f>CONCATENATE("Methode ",table_Methods[[#This Row],[ID]])</f>
        <v>Methode 8</v>
      </c>
      <c r="C10">
        <f t="shared" ca="1" si="0"/>
        <v>8200</v>
      </c>
      <c r="D10">
        <f t="shared" ca="1" si="5"/>
        <v>2.9</v>
      </c>
      <c r="E10">
        <f t="shared" ca="1" si="1"/>
        <v>-60</v>
      </c>
      <c r="F10">
        <f t="shared" ca="1" si="2"/>
        <v>240</v>
      </c>
      <c r="G10" t="b">
        <f ca="1">INDEX(dict_zul_Var_Meth[kval_active],MATCH(table_Methods[[#This Row],[ID]],dict_zul_Var_Meth[ID_Methods],0))</f>
        <v>0</v>
      </c>
      <c r="H10">
        <f t="shared" ca="1" si="3"/>
        <v>3427</v>
      </c>
      <c r="I10">
        <f t="shared" ca="1" si="4"/>
        <v>2176</v>
      </c>
    </row>
    <row r="11" spans="1:10" x14ac:dyDescent="0.45">
      <c r="A11">
        <v>9</v>
      </c>
      <c r="B11" t="str">
        <f>CONCATENATE("Methode ",table_Methods[[#This Row],[ID]])</f>
        <v>Methode 9</v>
      </c>
      <c r="C11">
        <f t="shared" ca="1" si="0"/>
        <v>850</v>
      </c>
      <c r="D11">
        <f t="shared" ca="1" si="5"/>
        <v>5.81</v>
      </c>
      <c r="E11">
        <f t="shared" ca="1" si="1"/>
        <v>-30</v>
      </c>
      <c r="F11">
        <f t="shared" ca="1" si="2"/>
        <v>670</v>
      </c>
      <c r="G11" t="b">
        <f ca="1">INDEX(dict_zul_Var_Meth[kval_active],MATCH(table_Methods[[#This Row],[ID]],dict_zul_Var_Meth[ID_Methods],0))</f>
        <v>0</v>
      </c>
      <c r="H11">
        <f t="shared" ca="1" si="3"/>
        <v>4795</v>
      </c>
      <c r="I11">
        <f t="shared" ca="1" si="4"/>
        <v>36352</v>
      </c>
    </row>
    <row r="12" spans="1:10" x14ac:dyDescent="0.45">
      <c r="A12">
        <v>10</v>
      </c>
      <c r="B12" t="str">
        <f>CONCATENATE("Methode ",table_Methods[[#This Row],[ID]])</f>
        <v>Methode 10</v>
      </c>
      <c r="C12">
        <f t="shared" ca="1" si="0"/>
        <v>7200</v>
      </c>
      <c r="D12">
        <f t="shared" ca="1" si="5"/>
        <v>6.13</v>
      </c>
      <c r="E12">
        <f t="shared" ca="1" si="1"/>
        <v>20</v>
      </c>
      <c r="F12">
        <f t="shared" ca="1" si="2"/>
        <v>50</v>
      </c>
      <c r="G12" t="b">
        <f ca="1">INDEX(dict_zul_Var_Meth[kval_active],MATCH(table_Methods[[#This Row],[ID]],dict_zul_Var_Meth[ID_Methods],0))</f>
        <v>0</v>
      </c>
      <c r="H12">
        <f t="shared" ca="1" si="3"/>
        <v>33968</v>
      </c>
      <c r="I12">
        <f t="shared" ca="1" si="4"/>
        <v>36</v>
      </c>
    </row>
    <row r="13" spans="1:10" x14ac:dyDescent="0.45">
      <c r="A13">
        <v>11</v>
      </c>
      <c r="B13" t="str">
        <f>CONCATENATE("Methode ",table_Methods[[#This Row],[ID]])</f>
        <v>Methode 11</v>
      </c>
      <c r="C13">
        <f t="shared" ca="1" si="0"/>
        <v>40</v>
      </c>
      <c r="D13">
        <f t="shared" ca="1" si="5"/>
        <v>2.09</v>
      </c>
      <c r="E13">
        <f t="shared" ca="1" si="1"/>
        <v>0</v>
      </c>
      <c r="F13">
        <f t="shared" ca="1" si="2"/>
        <v>60</v>
      </c>
      <c r="G13" t="b">
        <f ca="1">INDEX(dict_zul_Var_Meth[kval_active],MATCH(table_Methods[[#This Row],[ID]],dict_zul_Var_Meth[ID_Methods],0))</f>
        <v>0</v>
      </c>
      <c r="H13">
        <f t="shared" ca="1" si="3"/>
        <v>38349</v>
      </c>
      <c r="I13">
        <f t="shared" ca="1" si="4"/>
        <v>51200</v>
      </c>
    </row>
    <row r="14" spans="1:10" x14ac:dyDescent="0.45">
      <c r="A14">
        <v>12</v>
      </c>
      <c r="B14" t="str">
        <f>CONCATENATE("Methode ",table_Methods[[#This Row],[ID]])</f>
        <v>Methode 12</v>
      </c>
      <c r="C14">
        <f t="shared" ca="1" si="0"/>
        <v>36</v>
      </c>
      <c r="D14">
        <f t="shared" ca="1" si="5"/>
        <v>0.42</v>
      </c>
      <c r="E14">
        <f t="shared" ca="1" si="1"/>
        <v>-60</v>
      </c>
      <c r="F14">
        <f t="shared" ca="1" si="2"/>
        <v>440</v>
      </c>
      <c r="G14" t="b">
        <f ca="1">INDEX(dict_zul_Var_Meth[kval_active],MATCH(table_Methods[[#This Row],[ID]],dict_zul_Var_Meth[ID_Methods],0))</f>
        <v>0</v>
      </c>
      <c r="H14">
        <f t="shared" ca="1" si="3"/>
        <v>8826</v>
      </c>
      <c r="I14">
        <f t="shared" ca="1" si="4"/>
        <v>180</v>
      </c>
    </row>
    <row r="15" spans="1:10" x14ac:dyDescent="0.45">
      <c r="A15">
        <v>13</v>
      </c>
      <c r="B15" t="str">
        <f>CONCATENATE("Methode ",table_Methods[[#This Row],[ID]])</f>
        <v>Methode 13</v>
      </c>
      <c r="C15">
        <f t="shared" ca="1" si="0"/>
        <v>85</v>
      </c>
      <c r="D15">
        <f t="shared" ca="1" si="5"/>
        <v>9.86</v>
      </c>
      <c r="E15">
        <f t="shared" ca="1" si="1"/>
        <v>20</v>
      </c>
      <c r="F15">
        <f t="shared" ca="1" si="2"/>
        <v>870</v>
      </c>
      <c r="G15" t="b">
        <f ca="1">INDEX(dict_zul_Var_Meth[kval_active],MATCH(table_Methods[[#This Row],[ID]],dict_zul_Var_Meth[ID_Methods],0))</f>
        <v>0</v>
      </c>
      <c r="H15">
        <f t="shared" ca="1" si="3"/>
        <v>14526</v>
      </c>
      <c r="I15">
        <f t="shared" ca="1" si="4"/>
        <v>78</v>
      </c>
    </row>
    <row r="16" spans="1:10" x14ac:dyDescent="0.45">
      <c r="A16">
        <v>14</v>
      </c>
      <c r="B16" t="str">
        <f>CONCATENATE("Methode ",table_Methods[[#This Row],[ID]])</f>
        <v>Methode 14</v>
      </c>
      <c r="C16">
        <f t="shared" ca="1" si="0"/>
        <v>3.0000000000000004</v>
      </c>
      <c r="D16">
        <f t="shared" ca="1" si="5"/>
        <v>3.75</v>
      </c>
      <c r="E16">
        <f t="shared" ca="1" si="1"/>
        <v>-10</v>
      </c>
      <c r="F16">
        <f t="shared" ca="1" si="2"/>
        <v>570</v>
      </c>
      <c r="G16" t="b">
        <f ca="1">INDEX(dict_zul_Var_Meth[kval_active],MATCH(table_Methods[[#This Row],[ID]],dict_zul_Var_Meth[ID_Methods],0))</f>
        <v>0</v>
      </c>
      <c r="H16">
        <f t="shared" ca="1" si="3"/>
        <v>21360</v>
      </c>
      <c r="I16">
        <f t="shared" ca="1" si="4"/>
        <v>260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360</v>
      </c>
      <c r="D17">
        <f t="shared" ca="1" si="5"/>
        <v>6.61</v>
      </c>
      <c r="E17">
        <f t="shared" ca="1" si="1"/>
        <v>-10</v>
      </c>
      <c r="F17">
        <f t="shared" ca="1" si="2"/>
        <v>490</v>
      </c>
      <c r="G17" t="b">
        <f ca="1">INDEX(dict_zul_Var_Meth[kval_active],MATCH(table_Methods[[#This Row],[ID]],dict_zul_Var_Meth[ID_Methods],0))</f>
        <v>0</v>
      </c>
      <c r="H17">
        <f t="shared" ca="1" si="3"/>
        <v>16996</v>
      </c>
      <c r="I17">
        <f t="shared" ca="1" si="4"/>
        <v>14592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890</v>
      </c>
      <c r="D18">
        <f t="shared" ca="1" si="5"/>
        <v>6.7</v>
      </c>
      <c r="E18">
        <f t="shared" ca="1" si="1"/>
        <v>-30</v>
      </c>
      <c r="F18">
        <f t="shared" ca="1" si="2"/>
        <v>310</v>
      </c>
      <c r="G18" t="b">
        <f ca="1">INDEX(dict_zul_Var_Meth[kval_active],MATCH(table_Methods[[#This Row],[ID]],dict_zul_Var_Meth[ID_Methods],0))</f>
        <v>0</v>
      </c>
      <c r="H18">
        <f t="shared" ca="1" si="3"/>
        <v>14308</v>
      </c>
      <c r="I18">
        <f t="shared" ca="1" si="4"/>
        <v>3456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7000</v>
      </c>
      <c r="D19">
        <f t="shared" ca="1" si="5"/>
        <v>2.1800000000000002</v>
      </c>
      <c r="E19">
        <f t="shared" ca="1" si="1"/>
        <v>-100</v>
      </c>
      <c r="F19">
        <f t="shared" ca="1" si="2"/>
        <v>100</v>
      </c>
      <c r="G19" t="b">
        <f ca="1">INDEX(dict_zul_Var_Meth[kval_active],MATCH(table_Methods[[#This Row],[ID]],dict_zul_Var_Meth[ID_Methods],0))</f>
        <v>0</v>
      </c>
      <c r="H19">
        <f t="shared" ca="1" si="3"/>
        <v>951</v>
      </c>
      <c r="I19">
        <f t="shared" ca="1" si="4"/>
        <v>28672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17</v>
      </c>
      <c r="D20">
        <f t="shared" ca="1" si="5"/>
        <v>9.41</v>
      </c>
      <c r="E20">
        <f t="shared" ca="1" si="1"/>
        <v>10</v>
      </c>
      <c r="F20">
        <f t="shared" ca="1" si="2"/>
        <v>620</v>
      </c>
      <c r="G20" t="b">
        <f ca="1">INDEX(dict_zul_Var_Meth[kval_active],MATCH(table_Methods[[#This Row],[ID]],dict_zul_Var_Meth[ID_Methods],0))</f>
        <v>0</v>
      </c>
      <c r="H20">
        <f t="shared" ca="1" si="3"/>
        <v>14328</v>
      </c>
      <c r="I20">
        <f t="shared" ca="1" si="4"/>
        <v>12800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6800</v>
      </c>
      <c r="D21">
        <f t="shared" ca="1" si="5"/>
        <v>7.1</v>
      </c>
      <c r="E21">
        <f t="shared" ca="1" si="1"/>
        <v>-80</v>
      </c>
      <c r="F21">
        <f t="shared" ca="1" si="2"/>
        <v>290</v>
      </c>
      <c r="G21" t="b">
        <f ca="1">INDEX(dict_zul_Var_Meth[kval_active],MATCH(table_Methods[[#This Row],[ID]],dict_zul_Var_Meth[ID_Methods],0))</f>
        <v>0</v>
      </c>
      <c r="H21">
        <f t="shared" ca="1" si="3"/>
        <v>34202</v>
      </c>
      <c r="I21">
        <f t="shared" ca="1" si="4"/>
        <v>260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7000</v>
      </c>
      <c r="D22">
        <f t="shared" ca="1" si="5"/>
        <v>6.83</v>
      </c>
      <c r="E22">
        <f t="shared" ca="1" si="1"/>
        <v>-20</v>
      </c>
      <c r="F22">
        <f t="shared" ca="1" si="2"/>
        <v>410</v>
      </c>
      <c r="G22" t="b">
        <f ca="1">INDEX(dict_zul_Var_Meth[kval_active],MATCH(table_Methods[[#This Row],[ID]],dict_zul_Var_Meth[ID_Methods],0))</f>
        <v>0</v>
      </c>
      <c r="H22">
        <f t="shared" ca="1" si="3"/>
        <v>7490</v>
      </c>
      <c r="I22">
        <f t="shared" ca="1" si="4"/>
        <v>192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530</v>
      </c>
      <c r="D23">
        <f t="shared" ca="1" si="5"/>
        <v>8.76</v>
      </c>
      <c r="E23">
        <f t="shared" ca="1" si="1"/>
        <v>-20</v>
      </c>
      <c r="F23">
        <f t="shared" ca="1" si="2"/>
        <v>450</v>
      </c>
      <c r="G23" t="b">
        <f ca="1">INDEX(dict_zul_Var_Meth[kval_active],MATCH(table_Methods[[#This Row],[ID]],dict_zul_Var_Meth[ID_Methods],0))</f>
        <v>0</v>
      </c>
      <c r="H23">
        <f t="shared" ca="1" si="3"/>
        <v>12816</v>
      </c>
      <c r="I23">
        <f t="shared" ca="1" si="4"/>
        <v>96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8200</v>
      </c>
      <c r="D24">
        <f t="shared" ca="1" si="5"/>
        <v>1.56</v>
      </c>
      <c r="E24">
        <f t="shared" ca="1" si="1"/>
        <v>20</v>
      </c>
      <c r="F24">
        <f t="shared" ca="1" si="2"/>
        <v>210</v>
      </c>
      <c r="G24" s="3" t="b">
        <f ca="1">INDEX(dict_zul_Var_Meth[kval_active],MATCH(table_Methods[[#This Row],[ID]],dict_zul_Var_Meth[ID_Methods],0))</f>
        <v>0</v>
      </c>
      <c r="H24">
        <f t="shared" ca="1" si="3"/>
        <v>23328</v>
      </c>
      <c r="I24">
        <f t="shared" ca="1" si="4"/>
        <v>236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1800</v>
      </c>
      <c r="D25">
        <f t="shared" ca="1" si="5"/>
        <v>2.57</v>
      </c>
      <c r="E25">
        <f t="shared" ca="1" si="1"/>
        <v>-100</v>
      </c>
      <c r="F25">
        <f t="shared" ca="1" si="2"/>
        <v>630</v>
      </c>
      <c r="G25" s="3" t="b">
        <f ca="1">INDEX(dict_zul_Var_Meth[kval_active],MATCH(table_Methods[[#This Row],[ID]],dict_zul_Var_Meth[ID_Methods],0))</f>
        <v>0</v>
      </c>
      <c r="H25">
        <f t="shared" ca="1" si="3"/>
        <v>37548</v>
      </c>
      <c r="I25">
        <f t="shared" ca="1" si="4"/>
        <v>53248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7200</v>
      </c>
      <c r="D26">
        <f t="shared" ca="1" si="5"/>
        <v>0.82</v>
      </c>
      <c r="E26">
        <f t="shared" ca="1" si="1"/>
        <v>0</v>
      </c>
      <c r="F26">
        <f t="shared" ca="1" si="2"/>
        <v>210</v>
      </c>
      <c r="G26" s="3" t="b">
        <f ca="1">INDEX(dict_zul_Var_Meth[kval_active],MATCH(table_Methods[[#This Row],[ID]],dict_zul_Var_Meth[ID_Methods],0))</f>
        <v>0</v>
      </c>
      <c r="H26">
        <f t="shared" ca="1" si="3"/>
        <v>9475</v>
      </c>
      <c r="I26">
        <f t="shared" ca="1" si="4"/>
        <v>13824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2800</v>
      </c>
      <c r="D27">
        <f t="shared" ca="1" si="5"/>
        <v>3.15</v>
      </c>
      <c r="E27">
        <f t="shared" ca="1" si="1"/>
        <v>20</v>
      </c>
      <c r="F27">
        <f t="shared" ca="1" si="2"/>
        <v>180</v>
      </c>
      <c r="G27" s="3" t="b">
        <f ca="1">INDEX(dict_zul_Var_Meth[kval_active],MATCH(table_Methods[[#This Row],[ID]],dict_zul_Var_Meth[ID_Methods],0))</f>
        <v>0</v>
      </c>
      <c r="H27">
        <f t="shared" ca="1" si="3"/>
        <v>30600</v>
      </c>
      <c r="I27">
        <f t="shared" ca="1" si="4"/>
        <v>1520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570</v>
      </c>
      <c r="D28">
        <f t="shared" ca="1" si="5"/>
        <v>0.42</v>
      </c>
      <c r="E28">
        <f t="shared" ca="1" si="1"/>
        <v>0</v>
      </c>
      <c r="F28">
        <f t="shared" ca="1" si="2"/>
        <v>700</v>
      </c>
      <c r="G28" s="3" t="b">
        <f ca="1">INDEX(dict_zul_Var_Meth[kval_active],MATCH(table_Methods[[#This Row],[ID]],dict_zul_Var_Meth[ID_Methods],0))</f>
        <v>0</v>
      </c>
      <c r="H28">
        <f t="shared" ca="1" si="3"/>
        <v>10370</v>
      </c>
      <c r="I28">
        <f t="shared" ca="1" si="4"/>
        <v>97280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9800</v>
      </c>
      <c r="D29">
        <f t="shared" ca="1" si="5"/>
        <v>8.31</v>
      </c>
      <c r="E29">
        <f t="shared" ca="1" si="1"/>
        <v>0</v>
      </c>
      <c r="F29">
        <f t="shared" ca="1" si="2"/>
        <v>370</v>
      </c>
      <c r="G29" s="3" t="b">
        <f ca="1">INDEX(dict_zul_Var_Meth[kval_active],MATCH(table_Methods[[#This Row],[ID]],dict_zul_Var_Meth[ID_Methods],0))</f>
        <v>0</v>
      </c>
      <c r="H29">
        <f t="shared" ca="1" si="3"/>
        <v>8284</v>
      </c>
      <c r="I29">
        <f t="shared" ca="1" si="4"/>
        <v>5120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98</v>
      </c>
      <c r="D30">
        <f t="shared" ca="1" si="5"/>
        <v>8.6199999999999992</v>
      </c>
      <c r="E30">
        <f t="shared" ca="1" si="1"/>
        <v>-70</v>
      </c>
      <c r="F30">
        <f t="shared" ca="1" si="2"/>
        <v>310</v>
      </c>
      <c r="G30" s="3" t="b">
        <f ca="1">INDEX(dict_zul_Var_Meth[kval_active],MATCH(table_Methods[[#This Row],[ID]],dict_zul_Var_Meth[ID_Methods],0))</f>
        <v>0</v>
      </c>
      <c r="H30">
        <f t="shared" ca="1" si="3"/>
        <v>128</v>
      </c>
      <c r="I30">
        <f t="shared" ca="1" si="4"/>
        <v>456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560</v>
      </c>
      <c r="D31">
        <f t="shared" ca="1" si="5"/>
        <v>7.44</v>
      </c>
      <c r="E31">
        <f t="shared" ca="1" si="1"/>
        <v>0</v>
      </c>
      <c r="F31">
        <f t="shared" ca="1" si="2"/>
        <v>20</v>
      </c>
      <c r="G31" s="3" t="b">
        <f ca="1">INDEX(dict_zul_Var_Meth[kval_active],MATCH(table_Methods[[#This Row],[ID]],dict_zul_Var_Meth[ID_Methods],0))</f>
        <v>0</v>
      </c>
      <c r="H31">
        <f t="shared" ca="1" si="3"/>
        <v>3246</v>
      </c>
      <c r="I31">
        <f t="shared" ca="1" si="4"/>
        <v>1200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910</v>
      </c>
      <c r="D32">
        <f t="shared" ca="1" si="5"/>
        <v>4.53</v>
      </c>
      <c r="E32">
        <f t="shared" ca="1" si="1"/>
        <v>-40</v>
      </c>
      <c r="F32">
        <f t="shared" ca="1" si="2"/>
        <v>700</v>
      </c>
      <c r="G32" s="3" t="b">
        <f ca="1">INDEX(dict_zul_Var_Meth[kval_active],MATCH(table_Methods[[#This Row],[ID]],dict_zul_Var_Meth[ID_Methods],0))</f>
        <v>0</v>
      </c>
      <c r="H32">
        <f t="shared" ca="1" si="3"/>
        <v>36486</v>
      </c>
      <c r="I32">
        <f t="shared" ca="1" si="4"/>
        <v>1440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45</v>
      </c>
      <c r="D33">
        <f t="shared" ca="1" si="5"/>
        <v>7.56</v>
      </c>
      <c r="E33">
        <f t="shared" ca="1" si="1"/>
        <v>-80</v>
      </c>
      <c r="F33">
        <f t="shared" ca="1" si="2"/>
        <v>340</v>
      </c>
      <c r="G33" s="3" t="b">
        <f ca="1">INDEX(dict_zul_Var_Meth[kval_active],MATCH(table_Methods[[#This Row],[ID]],dict_zul_Var_Meth[ID_Methods],0))</f>
        <v>0</v>
      </c>
      <c r="H33">
        <f t="shared" ca="1" si="3"/>
        <v>1240</v>
      </c>
      <c r="I33">
        <f t="shared" ca="1" si="4"/>
        <v>41984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14.000000000000002</v>
      </c>
      <c r="D34">
        <f t="shared" ca="1" si="5"/>
        <v>4.07</v>
      </c>
      <c r="E34">
        <f t="shared" ca="1" si="1"/>
        <v>0</v>
      </c>
      <c r="F34">
        <f t="shared" ca="1" si="2"/>
        <v>410</v>
      </c>
      <c r="G34" s="3" t="b">
        <f ca="1">INDEX(dict_zul_Var_Meth[kval_active],MATCH(table_Methods[[#This Row],[ID]],dict_zul_Var_Meth[ID_Methods],0))</f>
        <v>0</v>
      </c>
      <c r="H34">
        <f t="shared" ca="1" si="3"/>
        <v>19472</v>
      </c>
      <c r="I34">
        <f t="shared" ca="1" si="4"/>
        <v>116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48.000000000000007</v>
      </c>
      <c r="E35">
        <f ca="1">RANDBETWEEN(-10,3)*10</f>
        <v>-50</v>
      </c>
      <c r="F35">
        <f ca="1">RANDBETWEEN(2,100)*10</f>
        <v>140</v>
      </c>
      <c r="G35" s="3" t="b">
        <f ca="1">INDEX(dict_zul_Var_Meth[kval_active],MATCH(table_Methods[[#This Row],[ID]],dict_zul_Var_Meth[ID_Methods],0))</f>
        <v>0</v>
      </c>
      <c r="H35">
        <f t="shared" ca="1" si="3"/>
        <v>3110</v>
      </c>
      <c r="I35">
        <f t="shared" ca="1" si="4"/>
        <v>720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59</v>
      </c>
      <c r="E36">
        <f t="shared" ref="E36:E99" ca="1" si="6">RANDBETWEEN(-10,3)*10</f>
        <v>10</v>
      </c>
      <c r="F36">
        <f t="shared" ref="F36:F99" ca="1" si="7">RANDBETWEEN(2,100)*10</f>
        <v>740</v>
      </c>
      <c r="G36" s="3" t="b">
        <f ca="1">INDEX(dict_zul_Var_Meth[kval_active],MATCH(table_Methods[[#This Row],[ID]],dict_zul_Var_Meth[ID_Methods],0))</f>
        <v>0</v>
      </c>
      <c r="H36">
        <f t="shared" ref="H36:H99" ca="1" si="8">RANDBETWEEN(1,10)*RANDBETWEEN(1,5000)</f>
        <v>13755</v>
      </c>
      <c r="I36">
        <f t="shared" ref="I36:I99" ca="1" si="9">2^RANDBETWEEN(1,10)*RANDBETWEEN(1,100)</f>
        <v>9216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4400</v>
      </c>
      <c r="E37">
        <f t="shared" ca="1" si="6"/>
        <v>-60</v>
      </c>
      <c r="F37">
        <f t="shared" ca="1" si="7"/>
        <v>520</v>
      </c>
      <c r="G37" s="3" t="b">
        <f ca="1">INDEX(dict_zul_Var_Meth[kval_active],MATCH(table_Methods[[#This Row],[ID]],dict_zul_Var_Meth[ID_Methods],0))</f>
        <v>0</v>
      </c>
      <c r="H37">
        <f t="shared" ca="1" si="8"/>
        <v>11080</v>
      </c>
      <c r="I37">
        <f t="shared" ca="1" si="9"/>
        <v>16640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33</v>
      </c>
      <c r="E38">
        <f t="shared" ca="1" si="6"/>
        <v>-50</v>
      </c>
      <c r="F38">
        <f t="shared" ca="1" si="7"/>
        <v>780</v>
      </c>
      <c r="G38" s="3" t="b">
        <f ca="1">INDEX(dict_zul_Var_Meth[kval_active],MATCH(table_Methods[[#This Row],[ID]],dict_zul_Var_Meth[ID_Methods],0))</f>
        <v>0</v>
      </c>
      <c r="H38">
        <f t="shared" ca="1" si="8"/>
        <v>10420</v>
      </c>
      <c r="I38">
        <f t="shared" ca="1" si="9"/>
        <v>184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97.000000000000014</v>
      </c>
      <c r="E39">
        <f t="shared" ca="1" si="6"/>
        <v>-30</v>
      </c>
      <c r="F39">
        <f t="shared" ca="1" si="7"/>
        <v>200</v>
      </c>
      <c r="G39" s="3" t="b">
        <f ca="1">INDEX(dict_zul_Var_Meth[kval_active],MATCH(table_Methods[[#This Row],[ID]],dict_zul_Var_Meth[ID_Methods],0))</f>
        <v>0</v>
      </c>
      <c r="H39">
        <f t="shared" ca="1" si="8"/>
        <v>1974</v>
      </c>
      <c r="I39">
        <f t="shared" ca="1" si="9"/>
        <v>960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72</v>
      </c>
      <c r="E40">
        <f t="shared" ca="1" si="6"/>
        <v>-10</v>
      </c>
      <c r="F40">
        <f t="shared" ca="1" si="7"/>
        <v>950</v>
      </c>
      <c r="G40" s="3" t="b">
        <f ca="1">INDEX(dict_zul_Var_Meth[kval_active],MATCH(table_Methods[[#This Row],[ID]],dict_zul_Var_Meth[ID_Methods],0))</f>
        <v>0</v>
      </c>
      <c r="H40">
        <f t="shared" ca="1" si="8"/>
        <v>3980</v>
      </c>
      <c r="I40">
        <f t="shared" ca="1" si="9"/>
        <v>1824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12.000000000000002</v>
      </c>
      <c r="E41">
        <f t="shared" ca="1" si="6"/>
        <v>-80</v>
      </c>
      <c r="F41">
        <f t="shared" ca="1" si="7"/>
        <v>680</v>
      </c>
      <c r="G41" s="3" t="b">
        <f ca="1">INDEX(dict_zul_Var_Meth[kval_active],MATCH(table_Methods[[#This Row],[ID]],dict_zul_Var_Meth[ID_Methods],0))</f>
        <v>0</v>
      </c>
      <c r="H41">
        <f t="shared" ca="1" si="8"/>
        <v>13993</v>
      </c>
      <c r="I41">
        <f t="shared" ca="1" si="9"/>
        <v>87040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470</v>
      </c>
      <c r="E42">
        <f t="shared" ca="1" si="6"/>
        <v>-10</v>
      </c>
      <c r="F42">
        <f t="shared" ca="1" si="7"/>
        <v>250</v>
      </c>
      <c r="G42" s="3" t="b">
        <f ca="1">INDEX(dict_zul_Var_Meth[kval_active],MATCH(table_Methods[[#This Row],[ID]],dict_zul_Var_Meth[ID_Methods],0))</f>
        <v>0</v>
      </c>
      <c r="H42">
        <f t="shared" ca="1" si="8"/>
        <v>18516</v>
      </c>
      <c r="I42">
        <f t="shared" ca="1" si="9"/>
        <v>56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1600</v>
      </c>
      <c r="E43">
        <f t="shared" ca="1" si="6"/>
        <v>-60</v>
      </c>
      <c r="F43">
        <f t="shared" ca="1" si="7"/>
        <v>110</v>
      </c>
      <c r="G43" s="3" t="b">
        <f ca="1">INDEX(dict_zul_Var_Meth[kval_active],MATCH(table_Methods[[#This Row],[ID]],dict_zul_Var_Meth[ID_Methods],0))</f>
        <v>0</v>
      </c>
      <c r="H43">
        <f t="shared" ca="1" si="8"/>
        <v>6688</v>
      </c>
      <c r="I43">
        <f t="shared" ca="1" si="9"/>
        <v>160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400</v>
      </c>
      <c r="E44">
        <f t="shared" ca="1" si="6"/>
        <v>30</v>
      </c>
      <c r="F44">
        <f t="shared" ca="1" si="7"/>
        <v>630</v>
      </c>
      <c r="G44" s="3" t="b">
        <f ca="1">INDEX(dict_zul_Var_Meth[kval_active],MATCH(table_Methods[[#This Row],[ID]],dict_zul_Var_Meth[ID_Methods],0))</f>
        <v>0</v>
      </c>
      <c r="H44">
        <f t="shared" ca="1" si="8"/>
        <v>25569</v>
      </c>
      <c r="I44">
        <f t="shared" ca="1" si="9"/>
        <v>248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49</v>
      </c>
      <c r="E45">
        <f t="shared" ca="1" si="6"/>
        <v>-90</v>
      </c>
      <c r="F45">
        <f t="shared" ca="1" si="7"/>
        <v>830</v>
      </c>
      <c r="G45" s="3" t="b">
        <f ca="1">INDEX(dict_zul_Var_Meth[kval_active],MATCH(table_Methods[[#This Row],[ID]],dict_zul_Var_Meth[ID_Methods],0))</f>
        <v>0</v>
      </c>
      <c r="H45">
        <f t="shared" ca="1" si="8"/>
        <v>2177</v>
      </c>
      <c r="I45">
        <f t="shared" ca="1" si="9"/>
        <v>5504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730</v>
      </c>
      <c r="E46">
        <f t="shared" ca="1" si="6"/>
        <v>-100</v>
      </c>
      <c r="F46">
        <f t="shared" ca="1" si="7"/>
        <v>190</v>
      </c>
      <c r="G46" s="3" t="b">
        <f ca="1">INDEX(dict_zul_Var_Meth[kval_active],MATCH(table_Methods[[#This Row],[ID]],dict_zul_Var_Meth[ID_Methods],0))</f>
        <v>0</v>
      </c>
      <c r="H46">
        <f t="shared" ca="1" si="8"/>
        <v>183</v>
      </c>
      <c r="I46">
        <f t="shared" ca="1" si="9"/>
        <v>3840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510</v>
      </c>
      <c r="E47">
        <f t="shared" ca="1" si="6"/>
        <v>-20</v>
      </c>
      <c r="F47">
        <f t="shared" ca="1" si="7"/>
        <v>590</v>
      </c>
      <c r="G47" s="3" t="b">
        <f ca="1">INDEX(dict_zul_Var_Meth[kval_active],MATCH(table_Methods[[#This Row],[ID]],dict_zul_Var_Meth[ID_Methods],0))</f>
        <v>0</v>
      </c>
      <c r="H47">
        <f t="shared" ca="1" si="8"/>
        <v>6718</v>
      </c>
      <c r="I47">
        <f t="shared" ca="1" si="9"/>
        <v>8704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130</v>
      </c>
      <c r="E48">
        <f t="shared" ca="1" si="6"/>
        <v>0</v>
      </c>
      <c r="F48">
        <f t="shared" ca="1" si="7"/>
        <v>910</v>
      </c>
      <c r="G48" s="3" t="b">
        <f ca="1">INDEX(dict_zul_Var_Meth[kval_active],MATCH(table_Methods[[#This Row],[ID]],dict_zul_Var_Meth[ID_Methods],0))</f>
        <v>0</v>
      </c>
      <c r="H48">
        <f t="shared" ca="1" si="8"/>
        <v>3959</v>
      </c>
      <c r="I48">
        <f t="shared" ca="1" si="9"/>
        <v>284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700</v>
      </c>
      <c r="E49">
        <f t="shared" ca="1" si="6"/>
        <v>-40</v>
      </c>
      <c r="F49">
        <f t="shared" ca="1" si="7"/>
        <v>750</v>
      </c>
      <c r="G49" s="3" t="b">
        <f ca="1">INDEX(dict_zul_Var_Meth[kval_active],MATCH(table_Methods[[#This Row],[ID]],dict_zul_Var_Meth[ID_Methods],0))</f>
        <v>0</v>
      </c>
      <c r="H49">
        <f t="shared" ca="1" si="8"/>
        <v>602</v>
      </c>
      <c r="I49">
        <f t="shared" ca="1" si="9"/>
        <v>928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3800</v>
      </c>
      <c r="E50">
        <f t="shared" ca="1" si="6"/>
        <v>-60</v>
      </c>
      <c r="F50">
        <f t="shared" ca="1" si="7"/>
        <v>810</v>
      </c>
      <c r="G50" s="3" t="b">
        <f ca="1">INDEX(dict_zul_Var_Meth[kval_active],MATCH(table_Methods[[#This Row],[ID]],dict_zul_Var_Meth[ID_Methods],0))</f>
        <v>0</v>
      </c>
      <c r="H50">
        <f t="shared" ca="1" si="8"/>
        <v>17088</v>
      </c>
      <c r="I50">
        <f t="shared" ca="1" si="9"/>
        <v>49152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160</v>
      </c>
      <c r="E51">
        <f t="shared" ca="1" si="6"/>
        <v>10</v>
      </c>
      <c r="F51">
        <f t="shared" ca="1" si="7"/>
        <v>870</v>
      </c>
      <c r="G51" s="3" t="b">
        <f ca="1">INDEX(dict_zul_Var_Meth[kval_active],MATCH(table_Methods[[#This Row],[ID]],dict_zul_Var_Meth[ID_Methods],0))</f>
        <v>0</v>
      </c>
      <c r="H51">
        <f t="shared" ca="1" si="8"/>
        <v>15975</v>
      </c>
      <c r="I51">
        <f t="shared" ca="1" si="9"/>
        <v>512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640</v>
      </c>
      <c r="E52">
        <f t="shared" ca="1" si="6"/>
        <v>-70</v>
      </c>
      <c r="F52">
        <f t="shared" ca="1" si="7"/>
        <v>610</v>
      </c>
      <c r="G52" s="3" t="b">
        <f ca="1">INDEX(dict_zul_Var_Meth[kval_active],MATCH(table_Methods[[#This Row],[ID]],dict_zul_Var_Meth[ID_Methods],0))</f>
        <v>1</v>
      </c>
      <c r="H52">
        <f t="shared" ca="1" si="8"/>
        <v>3267</v>
      </c>
      <c r="I52">
        <f t="shared" ca="1" si="9"/>
        <v>528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130</v>
      </c>
      <c r="E53">
        <f t="shared" ca="1" si="6"/>
        <v>-60</v>
      </c>
      <c r="F53">
        <f t="shared" ca="1" si="7"/>
        <v>880</v>
      </c>
      <c r="G53" s="3" t="b">
        <f ca="1">INDEX(dict_zul_Var_Meth[kval_active],MATCH(table_Methods[[#This Row],[ID]],dict_zul_Var_Meth[ID_Methods],0))</f>
        <v>0</v>
      </c>
      <c r="H53">
        <f t="shared" ca="1" si="8"/>
        <v>22985</v>
      </c>
      <c r="I53">
        <f t="shared" ca="1" si="9"/>
        <v>512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97.000000000000014</v>
      </c>
      <c r="E54">
        <f t="shared" ca="1" si="6"/>
        <v>-70</v>
      </c>
      <c r="F54">
        <f t="shared" ca="1" si="7"/>
        <v>600</v>
      </c>
      <c r="G54" s="3" t="b">
        <f ca="1">INDEX(dict_zul_Var_Meth[kval_active],MATCH(table_Methods[[#This Row],[ID]],dict_zul_Var_Meth[ID_Methods],0))</f>
        <v>0</v>
      </c>
      <c r="H54">
        <f t="shared" ca="1" si="8"/>
        <v>3745</v>
      </c>
      <c r="I54">
        <f t="shared" ca="1" si="9"/>
        <v>5120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800</v>
      </c>
      <c r="E55">
        <f t="shared" ca="1" si="6"/>
        <v>10</v>
      </c>
      <c r="F55">
        <f t="shared" ca="1" si="7"/>
        <v>140</v>
      </c>
      <c r="G55" s="3" t="b">
        <f ca="1">INDEX(dict_zul_Var_Meth[kval_active],MATCH(table_Methods[[#This Row],[ID]],dict_zul_Var_Meth[ID_Methods],0))</f>
        <v>0</v>
      </c>
      <c r="H55">
        <f t="shared" ca="1" si="8"/>
        <v>14965</v>
      </c>
      <c r="I55">
        <f t="shared" ca="1" si="9"/>
        <v>592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10</v>
      </c>
      <c r="E56">
        <f t="shared" ca="1" si="6"/>
        <v>-40</v>
      </c>
      <c r="F56">
        <f t="shared" ca="1" si="7"/>
        <v>650</v>
      </c>
      <c r="G56" s="3" t="b">
        <f ca="1">INDEX(dict_zul_Var_Meth[kval_active],MATCH(table_Methods[[#This Row],[ID]],dict_zul_Var_Meth[ID_Methods],0))</f>
        <v>0</v>
      </c>
      <c r="H56">
        <f t="shared" ca="1" si="8"/>
        <v>1902</v>
      </c>
      <c r="I56">
        <f t="shared" ca="1" si="9"/>
        <v>49152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4300</v>
      </c>
      <c r="E57">
        <f t="shared" ca="1" si="6"/>
        <v>-50</v>
      </c>
      <c r="F57">
        <f t="shared" ca="1" si="7"/>
        <v>210</v>
      </c>
      <c r="G57" s="3" t="b">
        <f ca="1">INDEX(dict_zul_Var_Meth[kval_active],MATCH(table_Methods[[#This Row],[ID]],dict_zul_Var_Meth[ID_Methods],0))</f>
        <v>0</v>
      </c>
      <c r="H57">
        <f t="shared" ca="1" si="8"/>
        <v>3024</v>
      </c>
      <c r="I57">
        <f t="shared" ca="1" si="9"/>
        <v>456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860</v>
      </c>
      <c r="E58">
        <f t="shared" ca="1" si="6"/>
        <v>10</v>
      </c>
      <c r="F58">
        <f t="shared" ca="1" si="7"/>
        <v>450</v>
      </c>
      <c r="G58" s="3" t="b">
        <f ca="1">INDEX(dict_zul_Var_Meth[kval_active],MATCH(table_Methods[[#This Row],[ID]],dict_zul_Var_Meth[ID_Methods],0))</f>
        <v>0</v>
      </c>
      <c r="H58">
        <f t="shared" ca="1" si="8"/>
        <v>6042</v>
      </c>
      <c r="I58">
        <f t="shared" ca="1" si="9"/>
        <v>29696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10000</v>
      </c>
      <c r="E59">
        <f t="shared" ca="1" si="6"/>
        <v>30</v>
      </c>
      <c r="F59">
        <f t="shared" ca="1" si="7"/>
        <v>800</v>
      </c>
      <c r="G59" s="3" t="b">
        <f ca="1">INDEX(dict_zul_Var_Meth[kval_active],MATCH(table_Methods[[#This Row],[ID]],dict_zul_Var_Meth[ID_Methods],0))</f>
        <v>0</v>
      </c>
      <c r="H59">
        <f t="shared" ca="1" si="8"/>
        <v>1899</v>
      </c>
      <c r="I59">
        <f t="shared" ca="1" si="9"/>
        <v>1088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3000</v>
      </c>
      <c r="E60">
        <f t="shared" ca="1" si="6"/>
        <v>-10</v>
      </c>
      <c r="F60">
        <f t="shared" ca="1" si="7"/>
        <v>980</v>
      </c>
      <c r="G60" s="3" t="b">
        <f ca="1">INDEX(dict_zul_Var_Meth[kval_active],MATCH(table_Methods[[#This Row],[ID]],dict_zul_Var_Meth[ID_Methods],0))</f>
        <v>0</v>
      </c>
      <c r="H60">
        <f t="shared" ca="1" si="8"/>
        <v>7264</v>
      </c>
      <c r="I60">
        <f t="shared" ca="1" si="9"/>
        <v>1408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3800</v>
      </c>
      <c r="E61">
        <f t="shared" ca="1" si="6"/>
        <v>0</v>
      </c>
      <c r="F61">
        <f t="shared" ca="1" si="7"/>
        <v>900</v>
      </c>
      <c r="G61" s="3" t="b">
        <f ca="1">INDEX(dict_zul_Var_Meth[kval_active],MATCH(table_Methods[[#This Row],[ID]],dict_zul_Var_Meth[ID_Methods],0))</f>
        <v>0</v>
      </c>
      <c r="H61">
        <f t="shared" ca="1" si="8"/>
        <v>36864</v>
      </c>
      <c r="I61">
        <f t="shared" ca="1" si="9"/>
        <v>13312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20</v>
      </c>
      <c r="E62">
        <f t="shared" ca="1" si="6"/>
        <v>-20</v>
      </c>
      <c r="F62">
        <f t="shared" ca="1" si="7"/>
        <v>400</v>
      </c>
      <c r="G62" s="3" t="b">
        <f ca="1">INDEX(dict_zul_Var_Meth[kval_active],MATCH(table_Methods[[#This Row],[ID]],dict_zul_Var_Meth[ID_Methods],0))</f>
        <v>0</v>
      </c>
      <c r="H62">
        <f t="shared" ca="1" si="8"/>
        <v>6165</v>
      </c>
      <c r="I62">
        <f t="shared" ca="1" si="9"/>
        <v>3840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43</v>
      </c>
      <c r="E63">
        <f t="shared" ca="1" si="6"/>
        <v>-30</v>
      </c>
      <c r="F63">
        <f t="shared" ca="1" si="7"/>
        <v>450</v>
      </c>
      <c r="G63" s="3" t="b">
        <f ca="1">INDEX(dict_zul_Var_Meth[kval_active],MATCH(table_Methods[[#This Row],[ID]],dict_zul_Var_Meth[ID_Methods],0))</f>
        <v>0</v>
      </c>
      <c r="H63">
        <f t="shared" ca="1" si="8"/>
        <v>21168</v>
      </c>
      <c r="I63">
        <f t="shared" ca="1" si="9"/>
        <v>17152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280</v>
      </c>
      <c r="E64">
        <f t="shared" ca="1" si="6"/>
        <v>-10</v>
      </c>
      <c r="F64">
        <f t="shared" ca="1" si="7"/>
        <v>700</v>
      </c>
      <c r="G64" s="3" t="b">
        <f ca="1">INDEX(dict_zul_Var_Meth[kval_active],MATCH(table_Methods[[#This Row],[ID]],dict_zul_Var_Meth[ID_Methods],0))</f>
        <v>0</v>
      </c>
      <c r="H64">
        <f t="shared" ca="1" si="8"/>
        <v>3861</v>
      </c>
      <c r="I64">
        <f t="shared" ca="1" si="9"/>
        <v>1792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36</v>
      </c>
      <c r="E65">
        <f t="shared" ca="1" si="6"/>
        <v>20</v>
      </c>
      <c r="F65">
        <f t="shared" ca="1" si="7"/>
        <v>280</v>
      </c>
      <c r="G65" s="3" t="b">
        <f ca="1">INDEX(dict_zul_Var_Meth[kval_active],MATCH(table_Methods[[#This Row],[ID]],dict_zul_Var_Meth[ID_Methods],0))</f>
        <v>0</v>
      </c>
      <c r="H65">
        <f t="shared" ca="1" si="8"/>
        <v>8200</v>
      </c>
      <c r="I65">
        <f t="shared" ca="1" si="9"/>
        <v>3840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850</v>
      </c>
      <c r="E66">
        <f t="shared" ca="1" si="6"/>
        <v>-80</v>
      </c>
      <c r="F66">
        <f t="shared" ca="1" si="7"/>
        <v>190</v>
      </c>
      <c r="G66" s="3" t="b">
        <f ca="1">INDEX(dict_zul_Var_Meth[kval_active],MATCH(table_Methods[[#This Row],[ID]],dict_zul_Var_Meth[ID_Methods],0))</f>
        <v>0</v>
      </c>
      <c r="H66">
        <f t="shared" ca="1" si="8"/>
        <v>3594</v>
      </c>
      <c r="I66">
        <f t="shared" ca="1" si="9"/>
        <v>170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2700</v>
      </c>
      <c r="E67">
        <f t="shared" ca="1" si="6"/>
        <v>-100</v>
      </c>
      <c r="F67">
        <f t="shared" ca="1" si="7"/>
        <v>400</v>
      </c>
      <c r="G67" s="3" t="b">
        <f ca="1">INDEX(dict_zul_Var_Meth[kval_active],MATCH(table_Methods[[#This Row],[ID]],dict_zul_Var_Meth[ID_Methods],0))</f>
        <v>0</v>
      </c>
      <c r="H67">
        <f t="shared" ca="1" si="8"/>
        <v>28160</v>
      </c>
      <c r="I67">
        <f t="shared" ca="1" si="9"/>
        <v>4800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23.000000000000004</v>
      </c>
      <c r="E68">
        <f t="shared" ca="1" si="6"/>
        <v>-30</v>
      </c>
      <c r="F68">
        <f t="shared" ca="1" si="7"/>
        <v>290</v>
      </c>
      <c r="G68" s="3" t="b">
        <f ca="1">INDEX(dict_zul_Var_Meth[kval_active],MATCH(table_Methods[[#This Row],[ID]],dict_zul_Var_Meth[ID_Methods],0))</f>
        <v>0</v>
      </c>
      <c r="H68">
        <f t="shared" ca="1" si="8"/>
        <v>790</v>
      </c>
      <c r="I68">
        <f t="shared" ca="1" si="9"/>
        <v>3584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5500</v>
      </c>
      <c r="E69">
        <f t="shared" ca="1" si="6"/>
        <v>30</v>
      </c>
      <c r="F69">
        <f t="shared" ca="1" si="7"/>
        <v>930</v>
      </c>
      <c r="G69" s="3" t="b">
        <f ca="1">INDEX(dict_zul_Var_Meth[kval_active],MATCH(table_Methods[[#This Row],[ID]],dict_zul_Var_Meth[ID_Methods],0))</f>
        <v>0</v>
      </c>
      <c r="H69">
        <f t="shared" ca="1" si="8"/>
        <v>1915</v>
      </c>
      <c r="I69">
        <f t="shared" ca="1" si="9"/>
        <v>784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750</v>
      </c>
      <c r="E70">
        <f t="shared" ca="1" si="6"/>
        <v>-60</v>
      </c>
      <c r="F70">
        <f t="shared" ca="1" si="7"/>
        <v>490</v>
      </c>
      <c r="G70" s="3" t="b">
        <f ca="1">INDEX(dict_zul_Var_Meth[kval_active],MATCH(table_Methods[[#This Row],[ID]],dict_zul_Var_Meth[ID_Methods],0))</f>
        <v>0</v>
      </c>
      <c r="H70">
        <f t="shared" ca="1" si="8"/>
        <v>30620</v>
      </c>
      <c r="I70">
        <f t="shared" ca="1" si="9"/>
        <v>150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290</v>
      </c>
      <c r="E71">
        <f t="shared" ca="1" si="6"/>
        <v>-20</v>
      </c>
      <c r="F71">
        <f t="shared" ca="1" si="7"/>
        <v>480</v>
      </c>
      <c r="G71" s="3" t="b">
        <f ca="1">INDEX(dict_zul_Var_Meth[kval_active],MATCH(table_Methods[[#This Row],[ID]],dict_zul_Var_Meth[ID_Methods],0))</f>
        <v>0</v>
      </c>
      <c r="H71">
        <f t="shared" ca="1" si="8"/>
        <v>33345</v>
      </c>
      <c r="I71">
        <f t="shared" ca="1" si="9"/>
        <v>496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3500</v>
      </c>
      <c r="E72">
        <f t="shared" ca="1" si="6"/>
        <v>10</v>
      </c>
      <c r="F72">
        <f t="shared" ca="1" si="7"/>
        <v>800</v>
      </c>
      <c r="G72" s="3" t="b">
        <f ca="1">INDEX(dict_zul_Var_Meth[kval_active],MATCH(table_Methods[[#This Row],[ID]],dict_zul_Var_Meth[ID_Methods],0))</f>
        <v>0</v>
      </c>
      <c r="H72">
        <f t="shared" ca="1" si="8"/>
        <v>20115</v>
      </c>
      <c r="I72">
        <f t="shared" ca="1" si="9"/>
        <v>40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8800</v>
      </c>
      <c r="E73">
        <f t="shared" ca="1" si="6"/>
        <v>0</v>
      </c>
      <c r="F73">
        <f t="shared" ca="1" si="7"/>
        <v>670</v>
      </c>
      <c r="G73" s="3" t="b">
        <f ca="1">INDEX(dict_zul_Var_Meth[kval_active],MATCH(table_Methods[[#This Row],[ID]],dict_zul_Var_Meth[ID_Methods],0))</f>
        <v>0</v>
      </c>
      <c r="H73">
        <f t="shared" ca="1" si="8"/>
        <v>27894</v>
      </c>
      <c r="I73">
        <f t="shared" ca="1" si="9"/>
        <v>34816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2700</v>
      </c>
      <c r="E74">
        <f t="shared" ca="1" si="6"/>
        <v>-60</v>
      </c>
      <c r="F74">
        <f t="shared" ca="1" si="7"/>
        <v>590</v>
      </c>
      <c r="G74" s="3" t="b">
        <f ca="1">INDEX(dict_zul_Var_Meth[kval_active],MATCH(table_Methods[[#This Row],[ID]],dict_zul_Var_Meth[ID_Methods],0))</f>
        <v>0</v>
      </c>
      <c r="H74">
        <f t="shared" ca="1" si="8"/>
        <v>28440</v>
      </c>
      <c r="I74">
        <f t="shared" ca="1" si="9"/>
        <v>1248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710</v>
      </c>
      <c r="E75">
        <f t="shared" ca="1" si="6"/>
        <v>-60</v>
      </c>
      <c r="F75">
        <f t="shared" ca="1" si="7"/>
        <v>230</v>
      </c>
      <c r="G75" s="3" t="b">
        <f ca="1">INDEX(dict_zul_Var_Meth[kval_active],MATCH(table_Methods[[#This Row],[ID]],dict_zul_Var_Meth[ID_Methods],0))</f>
        <v>0</v>
      </c>
      <c r="H75">
        <f t="shared" ca="1" si="8"/>
        <v>2036</v>
      </c>
      <c r="I75">
        <f t="shared" ca="1" si="9"/>
        <v>35328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78</v>
      </c>
      <c r="E76">
        <f t="shared" ca="1" si="6"/>
        <v>-10</v>
      </c>
      <c r="F76">
        <f t="shared" ca="1" si="7"/>
        <v>900</v>
      </c>
      <c r="G76" s="3" t="b">
        <f ca="1">INDEX(dict_zul_Var_Meth[kval_active],MATCH(table_Methods[[#This Row],[ID]],dict_zul_Var_Meth[ID_Methods],0))</f>
        <v>0</v>
      </c>
      <c r="H76">
        <f t="shared" ca="1" si="8"/>
        <v>30168</v>
      </c>
      <c r="I76">
        <f t="shared" ca="1" si="9"/>
        <v>43520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72</v>
      </c>
      <c r="E77">
        <f t="shared" ca="1" si="6"/>
        <v>30</v>
      </c>
      <c r="F77">
        <f t="shared" ca="1" si="7"/>
        <v>710</v>
      </c>
      <c r="G77" s="3" t="b">
        <f ca="1">INDEX(dict_zul_Var_Meth[kval_active],MATCH(table_Methods[[#This Row],[ID]],dict_zul_Var_Meth[ID_Methods],0))</f>
        <v>0</v>
      </c>
      <c r="H77">
        <f t="shared" ca="1" si="8"/>
        <v>19925</v>
      </c>
      <c r="I77">
        <f t="shared" ca="1" si="9"/>
        <v>356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24.000000000000004</v>
      </c>
      <c r="E78">
        <f t="shared" ca="1" si="6"/>
        <v>-90</v>
      </c>
      <c r="F78">
        <f t="shared" ca="1" si="7"/>
        <v>220</v>
      </c>
      <c r="G78" s="3" t="b">
        <f ca="1">INDEX(dict_zul_Var_Meth[kval_active],MATCH(table_Methods[[#This Row],[ID]],dict_zul_Var_Meth[ID_Methods],0))</f>
        <v>0</v>
      </c>
      <c r="H78">
        <f t="shared" ca="1" si="8"/>
        <v>6792</v>
      </c>
      <c r="I78">
        <f t="shared" ca="1" si="9"/>
        <v>9216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9</v>
      </c>
      <c r="E79">
        <f t="shared" ca="1" si="6"/>
        <v>10</v>
      </c>
      <c r="F79">
        <f t="shared" ca="1" si="7"/>
        <v>380</v>
      </c>
      <c r="G79" s="3" t="b">
        <f ca="1">INDEX(dict_zul_Var_Meth[kval_active],MATCH(table_Methods[[#This Row],[ID]],dict_zul_Var_Meth[ID_Methods],0))</f>
        <v>0</v>
      </c>
      <c r="H79">
        <f t="shared" ca="1" si="8"/>
        <v>932</v>
      </c>
      <c r="I79">
        <f t="shared" ca="1" si="9"/>
        <v>296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2900</v>
      </c>
      <c r="E80">
        <f t="shared" ca="1" si="6"/>
        <v>-50</v>
      </c>
      <c r="F80">
        <f t="shared" ca="1" si="7"/>
        <v>770</v>
      </c>
      <c r="G80" s="3" t="b">
        <f ca="1">INDEX(dict_zul_Var_Meth[kval_active],MATCH(table_Methods[[#This Row],[ID]],dict_zul_Var_Meth[ID_Methods],0))</f>
        <v>0</v>
      </c>
      <c r="H80">
        <f t="shared" ca="1" si="8"/>
        <v>28356</v>
      </c>
      <c r="I80">
        <f t="shared" ca="1" si="9"/>
        <v>192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6300</v>
      </c>
      <c r="E81">
        <f t="shared" ca="1" si="6"/>
        <v>-20</v>
      </c>
      <c r="F81">
        <f t="shared" ca="1" si="7"/>
        <v>200</v>
      </c>
      <c r="G81" s="3" t="b">
        <f ca="1">INDEX(dict_zul_Var_Meth[kval_active],MATCH(table_Methods[[#This Row],[ID]],dict_zul_Var_Meth[ID_Methods],0))</f>
        <v>0</v>
      </c>
      <c r="H81">
        <f t="shared" ca="1" si="8"/>
        <v>3177</v>
      </c>
      <c r="I81">
        <f t="shared" ca="1" si="9"/>
        <v>384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97.000000000000014</v>
      </c>
      <c r="E82">
        <f t="shared" ca="1" si="6"/>
        <v>-90</v>
      </c>
      <c r="F82">
        <f t="shared" ca="1" si="7"/>
        <v>950</v>
      </c>
      <c r="G82" s="3" t="b">
        <f ca="1">INDEX(dict_zul_Var_Meth[kval_active],MATCH(table_Methods[[#This Row],[ID]],dict_zul_Var_Meth[ID_Methods],0))</f>
        <v>0</v>
      </c>
      <c r="H82">
        <f t="shared" ca="1" si="8"/>
        <v>12110</v>
      </c>
      <c r="I82">
        <f t="shared" ca="1" si="9"/>
        <v>74752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80</v>
      </c>
      <c r="E83">
        <f t="shared" ca="1" si="6"/>
        <v>30</v>
      </c>
      <c r="F83">
        <f t="shared" ca="1" si="7"/>
        <v>460</v>
      </c>
      <c r="G83" s="3" t="b">
        <f ca="1">INDEX(dict_zul_Var_Meth[kval_active],MATCH(table_Methods[[#This Row],[ID]],dict_zul_Var_Meth[ID_Methods],0))</f>
        <v>0</v>
      </c>
      <c r="H83">
        <f t="shared" ca="1" si="8"/>
        <v>28483</v>
      </c>
      <c r="I83">
        <f t="shared" ca="1" si="9"/>
        <v>128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1600</v>
      </c>
      <c r="E84">
        <f t="shared" ca="1" si="6"/>
        <v>-10</v>
      </c>
      <c r="F84">
        <f t="shared" ca="1" si="7"/>
        <v>510</v>
      </c>
      <c r="G84" s="3" t="b">
        <f ca="1">INDEX(dict_zul_Var_Meth[kval_active],MATCH(table_Methods[[#This Row],[ID]],dict_zul_Var_Meth[ID_Methods],0))</f>
        <v>0</v>
      </c>
      <c r="H84">
        <f t="shared" ca="1" si="8"/>
        <v>21210</v>
      </c>
      <c r="I84">
        <f t="shared" ca="1" si="9"/>
        <v>328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580</v>
      </c>
      <c r="E85">
        <f t="shared" ca="1" si="6"/>
        <v>-20</v>
      </c>
      <c r="F85">
        <f t="shared" ca="1" si="7"/>
        <v>740</v>
      </c>
      <c r="G85" s="3" t="b">
        <f ca="1">INDEX(dict_zul_Var_Meth[kval_active],MATCH(table_Methods[[#This Row],[ID]],dict_zul_Var_Meth[ID_Methods],0))</f>
        <v>0</v>
      </c>
      <c r="H85">
        <f t="shared" ca="1" si="8"/>
        <v>17804</v>
      </c>
      <c r="I85">
        <f t="shared" ca="1" si="9"/>
        <v>3776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60</v>
      </c>
      <c r="E86">
        <f t="shared" ca="1" si="6"/>
        <v>-20</v>
      </c>
      <c r="F86">
        <f t="shared" ca="1" si="7"/>
        <v>260</v>
      </c>
      <c r="G86" s="3" t="b">
        <f ca="1">INDEX(dict_zul_Var_Meth[kval_active],MATCH(table_Methods[[#This Row],[ID]],dict_zul_Var_Meth[ID_Methods],0))</f>
        <v>1</v>
      </c>
      <c r="H86">
        <f t="shared" ca="1" si="8"/>
        <v>1050</v>
      </c>
      <c r="I86">
        <f t="shared" ca="1" si="9"/>
        <v>3072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7200</v>
      </c>
      <c r="E87">
        <f t="shared" ca="1" si="6"/>
        <v>10</v>
      </c>
      <c r="F87">
        <f t="shared" ca="1" si="7"/>
        <v>570</v>
      </c>
      <c r="G87" s="3" t="b">
        <f ca="1">INDEX(dict_zul_Var_Meth[kval_active],MATCH(table_Methods[[#This Row],[ID]],dict_zul_Var_Meth[ID_Methods],0))</f>
        <v>0</v>
      </c>
      <c r="H87">
        <f t="shared" ca="1" si="8"/>
        <v>39136</v>
      </c>
      <c r="I87">
        <f t="shared" ca="1" si="9"/>
        <v>196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95</v>
      </c>
      <c r="E88">
        <f t="shared" ca="1" si="6"/>
        <v>0</v>
      </c>
      <c r="F88">
        <f t="shared" ca="1" si="7"/>
        <v>820</v>
      </c>
      <c r="G88" s="3" t="b">
        <f ca="1">INDEX(dict_zul_Var_Meth[kval_active],MATCH(table_Methods[[#This Row],[ID]],dict_zul_Var_Meth[ID_Methods],0))</f>
        <v>0</v>
      </c>
      <c r="H88">
        <f t="shared" ca="1" si="8"/>
        <v>14472</v>
      </c>
      <c r="I88">
        <f t="shared" ca="1" si="9"/>
        <v>56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7600</v>
      </c>
      <c r="E89">
        <f t="shared" ca="1" si="6"/>
        <v>-30</v>
      </c>
      <c r="F89">
        <f t="shared" ca="1" si="7"/>
        <v>570</v>
      </c>
      <c r="G89" s="3" t="b">
        <f ca="1">INDEX(dict_zul_Var_Meth[kval_active],MATCH(table_Methods[[#This Row],[ID]],dict_zul_Var_Meth[ID_Methods],0))</f>
        <v>0</v>
      </c>
      <c r="H89">
        <f t="shared" ca="1" si="8"/>
        <v>2020</v>
      </c>
      <c r="I89">
        <f t="shared" ca="1" si="9"/>
        <v>392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770</v>
      </c>
      <c r="E90">
        <f t="shared" ca="1" si="6"/>
        <v>-90</v>
      </c>
      <c r="F90">
        <f t="shared" ca="1" si="7"/>
        <v>270</v>
      </c>
      <c r="G90" s="3" t="b">
        <f ca="1">INDEX(dict_zul_Var_Meth[kval_active],MATCH(table_Methods[[#This Row],[ID]],dict_zul_Var_Meth[ID_Methods],0))</f>
        <v>0</v>
      </c>
      <c r="H90">
        <f t="shared" ca="1" si="8"/>
        <v>2041</v>
      </c>
      <c r="I90">
        <f t="shared" ca="1" si="9"/>
        <v>2688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680</v>
      </c>
      <c r="E91">
        <f t="shared" ca="1" si="6"/>
        <v>0</v>
      </c>
      <c r="F91">
        <f t="shared" ca="1" si="7"/>
        <v>750</v>
      </c>
      <c r="G91" s="3" t="b">
        <f ca="1">INDEX(dict_zul_Var_Meth[kval_active],MATCH(table_Methods[[#This Row],[ID]],dict_zul_Var_Meth[ID_Methods],0))</f>
        <v>0</v>
      </c>
      <c r="H91">
        <f t="shared" ca="1" si="8"/>
        <v>29670</v>
      </c>
      <c r="I91">
        <f t="shared" ca="1" si="9"/>
        <v>224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4100</v>
      </c>
      <c r="E92">
        <f t="shared" ca="1" si="6"/>
        <v>30</v>
      </c>
      <c r="F92">
        <f t="shared" ca="1" si="7"/>
        <v>700</v>
      </c>
      <c r="G92" s="3" t="b">
        <f ca="1">INDEX(dict_zul_Var_Meth[kval_active],MATCH(table_Methods[[#This Row],[ID]],dict_zul_Var_Meth[ID_Methods],0))</f>
        <v>0</v>
      </c>
      <c r="H92">
        <f t="shared" ca="1" si="8"/>
        <v>16256</v>
      </c>
      <c r="I92">
        <f t="shared" ca="1" si="9"/>
        <v>752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79</v>
      </c>
      <c r="E93">
        <f t="shared" ca="1" si="6"/>
        <v>20</v>
      </c>
      <c r="F93">
        <f t="shared" ca="1" si="7"/>
        <v>210</v>
      </c>
      <c r="G93" s="3" t="b">
        <f ca="1">INDEX(dict_zul_Var_Meth[kval_active],MATCH(table_Methods[[#This Row],[ID]],dict_zul_Var_Meth[ID_Methods],0))</f>
        <v>0</v>
      </c>
      <c r="H93">
        <f t="shared" ca="1" si="8"/>
        <v>19040</v>
      </c>
      <c r="I93">
        <f t="shared" ca="1" si="9"/>
        <v>140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79</v>
      </c>
      <c r="E94">
        <f t="shared" ca="1" si="6"/>
        <v>10</v>
      </c>
      <c r="F94">
        <f t="shared" ca="1" si="7"/>
        <v>810</v>
      </c>
      <c r="G94" s="3" t="b">
        <f ca="1">INDEX(dict_zul_Var_Meth[kval_active],MATCH(table_Methods[[#This Row],[ID]],dict_zul_Var_Meth[ID_Methods],0))</f>
        <v>0</v>
      </c>
      <c r="H94">
        <f t="shared" ca="1" si="8"/>
        <v>42390</v>
      </c>
      <c r="I94">
        <f t="shared" ca="1" si="9"/>
        <v>536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14.000000000000002</v>
      </c>
      <c r="E95">
        <f t="shared" ca="1" si="6"/>
        <v>-100</v>
      </c>
      <c r="F95">
        <f t="shared" ca="1" si="7"/>
        <v>270</v>
      </c>
      <c r="G95" s="3" t="b">
        <f ca="1">INDEX(dict_zul_Var_Meth[kval_active],MATCH(table_Methods[[#This Row],[ID]],dict_zul_Var_Meth[ID_Methods],0))</f>
        <v>0</v>
      </c>
      <c r="H95">
        <f t="shared" ca="1" si="8"/>
        <v>24903</v>
      </c>
      <c r="I95">
        <f t="shared" ca="1" si="9"/>
        <v>13312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800</v>
      </c>
      <c r="E96">
        <f t="shared" ca="1" si="6"/>
        <v>-10</v>
      </c>
      <c r="F96">
        <f t="shared" ca="1" si="7"/>
        <v>790</v>
      </c>
      <c r="G96" s="3" t="b">
        <f ca="1">INDEX(dict_zul_Var_Meth[kval_active],MATCH(table_Methods[[#This Row],[ID]],dict_zul_Var_Meth[ID_Methods],0))</f>
        <v>0</v>
      </c>
      <c r="H96">
        <f t="shared" ca="1" si="8"/>
        <v>49860</v>
      </c>
      <c r="I96">
        <f t="shared" ca="1" si="9"/>
        <v>9472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610</v>
      </c>
      <c r="E97">
        <f t="shared" ca="1" si="6"/>
        <v>-70</v>
      </c>
      <c r="F97">
        <f t="shared" ca="1" si="7"/>
        <v>160</v>
      </c>
      <c r="G97" s="3" t="b">
        <f ca="1">INDEX(dict_zul_Var_Meth[kval_active],MATCH(table_Methods[[#This Row],[ID]],dict_zul_Var_Meth[ID_Methods],0))</f>
        <v>0</v>
      </c>
      <c r="H97">
        <f t="shared" ca="1" si="8"/>
        <v>14368</v>
      </c>
      <c r="I97">
        <f t="shared" ca="1" si="9"/>
        <v>92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40</v>
      </c>
      <c r="E98">
        <f t="shared" ca="1" si="6"/>
        <v>20</v>
      </c>
      <c r="F98">
        <f t="shared" ca="1" si="7"/>
        <v>640</v>
      </c>
      <c r="G98" s="3" t="b">
        <f ca="1">INDEX(dict_zul_Var_Meth[kval_active],MATCH(table_Methods[[#This Row],[ID]],dict_zul_Var_Meth[ID_Methods],0))</f>
        <v>0</v>
      </c>
      <c r="H98">
        <f t="shared" ca="1" si="8"/>
        <v>9412</v>
      </c>
      <c r="I98">
        <f t="shared" ca="1" si="9"/>
        <v>22528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80</v>
      </c>
      <c r="E99">
        <f t="shared" ca="1" si="6"/>
        <v>-50</v>
      </c>
      <c r="F99">
        <f t="shared" ca="1" si="7"/>
        <v>820</v>
      </c>
      <c r="G99" s="3" t="b">
        <f ca="1">INDEX(dict_zul_Var_Meth[kval_active],MATCH(table_Methods[[#This Row],[ID]],dict_zul_Var_Meth[ID_Methods],0))</f>
        <v>0</v>
      </c>
      <c r="H99">
        <f t="shared" ca="1" si="8"/>
        <v>30560</v>
      </c>
      <c r="I99">
        <f t="shared" ca="1" si="9"/>
        <v>1104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5500</v>
      </c>
      <c r="E100">
        <f t="shared" ref="E100:E163" ca="1" si="11">RANDBETWEEN(-10,3)*10</f>
        <v>-90</v>
      </c>
      <c r="F100">
        <f t="shared" ref="F100:F163" ca="1" si="12">RANDBETWEEN(2,100)*10</f>
        <v>510</v>
      </c>
      <c r="G100" s="3" t="b">
        <f ca="1">INDEX(dict_zul_Var_Meth[kval_active],MATCH(table_Methods[[#This Row],[ID]],dict_zul_Var_Meth[ID_Methods],0))</f>
        <v>0</v>
      </c>
      <c r="H100">
        <f t="shared" ref="H100:H163" ca="1" si="13">RANDBETWEEN(1,10)*RANDBETWEEN(1,5000)</f>
        <v>5042</v>
      </c>
      <c r="I100">
        <f t="shared" ref="I100:I163" ca="1" si="14">2^RANDBETWEEN(1,10)*RANDBETWEEN(1,100)</f>
        <v>8064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190</v>
      </c>
      <c r="E101">
        <f t="shared" ca="1" si="11"/>
        <v>-90</v>
      </c>
      <c r="F101">
        <f t="shared" ca="1" si="12"/>
        <v>290</v>
      </c>
      <c r="G101" s="3" t="b">
        <f ca="1">INDEX(dict_zul_Var_Meth[kval_active],MATCH(table_Methods[[#This Row],[ID]],dict_zul_Var_Meth[ID_Methods],0))</f>
        <v>0</v>
      </c>
      <c r="H101">
        <f t="shared" ca="1" si="13"/>
        <v>28359</v>
      </c>
      <c r="I101">
        <f t="shared" ca="1" si="14"/>
        <v>25600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790</v>
      </c>
      <c r="E102">
        <f t="shared" ca="1" si="11"/>
        <v>-80</v>
      </c>
      <c r="F102">
        <f t="shared" ca="1" si="12"/>
        <v>680</v>
      </c>
      <c r="G102" s="3" t="b">
        <f ca="1">INDEX(dict_zul_Var_Meth[kval_active],MATCH(table_Methods[[#This Row],[ID]],dict_zul_Var_Meth[ID_Methods],0))</f>
        <v>0</v>
      </c>
      <c r="H102">
        <f t="shared" ca="1" si="13"/>
        <v>17612</v>
      </c>
      <c r="I102">
        <f t="shared" ca="1" si="14"/>
        <v>4992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3600</v>
      </c>
      <c r="E103">
        <f t="shared" ca="1" si="11"/>
        <v>-20</v>
      </c>
      <c r="F103">
        <f t="shared" ca="1" si="12"/>
        <v>960</v>
      </c>
      <c r="G103" s="3" t="b">
        <f ca="1">INDEX(dict_zul_Var_Meth[kval_active],MATCH(table_Methods[[#This Row],[ID]],dict_zul_Var_Meth[ID_Methods],0))</f>
        <v>0</v>
      </c>
      <c r="H103">
        <f t="shared" ca="1" si="13"/>
        <v>29650</v>
      </c>
      <c r="I103">
        <f t="shared" ca="1" si="14"/>
        <v>1216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470</v>
      </c>
      <c r="E104">
        <f t="shared" ca="1" si="11"/>
        <v>-70</v>
      </c>
      <c r="F104">
        <f t="shared" ca="1" si="12"/>
        <v>410</v>
      </c>
      <c r="G104" s="3" t="b">
        <f ca="1">INDEX(dict_zul_Var_Meth[kval_active],MATCH(table_Methods[[#This Row],[ID]],dict_zul_Var_Meth[ID_Methods],0))</f>
        <v>0</v>
      </c>
      <c r="H104">
        <f t="shared" ca="1" si="13"/>
        <v>35055</v>
      </c>
      <c r="I104">
        <f t="shared" ca="1" si="14"/>
        <v>2048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350</v>
      </c>
      <c r="E105">
        <f t="shared" ca="1" si="11"/>
        <v>30</v>
      </c>
      <c r="F105">
        <f t="shared" ca="1" si="12"/>
        <v>790</v>
      </c>
      <c r="G105" s="3" t="b">
        <f ca="1">INDEX(dict_zul_Var_Meth[kval_active],MATCH(table_Methods[[#This Row],[ID]],dict_zul_Var_Meth[ID_Methods],0))</f>
        <v>0</v>
      </c>
      <c r="H105">
        <f t="shared" ca="1" si="13"/>
        <v>7815</v>
      </c>
      <c r="I105">
        <f t="shared" ca="1" si="14"/>
        <v>304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5600</v>
      </c>
      <c r="E106">
        <f t="shared" ca="1" si="11"/>
        <v>-60</v>
      </c>
      <c r="F106">
        <f t="shared" ca="1" si="12"/>
        <v>200</v>
      </c>
      <c r="G106" s="3" t="b">
        <f ca="1">INDEX(dict_zul_Var_Meth[kval_active],MATCH(table_Methods[[#This Row],[ID]],dict_zul_Var_Meth[ID_Methods],0))</f>
        <v>0</v>
      </c>
      <c r="H106">
        <f t="shared" ca="1" si="13"/>
        <v>3331</v>
      </c>
      <c r="I106">
        <f t="shared" ca="1" si="14"/>
        <v>864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45</v>
      </c>
      <c r="E107">
        <f t="shared" ca="1" si="11"/>
        <v>0</v>
      </c>
      <c r="F107">
        <f t="shared" ca="1" si="12"/>
        <v>860</v>
      </c>
      <c r="G107" s="3" t="b">
        <f ca="1">INDEX(dict_zul_Var_Meth[kval_active],MATCH(table_Methods[[#This Row],[ID]],dict_zul_Var_Meth[ID_Methods],0))</f>
        <v>0</v>
      </c>
      <c r="H107">
        <f t="shared" ca="1" si="13"/>
        <v>3399</v>
      </c>
      <c r="I107">
        <f t="shared" ca="1" si="14"/>
        <v>320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2900</v>
      </c>
      <c r="E108">
        <f t="shared" ca="1" si="11"/>
        <v>0</v>
      </c>
      <c r="F108">
        <f t="shared" ca="1" si="12"/>
        <v>940</v>
      </c>
      <c r="G108" s="3" t="b">
        <f ca="1">INDEX(dict_zul_Var_Meth[kval_active],MATCH(table_Methods[[#This Row],[ID]],dict_zul_Var_Meth[ID_Methods],0))</f>
        <v>0</v>
      </c>
      <c r="H108">
        <f t="shared" ca="1" si="13"/>
        <v>14518</v>
      </c>
      <c r="I108">
        <f t="shared" ca="1" si="14"/>
        <v>1792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9700</v>
      </c>
      <c r="E109">
        <f t="shared" ca="1" si="11"/>
        <v>-90</v>
      </c>
      <c r="F109">
        <f t="shared" ca="1" si="12"/>
        <v>520</v>
      </c>
      <c r="G109" s="3" t="b">
        <f ca="1">INDEX(dict_zul_Var_Meth[kval_active],MATCH(table_Methods[[#This Row],[ID]],dict_zul_Var_Meth[ID_Methods],0))</f>
        <v>0</v>
      </c>
      <c r="H109">
        <f t="shared" ca="1" si="13"/>
        <v>9247</v>
      </c>
      <c r="I109">
        <f t="shared" ca="1" si="14"/>
        <v>1920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25</v>
      </c>
      <c r="E110">
        <f t="shared" ca="1" si="11"/>
        <v>-80</v>
      </c>
      <c r="F110">
        <f t="shared" ca="1" si="12"/>
        <v>810</v>
      </c>
      <c r="G110" s="3" t="b">
        <f ca="1">INDEX(dict_zul_Var_Meth[kval_active],MATCH(table_Methods[[#This Row],[ID]],dict_zul_Var_Meth[ID_Methods],0))</f>
        <v>0</v>
      </c>
      <c r="H110">
        <f t="shared" ca="1" si="13"/>
        <v>9528</v>
      </c>
      <c r="I110">
        <f t="shared" ca="1" si="14"/>
        <v>21504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10000</v>
      </c>
      <c r="E111">
        <f t="shared" ca="1" si="11"/>
        <v>-60</v>
      </c>
      <c r="F111">
        <f t="shared" ca="1" si="12"/>
        <v>380</v>
      </c>
      <c r="G111" s="3" t="b">
        <f ca="1">INDEX(dict_zul_Var_Meth[kval_active],MATCH(table_Methods[[#This Row],[ID]],dict_zul_Var_Meth[ID_Methods],0))</f>
        <v>0</v>
      </c>
      <c r="H111">
        <f t="shared" ca="1" si="13"/>
        <v>5915</v>
      </c>
      <c r="I111">
        <f t="shared" ca="1" si="14"/>
        <v>640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30</v>
      </c>
      <c r="E112">
        <f t="shared" ca="1" si="11"/>
        <v>-20</v>
      </c>
      <c r="F112">
        <f t="shared" ca="1" si="12"/>
        <v>170</v>
      </c>
      <c r="G112" s="3" t="b">
        <f ca="1">INDEX(dict_zul_Var_Meth[kval_active],MATCH(table_Methods[[#This Row],[ID]],dict_zul_Var_Meth[ID_Methods],0))</f>
        <v>0</v>
      </c>
      <c r="H112">
        <f t="shared" ca="1" si="13"/>
        <v>5500</v>
      </c>
      <c r="I112">
        <f t="shared" ca="1" si="14"/>
        <v>2464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87.000000000000014</v>
      </c>
      <c r="E113">
        <f t="shared" ca="1" si="11"/>
        <v>10</v>
      </c>
      <c r="F113">
        <f t="shared" ca="1" si="12"/>
        <v>980</v>
      </c>
      <c r="G113" s="3" t="b">
        <f ca="1">INDEX(dict_zul_Var_Meth[kval_active],MATCH(table_Methods[[#This Row],[ID]],dict_zul_Var_Meth[ID_Methods],0))</f>
        <v>0</v>
      </c>
      <c r="H113">
        <f t="shared" ca="1" si="13"/>
        <v>40</v>
      </c>
      <c r="I113">
        <f t="shared" ca="1" si="14"/>
        <v>63488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620</v>
      </c>
      <c r="E114">
        <f t="shared" ca="1" si="11"/>
        <v>-10</v>
      </c>
      <c r="F114">
        <f t="shared" ca="1" si="12"/>
        <v>700</v>
      </c>
      <c r="G114" s="3" t="b">
        <f ca="1">INDEX(dict_zul_Var_Meth[kval_active],MATCH(table_Methods[[#This Row],[ID]],dict_zul_Var_Meth[ID_Methods],0))</f>
        <v>0</v>
      </c>
      <c r="H114">
        <f t="shared" ca="1" si="13"/>
        <v>5048</v>
      </c>
      <c r="I114">
        <f t="shared" ca="1" si="14"/>
        <v>1536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40</v>
      </c>
      <c r="E115">
        <f t="shared" ca="1" si="11"/>
        <v>-70</v>
      </c>
      <c r="F115">
        <f t="shared" ca="1" si="12"/>
        <v>290</v>
      </c>
      <c r="G115" s="3" t="b">
        <f ca="1">INDEX(dict_zul_Var_Meth[kval_active],MATCH(table_Methods[[#This Row],[ID]],dict_zul_Var_Meth[ID_Methods],0))</f>
        <v>0</v>
      </c>
      <c r="H115">
        <f t="shared" ca="1" si="13"/>
        <v>20286</v>
      </c>
      <c r="I115">
        <f t="shared" ca="1" si="14"/>
        <v>816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74</v>
      </c>
      <c r="E116">
        <f t="shared" ca="1" si="11"/>
        <v>10</v>
      </c>
      <c r="F116">
        <f t="shared" ca="1" si="12"/>
        <v>970</v>
      </c>
      <c r="G116" s="3" t="b">
        <f ca="1">INDEX(dict_zul_Var_Meth[kval_active],MATCH(table_Methods[[#This Row],[ID]],dict_zul_Var_Meth[ID_Methods],0))</f>
        <v>0</v>
      </c>
      <c r="H116">
        <f t="shared" ca="1" si="13"/>
        <v>5320</v>
      </c>
      <c r="I116">
        <f t="shared" ca="1" si="14"/>
        <v>74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31</v>
      </c>
      <c r="E117">
        <f t="shared" ca="1" si="11"/>
        <v>-10</v>
      </c>
      <c r="F117">
        <f t="shared" ca="1" si="12"/>
        <v>780</v>
      </c>
      <c r="G117" s="3" t="b">
        <f ca="1">INDEX(dict_zul_Var_Meth[kval_active],MATCH(table_Methods[[#This Row],[ID]],dict_zul_Var_Meth[ID_Methods],0))</f>
        <v>0</v>
      </c>
      <c r="H117">
        <f t="shared" ca="1" si="13"/>
        <v>17876</v>
      </c>
      <c r="I117">
        <f t="shared" ca="1" si="14"/>
        <v>1232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510</v>
      </c>
      <c r="E118">
        <f t="shared" ca="1" si="11"/>
        <v>-30</v>
      </c>
      <c r="F118">
        <f t="shared" ca="1" si="12"/>
        <v>420</v>
      </c>
      <c r="G118" s="3" t="b">
        <f ca="1">INDEX(dict_zul_Var_Meth[kval_active],MATCH(table_Methods[[#This Row],[ID]],dict_zul_Var_Meth[ID_Methods],0))</f>
        <v>0</v>
      </c>
      <c r="H118">
        <f t="shared" ca="1" si="13"/>
        <v>4540</v>
      </c>
      <c r="I118">
        <f t="shared" ca="1" si="14"/>
        <v>116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7900</v>
      </c>
      <c r="E119">
        <f t="shared" ca="1" si="11"/>
        <v>-40</v>
      </c>
      <c r="F119">
        <f t="shared" ca="1" si="12"/>
        <v>390</v>
      </c>
      <c r="G119" s="3" t="b">
        <f ca="1">INDEX(dict_zul_Var_Meth[kval_active],MATCH(table_Methods[[#This Row],[ID]],dict_zul_Var_Meth[ID_Methods],0))</f>
        <v>0</v>
      </c>
      <c r="H119">
        <f t="shared" ca="1" si="13"/>
        <v>14790</v>
      </c>
      <c r="I119">
        <f t="shared" ca="1" si="14"/>
        <v>5632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500</v>
      </c>
      <c r="E120">
        <f t="shared" ca="1" si="11"/>
        <v>-10</v>
      </c>
      <c r="F120">
        <f t="shared" ca="1" si="12"/>
        <v>310</v>
      </c>
      <c r="G120" s="3" t="b">
        <f ca="1">INDEX(dict_zul_Var_Meth[kval_active],MATCH(table_Methods[[#This Row],[ID]],dict_zul_Var_Meth[ID_Methods],0))</f>
        <v>0</v>
      </c>
      <c r="H120">
        <f t="shared" ca="1" si="13"/>
        <v>10584</v>
      </c>
      <c r="I120">
        <f t="shared" ca="1" si="14"/>
        <v>18176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5500</v>
      </c>
      <c r="E121">
        <f t="shared" ca="1" si="11"/>
        <v>-80</v>
      </c>
      <c r="F121">
        <f t="shared" ca="1" si="12"/>
        <v>490</v>
      </c>
      <c r="G121" s="3" t="b">
        <f ca="1">INDEX(dict_zul_Var_Meth[kval_active],MATCH(table_Methods[[#This Row],[ID]],dict_zul_Var_Meth[ID_Methods],0))</f>
        <v>0</v>
      </c>
      <c r="H121">
        <f t="shared" ca="1" si="13"/>
        <v>16548</v>
      </c>
      <c r="I121">
        <f t="shared" ca="1" si="14"/>
        <v>22016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39</v>
      </c>
      <c r="E122">
        <f t="shared" ca="1" si="11"/>
        <v>-10</v>
      </c>
      <c r="F122">
        <f t="shared" ca="1" si="12"/>
        <v>390</v>
      </c>
      <c r="G122" s="3" t="b">
        <f ca="1">INDEX(dict_zul_Var_Meth[kval_active],MATCH(table_Methods[[#This Row],[ID]],dict_zul_Var_Meth[ID_Methods],0))</f>
        <v>0</v>
      </c>
      <c r="H122">
        <f t="shared" ca="1" si="13"/>
        <v>16056</v>
      </c>
      <c r="I122">
        <f t="shared" ca="1" si="14"/>
        <v>11776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450</v>
      </c>
      <c r="E123">
        <f t="shared" ca="1" si="11"/>
        <v>-60</v>
      </c>
      <c r="F123">
        <f t="shared" ca="1" si="12"/>
        <v>790</v>
      </c>
      <c r="G123" s="3" t="b">
        <f ca="1">INDEX(dict_zul_Var_Meth[kval_active],MATCH(table_Methods[[#This Row],[ID]],dict_zul_Var_Meth[ID_Methods],0))</f>
        <v>0</v>
      </c>
      <c r="H123">
        <f t="shared" ca="1" si="13"/>
        <v>30800</v>
      </c>
      <c r="I123">
        <f t="shared" ca="1" si="14"/>
        <v>768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840</v>
      </c>
      <c r="E124">
        <f t="shared" ca="1" si="11"/>
        <v>-30</v>
      </c>
      <c r="F124">
        <f t="shared" ca="1" si="12"/>
        <v>790</v>
      </c>
      <c r="G124" s="3" t="b">
        <f ca="1">INDEX(dict_zul_Var_Meth[kval_active],MATCH(table_Methods[[#This Row],[ID]],dict_zul_Var_Meth[ID_Methods],0))</f>
        <v>0</v>
      </c>
      <c r="H124">
        <f t="shared" ca="1" si="13"/>
        <v>2136</v>
      </c>
      <c r="I124">
        <f t="shared" ca="1" si="14"/>
        <v>20480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9800</v>
      </c>
      <c r="E125">
        <f t="shared" ca="1" si="11"/>
        <v>-10</v>
      </c>
      <c r="F125">
        <f t="shared" ca="1" si="12"/>
        <v>480</v>
      </c>
      <c r="G125" s="3" t="b">
        <f ca="1">INDEX(dict_zul_Var_Meth[kval_active],MATCH(table_Methods[[#This Row],[ID]],dict_zul_Var_Meth[ID_Methods],0))</f>
        <v>0</v>
      </c>
      <c r="H125">
        <f t="shared" ca="1" si="13"/>
        <v>20100</v>
      </c>
      <c r="I125">
        <f t="shared" ca="1" si="14"/>
        <v>800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53.000000000000007</v>
      </c>
      <c r="E126">
        <f t="shared" ca="1" si="11"/>
        <v>-80</v>
      </c>
      <c r="F126">
        <f t="shared" ca="1" si="12"/>
        <v>290</v>
      </c>
      <c r="G126" s="3" t="b">
        <f ca="1">INDEX(dict_zul_Var_Meth[kval_active],MATCH(table_Methods[[#This Row],[ID]],dict_zul_Var_Meth[ID_Methods],0))</f>
        <v>0</v>
      </c>
      <c r="H126">
        <f t="shared" ca="1" si="13"/>
        <v>3319</v>
      </c>
      <c r="I126">
        <f t="shared" ca="1" si="14"/>
        <v>640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25</v>
      </c>
      <c r="E127">
        <f t="shared" ca="1" si="11"/>
        <v>20</v>
      </c>
      <c r="F127">
        <f t="shared" ca="1" si="12"/>
        <v>140</v>
      </c>
      <c r="G127" s="3" t="b">
        <f ca="1">INDEX(dict_zul_Var_Meth[kval_active],MATCH(table_Methods[[#This Row],[ID]],dict_zul_Var_Meth[ID_Methods],0))</f>
        <v>0</v>
      </c>
      <c r="H127">
        <f t="shared" ca="1" si="13"/>
        <v>26040</v>
      </c>
      <c r="I127">
        <f t="shared" ca="1" si="14"/>
        <v>82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8</v>
      </c>
      <c r="E128">
        <f t="shared" ca="1" si="11"/>
        <v>0</v>
      </c>
      <c r="F128">
        <f t="shared" ca="1" si="12"/>
        <v>80</v>
      </c>
      <c r="G128" s="3" t="b">
        <f ca="1">INDEX(dict_zul_Var_Meth[kval_active],MATCH(table_Methods[[#This Row],[ID]],dict_zul_Var_Meth[ID_Methods],0))</f>
        <v>0</v>
      </c>
      <c r="H128">
        <f t="shared" ca="1" si="13"/>
        <v>9747</v>
      </c>
      <c r="I128">
        <f t="shared" ca="1" si="14"/>
        <v>3072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49</v>
      </c>
      <c r="E129">
        <f t="shared" ca="1" si="11"/>
        <v>20</v>
      </c>
      <c r="F129">
        <f t="shared" ca="1" si="12"/>
        <v>260</v>
      </c>
      <c r="G129" s="3" t="b">
        <f ca="1">INDEX(dict_zul_Var_Meth[kval_active],MATCH(table_Methods[[#This Row],[ID]],dict_zul_Var_Meth[ID_Methods],0))</f>
        <v>0</v>
      </c>
      <c r="H129">
        <f t="shared" ca="1" si="13"/>
        <v>6022</v>
      </c>
      <c r="I129">
        <f t="shared" ca="1" si="14"/>
        <v>150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5">10^(RANDBETWEEN(-1,1))*RANDBETWEEN(1,100)*10</f>
        <v>15</v>
      </c>
      <c r="E130">
        <f t="shared" ca="1" si="11"/>
        <v>30</v>
      </c>
      <c r="F130">
        <f t="shared" ca="1" si="12"/>
        <v>210</v>
      </c>
      <c r="G130" s="3" t="b">
        <f ca="1">INDEX(dict_zul_Var_Meth[kval_active],MATCH(table_Methods[[#This Row],[ID]],dict_zul_Var_Meth[ID_Methods],0))</f>
        <v>0</v>
      </c>
      <c r="H130">
        <f t="shared" ca="1" si="13"/>
        <v>20244</v>
      </c>
      <c r="I130">
        <f t="shared" ca="1" si="14"/>
        <v>32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5"/>
        <v>750</v>
      </c>
      <c r="E131">
        <f t="shared" ca="1" si="11"/>
        <v>-40</v>
      </c>
      <c r="F131">
        <f t="shared" ca="1" si="12"/>
        <v>170</v>
      </c>
      <c r="G131" s="3" t="b">
        <f ca="1">INDEX(dict_zul_Var_Meth[kval_active],MATCH(table_Methods[[#This Row],[ID]],dict_zul_Var_Meth[ID_Methods],0))</f>
        <v>0</v>
      </c>
      <c r="H131">
        <f t="shared" ca="1" si="13"/>
        <v>117</v>
      </c>
      <c r="I131">
        <f t="shared" ca="1" si="14"/>
        <v>68608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5"/>
        <v>24.000000000000004</v>
      </c>
      <c r="E132">
        <f t="shared" ca="1" si="11"/>
        <v>-20</v>
      </c>
      <c r="F132">
        <f t="shared" ca="1" si="12"/>
        <v>20</v>
      </c>
      <c r="G132" s="3" t="b">
        <f ca="1">INDEX(dict_zul_Var_Meth[kval_active],MATCH(table_Methods[[#This Row],[ID]],dict_zul_Var_Meth[ID_Methods],0))</f>
        <v>0</v>
      </c>
      <c r="H132">
        <f t="shared" ca="1" si="13"/>
        <v>21900</v>
      </c>
      <c r="I132">
        <f t="shared" ca="1" si="14"/>
        <v>640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5"/>
        <v>49</v>
      </c>
      <c r="E133">
        <f t="shared" ca="1" si="11"/>
        <v>-60</v>
      </c>
      <c r="F133">
        <f t="shared" ca="1" si="12"/>
        <v>1000</v>
      </c>
      <c r="G133" s="3" t="b">
        <f ca="1">INDEX(dict_zul_Var_Meth[kval_active],MATCH(table_Methods[[#This Row],[ID]],dict_zul_Var_Meth[ID_Methods],0))</f>
        <v>0</v>
      </c>
      <c r="H133">
        <f t="shared" ca="1" si="13"/>
        <v>36930</v>
      </c>
      <c r="I133">
        <f t="shared" ca="1" si="14"/>
        <v>63488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5"/>
        <v>66</v>
      </c>
      <c r="E134">
        <f t="shared" ca="1" si="11"/>
        <v>-30</v>
      </c>
      <c r="F134">
        <f t="shared" ca="1" si="12"/>
        <v>630</v>
      </c>
      <c r="G134" s="3" t="b">
        <f ca="1">INDEX(dict_zul_Var_Meth[kval_active],MATCH(table_Methods[[#This Row],[ID]],dict_zul_Var_Meth[ID_Methods],0))</f>
        <v>0</v>
      </c>
      <c r="H134">
        <f t="shared" ca="1" si="13"/>
        <v>14344</v>
      </c>
      <c r="I134">
        <f t="shared" ca="1" si="14"/>
        <v>1472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5"/>
        <v>19</v>
      </c>
      <c r="E135">
        <f t="shared" ca="1" si="11"/>
        <v>20</v>
      </c>
      <c r="F135">
        <f t="shared" ca="1" si="12"/>
        <v>1000</v>
      </c>
      <c r="G135" s="3" t="b">
        <f ca="1">INDEX(dict_zul_Var_Meth[kval_active],MATCH(table_Methods[[#This Row],[ID]],dict_zul_Var_Meth[ID_Methods],0))</f>
        <v>0</v>
      </c>
      <c r="H135">
        <f t="shared" ca="1" si="13"/>
        <v>16940</v>
      </c>
      <c r="I135">
        <f t="shared" ca="1" si="14"/>
        <v>4480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5"/>
        <v>40</v>
      </c>
      <c r="E136">
        <f t="shared" ca="1" si="11"/>
        <v>-40</v>
      </c>
      <c r="F136">
        <f t="shared" ca="1" si="12"/>
        <v>730</v>
      </c>
      <c r="G136" s="3" t="b">
        <f ca="1">INDEX(dict_zul_Var_Meth[kval_active],MATCH(table_Methods[[#This Row],[ID]],dict_zul_Var_Meth[ID_Methods],0))</f>
        <v>0</v>
      </c>
      <c r="H136">
        <f t="shared" ca="1" si="13"/>
        <v>8625</v>
      </c>
      <c r="I136">
        <f t="shared" ca="1" si="14"/>
        <v>3776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5"/>
        <v>66</v>
      </c>
      <c r="E137">
        <f t="shared" ca="1" si="11"/>
        <v>10</v>
      </c>
      <c r="F137">
        <f t="shared" ca="1" si="12"/>
        <v>110</v>
      </c>
      <c r="G137" s="3" t="b">
        <f ca="1">INDEX(dict_zul_Var_Meth[kval_active],MATCH(table_Methods[[#This Row],[ID]],dict_zul_Var_Meth[ID_Methods],0))</f>
        <v>0</v>
      </c>
      <c r="H137">
        <f t="shared" ca="1" si="13"/>
        <v>7593</v>
      </c>
      <c r="I137">
        <f t="shared" ca="1" si="14"/>
        <v>2752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5"/>
        <v>7000</v>
      </c>
      <c r="E138">
        <f t="shared" ca="1" si="11"/>
        <v>-30</v>
      </c>
      <c r="F138">
        <f t="shared" ca="1" si="12"/>
        <v>540</v>
      </c>
      <c r="G138" s="3" t="b">
        <f ca="1">INDEX(dict_zul_Var_Meth[kval_active],MATCH(table_Methods[[#This Row],[ID]],dict_zul_Var_Meth[ID_Methods],0))</f>
        <v>0</v>
      </c>
      <c r="H138">
        <f t="shared" ca="1" si="13"/>
        <v>1025</v>
      </c>
      <c r="I138">
        <f t="shared" ca="1" si="14"/>
        <v>3200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5"/>
        <v>380</v>
      </c>
      <c r="E139">
        <f t="shared" ca="1" si="11"/>
        <v>-70</v>
      </c>
      <c r="F139">
        <f t="shared" ca="1" si="12"/>
        <v>450</v>
      </c>
      <c r="G139" s="3" t="b">
        <f ca="1">INDEX(dict_zul_Var_Meth[kval_active],MATCH(table_Methods[[#This Row],[ID]],dict_zul_Var_Meth[ID_Methods],0))</f>
        <v>0</v>
      </c>
      <c r="H139">
        <f t="shared" ca="1" si="13"/>
        <v>4374</v>
      </c>
      <c r="I139">
        <f t="shared" ca="1" si="14"/>
        <v>4096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5"/>
        <v>610</v>
      </c>
      <c r="E140">
        <f t="shared" ca="1" si="11"/>
        <v>10</v>
      </c>
      <c r="F140">
        <f t="shared" ca="1" si="12"/>
        <v>970</v>
      </c>
      <c r="G140" s="3" t="b">
        <f ca="1">INDEX(dict_zul_Var_Meth[kval_active],MATCH(table_Methods[[#This Row],[ID]],dict_zul_Var_Meth[ID_Methods],0))</f>
        <v>0</v>
      </c>
      <c r="H140">
        <f t="shared" ca="1" si="13"/>
        <v>2400</v>
      </c>
      <c r="I140">
        <f t="shared" ca="1" si="14"/>
        <v>2112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5"/>
        <v>63.000000000000007</v>
      </c>
      <c r="E141">
        <f t="shared" ca="1" si="11"/>
        <v>-70</v>
      </c>
      <c r="F141">
        <f t="shared" ca="1" si="12"/>
        <v>840</v>
      </c>
      <c r="G141" s="3" t="b">
        <f ca="1">INDEX(dict_zul_Var_Meth[kval_active],MATCH(table_Methods[[#This Row],[ID]],dict_zul_Var_Meth[ID_Methods],0))</f>
        <v>0</v>
      </c>
      <c r="H141">
        <f t="shared" ca="1" si="13"/>
        <v>5319</v>
      </c>
      <c r="I141">
        <f t="shared" ca="1" si="14"/>
        <v>110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5"/>
        <v>950</v>
      </c>
      <c r="E142">
        <f t="shared" ca="1" si="11"/>
        <v>-10</v>
      </c>
      <c r="F142">
        <f t="shared" ca="1" si="12"/>
        <v>250</v>
      </c>
      <c r="G142" s="3" t="b">
        <f ca="1">INDEX(dict_zul_Var_Meth[kval_active],MATCH(table_Methods[[#This Row],[ID]],dict_zul_Var_Meth[ID_Methods],0))</f>
        <v>0</v>
      </c>
      <c r="H142">
        <f t="shared" ca="1" si="13"/>
        <v>2672</v>
      </c>
      <c r="I142">
        <f t="shared" ca="1" si="14"/>
        <v>608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5"/>
        <v>58.000000000000007</v>
      </c>
      <c r="E143">
        <f t="shared" ca="1" si="11"/>
        <v>0</v>
      </c>
      <c r="F143">
        <f t="shared" ca="1" si="12"/>
        <v>130</v>
      </c>
      <c r="G143" s="3" t="b">
        <f ca="1">INDEX(dict_zul_Var_Meth[kval_active],MATCH(table_Methods[[#This Row],[ID]],dict_zul_Var_Meth[ID_Methods],0))</f>
        <v>0</v>
      </c>
      <c r="H143">
        <f t="shared" ca="1" si="13"/>
        <v>3728</v>
      </c>
      <c r="I143">
        <f t="shared" ca="1" si="14"/>
        <v>96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5"/>
        <v>3200</v>
      </c>
      <c r="E144">
        <f t="shared" ca="1" si="11"/>
        <v>-20</v>
      </c>
      <c r="F144">
        <f t="shared" ca="1" si="12"/>
        <v>450</v>
      </c>
      <c r="G144" s="3" t="b">
        <f ca="1">INDEX(dict_zul_Var_Meth[kval_active],MATCH(table_Methods[[#This Row],[ID]],dict_zul_Var_Meth[ID_Methods],0))</f>
        <v>0</v>
      </c>
      <c r="H144">
        <f t="shared" ca="1" si="13"/>
        <v>2194</v>
      </c>
      <c r="I144">
        <f t="shared" ca="1" si="14"/>
        <v>2048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5"/>
        <v>44</v>
      </c>
      <c r="E145">
        <f t="shared" ca="1" si="11"/>
        <v>30</v>
      </c>
      <c r="F145">
        <f t="shared" ca="1" si="12"/>
        <v>620</v>
      </c>
      <c r="G145" s="3" t="b">
        <f ca="1">INDEX(dict_zul_Var_Meth[kval_active],MATCH(table_Methods[[#This Row],[ID]],dict_zul_Var_Meth[ID_Methods],0))</f>
        <v>0</v>
      </c>
      <c r="H145">
        <f t="shared" ca="1" si="13"/>
        <v>44370</v>
      </c>
      <c r="I145">
        <f t="shared" ca="1" si="14"/>
        <v>320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5"/>
        <v>990</v>
      </c>
      <c r="E146">
        <f t="shared" ca="1" si="11"/>
        <v>-20</v>
      </c>
      <c r="F146">
        <f t="shared" ca="1" si="12"/>
        <v>710</v>
      </c>
      <c r="G146" s="3" t="b">
        <f ca="1">INDEX(dict_zul_Var_Meth[kval_active],MATCH(table_Methods[[#This Row],[ID]],dict_zul_Var_Meth[ID_Methods],0))</f>
        <v>0</v>
      </c>
      <c r="H146">
        <f t="shared" ca="1" si="13"/>
        <v>14238</v>
      </c>
      <c r="I146">
        <f t="shared" ca="1" si="14"/>
        <v>50176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5"/>
        <v>5200</v>
      </c>
      <c r="E147">
        <f t="shared" ca="1" si="11"/>
        <v>-10</v>
      </c>
      <c r="F147">
        <f t="shared" ca="1" si="12"/>
        <v>100</v>
      </c>
      <c r="G147" s="3" t="b">
        <f ca="1">INDEX(dict_zul_Var_Meth[kval_active],MATCH(table_Methods[[#This Row],[ID]],dict_zul_Var_Meth[ID_Methods],0))</f>
        <v>0</v>
      </c>
      <c r="H147">
        <f t="shared" ca="1" si="13"/>
        <v>25340</v>
      </c>
      <c r="I147">
        <f t="shared" ca="1" si="14"/>
        <v>264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5"/>
        <v>700</v>
      </c>
      <c r="E148">
        <f t="shared" ca="1" si="11"/>
        <v>-50</v>
      </c>
      <c r="F148">
        <f t="shared" ca="1" si="12"/>
        <v>730</v>
      </c>
      <c r="G148" s="3" t="b">
        <f ca="1">INDEX(dict_zul_Var_Meth[kval_active],MATCH(table_Methods[[#This Row],[ID]],dict_zul_Var_Meth[ID_Methods],0))</f>
        <v>0</v>
      </c>
      <c r="H148">
        <f t="shared" ca="1" si="13"/>
        <v>1074</v>
      </c>
      <c r="I148">
        <f t="shared" ca="1" si="14"/>
        <v>5568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5"/>
        <v>2000</v>
      </c>
      <c r="E149">
        <f t="shared" ca="1" si="11"/>
        <v>10</v>
      </c>
      <c r="F149">
        <f t="shared" ca="1" si="12"/>
        <v>140</v>
      </c>
      <c r="G149" s="3" t="b">
        <f ca="1">INDEX(dict_zul_Var_Meth[kval_active],MATCH(table_Methods[[#This Row],[ID]],dict_zul_Var_Meth[ID_Methods],0))</f>
        <v>0</v>
      </c>
      <c r="H149">
        <f t="shared" ca="1" si="13"/>
        <v>2475</v>
      </c>
      <c r="I149">
        <f t="shared" ca="1" si="14"/>
        <v>38400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5"/>
        <v>39</v>
      </c>
      <c r="E150">
        <f t="shared" ca="1" si="11"/>
        <v>-40</v>
      </c>
      <c r="F150">
        <f t="shared" ca="1" si="12"/>
        <v>1000</v>
      </c>
      <c r="G150" s="3" t="b">
        <f ca="1">INDEX(dict_zul_Var_Meth[kval_active],MATCH(table_Methods[[#This Row],[ID]],dict_zul_Var_Meth[ID_Methods],0))</f>
        <v>0</v>
      </c>
      <c r="H150">
        <f t="shared" ca="1" si="13"/>
        <v>18884</v>
      </c>
      <c r="I150">
        <f t="shared" ca="1" si="14"/>
        <v>26624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5"/>
        <v>900</v>
      </c>
      <c r="E151">
        <f t="shared" ca="1" si="11"/>
        <v>-10</v>
      </c>
      <c r="F151">
        <f t="shared" ca="1" si="12"/>
        <v>310</v>
      </c>
      <c r="G151" s="3" t="b">
        <f ca="1">INDEX(dict_zul_Var_Meth[kval_active],MATCH(table_Methods[[#This Row],[ID]],dict_zul_Var_Meth[ID_Methods],0))</f>
        <v>0</v>
      </c>
      <c r="H151">
        <f t="shared" ca="1" si="13"/>
        <v>31320</v>
      </c>
      <c r="I151">
        <f t="shared" ca="1" si="14"/>
        <v>116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5"/>
        <v>6500</v>
      </c>
      <c r="E152">
        <f t="shared" ca="1" si="11"/>
        <v>-100</v>
      </c>
      <c r="F152">
        <f t="shared" ca="1" si="12"/>
        <v>790</v>
      </c>
      <c r="G152" s="3" t="b">
        <f ca="1">INDEX(dict_zul_Var_Meth[kval_active],MATCH(table_Methods[[#This Row],[ID]],dict_zul_Var_Meth[ID_Methods],0))</f>
        <v>0</v>
      </c>
      <c r="H152">
        <f t="shared" ca="1" si="13"/>
        <v>16488</v>
      </c>
      <c r="I152">
        <f t="shared" ca="1" si="14"/>
        <v>12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5"/>
        <v>900</v>
      </c>
      <c r="E153">
        <f t="shared" ca="1" si="11"/>
        <v>10</v>
      </c>
      <c r="F153">
        <f t="shared" ca="1" si="12"/>
        <v>870</v>
      </c>
      <c r="G153" s="3" t="b">
        <f ca="1">INDEX(dict_zul_Var_Meth[kval_active],MATCH(table_Methods[[#This Row],[ID]],dict_zul_Var_Meth[ID_Methods],0))</f>
        <v>0</v>
      </c>
      <c r="H153">
        <f t="shared" ca="1" si="13"/>
        <v>8120</v>
      </c>
      <c r="I153">
        <f t="shared" ca="1" si="14"/>
        <v>680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5"/>
        <v>770</v>
      </c>
      <c r="E154">
        <f t="shared" ca="1" si="11"/>
        <v>-90</v>
      </c>
      <c r="F154">
        <f t="shared" ca="1" si="12"/>
        <v>360</v>
      </c>
      <c r="G154" s="3" t="b">
        <f ca="1">INDEX(dict_zul_Var_Meth[kval_active],MATCH(table_Methods[[#This Row],[ID]],dict_zul_Var_Meth[ID_Methods],0))</f>
        <v>0</v>
      </c>
      <c r="H154">
        <f t="shared" ca="1" si="13"/>
        <v>23780</v>
      </c>
      <c r="I154">
        <f t="shared" ca="1" si="14"/>
        <v>45568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5"/>
        <v>270</v>
      </c>
      <c r="E155">
        <f t="shared" ca="1" si="11"/>
        <v>-100</v>
      </c>
      <c r="F155">
        <f t="shared" ca="1" si="12"/>
        <v>390</v>
      </c>
      <c r="G155" s="3" t="b">
        <f ca="1">INDEX(dict_zul_Var_Meth[kval_active],MATCH(table_Methods[[#This Row],[ID]],dict_zul_Var_Meth[ID_Methods],0))</f>
        <v>0</v>
      </c>
      <c r="H155">
        <f t="shared" ca="1" si="13"/>
        <v>6550</v>
      </c>
      <c r="I155">
        <f t="shared" ca="1" si="14"/>
        <v>388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5"/>
        <v>5600</v>
      </c>
      <c r="E156">
        <f t="shared" ca="1" si="11"/>
        <v>-50</v>
      </c>
      <c r="F156">
        <f t="shared" ca="1" si="12"/>
        <v>390</v>
      </c>
      <c r="G156" s="3" t="b">
        <f ca="1">INDEX(dict_zul_Var_Meth[kval_active],MATCH(table_Methods[[#This Row],[ID]],dict_zul_Var_Meth[ID_Methods],0))</f>
        <v>0</v>
      </c>
      <c r="H156">
        <f t="shared" ca="1" si="13"/>
        <v>18000</v>
      </c>
      <c r="I156">
        <f t="shared" ca="1" si="14"/>
        <v>688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5"/>
        <v>1900</v>
      </c>
      <c r="E157">
        <f t="shared" ca="1" si="11"/>
        <v>-40</v>
      </c>
      <c r="F157">
        <f t="shared" ca="1" si="12"/>
        <v>350</v>
      </c>
      <c r="G157" s="3" t="b">
        <f ca="1">INDEX(dict_zul_Var_Meth[kval_active],MATCH(table_Methods[[#This Row],[ID]],dict_zul_Var_Meth[ID_Methods],0))</f>
        <v>0</v>
      </c>
      <c r="H157">
        <f t="shared" ca="1" si="13"/>
        <v>8900</v>
      </c>
      <c r="I157">
        <f t="shared" ca="1" si="14"/>
        <v>20480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5"/>
        <v>10</v>
      </c>
      <c r="E158">
        <f t="shared" ca="1" si="11"/>
        <v>-90</v>
      </c>
      <c r="F158">
        <f t="shared" ca="1" si="12"/>
        <v>900</v>
      </c>
      <c r="G158" s="3" t="b">
        <f ca="1">INDEX(dict_zul_Var_Meth[kval_active],MATCH(table_Methods[[#This Row],[ID]],dict_zul_Var_Meth[ID_Methods],0))</f>
        <v>0</v>
      </c>
      <c r="H158">
        <f t="shared" ca="1" si="13"/>
        <v>38268</v>
      </c>
      <c r="I158">
        <f t="shared" ca="1" si="14"/>
        <v>2624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5"/>
        <v>950</v>
      </c>
      <c r="E159">
        <f t="shared" ca="1" si="11"/>
        <v>0</v>
      </c>
      <c r="F159">
        <f t="shared" ca="1" si="12"/>
        <v>30</v>
      </c>
      <c r="G159" s="3" t="b">
        <f ca="1">INDEX(dict_zul_Var_Meth[kval_active],MATCH(table_Methods[[#This Row],[ID]],dict_zul_Var_Meth[ID_Methods],0))</f>
        <v>0</v>
      </c>
      <c r="H159">
        <f t="shared" ca="1" si="13"/>
        <v>6870</v>
      </c>
      <c r="I159">
        <f t="shared" ca="1" si="14"/>
        <v>2784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5"/>
        <v>8300</v>
      </c>
      <c r="E160">
        <f t="shared" ca="1" si="11"/>
        <v>20</v>
      </c>
      <c r="F160">
        <f t="shared" ca="1" si="12"/>
        <v>460</v>
      </c>
      <c r="G160" s="3" t="b">
        <f ca="1">INDEX(dict_zul_Var_Meth[kval_active],MATCH(table_Methods[[#This Row],[ID]],dict_zul_Var_Meth[ID_Methods],0))</f>
        <v>0</v>
      </c>
      <c r="H160">
        <f t="shared" ca="1" si="13"/>
        <v>32390</v>
      </c>
      <c r="I160">
        <f t="shared" ca="1" si="14"/>
        <v>3072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5"/>
        <v>40</v>
      </c>
      <c r="E161">
        <f t="shared" ca="1" si="11"/>
        <v>-70</v>
      </c>
      <c r="F161">
        <f t="shared" ca="1" si="12"/>
        <v>510</v>
      </c>
      <c r="G161" s="3" t="b">
        <f ca="1">INDEX(dict_zul_Var_Meth[kval_active],MATCH(table_Methods[[#This Row],[ID]],dict_zul_Var_Meth[ID_Methods],0))</f>
        <v>0</v>
      </c>
      <c r="H161">
        <f t="shared" ca="1" si="13"/>
        <v>22048</v>
      </c>
      <c r="I161">
        <f t="shared" ca="1" si="14"/>
        <v>392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5"/>
        <v>82.000000000000014</v>
      </c>
      <c r="E162">
        <f t="shared" ca="1" si="11"/>
        <v>0</v>
      </c>
      <c r="F162">
        <f t="shared" ca="1" si="12"/>
        <v>300</v>
      </c>
      <c r="G162" s="3" t="b">
        <f ca="1">INDEX(dict_zul_Var_Meth[kval_active],MATCH(table_Methods[[#This Row],[ID]],dict_zul_Var_Meth[ID_Methods],0))</f>
        <v>0</v>
      </c>
      <c r="H162">
        <f t="shared" ca="1" si="13"/>
        <v>6825</v>
      </c>
      <c r="I162">
        <f t="shared" ca="1" si="14"/>
        <v>960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5"/>
        <v>970</v>
      </c>
      <c r="E163">
        <f t="shared" ca="1" si="11"/>
        <v>-60</v>
      </c>
      <c r="F163">
        <f t="shared" ca="1" si="12"/>
        <v>390</v>
      </c>
      <c r="G163" s="3" t="b">
        <f ca="1">INDEX(dict_zul_Var_Meth[kval_active],MATCH(table_Methods[[#This Row],[ID]],dict_zul_Var_Meth[ID_Methods],0))</f>
        <v>0</v>
      </c>
      <c r="H163">
        <f t="shared" ca="1" si="13"/>
        <v>17120</v>
      </c>
      <c r="I163">
        <f t="shared" ca="1" si="14"/>
        <v>38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5"/>
        <v>730</v>
      </c>
      <c r="E164">
        <f t="shared" ref="E164:E227" ca="1" si="16">RANDBETWEEN(-10,3)*10</f>
        <v>-70</v>
      </c>
      <c r="F164">
        <f t="shared" ref="F164:F227" ca="1" si="17">RANDBETWEEN(2,100)*10</f>
        <v>100</v>
      </c>
      <c r="G164" s="3" t="b">
        <f ca="1">INDEX(dict_zul_Var_Meth[kval_active],MATCH(table_Methods[[#This Row],[ID]],dict_zul_Var_Meth[ID_Methods],0))</f>
        <v>0</v>
      </c>
      <c r="H164">
        <f t="shared" ref="H164:H227" ca="1" si="18">RANDBETWEEN(1,10)*RANDBETWEEN(1,5000)</f>
        <v>41841</v>
      </c>
      <c r="I164">
        <f t="shared" ref="I164:I227" ca="1" si="19">2^RANDBETWEEN(1,10)*RANDBETWEEN(1,100)</f>
        <v>960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5"/>
        <v>610</v>
      </c>
      <c r="E165">
        <f t="shared" ca="1" si="16"/>
        <v>-10</v>
      </c>
      <c r="F165">
        <f t="shared" ca="1" si="17"/>
        <v>150</v>
      </c>
      <c r="G165" s="3" t="b">
        <f ca="1">INDEX(dict_zul_Var_Meth[kval_active],MATCH(table_Methods[[#This Row],[ID]],dict_zul_Var_Meth[ID_Methods],0))</f>
        <v>0</v>
      </c>
      <c r="H165">
        <f t="shared" ca="1" si="18"/>
        <v>4218</v>
      </c>
      <c r="I165">
        <f t="shared" ca="1" si="19"/>
        <v>198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5"/>
        <v>59</v>
      </c>
      <c r="E166">
        <f t="shared" ca="1" si="16"/>
        <v>20</v>
      </c>
      <c r="F166">
        <f t="shared" ca="1" si="17"/>
        <v>190</v>
      </c>
      <c r="G166" s="3" t="b">
        <f ca="1">INDEX(dict_zul_Var_Meth[kval_active],MATCH(table_Methods[[#This Row],[ID]],dict_zul_Var_Meth[ID_Methods],0))</f>
        <v>0</v>
      </c>
      <c r="H166">
        <f t="shared" ca="1" si="18"/>
        <v>27576</v>
      </c>
      <c r="I166">
        <f t="shared" ca="1" si="19"/>
        <v>1152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5"/>
        <v>4500</v>
      </c>
      <c r="E167">
        <f t="shared" ca="1" si="16"/>
        <v>-60</v>
      </c>
      <c r="F167">
        <f t="shared" ca="1" si="17"/>
        <v>660</v>
      </c>
      <c r="G167" s="3" t="b">
        <f ca="1">INDEX(dict_zul_Var_Meth[kval_active],MATCH(table_Methods[[#This Row],[ID]],dict_zul_Var_Meth[ID_Methods],0))</f>
        <v>0</v>
      </c>
      <c r="H167">
        <f t="shared" ca="1" si="18"/>
        <v>27321</v>
      </c>
      <c r="I167">
        <f t="shared" ca="1" si="19"/>
        <v>1232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5"/>
        <v>910</v>
      </c>
      <c r="E168">
        <f t="shared" ca="1" si="16"/>
        <v>20</v>
      </c>
      <c r="F168">
        <f t="shared" ca="1" si="17"/>
        <v>1000</v>
      </c>
      <c r="G168" s="3" t="b">
        <f ca="1">INDEX(dict_zul_Var_Meth[kval_active],MATCH(table_Methods[[#This Row],[ID]],dict_zul_Var_Meth[ID_Methods],0))</f>
        <v>1</v>
      </c>
      <c r="H168">
        <f t="shared" ca="1" si="18"/>
        <v>4049</v>
      </c>
      <c r="I168">
        <f t="shared" ca="1" si="19"/>
        <v>768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5"/>
        <v>10</v>
      </c>
      <c r="E169">
        <f t="shared" ca="1" si="16"/>
        <v>-30</v>
      </c>
      <c r="F169">
        <f t="shared" ca="1" si="17"/>
        <v>810</v>
      </c>
      <c r="G169" s="3" t="b">
        <f ca="1">INDEX(dict_zul_Var_Meth[kval_active],MATCH(table_Methods[[#This Row],[ID]],dict_zul_Var_Meth[ID_Methods],0))</f>
        <v>0</v>
      </c>
      <c r="H169">
        <f t="shared" ca="1" si="18"/>
        <v>16572</v>
      </c>
      <c r="I169">
        <f t="shared" ca="1" si="19"/>
        <v>380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5"/>
        <v>920</v>
      </c>
      <c r="E170">
        <f t="shared" ca="1" si="16"/>
        <v>-60</v>
      </c>
      <c r="F170">
        <f t="shared" ca="1" si="17"/>
        <v>410</v>
      </c>
      <c r="G170" s="3" t="b">
        <f ca="1">INDEX(dict_zul_Var_Meth[kval_active],MATCH(table_Methods[[#This Row],[ID]],dict_zul_Var_Meth[ID_Methods],0))</f>
        <v>0</v>
      </c>
      <c r="H170">
        <f t="shared" ca="1" si="18"/>
        <v>7371</v>
      </c>
      <c r="I170">
        <f t="shared" ca="1" si="19"/>
        <v>7424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5"/>
        <v>700</v>
      </c>
      <c r="E171">
        <f t="shared" ca="1" si="16"/>
        <v>-10</v>
      </c>
      <c r="F171">
        <f t="shared" ca="1" si="17"/>
        <v>530</v>
      </c>
      <c r="G171" s="3" t="b">
        <f ca="1">INDEX(dict_zul_Var_Meth[kval_active],MATCH(table_Methods[[#This Row],[ID]],dict_zul_Var_Meth[ID_Methods],0))</f>
        <v>0</v>
      </c>
      <c r="H171">
        <f t="shared" ca="1" si="18"/>
        <v>883</v>
      </c>
      <c r="I171">
        <f t="shared" ca="1" si="19"/>
        <v>400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5"/>
        <v>2500</v>
      </c>
      <c r="E172">
        <f t="shared" ca="1" si="16"/>
        <v>-60</v>
      </c>
      <c r="F172">
        <f t="shared" ca="1" si="17"/>
        <v>300</v>
      </c>
      <c r="G172" s="3" t="b">
        <f ca="1">INDEX(dict_zul_Var_Meth[kval_active],MATCH(table_Methods[[#This Row],[ID]],dict_zul_Var_Meth[ID_Methods],0))</f>
        <v>0</v>
      </c>
      <c r="H172">
        <f t="shared" ca="1" si="18"/>
        <v>272</v>
      </c>
      <c r="I172">
        <f t="shared" ca="1" si="19"/>
        <v>220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5"/>
        <v>57</v>
      </c>
      <c r="E173">
        <f t="shared" ca="1" si="16"/>
        <v>30</v>
      </c>
      <c r="F173">
        <f t="shared" ca="1" si="17"/>
        <v>720</v>
      </c>
      <c r="G173" s="3" t="b">
        <f ca="1">INDEX(dict_zul_Var_Meth[kval_active],MATCH(table_Methods[[#This Row],[ID]],dict_zul_Var_Meth[ID_Methods],0))</f>
        <v>0</v>
      </c>
      <c r="H173">
        <f t="shared" ca="1" si="18"/>
        <v>3704</v>
      </c>
      <c r="I173">
        <f t="shared" ca="1" si="19"/>
        <v>672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5"/>
        <v>320</v>
      </c>
      <c r="E174">
        <f t="shared" ca="1" si="16"/>
        <v>-20</v>
      </c>
      <c r="F174">
        <f t="shared" ca="1" si="17"/>
        <v>250</v>
      </c>
      <c r="G174" s="3" t="b">
        <f ca="1">INDEX(dict_zul_Var_Meth[kval_active],MATCH(table_Methods[[#This Row],[ID]],dict_zul_Var_Meth[ID_Methods],0))</f>
        <v>0</v>
      </c>
      <c r="H174">
        <f t="shared" ca="1" si="18"/>
        <v>10255</v>
      </c>
      <c r="I174">
        <f t="shared" ca="1" si="19"/>
        <v>62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5"/>
        <v>14.000000000000002</v>
      </c>
      <c r="E175">
        <f t="shared" ca="1" si="16"/>
        <v>30</v>
      </c>
      <c r="F175">
        <f t="shared" ca="1" si="17"/>
        <v>110</v>
      </c>
      <c r="G175" s="3" t="b">
        <f ca="1">INDEX(dict_zul_Var_Meth[kval_active],MATCH(table_Methods[[#This Row],[ID]],dict_zul_Var_Meth[ID_Methods],0))</f>
        <v>0</v>
      </c>
      <c r="H175">
        <f t="shared" ca="1" si="18"/>
        <v>14154</v>
      </c>
      <c r="I175">
        <f t="shared" ca="1" si="19"/>
        <v>5120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5"/>
        <v>300</v>
      </c>
      <c r="E176">
        <f t="shared" ca="1" si="16"/>
        <v>-70</v>
      </c>
      <c r="F176">
        <f t="shared" ca="1" si="17"/>
        <v>700</v>
      </c>
      <c r="G176" s="3" t="b">
        <f ca="1">INDEX(dict_zul_Var_Meth[kval_active],MATCH(table_Methods[[#This Row],[ID]],dict_zul_Var_Meth[ID_Methods],0))</f>
        <v>0</v>
      </c>
      <c r="H176">
        <f t="shared" ca="1" si="18"/>
        <v>18064</v>
      </c>
      <c r="I176">
        <f t="shared" ca="1" si="19"/>
        <v>24576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5"/>
        <v>70</v>
      </c>
      <c r="E177">
        <f t="shared" ca="1" si="16"/>
        <v>-30</v>
      </c>
      <c r="F177">
        <f t="shared" ca="1" si="17"/>
        <v>920</v>
      </c>
      <c r="G177" s="3" t="b">
        <f ca="1">INDEX(dict_zul_Var_Meth[kval_active],MATCH(table_Methods[[#This Row],[ID]],dict_zul_Var_Meth[ID_Methods],0))</f>
        <v>0</v>
      </c>
      <c r="H177">
        <f t="shared" ca="1" si="18"/>
        <v>818</v>
      </c>
      <c r="I177">
        <f t="shared" ca="1" si="19"/>
        <v>2592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5"/>
        <v>9100</v>
      </c>
      <c r="E178">
        <f t="shared" ca="1" si="16"/>
        <v>20</v>
      </c>
      <c r="F178">
        <f t="shared" ca="1" si="17"/>
        <v>260</v>
      </c>
      <c r="G178" s="3" t="b">
        <f ca="1">INDEX(dict_zul_Var_Meth[kval_active],MATCH(table_Methods[[#This Row],[ID]],dict_zul_Var_Meth[ID_Methods],0))</f>
        <v>0</v>
      </c>
      <c r="H178">
        <f t="shared" ca="1" si="18"/>
        <v>32724</v>
      </c>
      <c r="I178">
        <f t="shared" ca="1" si="19"/>
        <v>4096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5"/>
        <v>29.000000000000004</v>
      </c>
      <c r="E179">
        <f t="shared" ca="1" si="16"/>
        <v>-10</v>
      </c>
      <c r="F179">
        <f t="shared" ca="1" si="17"/>
        <v>960</v>
      </c>
      <c r="G179" s="3" t="b">
        <f ca="1">INDEX(dict_zul_Var_Meth[kval_active],MATCH(table_Methods[[#This Row],[ID]],dict_zul_Var_Meth[ID_Methods],0))</f>
        <v>0</v>
      </c>
      <c r="H179">
        <f t="shared" ca="1" si="18"/>
        <v>4831</v>
      </c>
      <c r="I179">
        <f t="shared" ca="1" si="19"/>
        <v>112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5"/>
        <v>10</v>
      </c>
      <c r="E180">
        <f t="shared" ca="1" si="16"/>
        <v>0</v>
      </c>
      <c r="F180">
        <f t="shared" ca="1" si="17"/>
        <v>310</v>
      </c>
      <c r="G180" s="3" t="b">
        <f ca="1">INDEX(dict_zul_Var_Meth[kval_active],MATCH(table_Methods[[#This Row],[ID]],dict_zul_Var_Meth[ID_Methods],0))</f>
        <v>1</v>
      </c>
      <c r="H180">
        <f t="shared" ca="1" si="18"/>
        <v>10752</v>
      </c>
      <c r="I180">
        <f t="shared" ca="1" si="19"/>
        <v>106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5"/>
        <v>1700</v>
      </c>
      <c r="E181">
        <f t="shared" ca="1" si="16"/>
        <v>-80</v>
      </c>
      <c r="F181">
        <f t="shared" ca="1" si="17"/>
        <v>480</v>
      </c>
      <c r="G181" s="3" t="b">
        <f ca="1">INDEX(dict_zul_Var_Meth[kval_active],MATCH(table_Methods[[#This Row],[ID]],dict_zul_Var_Meth[ID_Methods],0))</f>
        <v>0</v>
      </c>
      <c r="H181">
        <f t="shared" ca="1" si="18"/>
        <v>18657</v>
      </c>
      <c r="I181">
        <f t="shared" ca="1" si="19"/>
        <v>768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5"/>
        <v>9500</v>
      </c>
      <c r="E182">
        <f t="shared" ca="1" si="16"/>
        <v>10</v>
      </c>
      <c r="F182">
        <f t="shared" ca="1" si="17"/>
        <v>660</v>
      </c>
      <c r="G182" s="3" t="b">
        <f ca="1">INDEX(dict_zul_Var_Meth[kval_active],MATCH(table_Methods[[#This Row],[ID]],dict_zul_Var_Meth[ID_Methods],0))</f>
        <v>0</v>
      </c>
      <c r="H182">
        <f t="shared" ca="1" si="18"/>
        <v>2304</v>
      </c>
      <c r="I182">
        <f t="shared" ca="1" si="19"/>
        <v>19456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5"/>
        <v>880</v>
      </c>
      <c r="E183">
        <f t="shared" ca="1" si="16"/>
        <v>-20</v>
      </c>
      <c r="F183">
        <f t="shared" ca="1" si="17"/>
        <v>930</v>
      </c>
      <c r="G183" s="3" t="b">
        <f ca="1">INDEX(dict_zul_Var_Meth[kval_active],MATCH(table_Methods[[#This Row],[ID]],dict_zul_Var_Meth[ID_Methods],0))</f>
        <v>0</v>
      </c>
      <c r="H183">
        <f t="shared" ca="1" si="18"/>
        <v>28063</v>
      </c>
      <c r="I183">
        <f t="shared" ca="1" si="19"/>
        <v>1024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5"/>
        <v>45</v>
      </c>
      <c r="E184">
        <f t="shared" ca="1" si="16"/>
        <v>20</v>
      </c>
      <c r="F184">
        <f t="shared" ca="1" si="17"/>
        <v>610</v>
      </c>
      <c r="G184" s="3" t="b">
        <f ca="1">INDEX(dict_zul_Var_Meth[kval_active],MATCH(table_Methods[[#This Row],[ID]],dict_zul_Var_Meth[ID_Methods],0))</f>
        <v>0</v>
      </c>
      <c r="H184">
        <f t="shared" ca="1" si="18"/>
        <v>2835</v>
      </c>
      <c r="I184">
        <f t="shared" ca="1" si="19"/>
        <v>20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5"/>
        <v>2500</v>
      </c>
      <c r="E185">
        <f t="shared" ca="1" si="16"/>
        <v>-80</v>
      </c>
      <c r="F185">
        <f t="shared" ca="1" si="17"/>
        <v>980</v>
      </c>
      <c r="G185" s="3" t="b">
        <f ca="1">INDEX(dict_zul_Var_Meth[kval_active],MATCH(table_Methods[[#This Row],[ID]],dict_zul_Var_Meth[ID_Methods],0))</f>
        <v>0</v>
      </c>
      <c r="H185">
        <f t="shared" ca="1" si="18"/>
        <v>13212</v>
      </c>
      <c r="I185">
        <f t="shared" ca="1" si="19"/>
        <v>2048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5"/>
        <v>33</v>
      </c>
      <c r="E186">
        <f t="shared" ca="1" si="16"/>
        <v>-80</v>
      </c>
      <c r="F186">
        <f t="shared" ca="1" si="17"/>
        <v>800</v>
      </c>
      <c r="G186" s="3" t="b">
        <f ca="1">INDEX(dict_zul_Var_Meth[kval_active],MATCH(table_Methods[[#This Row],[ID]],dict_zul_Var_Meth[ID_Methods],0))</f>
        <v>0</v>
      </c>
      <c r="H186">
        <f t="shared" ca="1" si="18"/>
        <v>14205</v>
      </c>
      <c r="I186">
        <f t="shared" ca="1" si="19"/>
        <v>34816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5"/>
        <v>60</v>
      </c>
      <c r="E187">
        <f t="shared" ca="1" si="16"/>
        <v>30</v>
      </c>
      <c r="F187">
        <f t="shared" ca="1" si="17"/>
        <v>240</v>
      </c>
      <c r="G187" s="3" t="b">
        <f ca="1">INDEX(dict_zul_Var_Meth[kval_active],MATCH(table_Methods[[#This Row],[ID]],dict_zul_Var_Meth[ID_Methods],0))</f>
        <v>0</v>
      </c>
      <c r="H187">
        <f t="shared" ca="1" si="18"/>
        <v>2633</v>
      </c>
      <c r="I187">
        <f t="shared" ca="1" si="19"/>
        <v>128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5"/>
        <v>97.000000000000014</v>
      </c>
      <c r="E188">
        <f t="shared" ca="1" si="16"/>
        <v>-80</v>
      </c>
      <c r="F188">
        <f t="shared" ca="1" si="17"/>
        <v>660</v>
      </c>
      <c r="G188" s="3" t="b">
        <f ca="1">INDEX(dict_zul_Var_Meth[kval_active],MATCH(table_Methods[[#This Row],[ID]],dict_zul_Var_Meth[ID_Methods],0))</f>
        <v>0</v>
      </c>
      <c r="H188">
        <f t="shared" ca="1" si="18"/>
        <v>3838</v>
      </c>
      <c r="I188">
        <f t="shared" ca="1" si="19"/>
        <v>4736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5"/>
        <v>100</v>
      </c>
      <c r="E189">
        <f t="shared" ca="1" si="16"/>
        <v>-30</v>
      </c>
      <c r="F189">
        <f t="shared" ca="1" si="17"/>
        <v>270</v>
      </c>
      <c r="G189" s="3" t="b">
        <f ca="1">INDEX(dict_zul_Var_Meth[kval_active],MATCH(table_Methods[[#This Row],[ID]],dict_zul_Var_Meth[ID_Methods],0))</f>
        <v>0</v>
      </c>
      <c r="H189">
        <f t="shared" ca="1" si="18"/>
        <v>11560</v>
      </c>
      <c r="I189">
        <f t="shared" ca="1" si="19"/>
        <v>66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5"/>
        <v>11</v>
      </c>
      <c r="E190">
        <f t="shared" ca="1" si="16"/>
        <v>-70</v>
      </c>
      <c r="F190">
        <f t="shared" ca="1" si="17"/>
        <v>330</v>
      </c>
      <c r="G190" s="3" t="b">
        <f ca="1">INDEX(dict_zul_Var_Meth[kval_active],MATCH(table_Methods[[#This Row],[ID]],dict_zul_Var_Meth[ID_Methods],0))</f>
        <v>0</v>
      </c>
      <c r="H190">
        <f t="shared" ca="1" si="18"/>
        <v>4669</v>
      </c>
      <c r="I190">
        <f t="shared" ca="1" si="19"/>
        <v>3072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5"/>
        <v>90</v>
      </c>
      <c r="E191">
        <f t="shared" ca="1" si="16"/>
        <v>-60</v>
      </c>
      <c r="F191">
        <f t="shared" ca="1" si="17"/>
        <v>490</v>
      </c>
      <c r="G191" s="3" t="b">
        <f ca="1">INDEX(dict_zul_Var_Meth[kval_active],MATCH(table_Methods[[#This Row],[ID]],dict_zul_Var_Meth[ID_Methods],0))</f>
        <v>0</v>
      </c>
      <c r="H191">
        <f t="shared" ca="1" si="18"/>
        <v>1580</v>
      </c>
      <c r="I191">
        <f t="shared" ca="1" si="19"/>
        <v>152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5"/>
        <v>500</v>
      </c>
      <c r="E192">
        <f t="shared" ca="1" si="16"/>
        <v>0</v>
      </c>
      <c r="F192">
        <f t="shared" ca="1" si="17"/>
        <v>70</v>
      </c>
      <c r="G192" s="3" t="b">
        <f ca="1">INDEX(dict_zul_Var_Meth[kval_active],MATCH(table_Methods[[#This Row],[ID]],dict_zul_Var_Meth[ID_Methods],0))</f>
        <v>0</v>
      </c>
      <c r="H192">
        <f t="shared" ca="1" si="18"/>
        <v>19824</v>
      </c>
      <c r="I192">
        <f t="shared" ca="1" si="19"/>
        <v>192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5"/>
        <v>500</v>
      </c>
      <c r="E193">
        <f t="shared" ca="1" si="16"/>
        <v>-40</v>
      </c>
      <c r="F193">
        <f t="shared" ca="1" si="17"/>
        <v>680</v>
      </c>
      <c r="G193" s="3" t="b">
        <f ca="1">INDEX(dict_zul_Var_Meth[kval_active],MATCH(table_Methods[[#This Row],[ID]],dict_zul_Var_Meth[ID_Methods],0))</f>
        <v>0</v>
      </c>
      <c r="H193">
        <f t="shared" ca="1" si="18"/>
        <v>28692</v>
      </c>
      <c r="I193">
        <f t="shared" ca="1" si="19"/>
        <v>10240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0">10^(RANDBETWEEN(-1,1))*RANDBETWEEN(1,100)*10</f>
        <v>31</v>
      </c>
      <c r="E194">
        <f t="shared" ca="1" si="16"/>
        <v>0</v>
      </c>
      <c r="F194">
        <f t="shared" ca="1" si="17"/>
        <v>200</v>
      </c>
      <c r="G194" s="3" t="b">
        <f ca="1">INDEX(dict_zul_Var_Meth[kval_active],MATCH(table_Methods[[#This Row],[ID]],dict_zul_Var_Meth[ID_Methods],0))</f>
        <v>0</v>
      </c>
      <c r="H194">
        <f t="shared" ca="1" si="18"/>
        <v>3398</v>
      </c>
      <c r="I194">
        <f t="shared" ca="1" si="19"/>
        <v>112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0"/>
        <v>520</v>
      </c>
      <c r="E195">
        <f t="shared" ca="1" si="16"/>
        <v>-30</v>
      </c>
      <c r="F195">
        <f t="shared" ca="1" si="17"/>
        <v>90</v>
      </c>
      <c r="G195" s="3" t="b">
        <f ca="1">INDEX(dict_zul_Var_Meth[kval_active],MATCH(table_Methods[[#This Row],[ID]],dict_zul_Var_Meth[ID_Methods],0))</f>
        <v>0</v>
      </c>
      <c r="H195">
        <f t="shared" ca="1" si="18"/>
        <v>3010</v>
      </c>
      <c r="I195">
        <f t="shared" ca="1" si="19"/>
        <v>4864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0"/>
        <v>4500</v>
      </c>
      <c r="E196">
        <f t="shared" ca="1" si="16"/>
        <v>0</v>
      </c>
      <c r="F196">
        <f t="shared" ca="1" si="17"/>
        <v>400</v>
      </c>
      <c r="G196" s="3" t="b">
        <f ca="1">INDEX(dict_zul_Var_Meth[kval_active],MATCH(table_Methods[[#This Row],[ID]],dict_zul_Var_Meth[ID_Methods],0))</f>
        <v>0</v>
      </c>
      <c r="H196">
        <f t="shared" ca="1" si="18"/>
        <v>3090</v>
      </c>
      <c r="I196">
        <f t="shared" ca="1" si="19"/>
        <v>12800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0"/>
        <v>5100</v>
      </c>
      <c r="E197">
        <f t="shared" ca="1" si="16"/>
        <v>20</v>
      </c>
      <c r="F197">
        <f t="shared" ca="1" si="17"/>
        <v>520</v>
      </c>
      <c r="G197" s="3" t="b">
        <f ca="1">INDEX(dict_zul_Var_Meth[kval_active],MATCH(table_Methods[[#This Row],[ID]],dict_zul_Var_Meth[ID_Methods],0))</f>
        <v>0</v>
      </c>
      <c r="H197">
        <f t="shared" ca="1" si="18"/>
        <v>47760</v>
      </c>
      <c r="I197">
        <f t="shared" ca="1" si="19"/>
        <v>2560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0"/>
        <v>730</v>
      </c>
      <c r="E198">
        <f t="shared" ca="1" si="16"/>
        <v>-10</v>
      </c>
      <c r="F198">
        <f t="shared" ca="1" si="17"/>
        <v>530</v>
      </c>
      <c r="G198" s="3" t="b">
        <f ca="1">INDEX(dict_zul_Var_Meth[kval_active],MATCH(table_Methods[[#This Row],[ID]],dict_zul_Var_Meth[ID_Methods],0))</f>
        <v>0</v>
      </c>
      <c r="H198">
        <f t="shared" ca="1" si="18"/>
        <v>34144</v>
      </c>
      <c r="I198">
        <f t="shared" ca="1" si="19"/>
        <v>26624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0"/>
        <v>27</v>
      </c>
      <c r="E199">
        <f t="shared" ca="1" si="16"/>
        <v>-10</v>
      </c>
      <c r="F199">
        <f t="shared" ca="1" si="17"/>
        <v>210</v>
      </c>
      <c r="G199" s="3" t="b">
        <f ca="1">INDEX(dict_zul_Var_Meth[kval_active],MATCH(table_Methods[[#This Row],[ID]],dict_zul_Var_Meth[ID_Methods],0))</f>
        <v>0</v>
      </c>
      <c r="H199">
        <f t="shared" ca="1" si="18"/>
        <v>12462</v>
      </c>
      <c r="I199">
        <f t="shared" ca="1" si="19"/>
        <v>92160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0"/>
        <v>5900</v>
      </c>
      <c r="E200">
        <f t="shared" ca="1" si="16"/>
        <v>-70</v>
      </c>
      <c r="F200">
        <f t="shared" ca="1" si="17"/>
        <v>570</v>
      </c>
      <c r="G200" s="3" t="b">
        <f ca="1">INDEX(dict_zul_Var_Meth[kval_active],MATCH(table_Methods[[#This Row],[ID]],dict_zul_Var_Meth[ID_Methods],0))</f>
        <v>0</v>
      </c>
      <c r="H200">
        <f t="shared" ca="1" si="18"/>
        <v>4578</v>
      </c>
      <c r="I200">
        <f t="shared" ca="1" si="19"/>
        <v>68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0"/>
        <v>250</v>
      </c>
      <c r="E201">
        <f t="shared" ca="1" si="16"/>
        <v>30</v>
      </c>
      <c r="F201">
        <f t="shared" ca="1" si="17"/>
        <v>170</v>
      </c>
      <c r="G201" s="3" t="b">
        <f ca="1">INDEX(dict_zul_Var_Meth[kval_active],MATCH(table_Methods[[#This Row],[ID]],dict_zul_Var_Meth[ID_Methods],0))</f>
        <v>0</v>
      </c>
      <c r="H201">
        <f t="shared" ca="1" si="18"/>
        <v>6282</v>
      </c>
      <c r="I201">
        <f t="shared" ca="1" si="19"/>
        <v>6208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0"/>
        <v>5900</v>
      </c>
      <c r="E202">
        <f t="shared" ca="1" si="16"/>
        <v>-10</v>
      </c>
      <c r="F202">
        <f t="shared" ca="1" si="17"/>
        <v>490</v>
      </c>
      <c r="G202" s="3" t="b">
        <f ca="1">INDEX(dict_zul_Var_Meth[kval_active],MATCH(table_Methods[[#This Row],[ID]],dict_zul_Var_Meth[ID_Methods],0))</f>
        <v>0</v>
      </c>
      <c r="H202">
        <f t="shared" ca="1" si="18"/>
        <v>236</v>
      </c>
      <c r="I202">
        <f t="shared" ca="1" si="19"/>
        <v>11136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0"/>
        <v>7900</v>
      </c>
      <c r="E203">
        <f t="shared" ca="1" si="16"/>
        <v>-50</v>
      </c>
      <c r="F203">
        <f t="shared" ca="1" si="17"/>
        <v>70</v>
      </c>
      <c r="G203" s="3" t="b">
        <f ca="1">INDEX(dict_zul_Var_Meth[kval_active],MATCH(table_Methods[[#This Row],[ID]],dict_zul_Var_Meth[ID_Methods],0))</f>
        <v>0</v>
      </c>
      <c r="H203">
        <f t="shared" ca="1" si="18"/>
        <v>302</v>
      </c>
      <c r="I203">
        <f t="shared" ca="1" si="19"/>
        <v>136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0"/>
        <v>620</v>
      </c>
      <c r="E204">
        <f t="shared" ca="1" si="16"/>
        <v>-80</v>
      </c>
      <c r="F204">
        <f t="shared" ca="1" si="17"/>
        <v>370</v>
      </c>
      <c r="G204" s="3" t="b">
        <f ca="1">INDEX(dict_zul_Var_Meth[kval_active],MATCH(table_Methods[[#This Row],[ID]],dict_zul_Var_Meth[ID_Methods],0))</f>
        <v>0</v>
      </c>
      <c r="H204">
        <f t="shared" ca="1" si="18"/>
        <v>1600</v>
      </c>
      <c r="I204">
        <f t="shared" ca="1" si="19"/>
        <v>688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0"/>
        <v>300</v>
      </c>
      <c r="E205">
        <f t="shared" ca="1" si="16"/>
        <v>30</v>
      </c>
      <c r="F205">
        <f t="shared" ca="1" si="17"/>
        <v>70</v>
      </c>
      <c r="G205" s="3" t="b">
        <f ca="1">INDEX(dict_zul_Var_Meth[kval_active],MATCH(table_Methods[[#This Row],[ID]],dict_zul_Var_Meth[ID_Methods],0))</f>
        <v>0</v>
      </c>
      <c r="H205">
        <f t="shared" ca="1" si="18"/>
        <v>1209</v>
      </c>
      <c r="I205">
        <f t="shared" ca="1" si="19"/>
        <v>328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0"/>
        <v>380</v>
      </c>
      <c r="E206">
        <f t="shared" ca="1" si="16"/>
        <v>30</v>
      </c>
      <c r="F206">
        <f t="shared" ca="1" si="17"/>
        <v>60</v>
      </c>
      <c r="G206" s="3" t="b">
        <f ca="1">INDEX(dict_zul_Var_Meth[kval_active],MATCH(table_Methods[[#This Row],[ID]],dict_zul_Var_Meth[ID_Methods],0))</f>
        <v>0</v>
      </c>
      <c r="H206">
        <f t="shared" ca="1" si="18"/>
        <v>18912</v>
      </c>
      <c r="I206">
        <f t="shared" ca="1" si="19"/>
        <v>25600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0"/>
        <v>600</v>
      </c>
      <c r="E207">
        <f t="shared" ca="1" si="16"/>
        <v>0</v>
      </c>
      <c r="F207">
        <f t="shared" ca="1" si="17"/>
        <v>390</v>
      </c>
      <c r="G207" s="3" t="b">
        <f ca="1">INDEX(dict_zul_Var_Meth[kval_active],MATCH(table_Methods[[#This Row],[ID]],dict_zul_Var_Meth[ID_Methods],0))</f>
        <v>0</v>
      </c>
      <c r="H207">
        <f t="shared" ca="1" si="18"/>
        <v>43800</v>
      </c>
      <c r="I207">
        <f t="shared" ca="1" si="19"/>
        <v>35840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0"/>
        <v>5900</v>
      </c>
      <c r="E208">
        <f t="shared" ca="1" si="16"/>
        <v>-70</v>
      </c>
      <c r="F208">
        <f t="shared" ca="1" si="17"/>
        <v>390</v>
      </c>
      <c r="G208" s="3" t="b">
        <f ca="1">INDEX(dict_zul_Var_Meth[kval_active],MATCH(table_Methods[[#This Row],[ID]],dict_zul_Var_Meth[ID_Methods],0))</f>
        <v>0</v>
      </c>
      <c r="H208">
        <f t="shared" ca="1" si="18"/>
        <v>11298</v>
      </c>
      <c r="I208">
        <f t="shared" ca="1" si="19"/>
        <v>59392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0"/>
        <v>300</v>
      </c>
      <c r="E209">
        <f t="shared" ca="1" si="16"/>
        <v>-60</v>
      </c>
      <c r="F209">
        <f t="shared" ca="1" si="17"/>
        <v>990</v>
      </c>
      <c r="G209" s="3" t="b">
        <f ca="1">INDEX(dict_zul_Var_Meth[kval_active],MATCH(table_Methods[[#This Row],[ID]],dict_zul_Var_Meth[ID_Methods],0))</f>
        <v>0</v>
      </c>
      <c r="H209">
        <f t="shared" ca="1" si="18"/>
        <v>22850</v>
      </c>
      <c r="I209">
        <f t="shared" ca="1" si="19"/>
        <v>136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0"/>
        <v>40</v>
      </c>
      <c r="E210">
        <f t="shared" ca="1" si="16"/>
        <v>-70</v>
      </c>
      <c r="F210">
        <f t="shared" ca="1" si="17"/>
        <v>280</v>
      </c>
      <c r="G210" s="3" t="b">
        <f ca="1">INDEX(dict_zul_Var_Meth[kval_active],MATCH(table_Methods[[#This Row],[ID]],dict_zul_Var_Meth[ID_Methods],0))</f>
        <v>0</v>
      </c>
      <c r="H210">
        <f t="shared" ca="1" si="18"/>
        <v>46800</v>
      </c>
      <c r="I210">
        <f t="shared" ca="1" si="19"/>
        <v>392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0"/>
        <v>49</v>
      </c>
      <c r="E211">
        <f t="shared" ca="1" si="16"/>
        <v>0</v>
      </c>
      <c r="F211">
        <f t="shared" ca="1" si="17"/>
        <v>470</v>
      </c>
      <c r="G211" s="3" t="b">
        <f ca="1">INDEX(dict_zul_Var_Meth[kval_active],MATCH(table_Methods[[#This Row],[ID]],dict_zul_Var_Meth[ID_Methods],0))</f>
        <v>0</v>
      </c>
      <c r="H211">
        <f t="shared" ca="1" si="18"/>
        <v>30016</v>
      </c>
      <c r="I211">
        <f t="shared" ca="1" si="19"/>
        <v>880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0"/>
        <v>4800</v>
      </c>
      <c r="E212">
        <f t="shared" ca="1" si="16"/>
        <v>-30</v>
      </c>
      <c r="F212">
        <f t="shared" ca="1" si="17"/>
        <v>590</v>
      </c>
      <c r="G212" s="3" t="b">
        <f ca="1">INDEX(dict_zul_Var_Meth[kval_active],MATCH(table_Methods[[#This Row],[ID]],dict_zul_Var_Meth[ID_Methods],0))</f>
        <v>0</v>
      </c>
      <c r="H212">
        <f t="shared" ca="1" si="18"/>
        <v>10881</v>
      </c>
      <c r="I212">
        <f t="shared" ca="1" si="19"/>
        <v>128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0"/>
        <v>2500</v>
      </c>
      <c r="E213">
        <f t="shared" ca="1" si="16"/>
        <v>-30</v>
      </c>
      <c r="F213">
        <f t="shared" ca="1" si="17"/>
        <v>420</v>
      </c>
      <c r="G213" s="3" t="b">
        <f ca="1">INDEX(dict_zul_Var_Meth[kval_active],MATCH(table_Methods[[#This Row],[ID]],dict_zul_Var_Meth[ID_Methods],0))</f>
        <v>0</v>
      </c>
      <c r="H213">
        <f t="shared" ca="1" si="18"/>
        <v>39336</v>
      </c>
      <c r="I213">
        <f t="shared" ca="1" si="19"/>
        <v>568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0"/>
        <v>250</v>
      </c>
      <c r="E214">
        <f t="shared" ca="1" si="16"/>
        <v>-90</v>
      </c>
      <c r="F214">
        <f t="shared" ca="1" si="17"/>
        <v>220</v>
      </c>
      <c r="G214" s="3" t="b">
        <f ca="1">INDEX(dict_zul_Var_Meth[kval_active],MATCH(table_Methods[[#This Row],[ID]],dict_zul_Var_Meth[ID_Methods],0))</f>
        <v>0</v>
      </c>
      <c r="H214">
        <f t="shared" ca="1" si="18"/>
        <v>845</v>
      </c>
      <c r="I214">
        <f t="shared" ca="1" si="19"/>
        <v>2944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0"/>
        <v>91</v>
      </c>
      <c r="E215">
        <f t="shared" ca="1" si="16"/>
        <v>-100</v>
      </c>
      <c r="F215">
        <f t="shared" ca="1" si="17"/>
        <v>530</v>
      </c>
      <c r="G215" s="3" t="b">
        <f ca="1">INDEX(dict_zul_Var_Meth[kval_active],MATCH(table_Methods[[#This Row],[ID]],dict_zul_Var_Meth[ID_Methods],0))</f>
        <v>0</v>
      </c>
      <c r="H215">
        <f t="shared" ca="1" si="18"/>
        <v>2295</v>
      </c>
      <c r="I215">
        <f t="shared" ca="1" si="19"/>
        <v>1152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0"/>
        <v>460</v>
      </c>
      <c r="E216">
        <f t="shared" ca="1" si="16"/>
        <v>-100</v>
      </c>
      <c r="F216">
        <f t="shared" ca="1" si="17"/>
        <v>200</v>
      </c>
      <c r="G216" s="3" t="b">
        <f ca="1">INDEX(dict_zul_Var_Meth[kval_active],MATCH(table_Methods[[#This Row],[ID]],dict_zul_Var_Meth[ID_Methods],0))</f>
        <v>0</v>
      </c>
      <c r="H216">
        <f t="shared" ca="1" si="18"/>
        <v>13860</v>
      </c>
      <c r="I216">
        <f t="shared" ca="1" si="19"/>
        <v>36352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0"/>
        <v>560</v>
      </c>
      <c r="E217">
        <f t="shared" ca="1" si="16"/>
        <v>20</v>
      </c>
      <c r="F217">
        <f t="shared" ca="1" si="17"/>
        <v>800</v>
      </c>
      <c r="G217" s="3" t="b">
        <f ca="1">INDEX(dict_zul_Var_Meth[kval_active],MATCH(table_Methods[[#This Row],[ID]],dict_zul_Var_Meth[ID_Methods],0))</f>
        <v>0</v>
      </c>
      <c r="H217">
        <f t="shared" ca="1" si="18"/>
        <v>14348</v>
      </c>
      <c r="I217">
        <f t="shared" ca="1" si="19"/>
        <v>284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0"/>
        <v>3000</v>
      </c>
      <c r="E218">
        <f t="shared" ca="1" si="16"/>
        <v>-10</v>
      </c>
      <c r="F218">
        <f t="shared" ca="1" si="17"/>
        <v>830</v>
      </c>
      <c r="G218" s="3" t="b">
        <f ca="1">INDEX(dict_zul_Var_Meth[kval_active],MATCH(table_Methods[[#This Row],[ID]],dict_zul_Var_Meth[ID_Methods],0))</f>
        <v>0</v>
      </c>
      <c r="H218">
        <f t="shared" ca="1" si="18"/>
        <v>10035</v>
      </c>
      <c r="I218">
        <f t="shared" ca="1" si="19"/>
        <v>280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0"/>
        <v>390</v>
      </c>
      <c r="E219">
        <f t="shared" ca="1" si="16"/>
        <v>-50</v>
      </c>
      <c r="F219">
        <f t="shared" ca="1" si="17"/>
        <v>720</v>
      </c>
      <c r="G219" s="3" t="b">
        <f ca="1">INDEX(dict_zul_Var_Meth[kval_active],MATCH(table_Methods[[#This Row],[ID]],dict_zul_Var_Meth[ID_Methods],0))</f>
        <v>0</v>
      </c>
      <c r="H219">
        <f t="shared" ca="1" si="18"/>
        <v>10800</v>
      </c>
      <c r="I219">
        <f t="shared" ca="1" si="19"/>
        <v>40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0"/>
        <v>4500</v>
      </c>
      <c r="E220">
        <f t="shared" ca="1" si="16"/>
        <v>-40</v>
      </c>
      <c r="F220">
        <f t="shared" ca="1" si="17"/>
        <v>720</v>
      </c>
      <c r="G220" s="3" t="b">
        <f ca="1">INDEX(dict_zul_Var_Meth[kval_active],MATCH(table_Methods[[#This Row],[ID]],dict_zul_Var_Meth[ID_Methods],0))</f>
        <v>0</v>
      </c>
      <c r="H220">
        <f t="shared" ca="1" si="18"/>
        <v>3500</v>
      </c>
      <c r="I220">
        <f t="shared" ca="1" si="19"/>
        <v>54272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0"/>
        <v>52</v>
      </c>
      <c r="E221">
        <f t="shared" ca="1" si="16"/>
        <v>-50</v>
      </c>
      <c r="F221">
        <f t="shared" ca="1" si="17"/>
        <v>190</v>
      </c>
      <c r="G221" s="3" t="b">
        <f ca="1">INDEX(dict_zul_Var_Meth[kval_active],MATCH(table_Methods[[#This Row],[ID]],dict_zul_Var_Meth[ID_Methods],0))</f>
        <v>0</v>
      </c>
      <c r="H221">
        <f t="shared" ca="1" si="18"/>
        <v>3471</v>
      </c>
      <c r="I221">
        <f t="shared" ca="1" si="19"/>
        <v>7808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0"/>
        <v>480</v>
      </c>
      <c r="E222">
        <f t="shared" ca="1" si="16"/>
        <v>-60</v>
      </c>
      <c r="F222">
        <f t="shared" ca="1" si="17"/>
        <v>630</v>
      </c>
      <c r="G222" s="3" t="b">
        <f ca="1">INDEX(dict_zul_Var_Meth[kval_active],MATCH(table_Methods[[#This Row],[ID]],dict_zul_Var_Meth[ID_Methods],0))</f>
        <v>0</v>
      </c>
      <c r="H222">
        <f t="shared" ca="1" si="18"/>
        <v>11637</v>
      </c>
      <c r="I222">
        <f t="shared" ca="1" si="19"/>
        <v>1024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0"/>
        <v>7800</v>
      </c>
      <c r="E223">
        <f t="shared" ca="1" si="16"/>
        <v>-10</v>
      </c>
      <c r="F223">
        <f t="shared" ca="1" si="17"/>
        <v>350</v>
      </c>
      <c r="G223" s="3" t="b">
        <f ca="1">INDEX(dict_zul_Var_Meth[kval_active],MATCH(table_Methods[[#This Row],[ID]],dict_zul_Var_Meth[ID_Methods],0))</f>
        <v>0</v>
      </c>
      <c r="H223">
        <f t="shared" ca="1" si="18"/>
        <v>20706</v>
      </c>
      <c r="I223">
        <f t="shared" ca="1" si="19"/>
        <v>1216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0"/>
        <v>31</v>
      </c>
      <c r="E224">
        <f t="shared" ca="1" si="16"/>
        <v>-10</v>
      </c>
      <c r="F224">
        <f t="shared" ca="1" si="17"/>
        <v>850</v>
      </c>
      <c r="G224" s="3" t="b">
        <f ca="1">INDEX(dict_zul_Var_Meth[kval_active],MATCH(table_Methods[[#This Row],[ID]],dict_zul_Var_Meth[ID_Methods],0))</f>
        <v>0</v>
      </c>
      <c r="H224">
        <f t="shared" ca="1" si="18"/>
        <v>18440</v>
      </c>
      <c r="I224">
        <f t="shared" ca="1" si="19"/>
        <v>14336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0"/>
        <v>8500</v>
      </c>
      <c r="E225">
        <f t="shared" ca="1" si="16"/>
        <v>-40</v>
      </c>
      <c r="F225">
        <f t="shared" ca="1" si="17"/>
        <v>740</v>
      </c>
      <c r="G225" s="3" t="b">
        <f ca="1">INDEX(dict_zul_Var_Meth[kval_active],MATCH(table_Methods[[#This Row],[ID]],dict_zul_Var_Meth[ID_Methods],0))</f>
        <v>0</v>
      </c>
      <c r="H225">
        <f t="shared" ca="1" si="18"/>
        <v>40720</v>
      </c>
      <c r="I225">
        <f t="shared" ca="1" si="19"/>
        <v>30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0"/>
        <v>8000</v>
      </c>
      <c r="E226">
        <f t="shared" ca="1" si="16"/>
        <v>-100</v>
      </c>
      <c r="F226">
        <f t="shared" ca="1" si="17"/>
        <v>850</v>
      </c>
      <c r="G226" s="3" t="b">
        <f ca="1">INDEX(dict_zul_Var_Meth[kval_active],MATCH(table_Methods[[#This Row],[ID]],dict_zul_Var_Meth[ID_Methods],0))</f>
        <v>0</v>
      </c>
      <c r="H226">
        <f t="shared" ca="1" si="18"/>
        <v>5028</v>
      </c>
      <c r="I226">
        <f t="shared" ca="1" si="19"/>
        <v>184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0"/>
        <v>7800</v>
      </c>
      <c r="E227">
        <f t="shared" ca="1" si="16"/>
        <v>-30</v>
      </c>
      <c r="F227">
        <f t="shared" ca="1" si="17"/>
        <v>610</v>
      </c>
      <c r="G227" s="3" t="b">
        <f ca="1">INDEX(dict_zul_Var_Meth[kval_active],MATCH(table_Methods[[#This Row],[ID]],dict_zul_Var_Meth[ID_Methods],0))</f>
        <v>0</v>
      </c>
      <c r="H227">
        <f t="shared" ca="1" si="18"/>
        <v>30208</v>
      </c>
      <c r="I227">
        <f t="shared" ca="1" si="19"/>
        <v>7424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0"/>
        <v>5900</v>
      </c>
      <c r="E228">
        <f t="shared" ref="E228:E291" ca="1" si="21">RANDBETWEEN(-10,3)*10</f>
        <v>10</v>
      </c>
      <c r="F228">
        <f t="shared" ref="F228:F291" ca="1" si="22">RANDBETWEEN(2,100)*10</f>
        <v>1000</v>
      </c>
      <c r="G228" s="3" t="b">
        <f ca="1">INDEX(dict_zul_Var_Meth[kval_active],MATCH(table_Methods[[#This Row],[ID]],dict_zul_Var_Meth[ID_Methods],0))</f>
        <v>0</v>
      </c>
      <c r="H228">
        <f t="shared" ref="H228:H291" ca="1" si="23">RANDBETWEEN(1,10)*RANDBETWEEN(1,5000)</f>
        <v>1124</v>
      </c>
      <c r="I228">
        <f t="shared" ref="I228:I291" ca="1" si="24">2^RANDBETWEEN(1,10)*RANDBETWEEN(1,100)</f>
        <v>4992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0"/>
        <v>8000</v>
      </c>
      <c r="E229">
        <f t="shared" ca="1" si="21"/>
        <v>-40</v>
      </c>
      <c r="F229">
        <f t="shared" ca="1" si="22"/>
        <v>730</v>
      </c>
      <c r="G229" s="3" t="b">
        <f ca="1">INDEX(dict_zul_Var_Meth[kval_active],MATCH(table_Methods[[#This Row],[ID]],dict_zul_Var_Meth[ID_Methods],0))</f>
        <v>0</v>
      </c>
      <c r="H229">
        <f t="shared" ca="1" si="23"/>
        <v>11745</v>
      </c>
      <c r="I229">
        <f t="shared" ca="1" si="24"/>
        <v>10240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0"/>
        <v>670</v>
      </c>
      <c r="E230">
        <f t="shared" ca="1" si="21"/>
        <v>-70</v>
      </c>
      <c r="F230">
        <f t="shared" ca="1" si="22"/>
        <v>810</v>
      </c>
      <c r="G230" s="3" t="b">
        <f ca="1">INDEX(dict_zul_Var_Meth[kval_active],MATCH(table_Methods[[#This Row],[ID]],dict_zul_Var_Meth[ID_Methods],0))</f>
        <v>1</v>
      </c>
      <c r="H230">
        <f t="shared" ca="1" si="23"/>
        <v>11067</v>
      </c>
      <c r="I230">
        <f t="shared" ca="1" si="24"/>
        <v>17920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0"/>
        <v>880</v>
      </c>
      <c r="E231">
        <f t="shared" ca="1" si="21"/>
        <v>-80</v>
      </c>
      <c r="F231">
        <f t="shared" ca="1" si="22"/>
        <v>640</v>
      </c>
      <c r="G231" s="3" t="b">
        <f ca="1">INDEX(dict_zul_Var_Meth[kval_active],MATCH(table_Methods[[#This Row],[ID]],dict_zul_Var_Meth[ID_Methods],0))</f>
        <v>0</v>
      </c>
      <c r="H231">
        <f t="shared" ca="1" si="23"/>
        <v>3548</v>
      </c>
      <c r="I231">
        <f t="shared" ca="1" si="24"/>
        <v>10752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0"/>
        <v>7400</v>
      </c>
      <c r="E232">
        <f t="shared" ca="1" si="21"/>
        <v>-20</v>
      </c>
      <c r="F232">
        <f t="shared" ca="1" si="22"/>
        <v>650</v>
      </c>
      <c r="G232" s="3" t="b">
        <f ca="1">INDEX(dict_zul_Var_Meth[kval_active],MATCH(table_Methods[[#This Row],[ID]],dict_zul_Var_Meth[ID_Methods],0))</f>
        <v>0</v>
      </c>
      <c r="H232">
        <f t="shared" ca="1" si="23"/>
        <v>4655</v>
      </c>
      <c r="I232">
        <f t="shared" ca="1" si="24"/>
        <v>10496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0"/>
        <v>1</v>
      </c>
      <c r="E233">
        <f t="shared" ca="1" si="21"/>
        <v>-50</v>
      </c>
      <c r="F233">
        <f t="shared" ca="1" si="22"/>
        <v>390</v>
      </c>
      <c r="G233" s="3" t="b">
        <f ca="1">INDEX(dict_zul_Var_Meth[kval_active],MATCH(table_Methods[[#This Row],[ID]],dict_zul_Var_Meth[ID_Methods],0))</f>
        <v>0</v>
      </c>
      <c r="H233">
        <f t="shared" ca="1" si="23"/>
        <v>9976</v>
      </c>
      <c r="I233">
        <f t="shared" ca="1" si="24"/>
        <v>2048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0"/>
        <v>3900</v>
      </c>
      <c r="E234">
        <f t="shared" ca="1" si="21"/>
        <v>-80</v>
      </c>
      <c r="F234">
        <f t="shared" ca="1" si="22"/>
        <v>120</v>
      </c>
      <c r="G234" s="3" t="b">
        <f ca="1">INDEX(dict_zul_Var_Meth[kval_active],MATCH(table_Methods[[#This Row],[ID]],dict_zul_Var_Meth[ID_Methods],0))</f>
        <v>0</v>
      </c>
      <c r="H234">
        <f t="shared" ca="1" si="23"/>
        <v>38928</v>
      </c>
      <c r="I234">
        <f t="shared" ca="1" si="24"/>
        <v>6336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0"/>
        <v>440</v>
      </c>
      <c r="E235">
        <f t="shared" ca="1" si="21"/>
        <v>-30</v>
      </c>
      <c r="F235">
        <f t="shared" ca="1" si="22"/>
        <v>220</v>
      </c>
      <c r="G235" s="3" t="b">
        <f ca="1">INDEX(dict_zul_Var_Meth[kval_active],MATCH(table_Methods[[#This Row],[ID]],dict_zul_Var_Meth[ID_Methods],0))</f>
        <v>0</v>
      </c>
      <c r="H235">
        <f t="shared" ca="1" si="23"/>
        <v>6160</v>
      </c>
      <c r="I235">
        <f t="shared" ca="1" si="24"/>
        <v>960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0"/>
        <v>46.000000000000007</v>
      </c>
      <c r="E236">
        <f t="shared" ca="1" si="21"/>
        <v>-40</v>
      </c>
      <c r="F236">
        <f t="shared" ca="1" si="22"/>
        <v>260</v>
      </c>
      <c r="G236" s="3" t="b">
        <f ca="1">INDEX(dict_zul_Var_Meth[kval_active],MATCH(table_Methods[[#This Row],[ID]],dict_zul_Var_Meth[ID_Methods],0))</f>
        <v>0</v>
      </c>
      <c r="H236">
        <f t="shared" ca="1" si="23"/>
        <v>3936</v>
      </c>
      <c r="I236">
        <f t="shared" ca="1" si="24"/>
        <v>9216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0"/>
        <v>570</v>
      </c>
      <c r="E237">
        <f t="shared" ca="1" si="21"/>
        <v>20</v>
      </c>
      <c r="F237">
        <f t="shared" ca="1" si="22"/>
        <v>260</v>
      </c>
      <c r="G237" s="3" t="b">
        <f ca="1">INDEX(dict_zul_Var_Meth[kval_active],MATCH(table_Methods[[#This Row],[ID]],dict_zul_Var_Meth[ID_Methods],0))</f>
        <v>0</v>
      </c>
      <c r="H237">
        <f t="shared" ca="1" si="23"/>
        <v>11862</v>
      </c>
      <c r="I237">
        <f t="shared" ca="1" si="24"/>
        <v>944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0"/>
        <v>10</v>
      </c>
      <c r="E238">
        <f t="shared" ca="1" si="21"/>
        <v>-40</v>
      </c>
      <c r="F238">
        <f t="shared" ca="1" si="22"/>
        <v>810</v>
      </c>
      <c r="G238" s="3" t="b">
        <f ca="1">INDEX(dict_zul_Var_Meth[kval_active],MATCH(table_Methods[[#This Row],[ID]],dict_zul_Var_Meth[ID_Methods],0))</f>
        <v>0</v>
      </c>
      <c r="H238">
        <f t="shared" ca="1" si="23"/>
        <v>17024</v>
      </c>
      <c r="I238">
        <f t="shared" ca="1" si="24"/>
        <v>2048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0"/>
        <v>700</v>
      </c>
      <c r="E239">
        <f t="shared" ca="1" si="21"/>
        <v>-10</v>
      </c>
      <c r="F239">
        <f t="shared" ca="1" si="22"/>
        <v>20</v>
      </c>
      <c r="G239" s="3" t="b">
        <f ca="1">INDEX(dict_zul_Var_Meth[kval_active],MATCH(table_Methods[[#This Row],[ID]],dict_zul_Var_Meth[ID_Methods],0))</f>
        <v>0</v>
      </c>
      <c r="H239">
        <f t="shared" ca="1" si="23"/>
        <v>17600</v>
      </c>
      <c r="I239">
        <f t="shared" ca="1" si="24"/>
        <v>162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0"/>
        <v>73</v>
      </c>
      <c r="E240">
        <f t="shared" ca="1" si="21"/>
        <v>-20</v>
      </c>
      <c r="F240">
        <f t="shared" ca="1" si="22"/>
        <v>340</v>
      </c>
      <c r="G240" s="3" t="b">
        <f ca="1">INDEX(dict_zul_Var_Meth[kval_active],MATCH(table_Methods[[#This Row],[ID]],dict_zul_Var_Meth[ID_Methods],0))</f>
        <v>0</v>
      </c>
      <c r="H240">
        <f t="shared" ca="1" si="23"/>
        <v>4557</v>
      </c>
      <c r="I240">
        <f t="shared" ca="1" si="24"/>
        <v>9472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0"/>
        <v>910</v>
      </c>
      <c r="E241">
        <f t="shared" ca="1" si="21"/>
        <v>-60</v>
      </c>
      <c r="F241">
        <f t="shared" ca="1" si="22"/>
        <v>520</v>
      </c>
      <c r="G241" s="3" t="b">
        <f ca="1">INDEX(dict_zul_Var_Meth[kval_active],MATCH(table_Methods[[#This Row],[ID]],dict_zul_Var_Meth[ID_Methods],0))</f>
        <v>0</v>
      </c>
      <c r="H241">
        <f t="shared" ca="1" si="23"/>
        <v>3360</v>
      </c>
      <c r="I241">
        <f t="shared" ca="1" si="24"/>
        <v>40448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0"/>
        <v>420</v>
      </c>
      <c r="E242">
        <f t="shared" ca="1" si="21"/>
        <v>-50</v>
      </c>
      <c r="F242">
        <f t="shared" ca="1" si="22"/>
        <v>890</v>
      </c>
      <c r="G242" s="3" t="b">
        <f ca="1">INDEX(dict_zul_Var_Meth[kval_active],MATCH(table_Methods[[#This Row],[ID]],dict_zul_Var_Meth[ID_Methods],0))</f>
        <v>0</v>
      </c>
      <c r="H242">
        <f t="shared" ca="1" si="23"/>
        <v>3852</v>
      </c>
      <c r="I242">
        <f t="shared" ca="1" si="24"/>
        <v>13056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0"/>
        <v>8700</v>
      </c>
      <c r="E243">
        <f t="shared" ca="1" si="21"/>
        <v>-60</v>
      </c>
      <c r="F243">
        <f t="shared" ca="1" si="22"/>
        <v>780</v>
      </c>
      <c r="G243" s="3" t="b">
        <f ca="1">INDEX(dict_zul_Var_Meth[kval_active],MATCH(table_Methods[[#This Row],[ID]],dict_zul_Var_Meth[ID_Methods],0))</f>
        <v>0</v>
      </c>
      <c r="H243">
        <f t="shared" ca="1" si="23"/>
        <v>29778</v>
      </c>
      <c r="I243">
        <f t="shared" ca="1" si="24"/>
        <v>1184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0"/>
        <v>200</v>
      </c>
      <c r="E244">
        <f t="shared" ca="1" si="21"/>
        <v>-30</v>
      </c>
      <c r="F244">
        <f t="shared" ca="1" si="22"/>
        <v>790</v>
      </c>
      <c r="G244" s="3" t="b">
        <f ca="1">INDEX(dict_zul_Var_Meth[kval_active],MATCH(table_Methods[[#This Row],[ID]],dict_zul_Var_Meth[ID_Methods],0))</f>
        <v>0</v>
      </c>
      <c r="H244">
        <f t="shared" ca="1" si="23"/>
        <v>4797</v>
      </c>
      <c r="I244">
        <f t="shared" ca="1" si="24"/>
        <v>6272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0"/>
        <v>81</v>
      </c>
      <c r="E245">
        <f t="shared" ca="1" si="21"/>
        <v>-50</v>
      </c>
      <c r="F245">
        <f t="shared" ca="1" si="22"/>
        <v>440</v>
      </c>
      <c r="G245" s="3" t="b">
        <f ca="1">INDEX(dict_zul_Var_Meth[kval_active],MATCH(table_Methods[[#This Row],[ID]],dict_zul_Var_Meth[ID_Methods],0))</f>
        <v>0</v>
      </c>
      <c r="H245">
        <f t="shared" ca="1" si="23"/>
        <v>11040</v>
      </c>
      <c r="I245">
        <f t="shared" ca="1" si="24"/>
        <v>656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0"/>
        <v>100</v>
      </c>
      <c r="E246">
        <f t="shared" ca="1" si="21"/>
        <v>-60</v>
      </c>
      <c r="F246">
        <f t="shared" ca="1" si="22"/>
        <v>350</v>
      </c>
      <c r="G246" s="3" t="b">
        <f ca="1">INDEX(dict_zul_Var_Meth[kval_active],MATCH(table_Methods[[#This Row],[ID]],dict_zul_Var_Meth[ID_Methods],0))</f>
        <v>0</v>
      </c>
      <c r="H246">
        <f t="shared" ca="1" si="23"/>
        <v>8644</v>
      </c>
      <c r="I246">
        <f t="shared" ca="1" si="24"/>
        <v>87040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0"/>
        <v>420</v>
      </c>
      <c r="E247">
        <f t="shared" ca="1" si="21"/>
        <v>-90</v>
      </c>
      <c r="F247">
        <f t="shared" ca="1" si="22"/>
        <v>950</v>
      </c>
      <c r="G247" s="3" t="b">
        <f ca="1">INDEX(dict_zul_Var_Meth[kval_active],MATCH(table_Methods[[#This Row],[ID]],dict_zul_Var_Meth[ID_Methods],0))</f>
        <v>0</v>
      </c>
      <c r="H247">
        <f t="shared" ca="1" si="23"/>
        <v>7086</v>
      </c>
      <c r="I247">
        <f t="shared" ca="1" si="24"/>
        <v>880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0"/>
        <v>8300</v>
      </c>
      <c r="E248">
        <f t="shared" ca="1" si="21"/>
        <v>-80</v>
      </c>
      <c r="F248">
        <f t="shared" ca="1" si="22"/>
        <v>990</v>
      </c>
      <c r="G248" s="3" t="b">
        <f ca="1">INDEX(dict_zul_Var_Meth[kval_active],MATCH(table_Methods[[#This Row],[ID]],dict_zul_Var_Meth[ID_Methods],0))</f>
        <v>0</v>
      </c>
      <c r="H248">
        <f t="shared" ca="1" si="23"/>
        <v>42670</v>
      </c>
      <c r="I248">
        <f t="shared" ca="1" si="24"/>
        <v>288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0"/>
        <v>10</v>
      </c>
      <c r="E249">
        <f t="shared" ca="1" si="21"/>
        <v>-60</v>
      </c>
      <c r="F249">
        <f t="shared" ca="1" si="22"/>
        <v>90</v>
      </c>
      <c r="G249" s="3" t="b">
        <f ca="1">INDEX(dict_zul_Var_Meth[kval_active],MATCH(table_Methods[[#This Row],[ID]],dict_zul_Var_Meth[ID_Methods],0))</f>
        <v>0</v>
      </c>
      <c r="H249">
        <f t="shared" ca="1" si="23"/>
        <v>43180</v>
      </c>
      <c r="I249">
        <f t="shared" ca="1" si="24"/>
        <v>608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0"/>
        <v>89</v>
      </c>
      <c r="E250">
        <f t="shared" ca="1" si="21"/>
        <v>-90</v>
      </c>
      <c r="F250">
        <f t="shared" ca="1" si="22"/>
        <v>90</v>
      </c>
      <c r="G250" s="3" t="b">
        <f ca="1">INDEX(dict_zul_Var_Meth[kval_active],MATCH(table_Methods[[#This Row],[ID]],dict_zul_Var_Meth[ID_Methods],0))</f>
        <v>0</v>
      </c>
      <c r="H250">
        <f t="shared" ca="1" si="23"/>
        <v>11632</v>
      </c>
      <c r="I250">
        <f t="shared" ca="1" si="24"/>
        <v>260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0"/>
        <v>2000</v>
      </c>
      <c r="E251">
        <f t="shared" ca="1" si="21"/>
        <v>-90</v>
      </c>
      <c r="F251">
        <f t="shared" ca="1" si="22"/>
        <v>900</v>
      </c>
      <c r="G251" s="3" t="b">
        <f ca="1">INDEX(dict_zul_Var_Meth[kval_active],MATCH(table_Methods[[#This Row],[ID]],dict_zul_Var_Meth[ID_Methods],0))</f>
        <v>0</v>
      </c>
      <c r="H251">
        <f t="shared" ca="1" si="23"/>
        <v>7562</v>
      </c>
      <c r="I251">
        <f t="shared" ca="1" si="24"/>
        <v>5952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0"/>
        <v>50</v>
      </c>
      <c r="E252">
        <f t="shared" ca="1" si="21"/>
        <v>-50</v>
      </c>
      <c r="F252">
        <f t="shared" ca="1" si="22"/>
        <v>600</v>
      </c>
      <c r="G252" s="3" t="b">
        <f ca="1">INDEX(dict_zul_Var_Meth[kval_active],MATCH(table_Methods[[#This Row],[ID]],dict_zul_Var_Meth[ID_Methods],0))</f>
        <v>0</v>
      </c>
      <c r="H252">
        <f t="shared" ca="1" si="23"/>
        <v>11877</v>
      </c>
      <c r="I252">
        <f t="shared" ca="1" si="24"/>
        <v>1088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0"/>
        <v>1</v>
      </c>
      <c r="E253">
        <f t="shared" ca="1" si="21"/>
        <v>-50</v>
      </c>
      <c r="F253">
        <f t="shared" ca="1" si="22"/>
        <v>290</v>
      </c>
      <c r="G253" s="3" t="b">
        <f ca="1">INDEX(dict_zul_Var_Meth[kval_active],MATCH(table_Methods[[#This Row],[ID]],dict_zul_Var_Meth[ID_Methods],0))</f>
        <v>0</v>
      </c>
      <c r="H253">
        <f t="shared" ca="1" si="23"/>
        <v>3039</v>
      </c>
      <c r="I253">
        <f t="shared" ca="1" si="24"/>
        <v>2816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0"/>
        <v>3100</v>
      </c>
      <c r="E254">
        <f t="shared" ca="1" si="21"/>
        <v>-80</v>
      </c>
      <c r="F254">
        <f t="shared" ca="1" si="22"/>
        <v>480</v>
      </c>
      <c r="G254" s="3" t="b">
        <f ca="1">INDEX(dict_zul_Var_Meth[kval_active],MATCH(table_Methods[[#This Row],[ID]],dict_zul_Var_Meth[ID_Methods],0))</f>
        <v>1</v>
      </c>
      <c r="H254">
        <f t="shared" ca="1" si="23"/>
        <v>5682</v>
      </c>
      <c r="I254">
        <f t="shared" ca="1" si="24"/>
        <v>44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0"/>
        <v>6300</v>
      </c>
      <c r="E255">
        <f t="shared" ca="1" si="21"/>
        <v>-70</v>
      </c>
      <c r="F255">
        <f t="shared" ca="1" si="22"/>
        <v>630</v>
      </c>
      <c r="G255" s="3" t="b">
        <f ca="1">INDEX(dict_zul_Var_Meth[kval_active],MATCH(table_Methods[[#This Row],[ID]],dict_zul_Var_Meth[ID_Methods],0))</f>
        <v>0</v>
      </c>
      <c r="H255">
        <f t="shared" ca="1" si="23"/>
        <v>19975</v>
      </c>
      <c r="I255">
        <f t="shared" ca="1" si="24"/>
        <v>380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0"/>
        <v>950</v>
      </c>
      <c r="E256">
        <f t="shared" ca="1" si="21"/>
        <v>-20</v>
      </c>
      <c r="F256">
        <f t="shared" ca="1" si="22"/>
        <v>390</v>
      </c>
      <c r="G256" s="3" t="b">
        <f ca="1">INDEX(dict_zul_Var_Meth[kval_active],MATCH(table_Methods[[#This Row],[ID]],dict_zul_Var_Meth[ID_Methods],0))</f>
        <v>0</v>
      </c>
      <c r="H256">
        <f t="shared" ca="1" si="23"/>
        <v>25384</v>
      </c>
      <c r="I256">
        <f t="shared" ca="1" si="24"/>
        <v>13312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0"/>
        <v>330</v>
      </c>
      <c r="E257">
        <f t="shared" ca="1" si="21"/>
        <v>-50</v>
      </c>
      <c r="F257">
        <f t="shared" ca="1" si="22"/>
        <v>400</v>
      </c>
      <c r="G257" s="3" t="b">
        <f ca="1">INDEX(dict_zul_Var_Meth[kval_active],MATCH(table_Methods[[#This Row],[ID]],dict_zul_Var_Meth[ID_Methods],0))</f>
        <v>0</v>
      </c>
      <c r="H257">
        <f t="shared" ca="1" si="23"/>
        <v>9082</v>
      </c>
      <c r="I257">
        <f t="shared" ca="1" si="24"/>
        <v>496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5">10^(RANDBETWEEN(-1,1))*RANDBETWEEN(1,100)*10</f>
        <v>570</v>
      </c>
      <c r="E258">
        <f t="shared" ca="1" si="21"/>
        <v>-100</v>
      </c>
      <c r="F258">
        <f t="shared" ca="1" si="22"/>
        <v>40</v>
      </c>
      <c r="G258" s="3" t="b">
        <f ca="1">INDEX(dict_zul_Var_Meth[kval_active],MATCH(table_Methods[[#This Row],[ID]],dict_zul_Var_Meth[ID_Methods],0))</f>
        <v>0</v>
      </c>
      <c r="H258">
        <f t="shared" ca="1" si="23"/>
        <v>11727</v>
      </c>
      <c r="I258">
        <f t="shared" ca="1" si="24"/>
        <v>3584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5"/>
        <v>580</v>
      </c>
      <c r="E259">
        <f t="shared" ca="1" si="21"/>
        <v>-80</v>
      </c>
      <c r="F259">
        <f t="shared" ca="1" si="22"/>
        <v>640</v>
      </c>
      <c r="G259" s="3" t="b">
        <f ca="1">INDEX(dict_zul_Var_Meth[kval_active],MATCH(table_Methods[[#This Row],[ID]],dict_zul_Var_Meth[ID_Methods],0))</f>
        <v>0</v>
      </c>
      <c r="H259">
        <f t="shared" ca="1" si="23"/>
        <v>14355</v>
      </c>
      <c r="I259">
        <f t="shared" ca="1" si="24"/>
        <v>672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5"/>
        <v>24.000000000000004</v>
      </c>
      <c r="E260">
        <f t="shared" ca="1" si="21"/>
        <v>10</v>
      </c>
      <c r="F260">
        <f t="shared" ca="1" si="22"/>
        <v>660</v>
      </c>
      <c r="G260" s="3" t="b">
        <f ca="1">INDEX(dict_zul_Var_Meth[kval_active],MATCH(table_Methods[[#This Row],[ID]],dict_zul_Var_Meth[ID_Methods],0))</f>
        <v>0</v>
      </c>
      <c r="H260">
        <f t="shared" ca="1" si="23"/>
        <v>6010</v>
      </c>
      <c r="I260">
        <f t="shared" ca="1" si="24"/>
        <v>60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5"/>
        <v>930</v>
      </c>
      <c r="E261">
        <f t="shared" ca="1" si="21"/>
        <v>-60</v>
      </c>
      <c r="F261">
        <f t="shared" ca="1" si="22"/>
        <v>260</v>
      </c>
      <c r="G261" s="3" t="b">
        <f ca="1">INDEX(dict_zul_Var_Meth[kval_active],MATCH(table_Methods[[#This Row],[ID]],dict_zul_Var_Meth[ID_Methods],0))</f>
        <v>0</v>
      </c>
      <c r="H261">
        <f t="shared" ca="1" si="23"/>
        <v>6165</v>
      </c>
      <c r="I261">
        <f t="shared" ca="1" si="24"/>
        <v>496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5"/>
        <v>54</v>
      </c>
      <c r="E262">
        <f t="shared" ca="1" si="21"/>
        <v>10</v>
      </c>
      <c r="F262">
        <f t="shared" ca="1" si="22"/>
        <v>220</v>
      </c>
      <c r="G262" s="3" t="b">
        <f ca="1">INDEX(dict_zul_Var_Meth[kval_active],MATCH(table_Methods[[#This Row],[ID]],dict_zul_Var_Meth[ID_Methods],0))</f>
        <v>0</v>
      </c>
      <c r="H262">
        <f t="shared" ca="1" si="23"/>
        <v>4242</v>
      </c>
      <c r="I262">
        <f t="shared" ca="1" si="24"/>
        <v>33792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5"/>
        <v>72</v>
      </c>
      <c r="E263">
        <f t="shared" ca="1" si="21"/>
        <v>-100</v>
      </c>
      <c r="F263">
        <f t="shared" ca="1" si="22"/>
        <v>700</v>
      </c>
      <c r="G263" s="3" t="b">
        <f ca="1">INDEX(dict_zul_Var_Meth[kval_active],MATCH(table_Methods[[#This Row],[ID]],dict_zul_Var_Meth[ID_Methods],0))</f>
        <v>0</v>
      </c>
      <c r="H263">
        <f t="shared" ca="1" si="23"/>
        <v>203</v>
      </c>
      <c r="I263">
        <f t="shared" ca="1" si="24"/>
        <v>3968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5"/>
        <v>3800</v>
      </c>
      <c r="E264">
        <f t="shared" ca="1" si="21"/>
        <v>30</v>
      </c>
      <c r="F264">
        <f t="shared" ca="1" si="22"/>
        <v>490</v>
      </c>
      <c r="G264" s="3" t="b">
        <f ca="1">INDEX(dict_zul_Var_Meth[kval_active],MATCH(table_Methods[[#This Row],[ID]],dict_zul_Var_Meth[ID_Methods],0))</f>
        <v>0</v>
      </c>
      <c r="H264">
        <f t="shared" ca="1" si="23"/>
        <v>16215</v>
      </c>
      <c r="I264">
        <f t="shared" ca="1" si="24"/>
        <v>1152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5"/>
        <v>93</v>
      </c>
      <c r="E265">
        <f t="shared" ca="1" si="21"/>
        <v>30</v>
      </c>
      <c r="F265">
        <f t="shared" ca="1" si="22"/>
        <v>190</v>
      </c>
      <c r="G265" s="3" t="b">
        <f ca="1">INDEX(dict_zul_Var_Meth[kval_active],MATCH(table_Methods[[#This Row],[ID]],dict_zul_Var_Meth[ID_Methods],0))</f>
        <v>0</v>
      </c>
      <c r="H265">
        <f t="shared" ca="1" si="23"/>
        <v>31491</v>
      </c>
      <c r="I265">
        <f t="shared" ca="1" si="24"/>
        <v>32256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5"/>
        <v>39</v>
      </c>
      <c r="E266">
        <f t="shared" ca="1" si="21"/>
        <v>10</v>
      </c>
      <c r="F266">
        <f t="shared" ca="1" si="22"/>
        <v>160</v>
      </c>
      <c r="G266" s="3" t="b">
        <f ca="1">INDEX(dict_zul_Var_Meth[kval_active],MATCH(table_Methods[[#This Row],[ID]],dict_zul_Var_Meth[ID_Methods],0))</f>
        <v>0</v>
      </c>
      <c r="H266">
        <f t="shared" ca="1" si="23"/>
        <v>17224</v>
      </c>
      <c r="I266">
        <f t="shared" ca="1" si="24"/>
        <v>632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5"/>
        <v>73</v>
      </c>
      <c r="E267">
        <f t="shared" ca="1" si="21"/>
        <v>30</v>
      </c>
      <c r="F267">
        <f t="shared" ca="1" si="22"/>
        <v>960</v>
      </c>
      <c r="G267" s="3" t="b">
        <f ca="1">INDEX(dict_zul_Var_Meth[kval_active],MATCH(table_Methods[[#This Row],[ID]],dict_zul_Var_Meth[ID_Methods],0))</f>
        <v>0</v>
      </c>
      <c r="H267">
        <f t="shared" ca="1" si="23"/>
        <v>16120</v>
      </c>
      <c r="I267">
        <f t="shared" ca="1" si="24"/>
        <v>848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5"/>
        <v>470</v>
      </c>
      <c r="E268">
        <f t="shared" ca="1" si="21"/>
        <v>-70</v>
      </c>
      <c r="F268">
        <f t="shared" ca="1" si="22"/>
        <v>800</v>
      </c>
      <c r="G268" s="3" t="b">
        <f ca="1">INDEX(dict_zul_Var_Meth[kval_active],MATCH(table_Methods[[#This Row],[ID]],dict_zul_Var_Meth[ID_Methods],0))</f>
        <v>0</v>
      </c>
      <c r="H268">
        <f t="shared" ca="1" si="23"/>
        <v>7412</v>
      </c>
      <c r="I268">
        <f t="shared" ca="1" si="24"/>
        <v>1248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5"/>
        <v>29.000000000000004</v>
      </c>
      <c r="E269">
        <f t="shared" ca="1" si="21"/>
        <v>0</v>
      </c>
      <c r="F269">
        <f t="shared" ca="1" si="22"/>
        <v>20</v>
      </c>
      <c r="G269" s="3" t="b">
        <f ca="1">INDEX(dict_zul_Var_Meth[kval_active],MATCH(table_Methods[[#This Row],[ID]],dict_zul_Var_Meth[ID_Methods],0))</f>
        <v>0</v>
      </c>
      <c r="H269">
        <f t="shared" ca="1" si="23"/>
        <v>5760</v>
      </c>
      <c r="I269">
        <f t="shared" ca="1" si="24"/>
        <v>58368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5"/>
        <v>3.0000000000000004</v>
      </c>
      <c r="E270">
        <f t="shared" ca="1" si="21"/>
        <v>-20</v>
      </c>
      <c r="F270">
        <f t="shared" ca="1" si="22"/>
        <v>360</v>
      </c>
      <c r="G270" s="3" t="b">
        <f ca="1">INDEX(dict_zul_Var_Meth[kval_active],MATCH(table_Methods[[#This Row],[ID]],dict_zul_Var_Meth[ID_Methods],0))</f>
        <v>0</v>
      </c>
      <c r="H270">
        <f t="shared" ca="1" si="23"/>
        <v>11860</v>
      </c>
      <c r="I270">
        <f t="shared" ca="1" si="24"/>
        <v>9216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5"/>
        <v>3.0000000000000004</v>
      </c>
      <c r="E271">
        <f t="shared" ca="1" si="21"/>
        <v>-40</v>
      </c>
      <c r="F271">
        <f t="shared" ca="1" si="22"/>
        <v>500</v>
      </c>
      <c r="G271" s="3" t="b">
        <f ca="1">INDEX(dict_zul_Var_Meth[kval_active],MATCH(table_Methods[[#This Row],[ID]],dict_zul_Var_Meth[ID_Methods],0))</f>
        <v>0</v>
      </c>
      <c r="H271">
        <f t="shared" ca="1" si="23"/>
        <v>132</v>
      </c>
      <c r="I271">
        <f t="shared" ca="1" si="24"/>
        <v>928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5"/>
        <v>32</v>
      </c>
      <c r="E272">
        <f t="shared" ca="1" si="21"/>
        <v>-60</v>
      </c>
      <c r="F272">
        <f t="shared" ca="1" si="22"/>
        <v>880</v>
      </c>
      <c r="G272" s="3" t="b">
        <f ca="1">INDEX(dict_zul_Var_Meth[kval_active],MATCH(table_Methods[[#This Row],[ID]],dict_zul_Var_Meth[ID_Methods],0))</f>
        <v>0</v>
      </c>
      <c r="H272">
        <f t="shared" ca="1" si="23"/>
        <v>2340</v>
      </c>
      <c r="I272">
        <f t="shared" ca="1" si="24"/>
        <v>4864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5"/>
        <v>89</v>
      </c>
      <c r="E273">
        <f t="shared" ca="1" si="21"/>
        <v>20</v>
      </c>
      <c r="F273">
        <f t="shared" ca="1" si="22"/>
        <v>200</v>
      </c>
      <c r="G273" s="3" t="b">
        <f ca="1">INDEX(dict_zul_Var_Meth[kval_active],MATCH(table_Methods[[#This Row],[ID]],dict_zul_Var_Meth[ID_Methods],0))</f>
        <v>0</v>
      </c>
      <c r="H273">
        <f t="shared" ca="1" si="23"/>
        <v>18072</v>
      </c>
      <c r="I273">
        <f t="shared" ca="1" si="24"/>
        <v>1520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5"/>
        <v>68</v>
      </c>
      <c r="E274">
        <f t="shared" ca="1" si="21"/>
        <v>0</v>
      </c>
      <c r="F274">
        <f t="shared" ca="1" si="22"/>
        <v>760</v>
      </c>
      <c r="G274" s="3" t="b">
        <f ca="1">INDEX(dict_zul_Var_Meth[kval_active],MATCH(table_Methods[[#This Row],[ID]],dict_zul_Var_Meth[ID_Methods],0))</f>
        <v>0</v>
      </c>
      <c r="H274">
        <f t="shared" ca="1" si="23"/>
        <v>17157</v>
      </c>
      <c r="I274">
        <f t="shared" ca="1" si="24"/>
        <v>110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5"/>
        <v>390</v>
      </c>
      <c r="E275">
        <f t="shared" ca="1" si="21"/>
        <v>-30</v>
      </c>
      <c r="F275">
        <f t="shared" ca="1" si="22"/>
        <v>510</v>
      </c>
      <c r="G275" s="3" t="b">
        <f ca="1">INDEX(dict_zul_Var_Meth[kval_active],MATCH(table_Methods[[#This Row],[ID]],dict_zul_Var_Meth[ID_Methods],0))</f>
        <v>0</v>
      </c>
      <c r="H275">
        <f t="shared" ca="1" si="23"/>
        <v>2043</v>
      </c>
      <c r="I275">
        <f t="shared" ca="1" si="24"/>
        <v>64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5"/>
        <v>120</v>
      </c>
      <c r="E276">
        <f t="shared" ca="1" si="21"/>
        <v>0</v>
      </c>
      <c r="F276">
        <f t="shared" ca="1" si="22"/>
        <v>490</v>
      </c>
      <c r="G276" s="3" t="b">
        <f ca="1">INDEX(dict_zul_Var_Meth[kval_active],MATCH(table_Methods[[#This Row],[ID]],dict_zul_Var_Meth[ID_Methods],0))</f>
        <v>0</v>
      </c>
      <c r="H276">
        <f t="shared" ca="1" si="23"/>
        <v>1331</v>
      </c>
      <c r="I276">
        <f t="shared" ca="1" si="24"/>
        <v>4672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5"/>
        <v>9700</v>
      </c>
      <c r="E277">
        <f t="shared" ca="1" si="21"/>
        <v>-100</v>
      </c>
      <c r="F277">
        <f t="shared" ca="1" si="22"/>
        <v>490</v>
      </c>
      <c r="G277" s="3" t="b">
        <f ca="1">INDEX(dict_zul_Var_Meth[kval_active],MATCH(table_Methods[[#This Row],[ID]],dict_zul_Var_Meth[ID_Methods],0))</f>
        <v>0</v>
      </c>
      <c r="H277">
        <f t="shared" ca="1" si="23"/>
        <v>8407</v>
      </c>
      <c r="I277">
        <f t="shared" ca="1" si="24"/>
        <v>16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5"/>
        <v>50</v>
      </c>
      <c r="E278">
        <f t="shared" ca="1" si="21"/>
        <v>20</v>
      </c>
      <c r="F278">
        <f t="shared" ca="1" si="22"/>
        <v>410</v>
      </c>
      <c r="G278" s="3" t="b">
        <f ca="1">INDEX(dict_zul_Var_Meth[kval_active],MATCH(table_Methods[[#This Row],[ID]],dict_zul_Var_Meth[ID_Methods],0))</f>
        <v>0</v>
      </c>
      <c r="H278">
        <f t="shared" ca="1" si="23"/>
        <v>4091</v>
      </c>
      <c r="I278">
        <f t="shared" ca="1" si="24"/>
        <v>17664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5"/>
        <v>8200</v>
      </c>
      <c r="E279">
        <f t="shared" ca="1" si="21"/>
        <v>-100</v>
      </c>
      <c r="F279">
        <f t="shared" ca="1" si="22"/>
        <v>900</v>
      </c>
      <c r="G279" s="3" t="b">
        <f ca="1">INDEX(dict_zul_Var_Meth[kval_active],MATCH(table_Methods[[#This Row],[ID]],dict_zul_Var_Meth[ID_Methods],0))</f>
        <v>0</v>
      </c>
      <c r="H279">
        <f t="shared" ca="1" si="23"/>
        <v>14700</v>
      </c>
      <c r="I279">
        <f t="shared" ca="1" si="24"/>
        <v>1792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5"/>
        <v>3200</v>
      </c>
      <c r="E280">
        <f t="shared" ca="1" si="21"/>
        <v>-10</v>
      </c>
      <c r="F280">
        <f t="shared" ca="1" si="22"/>
        <v>260</v>
      </c>
      <c r="G280" s="3" t="b">
        <f ca="1">INDEX(dict_zul_Var_Meth[kval_active],MATCH(table_Methods[[#This Row],[ID]],dict_zul_Var_Meth[ID_Methods],0))</f>
        <v>0</v>
      </c>
      <c r="H280">
        <f t="shared" ca="1" si="23"/>
        <v>16331</v>
      </c>
      <c r="I280">
        <f t="shared" ca="1" si="24"/>
        <v>40960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5"/>
        <v>90</v>
      </c>
      <c r="E281">
        <f t="shared" ca="1" si="21"/>
        <v>0</v>
      </c>
      <c r="F281">
        <f t="shared" ca="1" si="22"/>
        <v>20</v>
      </c>
      <c r="G281" s="3" t="b">
        <f ca="1">INDEX(dict_zul_Var_Meth[kval_active],MATCH(table_Methods[[#This Row],[ID]],dict_zul_Var_Meth[ID_Methods],0))</f>
        <v>0</v>
      </c>
      <c r="H281">
        <f t="shared" ca="1" si="23"/>
        <v>3324</v>
      </c>
      <c r="I281">
        <f t="shared" ca="1" si="24"/>
        <v>84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5"/>
        <v>8300</v>
      </c>
      <c r="E282">
        <f t="shared" ca="1" si="21"/>
        <v>-70</v>
      </c>
      <c r="F282">
        <f t="shared" ca="1" si="22"/>
        <v>160</v>
      </c>
      <c r="G282" s="3" t="b">
        <f ca="1">INDEX(dict_zul_Var_Meth[kval_active],MATCH(table_Methods[[#This Row],[ID]],dict_zul_Var_Meth[ID_Methods],0))</f>
        <v>0</v>
      </c>
      <c r="H282">
        <f t="shared" ca="1" si="23"/>
        <v>3552</v>
      </c>
      <c r="I282">
        <f t="shared" ca="1" si="24"/>
        <v>66560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5"/>
        <v>830</v>
      </c>
      <c r="E283">
        <f t="shared" ca="1" si="21"/>
        <v>-100</v>
      </c>
      <c r="F283">
        <f t="shared" ca="1" si="22"/>
        <v>910</v>
      </c>
      <c r="G283" s="3" t="b">
        <f ca="1">INDEX(dict_zul_Var_Meth[kval_active],MATCH(table_Methods[[#This Row],[ID]],dict_zul_Var_Meth[ID_Methods],0))</f>
        <v>0</v>
      </c>
      <c r="H283">
        <f t="shared" ca="1" si="23"/>
        <v>31450</v>
      </c>
      <c r="I283">
        <f t="shared" ca="1" si="24"/>
        <v>240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5"/>
        <v>4600</v>
      </c>
      <c r="E284">
        <f t="shared" ca="1" si="21"/>
        <v>30</v>
      </c>
      <c r="F284">
        <f t="shared" ca="1" si="22"/>
        <v>110</v>
      </c>
      <c r="G284" s="3" t="b">
        <f ca="1">INDEX(dict_zul_Var_Meth[kval_active],MATCH(table_Methods[[#This Row],[ID]],dict_zul_Var_Meth[ID_Methods],0))</f>
        <v>0</v>
      </c>
      <c r="H284">
        <f t="shared" ca="1" si="23"/>
        <v>3600</v>
      </c>
      <c r="I284">
        <f t="shared" ca="1" si="24"/>
        <v>2560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5"/>
        <v>80</v>
      </c>
      <c r="E285">
        <f t="shared" ca="1" si="21"/>
        <v>10</v>
      </c>
      <c r="F285">
        <f t="shared" ca="1" si="22"/>
        <v>650</v>
      </c>
      <c r="G285" s="3" t="b">
        <f ca="1">INDEX(dict_zul_Var_Meth[kval_active],MATCH(table_Methods[[#This Row],[ID]],dict_zul_Var_Meth[ID_Methods],0))</f>
        <v>0</v>
      </c>
      <c r="H285">
        <f t="shared" ca="1" si="23"/>
        <v>9036</v>
      </c>
      <c r="I285">
        <f t="shared" ca="1" si="24"/>
        <v>704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5"/>
        <v>9400</v>
      </c>
      <c r="E286">
        <f t="shared" ca="1" si="21"/>
        <v>-60</v>
      </c>
      <c r="F286">
        <f t="shared" ca="1" si="22"/>
        <v>760</v>
      </c>
      <c r="G286" s="3" t="b">
        <f ca="1">INDEX(dict_zul_Var_Meth[kval_active],MATCH(table_Methods[[#This Row],[ID]],dict_zul_Var_Meth[ID_Methods],0))</f>
        <v>0</v>
      </c>
      <c r="H286">
        <f t="shared" ca="1" si="23"/>
        <v>29304</v>
      </c>
      <c r="I286">
        <f t="shared" ca="1" si="24"/>
        <v>368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5"/>
        <v>90</v>
      </c>
      <c r="E287">
        <f t="shared" ca="1" si="21"/>
        <v>20</v>
      </c>
      <c r="F287">
        <f t="shared" ca="1" si="22"/>
        <v>610</v>
      </c>
      <c r="G287" s="3" t="b">
        <f ca="1">INDEX(dict_zul_Var_Meth[kval_active],MATCH(table_Methods[[#This Row],[ID]],dict_zul_Var_Meth[ID_Methods],0))</f>
        <v>0</v>
      </c>
      <c r="H287">
        <f t="shared" ca="1" si="23"/>
        <v>26232</v>
      </c>
      <c r="I287">
        <f t="shared" ca="1" si="24"/>
        <v>15872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5"/>
        <v>1700</v>
      </c>
      <c r="E288">
        <f t="shared" ca="1" si="21"/>
        <v>-30</v>
      </c>
      <c r="F288">
        <f t="shared" ca="1" si="22"/>
        <v>250</v>
      </c>
      <c r="G288" s="3" t="b">
        <f ca="1">INDEX(dict_zul_Var_Meth[kval_active],MATCH(table_Methods[[#This Row],[ID]],dict_zul_Var_Meth[ID_Methods],0))</f>
        <v>0</v>
      </c>
      <c r="H288">
        <f t="shared" ca="1" si="23"/>
        <v>46460</v>
      </c>
      <c r="I288">
        <f t="shared" ca="1" si="24"/>
        <v>128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5"/>
        <v>5300</v>
      </c>
      <c r="E289">
        <f t="shared" ca="1" si="21"/>
        <v>-60</v>
      </c>
      <c r="F289">
        <f t="shared" ca="1" si="22"/>
        <v>190</v>
      </c>
      <c r="G289" s="3" t="b">
        <f ca="1">INDEX(dict_zul_Var_Meth[kval_active],MATCH(table_Methods[[#This Row],[ID]],dict_zul_Var_Meth[ID_Methods],0))</f>
        <v>0</v>
      </c>
      <c r="H289">
        <f t="shared" ca="1" si="23"/>
        <v>12153</v>
      </c>
      <c r="I289">
        <f t="shared" ca="1" si="24"/>
        <v>17664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5"/>
        <v>3800</v>
      </c>
      <c r="E290">
        <f t="shared" ca="1" si="21"/>
        <v>0</v>
      </c>
      <c r="F290">
        <f t="shared" ca="1" si="22"/>
        <v>330</v>
      </c>
      <c r="G290" s="3" t="b">
        <f ca="1">INDEX(dict_zul_Var_Meth[kval_active],MATCH(table_Methods[[#This Row],[ID]],dict_zul_Var_Meth[ID_Methods],0))</f>
        <v>0</v>
      </c>
      <c r="H290">
        <f t="shared" ca="1" si="23"/>
        <v>9860</v>
      </c>
      <c r="I290">
        <f t="shared" ca="1" si="24"/>
        <v>896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5"/>
        <v>28.000000000000004</v>
      </c>
      <c r="E291">
        <f t="shared" ca="1" si="21"/>
        <v>30</v>
      </c>
      <c r="F291">
        <f t="shared" ca="1" si="22"/>
        <v>340</v>
      </c>
      <c r="G291" s="3" t="b">
        <f ca="1">INDEX(dict_zul_Var_Meth[kval_active],MATCH(table_Methods[[#This Row],[ID]],dict_zul_Var_Meth[ID_Methods],0))</f>
        <v>0</v>
      </c>
      <c r="H291">
        <f t="shared" ca="1" si="23"/>
        <v>1756</v>
      </c>
      <c r="I291">
        <f t="shared" ca="1" si="24"/>
        <v>560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5"/>
        <v>170</v>
      </c>
      <c r="E292">
        <f t="shared" ref="E292:E355" ca="1" si="26">RANDBETWEEN(-10,3)*10</f>
        <v>-40</v>
      </c>
      <c r="F292">
        <f t="shared" ref="F292:F355" ca="1" si="27">RANDBETWEEN(2,100)*10</f>
        <v>470</v>
      </c>
      <c r="G292" s="3" t="b">
        <f ca="1">INDEX(dict_zul_Var_Meth[kval_active],MATCH(table_Methods[[#This Row],[ID]],dict_zul_Var_Meth[ID_Methods],0))</f>
        <v>0</v>
      </c>
      <c r="H292">
        <f t="shared" ref="H292:H355" ca="1" si="28">RANDBETWEEN(1,10)*RANDBETWEEN(1,5000)</f>
        <v>12030</v>
      </c>
      <c r="I292">
        <f t="shared" ref="I292:I355" ca="1" si="29">2^RANDBETWEEN(1,10)*RANDBETWEEN(1,100)</f>
        <v>10112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5"/>
        <v>8900</v>
      </c>
      <c r="E293">
        <f t="shared" ca="1" si="26"/>
        <v>-10</v>
      </c>
      <c r="F293">
        <f t="shared" ca="1" si="27"/>
        <v>280</v>
      </c>
      <c r="G293" s="3" t="b">
        <f ca="1">INDEX(dict_zul_Var_Meth[kval_active],MATCH(table_Methods[[#This Row],[ID]],dict_zul_Var_Meth[ID_Methods],0))</f>
        <v>0</v>
      </c>
      <c r="H293">
        <f t="shared" ca="1" si="28"/>
        <v>30394</v>
      </c>
      <c r="I293">
        <f t="shared" ca="1" si="29"/>
        <v>4032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5"/>
        <v>410</v>
      </c>
      <c r="E294">
        <f t="shared" ca="1" si="26"/>
        <v>-100</v>
      </c>
      <c r="F294">
        <f t="shared" ca="1" si="27"/>
        <v>40</v>
      </c>
      <c r="G294" s="3" t="b">
        <f ca="1">INDEX(dict_zul_Var_Meth[kval_active],MATCH(table_Methods[[#This Row],[ID]],dict_zul_Var_Meth[ID_Methods],0))</f>
        <v>0</v>
      </c>
      <c r="H294">
        <f t="shared" ca="1" si="28"/>
        <v>31968</v>
      </c>
      <c r="I294">
        <f t="shared" ca="1" si="29"/>
        <v>18176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5"/>
        <v>8400</v>
      </c>
      <c r="E295">
        <f t="shared" ca="1" si="26"/>
        <v>-90</v>
      </c>
      <c r="F295">
        <f t="shared" ca="1" si="27"/>
        <v>970</v>
      </c>
      <c r="G295" s="3" t="b">
        <f ca="1">INDEX(dict_zul_Var_Meth[kval_active],MATCH(table_Methods[[#This Row],[ID]],dict_zul_Var_Meth[ID_Methods],0))</f>
        <v>0</v>
      </c>
      <c r="H295">
        <f t="shared" ca="1" si="28"/>
        <v>4962</v>
      </c>
      <c r="I295">
        <f t="shared" ca="1" si="29"/>
        <v>5248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5"/>
        <v>3700</v>
      </c>
      <c r="E296">
        <f t="shared" ca="1" si="26"/>
        <v>-100</v>
      </c>
      <c r="F296">
        <f t="shared" ca="1" si="27"/>
        <v>430</v>
      </c>
      <c r="G296" s="3" t="b">
        <f ca="1">INDEX(dict_zul_Var_Meth[kval_active],MATCH(table_Methods[[#This Row],[ID]],dict_zul_Var_Meth[ID_Methods],0))</f>
        <v>0</v>
      </c>
      <c r="H296">
        <f t="shared" ca="1" si="28"/>
        <v>6775</v>
      </c>
      <c r="I296">
        <f t="shared" ca="1" si="29"/>
        <v>200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5"/>
        <v>8000</v>
      </c>
      <c r="E297">
        <f t="shared" ca="1" si="26"/>
        <v>-30</v>
      </c>
      <c r="F297">
        <f t="shared" ca="1" si="27"/>
        <v>610</v>
      </c>
      <c r="G297" s="3" t="b">
        <f ca="1">INDEX(dict_zul_Var_Meth[kval_active],MATCH(table_Methods[[#This Row],[ID]],dict_zul_Var_Meth[ID_Methods],0))</f>
        <v>0</v>
      </c>
      <c r="H297">
        <f t="shared" ca="1" si="28"/>
        <v>1952</v>
      </c>
      <c r="I297">
        <f t="shared" ca="1" si="29"/>
        <v>29184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5"/>
        <v>470</v>
      </c>
      <c r="E298">
        <f t="shared" ca="1" si="26"/>
        <v>-20</v>
      </c>
      <c r="F298">
        <f t="shared" ca="1" si="27"/>
        <v>190</v>
      </c>
      <c r="G298" s="3" t="b">
        <f ca="1">INDEX(dict_zul_Var_Meth[kval_active],MATCH(table_Methods[[#This Row],[ID]],dict_zul_Var_Meth[ID_Methods],0))</f>
        <v>0</v>
      </c>
      <c r="H298">
        <f t="shared" ca="1" si="28"/>
        <v>12055</v>
      </c>
      <c r="I298">
        <f t="shared" ca="1" si="29"/>
        <v>170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5"/>
        <v>500</v>
      </c>
      <c r="E299">
        <f t="shared" ca="1" si="26"/>
        <v>-20</v>
      </c>
      <c r="F299">
        <f t="shared" ca="1" si="27"/>
        <v>250</v>
      </c>
      <c r="G299" s="3" t="b">
        <f ca="1">INDEX(dict_zul_Var_Meth[kval_active],MATCH(table_Methods[[#This Row],[ID]],dict_zul_Var_Meth[ID_Methods],0))</f>
        <v>0</v>
      </c>
      <c r="H299">
        <f t="shared" ca="1" si="28"/>
        <v>6355</v>
      </c>
      <c r="I299">
        <f t="shared" ca="1" si="29"/>
        <v>400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5"/>
        <v>74</v>
      </c>
      <c r="E300">
        <f t="shared" ca="1" si="26"/>
        <v>-10</v>
      </c>
      <c r="F300">
        <f t="shared" ca="1" si="27"/>
        <v>650</v>
      </c>
      <c r="G300" s="3" t="b">
        <f ca="1">INDEX(dict_zul_Var_Meth[kval_active],MATCH(table_Methods[[#This Row],[ID]],dict_zul_Var_Meth[ID_Methods],0))</f>
        <v>0</v>
      </c>
      <c r="H300">
        <f t="shared" ca="1" si="28"/>
        <v>19926</v>
      </c>
      <c r="I300">
        <f t="shared" ca="1" si="29"/>
        <v>1280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5"/>
        <v>63.000000000000007</v>
      </c>
      <c r="E301">
        <f t="shared" ca="1" si="26"/>
        <v>-30</v>
      </c>
      <c r="F301">
        <f t="shared" ca="1" si="27"/>
        <v>60</v>
      </c>
      <c r="G301" s="3" t="b">
        <f ca="1">INDEX(dict_zul_Var_Meth[kval_active],MATCH(table_Methods[[#This Row],[ID]],dict_zul_Var_Meth[ID_Methods],0))</f>
        <v>0</v>
      </c>
      <c r="H301">
        <f t="shared" ca="1" si="28"/>
        <v>34461</v>
      </c>
      <c r="I301">
        <f t="shared" ca="1" si="29"/>
        <v>5376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5"/>
        <v>11</v>
      </c>
      <c r="E302">
        <f t="shared" ca="1" si="26"/>
        <v>-90</v>
      </c>
      <c r="F302">
        <f t="shared" ca="1" si="27"/>
        <v>540</v>
      </c>
      <c r="G302" s="3" t="b">
        <f ca="1">INDEX(dict_zul_Var_Meth[kval_active],MATCH(table_Methods[[#This Row],[ID]],dict_zul_Var_Meth[ID_Methods],0))</f>
        <v>1</v>
      </c>
      <c r="H302">
        <f t="shared" ca="1" si="28"/>
        <v>13104</v>
      </c>
      <c r="I302">
        <f t="shared" ca="1" si="29"/>
        <v>832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5"/>
        <v>640</v>
      </c>
      <c r="E303">
        <f t="shared" ca="1" si="26"/>
        <v>30</v>
      </c>
      <c r="F303">
        <f t="shared" ca="1" si="27"/>
        <v>630</v>
      </c>
      <c r="G303" s="3" t="b">
        <f ca="1">INDEX(dict_zul_Var_Meth[kval_active],MATCH(table_Methods[[#This Row],[ID]],dict_zul_Var_Meth[ID_Methods],0))</f>
        <v>0</v>
      </c>
      <c r="H303">
        <f t="shared" ca="1" si="28"/>
        <v>2175</v>
      </c>
      <c r="I303">
        <f t="shared" ca="1" si="29"/>
        <v>65536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5"/>
        <v>6700</v>
      </c>
      <c r="E304">
        <f t="shared" ca="1" si="26"/>
        <v>-100</v>
      </c>
      <c r="F304">
        <f t="shared" ca="1" si="27"/>
        <v>680</v>
      </c>
      <c r="G304" s="3" t="b">
        <f ca="1">INDEX(dict_zul_Var_Meth[kval_active],MATCH(table_Methods[[#This Row],[ID]],dict_zul_Var_Meth[ID_Methods],0))</f>
        <v>0</v>
      </c>
      <c r="H304">
        <f t="shared" ca="1" si="28"/>
        <v>16170</v>
      </c>
      <c r="I304">
        <f t="shared" ca="1" si="29"/>
        <v>17920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5"/>
        <v>150</v>
      </c>
      <c r="E305">
        <f t="shared" ca="1" si="26"/>
        <v>-50</v>
      </c>
      <c r="F305">
        <f t="shared" ca="1" si="27"/>
        <v>810</v>
      </c>
      <c r="G305" s="3" t="b">
        <f ca="1">INDEX(dict_zul_Var_Meth[kval_active],MATCH(table_Methods[[#This Row],[ID]],dict_zul_Var_Meth[ID_Methods],0))</f>
        <v>0</v>
      </c>
      <c r="H305">
        <f t="shared" ca="1" si="28"/>
        <v>3752</v>
      </c>
      <c r="I305">
        <f t="shared" ca="1" si="29"/>
        <v>62464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5"/>
        <v>970</v>
      </c>
      <c r="E306">
        <f t="shared" ca="1" si="26"/>
        <v>-40</v>
      </c>
      <c r="F306">
        <f t="shared" ca="1" si="27"/>
        <v>540</v>
      </c>
      <c r="G306" s="3" t="b">
        <f ca="1">INDEX(dict_zul_Var_Meth[kval_active],MATCH(table_Methods[[#This Row],[ID]],dict_zul_Var_Meth[ID_Methods],0))</f>
        <v>0</v>
      </c>
      <c r="H306">
        <f t="shared" ca="1" si="28"/>
        <v>8922</v>
      </c>
      <c r="I306">
        <f t="shared" ca="1" si="29"/>
        <v>944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5"/>
        <v>320</v>
      </c>
      <c r="E307">
        <f t="shared" ca="1" si="26"/>
        <v>-20</v>
      </c>
      <c r="F307">
        <f t="shared" ca="1" si="27"/>
        <v>800</v>
      </c>
      <c r="G307" s="3" t="b">
        <f ca="1">INDEX(dict_zul_Var_Meth[kval_active],MATCH(table_Methods[[#This Row],[ID]],dict_zul_Var_Meth[ID_Methods],0))</f>
        <v>0</v>
      </c>
      <c r="H307">
        <f t="shared" ca="1" si="28"/>
        <v>18320</v>
      </c>
      <c r="I307">
        <f t="shared" ca="1" si="29"/>
        <v>98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5"/>
        <v>960</v>
      </c>
      <c r="E308">
        <f t="shared" ca="1" si="26"/>
        <v>-30</v>
      </c>
      <c r="F308">
        <f t="shared" ca="1" si="27"/>
        <v>950</v>
      </c>
      <c r="G308" s="3" t="b">
        <f ca="1">INDEX(dict_zul_Var_Meth[kval_active],MATCH(table_Methods[[#This Row],[ID]],dict_zul_Var_Meth[ID_Methods],0))</f>
        <v>0</v>
      </c>
      <c r="H308">
        <f t="shared" ca="1" si="28"/>
        <v>2478</v>
      </c>
      <c r="I308">
        <f t="shared" ca="1" si="29"/>
        <v>75776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5"/>
        <v>17</v>
      </c>
      <c r="E309">
        <f t="shared" ca="1" si="26"/>
        <v>-70</v>
      </c>
      <c r="F309">
        <f t="shared" ca="1" si="27"/>
        <v>140</v>
      </c>
      <c r="G309" s="3" t="b">
        <f ca="1">INDEX(dict_zul_Var_Meth[kval_active],MATCH(table_Methods[[#This Row],[ID]],dict_zul_Var_Meth[ID_Methods],0))</f>
        <v>0</v>
      </c>
      <c r="H309">
        <f t="shared" ca="1" si="28"/>
        <v>910</v>
      </c>
      <c r="I309">
        <f t="shared" ca="1" si="29"/>
        <v>23552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5"/>
        <v>7100</v>
      </c>
      <c r="E310">
        <f t="shared" ca="1" si="26"/>
        <v>30</v>
      </c>
      <c r="F310">
        <f t="shared" ca="1" si="27"/>
        <v>820</v>
      </c>
      <c r="G310" s="3" t="b">
        <f ca="1">INDEX(dict_zul_Var_Meth[kval_active],MATCH(table_Methods[[#This Row],[ID]],dict_zul_Var_Meth[ID_Methods],0))</f>
        <v>0</v>
      </c>
      <c r="H310">
        <f t="shared" ca="1" si="28"/>
        <v>6288</v>
      </c>
      <c r="I310">
        <f t="shared" ca="1" si="29"/>
        <v>5888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5"/>
        <v>260</v>
      </c>
      <c r="E311">
        <f t="shared" ca="1" si="26"/>
        <v>-50</v>
      </c>
      <c r="F311">
        <f t="shared" ca="1" si="27"/>
        <v>100</v>
      </c>
      <c r="G311" s="3" t="b">
        <f ca="1">INDEX(dict_zul_Var_Meth[kval_active],MATCH(table_Methods[[#This Row],[ID]],dict_zul_Var_Meth[ID_Methods],0))</f>
        <v>0</v>
      </c>
      <c r="H311">
        <f t="shared" ca="1" si="28"/>
        <v>13368</v>
      </c>
      <c r="I311">
        <f t="shared" ca="1" si="29"/>
        <v>7936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5"/>
        <v>420</v>
      </c>
      <c r="E312">
        <f t="shared" ca="1" si="26"/>
        <v>-10</v>
      </c>
      <c r="F312">
        <f t="shared" ca="1" si="27"/>
        <v>290</v>
      </c>
      <c r="G312" s="3" t="b">
        <f ca="1">INDEX(dict_zul_Var_Meth[kval_active],MATCH(table_Methods[[#This Row],[ID]],dict_zul_Var_Meth[ID_Methods],0))</f>
        <v>0</v>
      </c>
      <c r="H312">
        <f t="shared" ca="1" si="28"/>
        <v>9884</v>
      </c>
      <c r="I312">
        <f t="shared" ca="1" si="29"/>
        <v>16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5"/>
        <v>800</v>
      </c>
      <c r="E313">
        <f t="shared" ca="1" si="26"/>
        <v>-50</v>
      </c>
      <c r="F313">
        <f t="shared" ca="1" si="27"/>
        <v>570</v>
      </c>
      <c r="G313" s="3" t="b">
        <f ca="1">INDEX(dict_zul_Var_Meth[kval_active],MATCH(table_Methods[[#This Row],[ID]],dict_zul_Var_Meth[ID_Methods],0))</f>
        <v>0</v>
      </c>
      <c r="H313">
        <f t="shared" ca="1" si="28"/>
        <v>22200</v>
      </c>
      <c r="I313">
        <f t="shared" ca="1" si="29"/>
        <v>1920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5"/>
        <v>56.000000000000007</v>
      </c>
      <c r="E314">
        <f t="shared" ca="1" si="26"/>
        <v>-70</v>
      </c>
      <c r="F314">
        <f t="shared" ca="1" si="27"/>
        <v>460</v>
      </c>
      <c r="G314" s="3" t="b">
        <f ca="1">INDEX(dict_zul_Var_Meth[kval_active],MATCH(table_Methods[[#This Row],[ID]],dict_zul_Var_Meth[ID_Methods],0))</f>
        <v>0</v>
      </c>
      <c r="H314">
        <f t="shared" ca="1" si="28"/>
        <v>38205</v>
      </c>
      <c r="I314">
        <f t="shared" ca="1" si="29"/>
        <v>1280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5"/>
        <v>3600</v>
      </c>
      <c r="E315">
        <f t="shared" ca="1" si="26"/>
        <v>-100</v>
      </c>
      <c r="F315">
        <f t="shared" ca="1" si="27"/>
        <v>70</v>
      </c>
      <c r="G315" s="3" t="b">
        <f ca="1">INDEX(dict_zul_Var_Meth[kval_active],MATCH(table_Methods[[#This Row],[ID]],dict_zul_Var_Meth[ID_Methods],0))</f>
        <v>0</v>
      </c>
      <c r="H315">
        <f t="shared" ca="1" si="28"/>
        <v>1226</v>
      </c>
      <c r="I315">
        <f t="shared" ca="1" si="29"/>
        <v>23040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5"/>
        <v>98</v>
      </c>
      <c r="E316">
        <f t="shared" ca="1" si="26"/>
        <v>-10</v>
      </c>
      <c r="F316">
        <f t="shared" ca="1" si="27"/>
        <v>680</v>
      </c>
      <c r="G316" s="3" t="b">
        <f ca="1">INDEX(dict_zul_Var_Meth[kval_active],MATCH(table_Methods[[#This Row],[ID]],dict_zul_Var_Meth[ID_Methods],0))</f>
        <v>0</v>
      </c>
      <c r="H316">
        <f t="shared" ca="1" si="28"/>
        <v>13223</v>
      </c>
      <c r="I316">
        <f t="shared" ca="1" si="29"/>
        <v>22528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5"/>
        <v>14.000000000000002</v>
      </c>
      <c r="E317">
        <f t="shared" ca="1" si="26"/>
        <v>-10</v>
      </c>
      <c r="F317">
        <f t="shared" ca="1" si="27"/>
        <v>580</v>
      </c>
      <c r="G317" s="3" t="b">
        <f ca="1">INDEX(dict_zul_Var_Meth[kval_active],MATCH(table_Methods[[#This Row],[ID]],dict_zul_Var_Meth[ID_Methods],0))</f>
        <v>0</v>
      </c>
      <c r="H317">
        <f t="shared" ca="1" si="28"/>
        <v>28632</v>
      </c>
      <c r="I317">
        <f t="shared" ca="1" si="29"/>
        <v>17408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5"/>
        <v>6500</v>
      </c>
      <c r="E318">
        <f t="shared" ca="1" si="26"/>
        <v>0</v>
      </c>
      <c r="F318">
        <f t="shared" ca="1" si="27"/>
        <v>130</v>
      </c>
      <c r="G318" s="3" t="b">
        <f ca="1">INDEX(dict_zul_Var_Meth[kval_active],MATCH(table_Methods[[#This Row],[ID]],dict_zul_Var_Meth[ID_Methods],0))</f>
        <v>0</v>
      </c>
      <c r="H318">
        <f t="shared" ca="1" si="28"/>
        <v>17888</v>
      </c>
      <c r="I318">
        <f t="shared" ca="1" si="29"/>
        <v>4608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5"/>
        <v>8100</v>
      </c>
      <c r="E319">
        <f t="shared" ca="1" si="26"/>
        <v>-90</v>
      </c>
      <c r="F319">
        <f t="shared" ca="1" si="27"/>
        <v>360</v>
      </c>
      <c r="G319" s="3" t="b">
        <f ca="1">INDEX(dict_zul_Var_Meth[kval_active],MATCH(table_Methods[[#This Row],[ID]],dict_zul_Var_Meth[ID_Methods],0))</f>
        <v>0</v>
      </c>
      <c r="H319">
        <f t="shared" ca="1" si="28"/>
        <v>9168</v>
      </c>
      <c r="I319">
        <f t="shared" ca="1" si="29"/>
        <v>3520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5"/>
        <v>1800</v>
      </c>
      <c r="E320">
        <f t="shared" ca="1" si="26"/>
        <v>-10</v>
      </c>
      <c r="F320">
        <f t="shared" ca="1" si="27"/>
        <v>250</v>
      </c>
      <c r="G320" s="3" t="b">
        <f ca="1">INDEX(dict_zul_Var_Meth[kval_active],MATCH(table_Methods[[#This Row],[ID]],dict_zul_Var_Meth[ID_Methods],0))</f>
        <v>0</v>
      </c>
      <c r="H320">
        <f t="shared" ca="1" si="28"/>
        <v>10347</v>
      </c>
      <c r="I320">
        <f t="shared" ca="1" si="29"/>
        <v>11008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5"/>
        <v>93</v>
      </c>
      <c r="E321">
        <f t="shared" ca="1" si="26"/>
        <v>-60</v>
      </c>
      <c r="F321">
        <f t="shared" ca="1" si="27"/>
        <v>710</v>
      </c>
      <c r="G321" s="3" t="b">
        <f ca="1">INDEX(dict_zul_Var_Meth[kval_active],MATCH(table_Methods[[#This Row],[ID]],dict_zul_Var_Meth[ID_Methods],0))</f>
        <v>0</v>
      </c>
      <c r="H321">
        <f t="shared" ca="1" si="28"/>
        <v>12816</v>
      </c>
      <c r="I321">
        <f t="shared" ca="1" si="29"/>
        <v>14336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0">10^(RANDBETWEEN(-1,1))*RANDBETWEEN(1,100)*10</f>
        <v>150</v>
      </c>
      <c r="E322">
        <f t="shared" ca="1" si="26"/>
        <v>0</v>
      </c>
      <c r="F322">
        <f t="shared" ca="1" si="27"/>
        <v>860</v>
      </c>
      <c r="G322" s="3" t="b">
        <f ca="1">INDEX(dict_zul_Var_Meth[kval_active],MATCH(table_Methods[[#This Row],[ID]],dict_zul_Var_Meth[ID_Methods],0))</f>
        <v>0</v>
      </c>
      <c r="H322">
        <f t="shared" ca="1" si="28"/>
        <v>34461</v>
      </c>
      <c r="I322">
        <f t="shared" ca="1" si="29"/>
        <v>344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0"/>
        <v>59</v>
      </c>
      <c r="E323">
        <f t="shared" ca="1" si="26"/>
        <v>0</v>
      </c>
      <c r="F323">
        <f t="shared" ca="1" si="27"/>
        <v>240</v>
      </c>
      <c r="G323" s="3" t="b">
        <f ca="1">INDEX(dict_zul_Var_Meth[kval_active],MATCH(table_Methods[[#This Row],[ID]],dict_zul_Var_Meth[ID_Methods],0))</f>
        <v>0</v>
      </c>
      <c r="H323">
        <f t="shared" ca="1" si="28"/>
        <v>8964</v>
      </c>
      <c r="I323">
        <f t="shared" ca="1" si="29"/>
        <v>360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0"/>
        <v>700</v>
      </c>
      <c r="E324">
        <f t="shared" ca="1" si="26"/>
        <v>0</v>
      </c>
      <c r="F324">
        <f t="shared" ca="1" si="27"/>
        <v>220</v>
      </c>
      <c r="G324" s="3" t="b">
        <f ca="1">INDEX(dict_zul_Var_Meth[kval_active],MATCH(table_Methods[[#This Row],[ID]],dict_zul_Var_Meth[ID_Methods],0))</f>
        <v>0</v>
      </c>
      <c r="H324">
        <f t="shared" ca="1" si="28"/>
        <v>25986</v>
      </c>
      <c r="I324">
        <f t="shared" ca="1" si="29"/>
        <v>432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0"/>
        <v>22</v>
      </c>
      <c r="E325">
        <f t="shared" ca="1" si="26"/>
        <v>-50</v>
      </c>
      <c r="F325">
        <f t="shared" ca="1" si="27"/>
        <v>580</v>
      </c>
      <c r="G325" s="3" t="b">
        <f ca="1">INDEX(dict_zul_Var_Meth[kval_active],MATCH(table_Methods[[#This Row],[ID]],dict_zul_Var_Meth[ID_Methods],0))</f>
        <v>0</v>
      </c>
      <c r="H325">
        <f t="shared" ca="1" si="28"/>
        <v>7152</v>
      </c>
      <c r="I325">
        <f t="shared" ca="1" si="29"/>
        <v>78848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0"/>
        <v>4800</v>
      </c>
      <c r="E326">
        <f t="shared" ca="1" si="26"/>
        <v>-40</v>
      </c>
      <c r="F326">
        <f t="shared" ca="1" si="27"/>
        <v>110</v>
      </c>
      <c r="G326" s="3" t="b">
        <f ca="1">INDEX(dict_zul_Var_Meth[kval_active],MATCH(table_Methods[[#This Row],[ID]],dict_zul_Var_Meth[ID_Methods],0))</f>
        <v>0</v>
      </c>
      <c r="H326">
        <f t="shared" ca="1" si="28"/>
        <v>23120</v>
      </c>
      <c r="I326">
        <f t="shared" ca="1" si="29"/>
        <v>1280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0"/>
        <v>93</v>
      </c>
      <c r="E327">
        <f t="shared" ca="1" si="26"/>
        <v>20</v>
      </c>
      <c r="F327">
        <f t="shared" ca="1" si="27"/>
        <v>960</v>
      </c>
      <c r="G327" s="3" t="b">
        <f ca="1">INDEX(dict_zul_Var_Meth[kval_active],MATCH(table_Methods[[#This Row],[ID]],dict_zul_Var_Meth[ID_Methods],0))</f>
        <v>0</v>
      </c>
      <c r="H327">
        <f t="shared" ca="1" si="28"/>
        <v>9894</v>
      </c>
      <c r="I327">
        <f t="shared" ca="1" si="29"/>
        <v>340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0"/>
        <v>7600</v>
      </c>
      <c r="E328">
        <f t="shared" ca="1" si="26"/>
        <v>10</v>
      </c>
      <c r="F328">
        <f t="shared" ca="1" si="27"/>
        <v>150</v>
      </c>
      <c r="G328" s="3" t="b">
        <f ca="1">INDEX(dict_zul_Var_Meth[kval_active],MATCH(table_Methods[[#This Row],[ID]],dict_zul_Var_Meth[ID_Methods],0))</f>
        <v>0</v>
      </c>
      <c r="H328">
        <f t="shared" ca="1" si="28"/>
        <v>7872</v>
      </c>
      <c r="I328">
        <f t="shared" ca="1" si="29"/>
        <v>194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0"/>
        <v>93</v>
      </c>
      <c r="E329">
        <f t="shared" ca="1" si="26"/>
        <v>-80</v>
      </c>
      <c r="F329">
        <f t="shared" ca="1" si="27"/>
        <v>820</v>
      </c>
      <c r="G329" s="3" t="b">
        <f ca="1">INDEX(dict_zul_Var_Meth[kval_active],MATCH(table_Methods[[#This Row],[ID]],dict_zul_Var_Meth[ID_Methods],0))</f>
        <v>0</v>
      </c>
      <c r="H329">
        <f t="shared" ca="1" si="28"/>
        <v>5380</v>
      </c>
      <c r="I329">
        <f t="shared" ca="1" si="29"/>
        <v>14080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0"/>
        <v>180</v>
      </c>
      <c r="E330">
        <f t="shared" ca="1" si="26"/>
        <v>-70</v>
      </c>
      <c r="F330">
        <f t="shared" ca="1" si="27"/>
        <v>910</v>
      </c>
      <c r="G330" s="3" t="b">
        <f ca="1">INDEX(dict_zul_Var_Meth[kval_active],MATCH(table_Methods[[#This Row],[ID]],dict_zul_Var_Meth[ID_Methods],0))</f>
        <v>0</v>
      </c>
      <c r="H330">
        <f t="shared" ca="1" si="28"/>
        <v>13524</v>
      </c>
      <c r="I330">
        <f t="shared" ca="1" si="29"/>
        <v>1792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0"/>
        <v>560</v>
      </c>
      <c r="E331">
        <f t="shared" ca="1" si="26"/>
        <v>-20</v>
      </c>
      <c r="F331">
        <f t="shared" ca="1" si="27"/>
        <v>850</v>
      </c>
      <c r="G331" s="3" t="b">
        <f ca="1">INDEX(dict_zul_Var_Meth[kval_active],MATCH(table_Methods[[#This Row],[ID]],dict_zul_Var_Meth[ID_Methods],0))</f>
        <v>0</v>
      </c>
      <c r="H331">
        <f t="shared" ca="1" si="28"/>
        <v>17764</v>
      </c>
      <c r="I331">
        <f t="shared" ca="1" si="29"/>
        <v>192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0"/>
        <v>95</v>
      </c>
      <c r="E332">
        <f t="shared" ca="1" si="26"/>
        <v>-60</v>
      </c>
      <c r="F332">
        <f t="shared" ca="1" si="27"/>
        <v>890</v>
      </c>
      <c r="G332" s="3" t="b">
        <f ca="1">INDEX(dict_zul_Var_Meth[kval_active],MATCH(table_Methods[[#This Row],[ID]],dict_zul_Var_Meth[ID_Methods],0))</f>
        <v>0</v>
      </c>
      <c r="H332">
        <f t="shared" ca="1" si="28"/>
        <v>5127</v>
      </c>
      <c r="I332">
        <f t="shared" ca="1" si="29"/>
        <v>32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0"/>
        <v>5600</v>
      </c>
      <c r="E333">
        <f t="shared" ca="1" si="26"/>
        <v>-70</v>
      </c>
      <c r="F333">
        <f t="shared" ca="1" si="27"/>
        <v>610</v>
      </c>
      <c r="G333" s="3" t="b">
        <f ca="1">INDEX(dict_zul_Var_Meth[kval_active],MATCH(table_Methods[[#This Row],[ID]],dict_zul_Var_Meth[ID_Methods],0))</f>
        <v>0</v>
      </c>
      <c r="H333">
        <f t="shared" ca="1" si="28"/>
        <v>4680</v>
      </c>
      <c r="I333">
        <f t="shared" ca="1" si="29"/>
        <v>7040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0"/>
        <v>7100</v>
      </c>
      <c r="E334">
        <f t="shared" ca="1" si="26"/>
        <v>-80</v>
      </c>
      <c r="F334">
        <f t="shared" ca="1" si="27"/>
        <v>410</v>
      </c>
      <c r="G334" s="3" t="b">
        <f ca="1">INDEX(dict_zul_Var_Meth[kval_active],MATCH(table_Methods[[#This Row],[ID]],dict_zul_Var_Meth[ID_Methods],0))</f>
        <v>0</v>
      </c>
      <c r="H334">
        <f t="shared" ca="1" si="28"/>
        <v>6186</v>
      </c>
      <c r="I334">
        <f t="shared" ca="1" si="29"/>
        <v>256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0"/>
        <v>950</v>
      </c>
      <c r="E335">
        <f t="shared" ca="1" si="26"/>
        <v>-30</v>
      </c>
      <c r="F335">
        <f t="shared" ca="1" si="27"/>
        <v>940</v>
      </c>
      <c r="G335" s="3" t="b">
        <f ca="1">INDEX(dict_zul_Var_Meth[kval_active],MATCH(table_Methods[[#This Row],[ID]],dict_zul_Var_Meth[ID_Methods],0))</f>
        <v>0</v>
      </c>
      <c r="H335">
        <f t="shared" ca="1" si="28"/>
        <v>8172</v>
      </c>
      <c r="I335">
        <f t="shared" ca="1" si="29"/>
        <v>5504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0"/>
        <v>90</v>
      </c>
      <c r="E336">
        <f t="shared" ca="1" si="26"/>
        <v>10</v>
      </c>
      <c r="F336">
        <f t="shared" ca="1" si="27"/>
        <v>350</v>
      </c>
      <c r="G336" s="3" t="b">
        <f ca="1">INDEX(dict_zul_Var_Meth[kval_active],MATCH(table_Methods[[#This Row],[ID]],dict_zul_Var_Meth[ID_Methods],0))</f>
        <v>0</v>
      </c>
      <c r="H336">
        <f t="shared" ca="1" si="28"/>
        <v>10600</v>
      </c>
      <c r="I336">
        <f t="shared" ca="1" si="29"/>
        <v>208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0"/>
        <v>63.000000000000007</v>
      </c>
      <c r="E337">
        <f t="shared" ca="1" si="26"/>
        <v>-80</v>
      </c>
      <c r="F337">
        <f t="shared" ca="1" si="27"/>
        <v>170</v>
      </c>
      <c r="G337" s="3" t="b">
        <f ca="1">INDEX(dict_zul_Var_Meth[kval_active],MATCH(table_Methods[[#This Row],[ID]],dict_zul_Var_Meth[ID_Methods],0))</f>
        <v>0</v>
      </c>
      <c r="H337">
        <f t="shared" ca="1" si="28"/>
        <v>13760</v>
      </c>
      <c r="I337">
        <f t="shared" ca="1" si="29"/>
        <v>656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0"/>
        <v>700</v>
      </c>
      <c r="E338">
        <f t="shared" ca="1" si="26"/>
        <v>-60</v>
      </c>
      <c r="F338">
        <f t="shared" ca="1" si="27"/>
        <v>470</v>
      </c>
      <c r="G338" s="3" t="b">
        <f ca="1">INDEX(dict_zul_Var_Meth[kval_active],MATCH(table_Methods[[#This Row],[ID]],dict_zul_Var_Meth[ID_Methods],0))</f>
        <v>0</v>
      </c>
      <c r="H338">
        <f t="shared" ca="1" si="28"/>
        <v>3486</v>
      </c>
      <c r="I338">
        <f t="shared" ca="1" si="29"/>
        <v>6144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0"/>
        <v>28.000000000000004</v>
      </c>
      <c r="E339">
        <f t="shared" ca="1" si="26"/>
        <v>30</v>
      </c>
      <c r="F339">
        <f t="shared" ca="1" si="27"/>
        <v>260</v>
      </c>
      <c r="G339" s="3" t="b">
        <f ca="1">INDEX(dict_zul_Var_Meth[kval_active],MATCH(table_Methods[[#This Row],[ID]],dict_zul_Var_Meth[ID_Methods],0))</f>
        <v>0</v>
      </c>
      <c r="H339">
        <f t="shared" ca="1" si="28"/>
        <v>40200</v>
      </c>
      <c r="I339">
        <f t="shared" ca="1" si="29"/>
        <v>544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0"/>
        <v>600</v>
      </c>
      <c r="E340">
        <f t="shared" ca="1" si="26"/>
        <v>-100</v>
      </c>
      <c r="F340">
        <f t="shared" ca="1" si="27"/>
        <v>40</v>
      </c>
      <c r="G340" s="3" t="b">
        <f ca="1">INDEX(dict_zul_Var_Meth[kval_active],MATCH(table_Methods[[#This Row],[ID]],dict_zul_Var_Meth[ID_Methods],0))</f>
        <v>0</v>
      </c>
      <c r="H340">
        <f t="shared" ca="1" si="28"/>
        <v>19984</v>
      </c>
      <c r="I340">
        <f t="shared" ca="1" si="29"/>
        <v>6528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0"/>
        <v>50</v>
      </c>
      <c r="E341">
        <f t="shared" ca="1" si="26"/>
        <v>-10</v>
      </c>
      <c r="F341">
        <f t="shared" ca="1" si="27"/>
        <v>870</v>
      </c>
      <c r="G341" s="3" t="b">
        <f ca="1">INDEX(dict_zul_Var_Meth[kval_active],MATCH(table_Methods[[#This Row],[ID]],dict_zul_Var_Meth[ID_Methods],0))</f>
        <v>0</v>
      </c>
      <c r="H341">
        <f t="shared" ca="1" si="28"/>
        <v>12177</v>
      </c>
      <c r="I341">
        <f t="shared" ca="1" si="29"/>
        <v>300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0"/>
        <v>82.000000000000014</v>
      </c>
      <c r="E342">
        <f t="shared" ca="1" si="26"/>
        <v>20</v>
      </c>
      <c r="F342">
        <f t="shared" ca="1" si="27"/>
        <v>360</v>
      </c>
      <c r="G342" s="3" t="b">
        <f ca="1">INDEX(dict_zul_Var_Meth[kval_active],MATCH(table_Methods[[#This Row],[ID]],dict_zul_Var_Meth[ID_Methods],0))</f>
        <v>0</v>
      </c>
      <c r="H342">
        <f t="shared" ca="1" si="28"/>
        <v>28168</v>
      </c>
      <c r="I342">
        <f t="shared" ca="1" si="29"/>
        <v>48128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0"/>
        <v>710</v>
      </c>
      <c r="E343">
        <f t="shared" ca="1" si="26"/>
        <v>10</v>
      </c>
      <c r="F343">
        <f t="shared" ca="1" si="27"/>
        <v>790</v>
      </c>
      <c r="G343" s="3" t="b">
        <f ca="1">INDEX(dict_zul_Var_Meth[kval_active],MATCH(table_Methods[[#This Row],[ID]],dict_zul_Var_Meth[ID_Methods],0))</f>
        <v>0</v>
      </c>
      <c r="H343">
        <f t="shared" ca="1" si="28"/>
        <v>15832</v>
      </c>
      <c r="I343">
        <f t="shared" ca="1" si="29"/>
        <v>13824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0"/>
        <v>7800</v>
      </c>
      <c r="E344">
        <f t="shared" ca="1" si="26"/>
        <v>0</v>
      </c>
      <c r="F344">
        <f t="shared" ca="1" si="27"/>
        <v>790</v>
      </c>
      <c r="G344" s="3" t="b">
        <f ca="1">INDEX(dict_zul_Var_Meth[kval_active],MATCH(table_Methods[[#This Row],[ID]],dict_zul_Var_Meth[ID_Methods],0))</f>
        <v>0</v>
      </c>
      <c r="H344">
        <f t="shared" ca="1" si="28"/>
        <v>23000</v>
      </c>
      <c r="I344">
        <f t="shared" ca="1" si="29"/>
        <v>8192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0"/>
        <v>54</v>
      </c>
      <c r="E345">
        <f t="shared" ca="1" si="26"/>
        <v>-100</v>
      </c>
      <c r="F345">
        <f t="shared" ca="1" si="27"/>
        <v>900</v>
      </c>
      <c r="G345" s="3" t="b">
        <f ca="1">INDEX(dict_zul_Var_Meth[kval_active],MATCH(table_Methods[[#This Row],[ID]],dict_zul_Var_Meth[ID_Methods],0))</f>
        <v>0</v>
      </c>
      <c r="H345">
        <f t="shared" ca="1" si="28"/>
        <v>28826</v>
      </c>
      <c r="I345">
        <f t="shared" ca="1" si="29"/>
        <v>176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0"/>
        <v>9000</v>
      </c>
      <c r="E346">
        <f t="shared" ca="1" si="26"/>
        <v>-50</v>
      </c>
      <c r="F346">
        <f t="shared" ca="1" si="27"/>
        <v>730</v>
      </c>
      <c r="G346" s="3" t="b">
        <f ca="1">INDEX(dict_zul_Var_Meth[kval_active],MATCH(table_Methods[[#This Row],[ID]],dict_zul_Var_Meth[ID_Methods],0))</f>
        <v>0</v>
      </c>
      <c r="H346">
        <f t="shared" ca="1" si="28"/>
        <v>11007</v>
      </c>
      <c r="I346">
        <f t="shared" ca="1" si="29"/>
        <v>896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0"/>
        <v>940</v>
      </c>
      <c r="E347">
        <f t="shared" ca="1" si="26"/>
        <v>20</v>
      </c>
      <c r="F347">
        <f t="shared" ca="1" si="27"/>
        <v>290</v>
      </c>
      <c r="G347" s="3" t="b">
        <f ca="1">INDEX(dict_zul_Var_Meth[kval_active],MATCH(table_Methods[[#This Row],[ID]],dict_zul_Var_Meth[ID_Methods],0))</f>
        <v>0</v>
      </c>
      <c r="H347">
        <f t="shared" ca="1" si="28"/>
        <v>1170</v>
      </c>
      <c r="I347">
        <f t="shared" ca="1" si="29"/>
        <v>4096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0"/>
        <v>530</v>
      </c>
      <c r="E348">
        <f t="shared" ca="1" si="26"/>
        <v>-80</v>
      </c>
      <c r="F348">
        <f t="shared" ca="1" si="27"/>
        <v>280</v>
      </c>
      <c r="G348" s="3" t="b">
        <f ca="1">INDEX(dict_zul_Var_Meth[kval_active],MATCH(table_Methods[[#This Row],[ID]],dict_zul_Var_Meth[ID_Methods],0))</f>
        <v>0</v>
      </c>
      <c r="H348">
        <f t="shared" ca="1" si="28"/>
        <v>15215</v>
      </c>
      <c r="I348">
        <f t="shared" ca="1" si="29"/>
        <v>292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0"/>
        <v>36</v>
      </c>
      <c r="E349">
        <f t="shared" ca="1" si="26"/>
        <v>0</v>
      </c>
      <c r="F349">
        <f t="shared" ca="1" si="27"/>
        <v>900</v>
      </c>
      <c r="G349" s="3" t="b">
        <f ca="1">INDEX(dict_zul_Var_Meth[kval_active],MATCH(table_Methods[[#This Row],[ID]],dict_zul_Var_Meth[ID_Methods],0))</f>
        <v>0</v>
      </c>
      <c r="H349">
        <f t="shared" ca="1" si="28"/>
        <v>7596</v>
      </c>
      <c r="I349">
        <f t="shared" ca="1" si="29"/>
        <v>2176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0"/>
        <v>3500</v>
      </c>
      <c r="E350">
        <f t="shared" ca="1" si="26"/>
        <v>-40</v>
      </c>
      <c r="F350">
        <f t="shared" ca="1" si="27"/>
        <v>360</v>
      </c>
      <c r="G350" s="3" t="b">
        <f ca="1">INDEX(dict_zul_Var_Meth[kval_active],MATCH(table_Methods[[#This Row],[ID]],dict_zul_Var_Meth[ID_Methods],0))</f>
        <v>0</v>
      </c>
      <c r="H350">
        <f t="shared" ca="1" si="28"/>
        <v>7595</v>
      </c>
      <c r="I350">
        <f t="shared" ca="1" si="29"/>
        <v>16128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0"/>
        <v>880</v>
      </c>
      <c r="E351">
        <f t="shared" ca="1" si="26"/>
        <v>0</v>
      </c>
      <c r="F351">
        <f t="shared" ca="1" si="27"/>
        <v>840</v>
      </c>
      <c r="G351" s="3" t="b">
        <f ca="1">INDEX(dict_zul_Var_Meth[kval_active],MATCH(table_Methods[[#This Row],[ID]],dict_zul_Var_Meth[ID_Methods],0))</f>
        <v>1</v>
      </c>
      <c r="H351">
        <f t="shared" ca="1" si="28"/>
        <v>14436</v>
      </c>
      <c r="I351">
        <f t="shared" ca="1" si="29"/>
        <v>52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0"/>
        <v>80</v>
      </c>
      <c r="E352">
        <f t="shared" ca="1" si="26"/>
        <v>-20</v>
      </c>
      <c r="F352">
        <f t="shared" ca="1" si="27"/>
        <v>480</v>
      </c>
      <c r="G352" s="3" t="b">
        <f ca="1">INDEX(dict_zul_Var_Meth[kval_active],MATCH(table_Methods[[#This Row],[ID]],dict_zul_Var_Meth[ID_Methods],0))</f>
        <v>0</v>
      </c>
      <c r="H352">
        <f t="shared" ca="1" si="28"/>
        <v>1594</v>
      </c>
      <c r="I352">
        <f t="shared" ca="1" si="29"/>
        <v>328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0"/>
        <v>400</v>
      </c>
      <c r="E353">
        <f t="shared" ca="1" si="26"/>
        <v>30</v>
      </c>
      <c r="F353">
        <f t="shared" ca="1" si="27"/>
        <v>660</v>
      </c>
      <c r="G353" s="3" t="b">
        <f ca="1">INDEX(dict_zul_Var_Meth[kval_active],MATCH(table_Methods[[#This Row],[ID]],dict_zul_Var_Meth[ID_Methods],0))</f>
        <v>0</v>
      </c>
      <c r="H353">
        <f t="shared" ca="1" si="28"/>
        <v>28483</v>
      </c>
      <c r="I353">
        <f t="shared" ca="1" si="29"/>
        <v>51200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0"/>
        <v>24.000000000000004</v>
      </c>
      <c r="E354">
        <f t="shared" ca="1" si="26"/>
        <v>0</v>
      </c>
      <c r="F354">
        <f t="shared" ca="1" si="27"/>
        <v>130</v>
      </c>
      <c r="G354" s="3" t="b">
        <f ca="1">INDEX(dict_zul_Var_Meth[kval_active],MATCH(table_Methods[[#This Row],[ID]],dict_zul_Var_Meth[ID_Methods],0))</f>
        <v>0</v>
      </c>
      <c r="H354">
        <f t="shared" ca="1" si="28"/>
        <v>16136</v>
      </c>
      <c r="I354">
        <f t="shared" ca="1" si="29"/>
        <v>78848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0"/>
        <v>1100</v>
      </c>
      <c r="E355">
        <f t="shared" ca="1" si="26"/>
        <v>-40</v>
      </c>
      <c r="F355">
        <f t="shared" ca="1" si="27"/>
        <v>230</v>
      </c>
      <c r="G355" s="3" t="b">
        <f ca="1">INDEX(dict_zul_Var_Meth[kval_active],MATCH(table_Methods[[#This Row],[ID]],dict_zul_Var_Meth[ID_Methods],0))</f>
        <v>0</v>
      </c>
      <c r="H355">
        <f t="shared" ca="1" si="28"/>
        <v>26340</v>
      </c>
      <c r="I355">
        <f t="shared" ca="1" si="29"/>
        <v>198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0"/>
        <v>700</v>
      </c>
      <c r="E356">
        <f t="shared" ref="E356:E419" ca="1" si="31">RANDBETWEEN(-10,3)*10</f>
        <v>-30</v>
      </c>
      <c r="F356">
        <f t="shared" ref="F356:F419" ca="1" si="32">RANDBETWEEN(2,100)*10</f>
        <v>900</v>
      </c>
      <c r="G356" s="3" t="b">
        <f ca="1">INDEX(dict_zul_Var_Meth[kval_active],MATCH(table_Methods[[#This Row],[ID]],dict_zul_Var_Meth[ID_Methods],0))</f>
        <v>0</v>
      </c>
      <c r="H356">
        <f t="shared" ref="H356:H419" ca="1" si="33">RANDBETWEEN(1,10)*RANDBETWEEN(1,5000)</f>
        <v>888</v>
      </c>
      <c r="I356">
        <f t="shared" ref="I356:I419" ca="1" si="34">2^RANDBETWEEN(1,10)*RANDBETWEEN(1,100)</f>
        <v>13312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0"/>
        <v>76</v>
      </c>
      <c r="E357">
        <f t="shared" ca="1" si="31"/>
        <v>-60</v>
      </c>
      <c r="F357">
        <f t="shared" ca="1" si="32"/>
        <v>370</v>
      </c>
      <c r="G357" s="3" t="b">
        <f ca="1">INDEX(dict_zul_Var_Meth[kval_active],MATCH(table_Methods[[#This Row],[ID]],dict_zul_Var_Meth[ID_Methods],0))</f>
        <v>0</v>
      </c>
      <c r="H357">
        <f t="shared" ca="1" si="33"/>
        <v>1505</v>
      </c>
      <c r="I357">
        <f t="shared" ca="1" si="34"/>
        <v>80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0"/>
        <v>8800</v>
      </c>
      <c r="E358">
        <f t="shared" ca="1" si="31"/>
        <v>-20</v>
      </c>
      <c r="F358">
        <f t="shared" ca="1" si="32"/>
        <v>610</v>
      </c>
      <c r="G358" s="3" t="b">
        <f ca="1">INDEX(dict_zul_Var_Meth[kval_active],MATCH(table_Methods[[#This Row],[ID]],dict_zul_Var_Meth[ID_Methods],0))</f>
        <v>0</v>
      </c>
      <c r="H358">
        <f t="shared" ca="1" si="33"/>
        <v>5800</v>
      </c>
      <c r="I358">
        <f t="shared" ca="1" si="34"/>
        <v>168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0"/>
        <v>1500</v>
      </c>
      <c r="E359">
        <f t="shared" ca="1" si="31"/>
        <v>0</v>
      </c>
      <c r="F359">
        <f t="shared" ca="1" si="32"/>
        <v>510</v>
      </c>
      <c r="G359" s="3" t="b">
        <f ca="1">INDEX(dict_zul_Var_Meth[kval_active],MATCH(table_Methods[[#This Row],[ID]],dict_zul_Var_Meth[ID_Methods],0))</f>
        <v>0</v>
      </c>
      <c r="H359">
        <f t="shared" ca="1" si="33"/>
        <v>21240</v>
      </c>
      <c r="I359">
        <f t="shared" ca="1" si="34"/>
        <v>94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0"/>
        <v>60</v>
      </c>
      <c r="E360">
        <f t="shared" ca="1" si="31"/>
        <v>-90</v>
      </c>
      <c r="F360">
        <f t="shared" ca="1" si="32"/>
        <v>290</v>
      </c>
      <c r="G360" s="3" t="b">
        <f ca="1">INDEX(dict_zul_Var_Meth[kval_active],MATCH(table_Methods[[#This Row],[ID]],dict_zul_Var_Meth[ID_Methods],0))</f>
        <v>0</v>
      </c>
      <c r="H360">
        <f t="shared" ca="1" si="33"/>
        <v>4766</v>
      </c>
      <c r="I360">
        <f t="shared" ca="1" si="34"/>
        <v>704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0"/>
        <v>290</v>
      </c>
      <c r="E361">
        <f t="shared" ca="1" si="31"/>
        <v>20</v>
      </c>
      <c r="F361">
        <f t="shared" ca="1" si="32"/>
        <v>120</v>
      </c>
      <c r="G361" s="3" t="b">
        <f ca="1">INDEX(dict_zul_Var_Meth[kval_active],MATCH(table_Methods[[#This Row],[ID]],dict_zul_Var_Meth[ID_Methods],0))</f>
        <v>0</v>
      </c>
      <c r="H361">
        <f t="shared" ca="1" si="33"/>
        <v>4371</v>
      </c>
      <c r="I361">
        <f t="shared" ca="1" si="34"/>
        <v>3968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0"/>
        <v>6400</v>
      </c>
      <c r="E362">
        <f t="shared" ca="1" si="31"/>
        <v>-30</v>
      </c>
      <c r="F362">
        <f t="shared" ca="1" si="32"/>
        <v>450</v>
      </c>
      <c r="G362" s="3" t="b">
        <f ca="1">INDEX(dict_zul_Var_Meth[kval_active],MATCH(table_Methods[[#This Row],[ID]],dict_zul_Var_Meth[ID_Methods],0))</f>
        <v>0</v>
      </c>
      <c r="H362">
        <f t="shared" ca="1" si="33"/>
        <v>672</v>
      </c>
      <c r="I362">
        <f t="shared" ca="1" si="34"/>
        <v>172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0"/>
        <v>4</v>
      </c>
      <c r="E363">
        <f t="shared" ca="1" si="31"/>
        <v>-10</v>
      </c>
      <c r="F363">
        <f t="shared" ca="1" si="32"/>
        <v>250</v>
      </c>
      <c r="G363" s="3" t="b">
        <f ca="1">INDEX(dict_zul_Var_Meth[kval_active],MATCH(table_Methods[[#This Row],[ID]],dict_zul_Var_Meth[ID_Methods],0))</f>
        <v>1</v>
      </c>
      <c r="H363">
        <f t="shared" ca="1" si="33"/>
        <v>14511</v>
      </c>
      <c r="I363">
        <f t="shared" ca="1" si="34"/>
        <v>176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0"/>
        <v>810</v>
      </c>
      <c r="E364">
        <f t="shared" ca="1" si="31"/>
        <v>-90</v>
      </c>
      <c r="F364">
        <f t="shared" ca="1" si="32"/>
        <v>720</v>
      </c>
      <c r="G364" s="3" t="b">
        <f ca="1">INDEX(dict_zul_Var_Meth[kval_active],MATCH(table_Methods[[#This Row],[ID]],dict_zul_Var_Meth[ID_Methods],0))</f>
        <v>0</v>
      </c>
      <c r="H364">
        <f t="shared" ca="1" si="33"/>
        <v>27426</v>
      </c>
      <c r="I364">
        <f t="shared" ca="1" si="34"/>
        <v>76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0"/>
        <v>22</v>
      </c>
      <c r="E365">
        <f t="shared" ca="1" si="31"/>
        <v>20</v>
      </c>
      <c r="F365">
        <f t="shared" ca="1" si="32"/>
        <v>190</v>
      </c>
      <c r="G365" s="3" t="b">
        <f ca="1">INDEX(dict_zul_Var_Meth[kval_active],MATCH(table_Methods[[#This Row],[ID]],dict_zul_Var_Meth[ID_Methods],0))</f>
        <v>0</v>
      </c>
      <c r="H365">
        <f t="shared" ca="1" si="33"/>
        <v>3368</v>
      </c>
      <c r="I365">
        <f t="shared" ca="1" si="34"/>
        <v>128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0"/>
        <v>7600</v>
      </c>
      <c r="E366">
        <f t="shared" ca="1" si="31"/>
        <v>-30</v>
      </c>
      <c r="F366">
        <f t="shared" ca="1" si="32"/>
        <v>160</v>
      </c>
      <c r="G366" s="3" t="b">
        <f ca="1">INDEX(dict_zul_Var_Meth[kval_active],MATCH(table_Methods[[#This Row],[ID]],dict_zul_Var_Meth[ID_Methods],0))</f>
        <v>0</v>
      </c>
      <c r="H366">
        <f t="shared" ca="1" si="33"/>
        <v>18480</v>
      </c>
      <c r="I366">
        <f t="shared" ca="1" si="34"/>
        <v>1024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0"/>
        <v>410</v>
      </c>
      <c r="E367">
        <f t="shared" ca="1" si="31"/>
        <v>-80</v>
      </c>
      <c r="F367">
        <f t="shared" ca="1" si="32"/>
        <v>1000</v>
      </c>
      <c r="G367" s="3" t="b">
        <f ca="1">INDEX(dict_zul_Var_Meth[kval_active],MATCH(table_Methods[[#This Row],[ID]],dict_zul_Var_Meth[ID_Methods],0))</f>
        <v>0</v>
      </c>
      <c r="H367">
        <f t="shared" ca="1" si="33"/>
        <v>15872</v>
      </c>
      <c r="I367">
        <f t="shared" ca="1" si="34"/>
        <v>488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0"/>
        <v>800</v>
      </c>
      <c r="E368">
        <f t="shared" ca="1" si="31"/>
        <v>-30</v>
      </c>
      <c r="F368">
        <f t="shared" ca="1" si="32"/>
        <v>30</v>
      </c>
      <c r="G368" s="3" t="b">
        <f ca="1">INDEX(dict_zul_Var_Meth[kval_active],MATCH(table_Methods[[#This Row],[ID]],dict_zul_Var_Meth[ID_Methods],0))</f>
        <v>0</v>
      </c>
      <c r="H368">
        <f t="shared" ca="1" si="33"/>
        <v>35368</v>
      </c>
      <c r="I368">
        <f t="shared" ca="1" si="34"/>
        <v>1264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0"/>
        <v>68</v>
      </c>
      <c r="E369">
        <f t="shared" ca="1" si="31"/>
        <v>20</v>
      </c>
      <c r="F369">
        <f t="shared" ca="1" si="32"/>
        <v>100</v>
      </c>
      <c r="G369" s="3" t="b">
        <f ca="1">INDEX(dict_zul_Var_Meth[kval_active],MATCH(table_Methods[[#This Row],[ID]],dict_zul_Var_Meth[ID_Methods],0))</f>
        <v>0</v>
      </c>
      <c r="H369">
        <f t="shared" ca="1" si="33"/>
        <v>10494</v>
      </c>
      <c r="I369">
        <f t="shared" ca="1" si="34"/>
        <v>17408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0"/>
        <v>9400</v>
      </c>
      <c r="E370">
        <f t="shared" ca="1" si="31"/>
        <v>-40</v>
      </c>
      <c r="F370">
        <f t="shared" ca="1" si="32"/>
        <v>400</v>
      </c>
      <c r="G370" s="3" t="b">
        <f ca="1">INDEX(dict_zul_Var_Meth[kval_active],MATCH(table_Methods[[#This Row],[ID]],dict_zul_Var_Meth[ID_Methods],0))</f>
        <v>0</v>
      </c>
      <c r="H370">
        <f t="shared" ca="1" si="33"/>
        <v>1820</v>
      </c>
      <c r="I370">
        <f t="shared" ca="1" si="34"/>
        <v>1856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0"/>
        <v>96.000000000000014</v>
      </c>
      <c r="E371">
        <f t="shared" ca="1" si="31"/>
        <v>10</v>
      </c>
      <c r="F371">
        <f t="shared" ca="1" si="32"/>
        <v>280</v>
      </c>
      <c r="G371" s="3" t="b">
        <f ca="1">INDEX(dict_zul_Var_Meth[kval_active],MATCH(table_Methods[[#This Row],[ID]],dict_zul_Var_Meth[ID_Methods],0))</f>
        <v>0</v>
      </c>
      <c r="H371">
        <f t="shared" ca="1" si="33"/>
        <v>1920</v>
      </c>
      <c r="I371">
        <f t="shared" ca="1" si="34"/>
        <v>21504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0"/>
        <v>44</v>
      </c>
      <c r="E372">
        <f t="shared" ca="1" si="31"/>
        <v>-60</v>
      </c>
      <c r="F372">
        <f t="shared" ca="1" si="32"/>
        <v>90</v>
      </c>
      <c r="G372" s="3" t="b">
        <f ca="1">INDEX(dict_zul_Var_Meth[kval_active],MATCH(table_Methods[[#This Row],[ID]],dict_zul_Var_Meth[ID_Methods],0))</f>
        <v>0</v>
      </c>
      <c r="H372">
        <f t="shared" ca="1" si="33"/>
        <v>20136</v>
      </c>
      <c r="I372">
        <f t="shared" ca="1" si="34"/>
        <v>100352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0"/>
        <v>7900</v>
      </c>
      <c r="E373">
        <f t="shared" ca="1" si="31"/>
        <v>-70</v>
      </c>
      <c r="F373">
        <f t="shared" ca="1" si="32"/>
        <v>620</v>
      </c>
      <c r="G373" s="3" t="b">
        <f ca="1">INDEX(dict_zul_Var_Meth[kval_active],MATCH(table_Methods[[#This Row],[ID]],dict_zul_Var_Meth[ID_Methods],0))</f>
        <v>0</v>
      </c>
      <c r="H373">
        <f t="shared" ca="1" si="33"/>
        <v>11700</v>
      </c>
      <c r="I373">
        <f t="shared" ca="1" si="34"/>
        <v>512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0"/>
        <v>9500</v>
      </c>
      <c r="E374">
        <f t="shared" ca="1" si="31"/>
        <v>-40</v>
      </c>
      <c r="F374">
        <f t="shared" ca="1" si="32"/>
        <v>250</v>
      </c>
      <c r="G374" s="3" t="b">
        <f ca="1">INDEX(dict_zul_Var_Meth[kval_active],MATCH(table_Methods[[#This Row],[ID]],dict_zul_Var_Meth[ID_Methods],0))</f>
        <v>0</v>
      </c>
      <c r="H374">
        <f t="shared" ca="1" si="33"/>
        <v>8675</v>
      </c>
      <c r="I374">
        <f t="shared" ca="1" si="34"/>
        <v>11264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0"/>
        <v>75</v>
      </c>
      <c r="E375">
        <f t="shared" ca="1" si="31"/>
        <v>-20</v>
      </c>
      <c r="F375">
        <f t="shared" ca="1" si="32"/>
        <v>450</v>
      </c>
      <c r="G375" s="3" t="b">
        <f ca="1">INDEX(dict_zul_Var_Meth[kval_active],MATCH(table_Methods[[#This Row],[ID]],dict_zul_Var_Meth[ID_Methods],0))</f>
        <v>0</v>
      </c>
      <c r="H375">
        <f t="shared" ca="1" si="33"/>
        <v>14043</v>
      </c>
      <c r="I375">
        <f t="shared" ca="1" si="34"/>
        <v>28672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0"/>
        <v>1600</v>
      </c>
      <c r="E376">
        <f t="shared" ca="1" si="31"/>
        <v>-50</v>
      </c>
      <c r="F376">
        <f t="shared" ca="1" si="32"/>
        <v>580</v>
      </c>
      <c r="G376" s="3" t="b">
        <f ca="1">INDEX(dict_zul_Var_Meth[kval_active],MATCH(table_Methods[[#This Row],[ID]],dict_zul_Var_Meth[ID_Methods],0))</f>
        <v>0</v>
      </c>
      <c r="H376">
        <f t="shared" ca="1" si="33"/>
        <v>23810</v>
      </c>
      <c r="I376">
        <f t="shared" ca="1" si="34"/>
        <v>1344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0"/>
        <v>47</v>
      </c>
      <c r="E377">
        <f t="shared" ca="1" si="31"/>
        <v>-50</v>
      </c>
      <c r="F377">
        <f t="shared" ca="1" si="32"/>
        <v>720</v>
      </c>
      <c r="G377" s="3" t="b">
        <f ca="1">INDEX(dict_zul_Var_Meth[kval_active],MATCH(table_Methods[[#This Row],[ID]],dict_zul_Var_Meth[ID_Methods],0))</f>
        <v>0</v>
      </c>
      <c r="H377">
        <f t="shared" ca="1" si="33"/>
        <v>33237</v>
      </c>
      <c r="I377">
        <f t="shared" ca="1" si="34"/>
        <v>1232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0"/>
        <v>3000</v>
      </c>
      <c r="E378">
        <f t="shared" ca="1" si="31"/>
        <v>0</v>
      </c>
      <c r="F378">
        <f t="shared" ca="1" si="32"/>
        <v>880</v>
      </c>
      <c r="G378" s="3" t="b">
        <f ca="1">INDEX(dict_zul_Var_Meth[kval_active],MATCH(table_Methods[[#This Row],[ID]],dict_zul_Var_Meth[ID_Methods],0))</f>
        <v>0</v>
      </c>
      <c r="H378">
        <f t="shared" ca="1" si="33"/>
        <v>18256</v>
      </c>
      <c r="I378">
        <f t="shared" ca="1" si="34"/>
        <v>5760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0"/>
        <v>700</v>
      </c>
      <c r="E379">
        <f t="shared" ca="1" si="31"/>
        <v>-10</v>
      </c>
      <c r="F379">
        <f t="shared" ca="1" si="32"/>
        <v>480</v>
      </c>
      <c r="G379" s="3" t="b">
        <f ca="1">INDEX(dict_zul_Var_Meth[kval_active],MATCH(table_Methods[[#This Row],[ID]],dict_zul_Var_Meth[ID_Methods],0))</f>
        <v>0</v>
      </c>
      <c r="H379">
        <f t="shared" ca="1" si="33"/>
        <v>3726</v>
      </c>
      <c r="I379">
        <f t="shared" ca="1" si="34"/>
        <v>40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0"/>
        <v>500</v>
      </c>
      <c r="E380">
        <f t="shared" ca="1" si="31"/>
        <v>-10</v>
      </c>
      <c r="F380">
        <f t="shared" ca="1" si="32"/>
        <v>310</v>
      </c>
      <c r="G380" s="3" t="b">
        <f ca="1">INDEX(dict_zul_Var_Meth[kval_active],MATCH(table_Methods[[#This Row],[ID]],dict_zul_Var_Meth[ID_Methods],0))</f>
        <v>0</v>
      </c>
      <c r="H380">
        <f t="shared" ca="1" si="33"/>
        <v>10288</v>
      </c>
      <c r="I380">
        <f t="shared" ca="1" si="34"/>
        <v>66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0"/>
        <v>7200</v>
      </c>
      <c r="E381">
        <f t="shared" ca="1" si="31"/>
        <v>-40</v>
      </c>
      <c r="F381">
        <f t="shared" ca="1" si="32"/>
        <v>670</v>
      </c>
      <c r="G381" s="3" t="b">
        <f ca="1">INDEX(dict_zul_Var_Meth[kval_active],MATCH(table_Methods[[#This Row],[ID]],dict_zul_Var_Meth[ID_Methods],0))</f>
        <v>0</v>
      </c>
      <c r="H381">
        <f t="shared" ca="1" si="33"/>
        <v>12234</v>
      </c>
      <c r="I381">
        <f t="shared" ca="1" si="34"/>
        <v>88064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0"/>
        <v>1400</v>
      </c>
      <c r="E382">
        <f t="shared" ca="1" si="31"/>
        <v>-40</v>
      </c>
      <c r="F382">
        <f t="shared" ca="1" si="32"/>
        <v>270</v>
      </c>
      <c r="G382" s="3" t="b">
        <f ca="1">INDEX(dict_zul_Var_Meth[kval_active],MATCH(table_Methods[[#This Row],[ID]],dict_zul_Var_Meth[ID_Methods],0))</f>
        <v>0</v>
      </c>
      <c r="H382">
        <f t="shared" ca="1" si="33"/>
        <v>2664</v>
      </c>
      <c r="I382">
        <f t="shared" ca="1" si="34"/>
        <v>12288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0"/>
        <v>9500</v>
      </c>
      <c r="E383">
        <f t="shared" ca="1" si="31"/>
        <v>20</v>
      </c>
      <c r="F383">
        <f t="shared" ca="1" si="32"/>
        <v>330</v>
      </c>
      <c r="G383" s="3" t="b">
        <f ca="1">INDEX(dict_zul_Var_Meth[kval_active],MATCH(table_Methods[[#This Row],[ID]],dict_zul_Var_Meth[ID_Methods],0))</f>
        <v>0</v>
      </c>
      <c r="H383">
        <f t="shared" ca="1" si="33"/>
        <v>3241</v>
      </c>
      <c r="I383">
        <f t="shared" ca="1" si="34"/>
        <v>832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0"/>
        <v>6.0000000000000009</v>
      </c>
      <c r="E384">
        <f t="shared" ca="1" si="31"/>
        <v>-20</v>
      </c>
      <c r="F384">
        <f t="shared" ca="1" si="32"/>
        <v>490</v>
      </c>
      <c r="G384" s="3" t="b">
        <f ca="1">INDEX(dict_zul_Var_Meth[kval_active],MATCH(table_Methods[[#This Row],[ID]],dict_zul_Var_Meth[ID_Methods],0))</f>
        <v>0</v>
      </c>
      <c r="H384">
        <f t="shared" ca="1" si="33"/>
        <v>1042</v>
      </c>
      <c r="I384">
        <f t="shared" ca="1" si="34"/>
        <v>120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0"/>
        <v>600</v>
      </c>
      <c r="E385">
        <f t="shared" ca="1" si="31"/>
        <v>-70</v>
      </c>
      <c r="F385">
        <f t="shared" ca="1" si="32"/>
        <v>220</v>
      </c>
      <c r="G385" s="3" t="b">
        <f ca="1">INDEX(dict_zul_Var_Meth[kval_active],MATCH(table_Methods[[#This Row],[ID]],dict_zul_Var_Meth[ID_Methods],0))</f>
        <v>0</v>
      </c>
      <c r="H385">
        <f t="shared" ca="1" si="33"/>
        <v>6339</v>
      </c>
      <c r="I385">
        <f t="shared" ca="1" si="34"/>
        <v>108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35">10^(RANDBETWEEN(-1,1))*RANDBETWEEN(1,100)*10</f>
        <v>34</v>
      </c>
      <c r="E386">
        <f t="shared" ca="1" si="31"/>
        <v>-100</v>
      </c>
      <c r="F386">
        <f t="shared" ca="1" si="32"/>
        <v>540</v>
      </c>
      <c r="G386" s="3" t="b">
        <f ca="1">INDEX(dict_zul_Var_Meth[kval_active],MATCH(table_Methods[[#This Row],[ID]],dict_zul_Var_Meth[ID_Methods],0))</f>
        <v>0</v>
      </c>
      <c r="H386">
        <f t="shared" ca="1" si="33"/>
        <v>13548</v>
      </c>
      <c r="I386">
        <f t="shared" ca="1" si="34"/>
        <v>2688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35"/>
        <v>9100</v>
      </c>
      <c r="E387">
        <f t="shared" ca="1" si="31"/>
        <v>-100</v>
      </c>
      <c r="F387">
        <f t="shared" ca="1" si="32"/>
        <v>60</v>
      </c>
      <c r="G387" s="3" t="b">
        <f ca="1">INDEX(dict_zul_Var_Meth[kval_active],MATCH(table_Methods[[#This Row],[ID]],dict_zul_Var_Meth[ID_Methods],0))</f>
        <v>0</v>
      </c>
      <c r="H387">
        <f t="shared" ca="1" si="33"/>
        <v>11688</v>
      </c>
      <c r="I387">
        <f t="shared" ca="1" si="34"/>
        <v>11264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35"/>
        <v>200</v>
      </c>
      <c r="E388">
        <f t="shared" ca="1" si="31"/>
        <v>-60</v>
      </c>
      <c r="F388">
        <f t="shared" ca="1" si="32"/>
        <v>100</v>
      </c>
      <c r="G388" s="3" t="b">
        <f ca="1">INDEX(dict_zul_Var_Meth[kval_active],MATCH(table_Methods[[#This Row],[ID]],dict_zul_Var_Meth[ID_Methods],0))</f>
        <v>0</v>
      </c>
      <c r="H388">
        <f t="shared" ca="1" si="33"/>
        <v>1520</v>
      </c>
      <c r="I388">
        <f t="shared" ca="1" si="34"/>
        <v>320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35"/>
        <v>800</v>
      </c>
      <c r="E389">
        <f t="shared" ca="1" si="31"/>
        <v>-10</v>
      </c>
      <c r="F389">
        <f t="shared" ca="1" si="32"/>
        <v>870</v>
      </c>
      <c r="G389" s="3" t="b">
        <f ca="1">INDEX(dict_zul_Var_Meth[kval_active],MATCH(table_Methods[[#This Row],[ID]],dict_zul_Var_Meth[ID_Methods],0))</f>
        <v>0</v>
      </c>
      <c r="H389">
        <f t="shared" ca="1" si="33"/>
        <v>25692</v>
      </c>
      <c r="I389">
        <f t="shared" ca="1" si="34"/>
        <v>8960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35"/>
        <v>70</v>
      </c>
      <c r="E390">
        <f t="shared" ca="1" si="31"/>
        <v>0</v>
      </c>
      <c r="F390">
        <f t="shared" ca="1" si="32"/>
        <v>680</v>
      </c>
      <c r="G390" s="3" t="b">
        <f ca="1">INDEX(dict_zul_Var_Meth[kval_active],MATCH(table_Methods[[#This Row],[ID]],dict_zul_Var_Meth[ID_Methods],0))</f>
        <v>0</v>
      </c>
      <c r="H390">
        <f t="shared" ca="1" si="33"/>
        <v>15340</v>
      </c>
      <c r="I390">
        <f t="shared" ca="1" si="34"/>
        <v>62464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35"/>
        <v>3800</v>
      </c>
      <c r="E391">
        <f t="shared" ca="1" si="31"/>
        <v>-100</v>
      </c>
      <c r="F391">
        <f t="shared" ca="1" si="32"/>
        <v>50</v>
      </c>
      <c r="G391" s="3" t="b">
        <f ca="1">INDEX(dict_zul_Var_Meth[kval_active],MATCH(table_Methods[[#This Row],[ID]],dict_zul_Var_Meth[ID_Methods],0))</f>
        <v>0</v>
      </c>
      <c r="H391">
        <f t="shared" ca="1" si="33"/>
        <v>95</v>
      </c>
      <c r="I391">
        <f t="shared" ca="1" si="34"/>
        <v>67584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35"/>
        <v>410</v>
      </c>
      <c r="E392">
        <f t="shared" ca="1" si="31"/>
        <v>-90</v>
      </c>
      <c r="F392">
        <f t="shared" ca="1" si="32"/>
        <v>680</v>
      </c>
      <c r="G392" s="3" t="b">
        <f ca="1">INDEX(dict_zul_Var_Meth[kval_active],MATCH(table_Methods[[#This Row],[ID]],dict_zul_Var_Meth[ID_Methods],0))</f>
        <v>0</v>
      </c>
      <c r="H392">
        <f t="shared" ca="1" si="33"/>
        <v>17478</v>
      </c>
      <c r="I392">
        <f t="shared" ca="1" si="34"/>
        <v>17408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35"/>
        <v>7400</v>
      </c>
      <c r="E393">
        <f t="shared" ca="1" si="31"/>
        <v>-90</v>
      </c>
      <c r="F393">
        <f t="shared" ca="1" si="32"/>
        <v>460</v>
      </c>
      <c r="G393" s="3" t="b">
        <f ca="1">INDEX(dict_zul_Var_Meth[kval_active],MATCH(table_Methods[[#This Row],[ID]],dict_zul_Var_Meth[ID_Methods],0))</f>
        <v>0</v>
      </c>
      <c r="H393">
        <f t="shared" ca="1" si="33"/>
        <v>694</v>
      </c>
      <c r="I393">
        <f t="shared" ca="1" si="34"/>
        <v>95232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35"/>
        <v>71</v>
      </c>
      <c r="E394">
        <f t="shared" ca="1" si="31"/>
        <v>-50</v>
      </c>
      <c r="F394">
        <f t="shared" ca="1" si="32"/>
        <v>70</v>
      </c>
      <c r="G394" s="3" t="b">
        <f ca="1">INDEX(dict_zul_Var_Meth[kval_active],MATCH(table_Methods[[#This Row],[ID]],dict_zul_Var_Meth[ID_Methods],0))</f>
        <v>0</v>
      </c>
      <c r="H394">
        <f t="shared" ca="1" si="33"/>
        <v>1920</v>
      </c>
      <c r="I394">
        <f t="shared" ca="1" si="34"/>
        <v>14336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35"/>
        <v>70</v>
      </c>
      <c r="E395">
        <f t="shared" ca="1" si="31"/>
        <v>10</v>
      </c>
      <c r="F395">
        <f t="shared" ca="1" si="32"/>
        <v>450</v>
      </c>
      <c r="G395" s="3" t="b">
        <f ca="1">INDEX(dict_zul_Var_Meth[kval_active],MATCH(table_Methods[[#This Row],[ID]],dict_zul_Var_Meth[ID_Methods],0))</f>
        <v>0</v>
      </c>
      <c r="H395">
        <f t="shared" ca="1" si="33"/>
        <v>1467</v>
      </c>
      <c r="I395">
        <f t="shared" ca="1" si="34"/>
        <v>656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35"/>
        <v>200</v>
      </c>
      <c r="E396">
        <f t="shared" ca="1" si="31"/>
        <v>10</v>
      </c>
      <c r="F396">
        <f t="shared" ca="1" si="32"/>
        <v>880</v>
      </c>
      <c r="G396" s="3" t="b">
        <f ca="1">INDEX(dict_zul_Var_Meth[kval_active],MATCH(table_Methods[[#This Row],[ID]],dict_zul_Var_Meth[ID_Methods],0))</f>
        <v>0</v>
      </c>
      <c r="H396">
        <f t="shared" ca="1" si="33"/>
        <v>326</v>
      </c>
      <c r="I396">
        <f t="shared" ca="1" si="34"/>
        <v>2112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35"/>
        <v>5</v>
      </c>
      <c r="E397">
        <f t="shared" ca="1" si="31"/>
        <v>-90</v>
      </c>
      <c r="F397">
        <f t="shared" ca="1" si="32"/>
        <v>310</v>
      </c>
      <c r="G397" s="3" t="b">
        <f ca="1">INDEX(dict_zul_Var_Meth[kval_active],MATCH(table_Methods[[#This Row],[ID]],dict_zul_Var_Meth[ID_Methods],0))</f>
        <v>0</v>
      </c>
      <c r="H397">
        <f t="shared" ca="1" si="33"/>
        <v>29250</v>
      </c>
      <c r="I397">
        <f t="shared" ca="1" si="34"/>
        <v>284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35"/>
        <v>380</v>
      </c>
      <c r="E398">
        <f t="shared" ca="1" si="31"/>
        <v>-80</v>
      </c>
      <c r="F398">
        <f t="shared" ca="1" si="32"/>
        <v>540</v>
      </c>
      <c r="G398" s="3" t="b">
        <f ca="1">INDEX(dict_zul_Var_Meth[kval_active],MATCH(table_Methods[[#This Row],[ID]],dict_zul_Var_Meth[ID_Methods],0))</f>
        <v>0</v>
      </c>
      <c r="H398">
        <f t="shared" ca="1" si="33"/>
        <v>11268</v>
      </c>
      <c r="I398">
        <f t="shared" ca="1" si="34"/>
        <v>59392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35"/>
        <v>600</v>
      </c>
      <c r="E399">
        <f t="shared" ca="1" si="31"/>
        <v>10</v>
      </c>
      <c r="F399">
        <f t="shared" ca="1" si="32"/>
        <v>890</v>
      </c>
      <c r="G399" s="3" t="b">
        <f ca="1">INDEX(dict_zul_Var_Meth[kval_active],MATCH(table_Methods[[#This Row],[ID]],dict_zul_Var_Meth[ID_Methods],0))</f>
        <v>0</v>
      </c>
      <c r="H399">
        <f t="shared" ca="1" si="33"/>
        <v>2408</v>
      </c>
      <c r="I399">
        <f t="shared" ca="1" si="34"/>
        <v>18432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35"/>
        <v>14.000000000000002</v>
      </c>
      <c r="E400">
        <f t="shared" ca="1" si="31"/>
        <v>30</v>
      </c>
      <c r="F400">
        <f t="shared" ca="1" si="32"/>
        <v>180</v>
      </c>
      <c r="G400" s="3" t="b">
        <f ca="1">INDEX(dict_zul_Var_Meth[kval_active],MATCH(table_Methods[[#This Row],[ID]],dict_zul_Var_Meth[ID_Methods],0))</f>
        <v>0</v>
      </c>
      <c r="H400">
        <f t="shared" ca="1" si="33"/>
        <v>34596</v>
      </c>
      <c r="I400">
        <f t="shared" ca="1" si="34"/>
        <v>1696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35"/>
        <v>30</v>
      </c>
      <c r="E401">
        <f t="shared" ca="1" si="31"/>
        <v>-10</v>
      </c>
      <c r="F401">
        <f t="shared" ca="1" si="32"/>
        <v>440</v>
      </c>
      <c r="G401" s="3" t="b">
        <f ca="1">INDEX(dict_zul_Var_Meth[kval_active],MATCH(table_Methods[[#This Row],[ID]],dict_zul_Var_Meth[ID_Methods],0))</f>
        <v>0</v>
      </c>
      <c r="H401">
        <f t="shared" ca="1" si="33"/>
        <v>4438</v>
      </c>
      <c r="I401">
        <f t="shared" ca="1" si="34"/>
        <v>2368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35"/>
        <v>8500</v>
      </c>
      <c r="E402">
        <f t="shared" ca="1" si="31"/>
        <v>-50</v>
      </c>
      <c r="F402">
        <f t="shared" ca="1" si="32"/>
        <v>950</v>
      </c>
      <c r="G402" s="3" t="b">
        <f ca="1">INDEX(dict_zul_Var_Meth[kval_active],MATCH(table_Methods[[#This Row],[ID]],dict_zul_Var_Meth[ID_Methods],0))</f>
        <v>0</v>
      </c>
      <c r="H402">
        <f t="shared" ca="1" si="33"/>
        <v>4362</v>
      </c>
      <c r="I402">
        <f t="shared" ca="1" si="34"/>
        <v>20224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35"/>
        <v>86</v>
      </c>
      <c r="E403">
        <f t="shared" ca="1" si="31"/>
        <v>-20</v>
      </c>
      <c r="F403">
        <f t="shared" ca="1" si="32"/>
        <v>910</v>
      </c>
      <c r="G403" s="3" t="b">
        <f ca="1">INDEX(dict_zul_Var_Meth[kval_active],MATCH(table_Methods[[#This Row],[ID]],dict_zul_Var_Meth[ID_Methods],0))</f>
        <v>0</v>
      </c>
      <c r="H403">
        <f t="shared" ca="1" si="33"/>
        <v>7656</v>
      </c>
      <c r="I403">
        <f t="shared" ca="1" si="34"/>
        <v>268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35"/>
        <v>800</v>
      </c>
      <c r="E404">
        <f t="shared" ca="1" si="31"/>
        <v>-30</v>
      </c>
      <c r="F404">
        <f t="shared" ca="1" si="32"/>
        <v>20</v>
      </c>
      <c r="G404" s="3" t="b">
        <f ca="1">INDEX(dict_zul_Var_Meth[kval_active],MATCH(table_Methods[[#This Row],[ID]],dict_zul_Var_Meth[ID_Methods],0))</f>
        <v>0</v>
      </c>
      <c r="H404">
        <f t="shared" ca="1" si="33"/>
        <v>40113</v>
      </c>
      <c r="I404">
        <f t="shared" ca="1" si="34"/>
        <v>2720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35"/>
        <v>210</v>
      </c>
      <c r="E405">
        <f t="shared" ca="1" si="31"/>
        <v>-90</v>
      </c>
      <c r="F405">
        <f t="shared" ca="1" si="32"/>
        <v>830</v>
      </c>
      <c r="G405" s="3" t="b">
        <f ca="1">INDEX(dict_zul_Var_Meth[kval_active],MATCH(table_Methods[[#This Row],[ID]],dict_zul_Var_Meth[ID_Methods],0))</f>
        <v>0</v>
      </c>
      <c r="H405">
        <f t="shared" ca="1" si="33"/>
        <v>39888</v>
      </c>
      <c r="I405">
        <f t="shared" ca="1" si="34"/>
        <v>6016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35"/>
        <v>71</v>
      </c>
      <c r="E406">
        <f t="shared" ca="1" si="31"/>
        <v>30</v>
      </c>
      <c r="F406">
        <f t="shared" ca="1" si="32"/>
        <v>410</v>
      </c>
      <c r="G406" s="3" t="b">
        <f ca="1">INDEX(dict_zul_Var_Meth[kval_active],MATCH(table_Methods[[#This Row],[ID]],dict_zul_Var_Meth[ID_Methods],0))</f>
        <v>0</v>
      </c>
      <c r="H406">
        <f t="shared" ca="1" si="33"/>
        <v>3195</v>
      </c>
      <c r="I406">
        <f t="shared" ca="1" si="34"/>
        <v>37888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35"/>
        <v>430</v>
      </c>
      <c r="E407">
        <f t="shared" ca="1" si="31"/>
        <v>-90</v>
      </c>
      <c r="F407">
        <f t="shared" ca="1" si="32"/>
        <v>450</v>
      </c>
      <c r="G407" s="3" t="b">
        <f ca="1">INDEX(dict_zul_Var_Meth[kval_active],MATCH(table_Methods[[#This Row],[ID]],dict_zul_Var_Meth[ID_Methods],0))</f>
        <v>0</v>
      </c>
      <c r="H407">
        <f t="shared" ca="1" si="33"/>
        <v>11900</v>
      </c>
      <c r="I407">
        <f t="shared" ca="1" si="34"/>
        <v>24320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35"/>
        <v>14.000000000000002</v>
      </c>
      <c r="E408">
        <f t="shared" ca="1" si="31"/>
        <v>-30</v>
      </c>
      <c r="F408">
        <f t="shared" ca="1" si="32"/>
        <v>580</v>
      </c>
      <c r="G408" s="3" t="b">
        <f ca="1">INDEX(dict_zul_Var_Meth[kval_active],MATCH(table_Methods[[#This Row],[ID]],dict_zul_Var_Meth[ID_Methods],0))</f>
        <v>0</v>
      </c>
      <c r="H408">
        <f t="shared" ca="1" si="33"/>
        <v>30674</v>
      </c>
      <c r="I408">
        <f t="shared" ca="1" si="34"/>
        <v>696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35"/>
        <v>4400</v>
      </c>
      <c r="E409">
        <f t="shared" ca="1" si="31"/>
        <v>20</v>
      </c>
      <c r="F409">
        <f t="shared" ca="1" si="32"/>
        <v>230</v>
      </c>
      <c r="G409" s="3" t="b">
        <f ca="1">INDEX(dict_zul_Var_Meth[kval_active],MATCH(table_Methods[[#This Row],[ID]],dict_zul_Var_Meth[ID_Methods],0))</f>
        <v>0</v>
      </c>
      <c r="H409">
        <f t="shared" ca="1" si="33"/>
        <v>47020</v>
      </c>
      <c r="I409">
        <f t="shared" ca="1" si="34"/>
        <v>744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35"/>
        <v>550</v>
      </c>
      <c r="E410">
        <f t="shared" ca="1" si="31"/>
        <v>20</v>
      </c>
      <c r="F410">
        <f t="shared" ca="1" si="32"/>
        <v>540</v>
      </c>
      <c r="G410" s="3" t="b">
        <f ca="1">INDEX(dict_zul_Var_Meth[kval_active],MATCH(table_Methods[[#This Row],[ID]],dict_zul_Var_Meth[ID_Methods],0))</f>
        <v>0</v>
      </c>
      <c r="H410">
        <f t="shared" ca="1" si="33"/>
        <v>4745</v>
      </c>
      <c r="I410">
        <f t="shared" ca="1" si="34"/>
        <v>34304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35"/>
        <v>240</v>
      </c>
      <c r="E411">
        <f t="shared" ca="1" si="31"/>
        <v>-20</v>
      </c>
      <c r="F411">
        <f t="shared" ca="1" si="32"/>
        <v>650</v>
      </c>
      <c r="G411" s="3" t="b">
        <f ca="1">INDEX(dict_zul_Var_Meth[kval_active],MATCH(table_Methods[[#This Row],[ID]],dict_zul_Var_Meth[ID_Methods],0))</f>
        <v>0</v>
      </c>
      <c r="H411">
        <f t="shared" ca="1" si="33"/>
        <v>10266</v>
      </c>
      <c r="I411">
        <f t="shared" ca="1" si="34"/>
        <v>336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35"/>
        <v>140</v>
      </c>
      <c r="E412">
        <f t="shared" ca="1" si="31"/>
        <v>-50</v>
      </c>
      <c r="F412">
        <f t="shared" ca="1" si="32"/>
        <v>710</v>
      </c>
      <c r="G412" s="3" t="b">
        <f ca="1">INDEX(dict_zul_Var_Meth[kval_active],MATCH(table_Methods[[#This Row],[ID]],dict_zul_Var_Meth[ID_Methods],0))</f>
        <v>0</v>
      </c>
      <c r="H412">
        <f t="shared" ca="1" si="33"/>
        <v>18498</v>
      </c>
      <c r="I412">
        <f t="shared" ca="1" si="34"/>
        <v>680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35"/>
        <v>76</v>
      </c>
      <c r="E413">
        <f t="shared" ca="1" si="31"/>
        <v>-100</v>
      </c>
      <c r="F413">
        <f t="shared" ca="1" si="32"/>
        <v>690</v>
      </c>
      <c r="G413" s="3" t="b">
        <f ca="1">INDEX(dict_zul_Var_Meth[kval_active],MATCH(table_Methods[[#This Row],[ID]],dict_zul_Var_Meth[ID_Methods],0))</f>
        <v>0</v>
      </c>
      <c r="H413">
        <f t="shared" ca="1" si="33"/>
        <v>4416</v>
      </c>
      <c r="I413">
        <f t="shared" ca="1" si="34"/>
        <v>240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35"/>
        <v>21</v>
      </c>
      <c r="E414">
        <f t="shared" ca="1" si="31"/>
        <v>-90</v>
      </c>
      <c r="F414">
        <f t="shared" ca="1" si="32"/>
        <v>280</v>
      </c>
      <c r="G414" s="3" t="b">
        <f ca="1">INDEX(dict_zul_Var_Meth[kval_active],MATCH(table_Methods[[#This Row],[ID]],dict_zul_Var_Meth[ID_Methods],0))</f>
        <v>0</v>
      </c>
      <c r="H414">
        <f t="shared" ca="1" si="33"/>
        <v>3040</v>
      </c>
      <c r="I414">
        <f t="shared" ca="1" si="34"/>
        <v>228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35"/>
        <v>3700</v>
      </c>
      <c r="E415">
        <f t="shared" ca="1" si="31"/>
        <v>-90</v>
      </c>
      <c r="F415">
        <f t="shared" ca="1" si="32"/>
        <v>20</v>
      </c>
      <c r="G415" s="3" t="b">
        <f ca="1">INDEX(dict_zul_Var_Meth[kval_active],MATCH(table_Methods[[#This Row],[ID]],dict_zul_Var_Meth[ID_Methods],0))</f>
        <v>0</v>
      </c>
      <c r="H415">
        <f t="shared" ca="1" si="33"/>
        <v>690</v>
      </c>
      <c r="I415">
        <f t="shared" ca="1" si="34"/>
        <v>976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35"/>
        <v>4400</v>
      </c>
      <c r="E416">
        <f t="shared" ca="1" si="31"/>
        <v>30</v>
      </c>
      <c r="F416">
        <f t="shared" ca="1" si="32"/>
        <v>840</v>
      </c>
      <c r="G416" s="3" t="b">
        <f ca="1">INDEX(dict_zul_Var_Meth[kval_active],MATCH(table_Methods[[#This Row],[ID]],dict_zul_Var_Meth[ID_Methods],0))</f>
        <v>0</v>
      </c>
      <c r="H416">
        <f t="shared" ca="1" si="33"/>
        <v>13560</v>
      </c>
      <c r="I416">
        <f t="shared" ca="1" si="34"/>
        <v>2048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35"/>
        <v>580</v>
      </c>
      <c r="E417">
        <f t="shared" ca="1" si="31"/>
        <v>20</v>
      </c>
      <c r="F417">
        <f t="shared" ca="1" si="32"/>
        <v>270</v>
      </c>
      <c r="G417" s="3" t="b">
        <f ca="1">INDEX(dict_zul_Var_Meth[kval_active],MATCH(table_Methods[[#This Row],[ID]],dict_zul_Var_Meth[ID_Methods],0))</f>
        <v>0</v>
      </c>
      <c r="H417">
        <f t="shared" ca="1" si="33"/>
        <v>35630</v>
      </c>
      <c r="I417">
        <f t="shared" ca="1" si="34"/>
        <v>40960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35"/>
        <v>1700</v>
      </c>
      <c r="E418">
        <f t="shared" ca="1" si="31"/>
        <v>-30</v>
      </c>
      <c r="F418">
        <f t="shared" ca="1" si="32"/>
        <v>380</v>
      </c>
      <c r="G418" s="3" t="b">
        <f ca="1">INDEX(dict_zul_Var_Meth[kval_active],MATCH(table_Methods[[#This Row],[ID]],dict_zul_Var_Meth[ID_Methods],0))</f>
        <v>0</v>
      </c>
      <c r="H418">
        <f t="shared" ca="1" si="33"/>
        <v>180</v>
      </c>
      <c r="I418">
        <f t="shared" ca="1" si="34"/>
        <v>1536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35"/>
        <v>6000</v>
      </c>
      <c r="E419">
        <f t="shared" ca="1" si="31"/>
        <v>0</v>
      </c>
      <c r="F419">
        <f t="shared" ca="1" si="32"/>
        <v>320</v>
      </c>
      <c r="G419" s="3" t="b">
        <f ca="1">INDEX(dict_zul_Var_Meth[kval_active],MATCH(table_Methods[[#This Row],[ID]],dict_zul_Var_Meth[ID_Methods],0))</f>
        <v>0</v>
      </c>
      <c r="H419">
        <f t="shared" ca="1" si="33"/>
        <v>11680</v>
      </c>
      <c r="I419">
        <f t="shared" ca="1" si="34"/>
        <v>1408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35"/>
        <v>4100</v>
      </c>
      <c r="E420">
        <f t="shared" ref="E420:E483" ca="1" si="36">RANDBETWEEN(-10,3)*10</f>
        <v>30</v>
      </c>
      <c r="F420">
        <f t="shared" ref="F420:F483" ca="1" si="37">RANDBETWEEN(2,100)*10</f>
        <v>710</v>
      </c>
      <c r="G420" s="3" t="b">
        <f ca="1">INDEX(dict_zul_Var_Meth[kval_active],MATCH(table_Methods[[#This Row],[ID]],dict_zul_Var_Meth[ID_Methods],0))</f>
        <v>0</v>
      </c>
      <c r="H420">
        <f t="shared" ref="H420:H483" ca="1" si="38">RANDBETWEEN(1,10)*RANDBETWEEN(1,5000)</f>
        <v>7932</v>
      </c>
      <c r="I420">
        <f t="shared" ref="I420:I483" ca="1" si="39">2^RANDBETWEEN(1,10)*RANDBETWEEN(1,100)</f>
        <v>8960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35"/>
        <v>520</v>
      </c>
      <c r="E421">
        <f t="shared" ca="1" si="36"/>
        <v>0</v>
      </c>
      <c r="F421">
        <f t="shared" ca="1" si="37"/>
        <v>450</v>
      </c>
      <c r="G421" s="3" t="b">
        <f ca="1">INDEX(dict_zul_Var_Meth[kval_active],MATCH(table_Methods[[#This Row],[ID]],dict_zul_Var_Meth[ID_Methods],0))</f>
        <v>0</v>
      </c>
      <c r="H421">
        <f t="shared" ca="1" si="38"/>
        <v>3120</v>
      </c>
      <c r="I421">
        <f t="shared" ca="1" si="39"/>
        <v>2368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35"/>
        <v>40</v>
      </c>
      <c r="E422">
        <f t="shared" ca="1" si="36"/>
        <v>-40</v>
      </c>
      <c r="F422">
        <f t="shared" ca="1" si="37"/>
        <v>160</v>
      </c>
      <c r="G422" s="3" t="b">
        <f ca="1">INDEX(dict_zul_Var_Meth[kval_active],MATCH(table_Methods[[#This Row],[ID]],dict_zul_Var_Meth[ID_Methods],0))</f>
        <v>0</v>
      </c>
      <c r="H422">
        <f t="shared" ca="1" si="38"/>
        <v>18872</v>
      </c>
      <c r="I422">
        <f t="shared" ca="1" si="39"/>
        <v>544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35"/>
        <v>66</v>
      </c>
      <c r="E423">
        <f t="shared" ca="1" si="36"/>
        <v>-70</v>
      </c>
      <c r="F423">
        <f t="shared" ca="1" si="37"/>
        <v>900</v>
      </c>
      <c r="G423" s="3" t="b">
        <f ca="1">INDEX(dict_zul_Var_Meth[kval_active],MATCH(table_Methods[[#This Row],[ID]],dict_zul_Var_Meth[ID_Methods],0))</f>
        <v>0</v>
      </c>
      <c r="H423">
        <f t="shared" ca="1" si="38"/>
        <v>12607</v>
      </c>
      <c r="I423">
        <f t="shared" ca="1" si="39"/>
        <v>41472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35"/>
        <v>860</v>
      </c>
      <c r="E424">
        <f t="shared" ca="1" si="36"/>
        <v>-30</v>
      </c>
      <c r="F424">
        <f t="shared" ca="1" si="37"/>
        <v>540</v>
      </c>
      <c r="G424" s="3" t="b">
        <f ca="1">INDEX(dict_zul_Var_Meth[kval_active],MATCH(table_Methods[[#This Row],[ID]],dict_zul_Var_Meth[ID_Methods],0))</f>
        <v>0</v>
      </c>
      <c r="H424">
        <f t="shared" ca="1" si="38"/>
        <v>3192</v>
      </c>
      <c r="I424">
        <f t="shared" ca="1" si="39"/>
        <v>576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35"/>
        <v>100</v>
      </c>
      <c r="E425">
        <f t="shared" ca="1" si="36"/>
        <v>30</v>
      </c>
      <c r="F425">
        <f t="shared" ca="1" si="37"/>
        <v>630</v>
      </c>
      <c r="G425" s="3" t="b">
        <f ca="1">INDEX(dict_zul_Var_Meth[kval_active],MATCH(table_Methods[[#This Row],[ID]],dict_zul_Var_Meth[ID_Methods],0))</f>
        <v>0</v>
      </c>
      <c r="H425">
        <f t="shared" ca="1" si="38"/>
        <v>3366</v>
      </c>
      <c r="I425">
        <f t="shared" ca="1" si="39"/>
        <v>1728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35"/>
        <v>4800</v>
      </c>
      <c r="E426">
        <f t="shared" ca="1" si="36"/>
        <v>-30</v>
      </c>
      <c r="F426">
        <f t="shared" ca="1" si="37"/>
        <v>660</v>
      </c>
      <c r="G426" s="3" t="b">
        <f ca="1">INDEX(dict_zul_Var_Meth[kval_active],MATCH(table_Methods[[#This Row],[ID]],dict_zul_Var_Meth[ID_Methods],0))</f>
        <v>0</v>
      </c>
      <c r="H426">
        <f t="shared" ca="1" si="38"/>
        <v>3300</v>
      </c>
      <c r="I426">
        <f t="shared" ca="1" si="39"/>
        <v>58368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35"/>
        <v>33</v>
      </c>
      <c r="E427">
        <f t="shared" ca="1" si="36"/>
        <v>-20</v>
      </c>
      <c r="F427">
        <f t="shared" ca="1" si="37"/>
        <v>560</v>
      </c>
      <c r="G427" s="3" t="b">
        <f ca="1">INDEX(dict_zul_Var_Meth[kval_active],MATCH(table_Methods[[#This Row],[ID]],dict_zul_Var_Meth[ID_Methods],0))</f>
        <v>0</v>
      </c>
      <c r="H427">
        <f t="shared" ca="1" si="38"/>
        <v>38250</v>
      </c>
      <c r="I427">
        <f t="shared" ca="1" si="39"/>
        <v>680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35"/>
        <v>9500</v>
      </c>
      <c r="E428">
        <f t="shared" ca="1" si="36"/>
        <v>10</v>
      </c>
      <c r="F428">
        <f t="shared" ca="1" si="37"/>
        <v>810</v>
      </c>
      <c r="G428" s="3" t="b">
        <f ca="1">INDEX(dict_zul_Var_Meth[kval_active],MATCH(table_Methods[[#This Row],[ID]],dict_zul_Var_Meth[ID_Methods],0))</f>
        <v>0</v>
      </c>
      <c r="H428">
        <f t="shared" ca="1" si="38"/>
        <v>22518</v>
      </c>
      <c r="I428">
        <f t="shared" ca="1" si="39"/>
        <v>28672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35"/>
        <v>26</v>
      </c>
      <c r="E429">
        <f t="shared" ca="1" si="36"/>
        <v>30</v>
      </c>
      <c r="F429">
        <f t="shared" ca="1" si="37"/>
        <v>450</v>
      </c>
      <c r="G429" s="3" t="b">
        <f ca="1">INDEX(dict_zul_Var_Meth[kval_active],MATCH(table_Methods[[#This Row],[ID]],dict_zul_Var_Meth[ID_Methods],0))</f>
        <v>0</v>
      </c>
      <c r="H429">
        <f t="shared" ca="1" si="38"/>
        <v>17760</v>
      </c>
      <c r="I429">
        <f t="shared" ca="1" si="39"/>
        <v>28672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35"/>
        <v>10</v>
      </c>
      <c r="E430">
        <f t="shared" ca="1" si="36"/>
        <v>30</v>
      </c>
      <c r="F430">
        <f t="shared" ca="1" si="37"/>
        <v>630</v>
      </c>
      <c r="G430" s="3" t="b">
        <f ca="1">INDEX(dict_zul_Var_Meth[kval_active],MATCH(table_Methods[[#This Row],[ID]],dict_zul_Var_Meth[ID_Methods],0))</f>
        <v>0</v>
      </c>
      <c r="H430">
        <f t="shared" ca="1" si="38"/>
        <v>21150</v>
      </c>
      <c r="I430">
        <f t="shared" ca="1" si="39"/>
        <v>76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35"/>
        <v>2</v>
      </c>
      <c r="E431">
        <f t="shared" ca="1" si="36"/>
        <v>-100</v>
      </c>
      <c r="F431">
        <f t="shared" ca="1" si="37"/>
        <v>760</v>
      </c>
      <c r="G431" s="3" t="b">
        <f ca="1">INDEX(dict_zul_Var_Meth[kval_active],MATCH(table_Methods[[#This Row],[ID]],dict_zul_Var_Meth[ID_Methods],0))</f>
        <v>0</v>
      </c>
      <c r="H431">
        <f t="shared" ca="1" si="38"/>
        <v>31730</v>
      </c>
      <c r="I431">
        <f t="shared" ca="1" si="39"/>
        <v>2048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35"/>
        <v>73</v>
      </c>
      <c r="E432">
        <f t="shared" ca="1" si="36"/>
        <v>-60</v>
      </c>
      <c r="F432">
        <f t="shared" ca="1" si="37"/>
        <v>660</v>
      </c>
      <c r="G432" s="3" t="b">
        <f ca="1">INDEX(dict_zul_Var_Meth[kval_active],MATCH(table_Methods[[#This Row],[ID]],dict_zul_Var_Meth[ID_Methods],0))</f>
        <v>0</v>
      </c>
      <c r="H432">
        <f t="shared" ca="1" si="38"/>
        <v>20980</v>
      </c>
      <c r="I432">
        <f t="shared" ca="1" si="39"/>
        <v>194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35"/>
        <v>61.000000000000007</v>
      </c>
      <c r="E433">
        <f t="shared" ca="1" si="36"/>
        <v>-90</v>
      </c>
      <c r="F433">
        <f t="shared" ca="1" si="37"/>
        <v>840</v>
      </c>
      <c r="G433" s="3" t="b">
        <f ca="1">INDEX(dict_zul_Var_Meth[kval_active],MATCH(table_Methods[[#This Row],[ID]],dict_zul_Var_Meth[ID_Methods],0))</f>
        <v>0</v>
      </c>
      <c r="H433">
        <f t="shared" ca="1" si="38"/>
        <v>3088</v>
      </c>
      <c r="I433">
        <f t="shared" ca="1" si="39"/>
        <v>5120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35"/>
        <v>7300</v>
      </c>
      <c r="E434">
        <f t="shared" ca="1" si="36"/>
        <v>-30</v>
      </c>
      <c r="F434">
        <f t="shared" ca="1" si="37"/>
        <v>120</v>
      </c>
      <c r="G434" s="3" t="b">
        <f ca="1">INDEX(dict_zul_Var_Meth[kval_active],MATCH(table_Methods[[#This Row],[ID]],dict_zul_Var_Meth[ID_Methods],0))</f>
        <v>0</v>
      </c>
      <c r="H434">
        <f t="shared" ca="1" si="38"/>
        <v>59</v>
      </c>
      <c r="I434">
        <f t="shared" ca="1" si="39"/>
        <v>1024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35"/>
        <v>990</v>
      </c>
      <c r="E435">
        <f t="shared" ca="1" si="36"/>
        <v>-10</v>
      </c>
      <c r="F435">
        <f t="shared" ca="1" si="37"/>
        <v>600</v>
      </c>
      <c r="G435" s="3" t="b">
        <f ca="1">INDEX(dict_zul_Var_Meth[kval_active],MATCH(table_Methods[[#This Row],[ID]],dict_zul_Var_Meth[ID_Methods],0))</f>
        <v>0</v>
      </c>
      <c r="H435">
        <f t="shared" ca="1" si="38"/>
        <v>3725</v>
      </c>
      <c r="I435">
        <f t="shared" ca="1" si="39"/>
        <v>736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35"/>
        <v>99</v>
      </c>
      <c r="E436">
        <f t="shared" ca="1" si="36"/>
        <v>-10</v>
      </c>
      <c r="F436">
        <f t="shared" ca="1" si="37"/>
        <v>920</v>
      </c>
      <c r="G436" s="3" t="b">
        <f ca="1">INDEX(dict_zul_Var_Meth[kval_active],MATCH(table_Methods[[#This Row],[ID]],dict_zul_Var_Meth[ID_Methods],0))</f>
        <v>0</v>
      </c>
      <c r="H436">
        <f t="shared" ca="1" si="38"/>
        <v>952</v>
      </c>
      <c r="I436">
        <f t="shared" ca="1" si="39"/>
        <v>60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35"/>
        <v>990</v>
      </c>
      <c r="E437">
        <f t="shared" ca="1" si="36"/>
        <v>-60</v>
      </c>
      <c r="F437">
        <f t="shared" ca="1" si="37"/>
        <v>890</v>
      </c>
      <c r="G437" s="3" t="b">
        <f ca="1">INDEX(dict_zul_Var_Meth[kval_active],MATCH(table_Methods[[#This Row],[ID]],dict_zul_Var_Meth[ID_Methods],0))</f>
        <v>0</v>
      </c>
      <c r="H437">
        <f t="shared" ca="1" si="38"/>
        <v>1070</v>
      </c>
      <c r="I437">
        <f t="shared" ca="1" si="39"/>
        <v>7168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35"/>
        <v>680</v>
      </c>
      <c r="E438">
        <f t="shared" ca="1" si="36"/>
        <v>-40</v>
      </c>
      <c r="F438">
        <f t="shared" ca="1" si="37"/>
        <v>830</v>
      </c>
      <c r="G438" s="3" t="b">
        <f ca="1">INDEX(dict_zul_Var_Meth[kval_active],MATCH(table_Methods[[#This Row],[ID]],dict_zul_Var_Meth[ID_Methods],0))</f>
        <v>0</v>
      </c>
      <c r="H438">
        <f t="shared" ca="1" si="38"/>
        <v>7994</v>
      </c>
      <c r="I438">
        <f t="shared" ca="1" si="39"/>
        <v>5504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35"/>
        <v>4800</v>
      </c>
      <c r="E439">
        <f t="shared" ca="1" si="36"/>
        <v>30</v>
      </c>
      <c r="F439">
        <f t="shared" ca="1" si="37"/>
        <v>520</v>
      </c>
      <c r="G439" s="3" t="b">
        <f ca="1">INDEX(dict_zul_Var_Meth[kval_active],MATCH(table_Methods[[#This Row],[ID]],dict_zul_Var_Meth[ID_Methods],0))</f>
        <v>0</v>
      </c>
      <c r="H439">
        <f t="shared" ca="1" si="38"/>
        <v>17864</v>
      </c>
      <c r="I439">
        <f t="shared" ca="1" si="39"/>
        <v>688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35"/>
        <v>8</v>
      </c>
      <c r="E440">
        <f t="shared" ca="1" si="36"/>
        <v>-100</v>
      </c>
      <c r="F440">
        <f t="shared" ca="1" si="37"/>
        <v>60</v>
      </c>
      <c r="G440" s="3" t="b">
        <f ca="1">INDEX(dict_zul_Var_Meth[kval_active],MATCH(table_Methods[[#This Row],[ID]],dict_zul_Var_Meth[ID_Methods],0))</f>
        <v>0</v>
      </c>
      <c r="H440">
        <f t="shared" ca="1" si="38"/>
        <v>8148</v>
      </c>
      <c r="I440">
        <f t="shared" ca="1" si="39"/>
        <v>10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35"/>
        <v>8600</v>
      </c>
      <c r="E441">
        <f t="shared" ca="1" si="36"/>
        <v>20</v>
      </c>
      <c r="F441">
        <f t="shared" ca="1" si="37"/>
        <v>770</v>
      </c>
      <c r="G441" s="3" t="b">
        <f ca="1">INDEX(dict_zul_Var_Meth[kval_active],MATCH(table_Methods[[#This Row],[ID]],dict_zul_Var_Meth[ID_Methods],0))</f>
        <v>0</v>
      </c>
      <c r="H441">
        <f t="shared" ca="1" si="38"/>
        <v>6426</v>
      </c>
      <c r="I441">
        <f t="shared" ca="1" si="39"/>
        <v>9344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35"/>
        <v>30</v>
      </c>
      <c r="E442">
        <f t="shared" ca="1" si="36"/>
        <v>-30</v>
      </c>
      <c r="F442">
        <f t="shared" ca="1" si="37"/>
        <v>690</v>
      </c>
      <c r="G442" s="3" t="b">
        <f ca="1">INDEX(dict_zul_Var_Meth[kval_active],MATCH(table_Methods[[#This Row],[ID]],dict_zul_Var_Meth[ID_Methods],0))</f>
        <v>0</v>
      </c>
      <c r="H442">
        <f t="shared" ca="1" si="38"/>
        <v>12894</v>
      </c>
      <c r="I442">
        <f t="shared" ca="1" si="39"/>
        <v>19712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35"/>
        <v>750</v>
      </c>
      <c r="E443">
        <f t="shared" ca="1" si="36"/>
        <v>-20</v>
      </c>
      <c r="F443">
        <f t="shared" ca="1" si="37"/>
        <v>490</v>
      </c>
      <c r="G443" s="3" t="b">
        <f ca="1">INDEX(dict_zul_Var_Meth[kval_active],MATCH(table_Methods[[#This Row],[ID]],dict_zul_Var_Meth[ID_Methods],0))</f>
        <v>0</v>
      </c>
      <c r="H443">
        <f t="shared" ca="1" si="38"/>
        <v>23136</v>
      </c>
      <c r="I443">
        <f t="shared" ca="1" si="39"/>
        <v>174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35"/>
        <v>45</v>
      </c>
      <c r="E444">
        <f t="shared" ca="1" si="36"/>
        <v>-30</v>
      </c>
      <c r="F444">
        <f t="shared" ca="1" si="37"/>
        <v>940</v>
      </c>
      <c r="G444" s="3" t="b">
        <f ca="1">INDEX(dict_zul_Var_Meth[kval_active],MATCH(table_Methods[[#This Row],[ID]],dict_zul_Var_Meth[ID_Methods],0))</f>
        <v>0</v>
      </c>
      <c r="H444">
        <f t="shared" ca="1" si="38"/>
        <v>19360</v>
      </c>
      <c r="I444">
        <f t="shared" ca="1" si="39"/>
        <v>10752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35"/>
        <v>3000</v>
      </c>
      <c r="E445">
        <f t="shared" ca="1" si="36"/>
        <v>-50</v>
      </c>
      <c r="F445">
        <f t="shared" ca="1" si="37"/>
        <v>340</v>
      </c>
      <c r="G445" s="3" t="b">
        <f ca="1">INDEX(dict_zul_Var_Meth[kval_active],MATCH(table_Methods[[#This Row],[ID]],dict_zul_Var_Meth[ID_Methods],0))</f>
        <v>0</v>
      </c>
      <c r="H445">
        <f t="shared" ca="1" si="38"/>
        <v>1928</v>
      </c>
      <c r="I445">
        <f t="shared" ca="1" si="39"/>
        <v>2816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35"/>
        <v>7900</v>
      </c>
      <c r="E446">
        <f t="shared" ca="1" si="36"/>
        <v>-80</v>
      </c>
      <c r="F446">
        <f t="shared" ca="1" si="37"/>
        <v>520</v>
      </c>
      <c r="G446" s="3" t="b">
        <f ca="1">INDEX(dict_zul_Var_Meth[kval_active],MATCH(table_Methods[[#This Row],[ID]],dict_zul_Var_Meth[ID_Methods],0))</f>
        <v>0</v>
      </c>
      <c r="H446">
        <f t="shared" ca="1" si="38"/>
        <v>5019</v>
      </c>
      <c r="I446">
        <f t="shared" ca="1" si="39"/>
        <v>4096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35"/>
        <v>2100</v>
      </c>
      <c r="E447">
        <f t="shared" ca="1" si="36"/>
        <v>30</v>
      </c>
      <c r="F447">
        <f t="shared" ca="1" si="37"/>
        <v>960</v>
      </c>
      <c r="G447" s="3" t="b">
        <f ca="1">INDEX(dict_zul_Var_Meth[kval_active],MATCH(table_Methods[[#This Row],[ID]],dict_zul_Var_Meth[ID_Methods],0))</f>
        <v>0</v>
      </c>
      <c r="H447">
        <f t="shared" ca="1" si="38"/>
        <v>1374</v>
      </c>
      <c r="I447">
        <f t="shared" ca="1" si="39"/>
        <v>3840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35"/>
        <v>960</v>
      </c>
      <c r="E448">
        <f t="shared" ca="1" si="36"/>
        <v>-100</v>
      </c>
      <c r="F448">
        <f t="shared" ca="1" si="37"/>
        <v>550</v>
      </c>
      <c r="G448" s="3" t="b">
        <f ca="1">INDEX(dict_zul_Var_Meth[kval_active],MATCH(table_Methods[[#This Row],[ID]],dict_zul_Var_Meth[ID_Methods],0))</f>
        <v>0</v>
      </c>
      <c r="H448">
        <f t="shared" ca="1" si="38"/>
        <v>18932</v>
      </c>
      <c r="I448">
        <f t="shared" ca="1" si="39"/>
        <v>2560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35"/>
        <v>22</v>
      </c>
      <c r="E449">
        <f t="shared" ca="1" si="36"/>
        <v>-50</v>
      </c>
      <c r="F449">
        <f t="shared" ca="1" si="37"/>
        <v>740</v>
      </c>
      <c r="G449" s="3" t="b">
        <f ca="1">INDEX(dict_zul_Var_Meth[kval_active],MATCH(table_Methods[[#This Row],[ID]],dict_zul_Var_Meth[ID_Methods],0))</f>
        <v>0</v>
      </c>
      <c r="H449">
        <f t="shared" ca="1" si="38"/>
        <v>276</v>
      </c>
      <c r="I449">
        <f t="shared" ca="1" si="39"/>
        <v>24576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0">10^(RANDBETWEEN(-1,1))*RANDBETWEEN(1,100)*10</f>
        <v>260</v>
      </c>
      <c r="E450">
        <f t="shared" ca="1" si="36"/>
        <v>-20</v>
      </c>
      <c r="F450">
        <f t="shared" ca="1" si="37"/>
        <v>740</v>
      </c>
      <c r="G450" s="3" t="b">
        <f ca="1">INDEX(dict_zul_Var_Meth[kval_active],MATCH(table_Methods[[#This Row],[ID]],dict_zul_Var_Meth[ID_Methods],0))</f>
        <v>0</v>
      </c>
      <c r="H450">
        <f t="shared" ca="1" si="38"/>
        <v>44622</v>
      </c>
      <c r="I450">
        <f t="shared" ca="1" si="39"/>
        <v>576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0"/>
        <v>50</v>
      </c>
      <c r="E451">
        <f t="shared" ca="1" si="36"/>
        <v>-20</v>
      </c>
      <c r="F451">
        <f t="shared" ca="1" si="37"/>
        <v>600</v>
      </c>
      <c r="G451" s="3" t="b">
        <f ca="1">INDEX(dict_zul_Var_Meth[kval_active],MATCH(table_Methods[[#This Row],[ID]],dict_zul_Var_Meth[ID_Methods],0))</f>
        <v>0</v>
      </c>
      <c r="H451">
        <f t="shared" ca="1" si="38"/>
        <v>17184</v>
      </c>
      <c r="I451">
        <f t="shared" ca="1" si="39"/>
        <v>528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0"/>
        <v>940</v>
      </c>
      <c r="E452">
        <f t="shared" ca="1" si="36"/>
        <v>0</v>
      </c>
      <c r="F452">
        <f t="shared" ca="1" si="37"/>
        <v>880</v>
      </c>
      <c r="G452" s="3" t="b">
        <f ca="1">INDEX(dict_zul_Var_Meth[kval_active],MATCH(table_Methods[[#This Row],[ID]],dict_zul_Var_Meth[ID_Methods],0))</f>
        <v>0</v>
      </c>
      <c r="H452">
        <f t="shared" ca="1" si="38"/>
        <v>992</v>
      </c>
      <c r="I452">
        <f t="shared" ca="1" si="39"/>
        <v>72704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0"/>
        <v>35</v>
      </c>
      <c r="E453">
        <f t="shared" ca="1" si="36"/>
        <v>10</v>
      </c>
      <c r="F453">
        <f t="shared" ca="1" si="37"/>
        <v>120</v>
      </c>
      <c r="G453" s="3" t="b">
        <f ca="1">INDEX(dict_zul_Var_Meth[kval_active],MATCH(table_Methods[[#This Row],[ID]],dict_zul_Var_Meth[ID_Methods],0))</f>
        <v>0</v>
      </c>
      <c r="H453">
        <f t="shared" ca="1" si="38"/>
        <v>9930</v>
      </c>
      <c r="I453">
        <f t="shared" ca="1" si="39"/>
        <v>472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0"/>
        <v>22</v>
      </c>
      <c r="E454">
        <f t="shared" ca="1" si="36"/>
        <v>-40</v>
      </c>
      <c r="F454">
        <f t="shared" ca="1" si="37"/>
        <v>880</v>
      </c>
      <c r="G454" s="3" t="b">
        <f ca="1">INDEX(dict_zul_Var_Meth[kval_active],MATCH(table_Methods[[#This Row],[ID]],dict_zul_Var_Meth[ID_Methods],0))</f>
        <v>0</v>
      </c>
      <c r="H454">
        <f t="shared" ca="1" si="38"/>
        <v>23570</v>
      </c>
      <c r="I454">
        <f t="shared" ca="1" si="39"/>
        <v>11008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0"/>
        <v>500</v>
      </c>
      <c r="E455">
        <f t="shared" ca="1" si="36"/>
        <v>-80</v>
      </c>
      <c r="F455">
        <f t="shared" ca="1" si="37"/>
        <v>510</v>
      </c>
      <c r="G455" s="3" t="b">
        <f ca="1">INDEX(dict_zul_Var_Meth[kval_active],MATCH(table_Methods[[#This Row],[ID]],dict_zul_Var_Meth[ID_Methods],0))</f>
        <v>0</v>
      </c>
      <c r="H455">
        <f t="shared" ca="1" si="38"/>
        <v>31509</v>
      </c>
      <c r="I455">
        <f t="shared" ca="1" si="39"/>
        <v>512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0"/>
        <v>6.0000000000000009</v>
      </c>
      <c r="E456">
        <f t="shared" ca="1" si="36"/>
        <v>-60</v>
      </c>
      <c r="F456">
        <f t="shared" ca="1" si="37"/>
        <v>430</v>
      </c>
      <c r="G456" s="3" t="b">
        <f ca="1">INDEX(dict_zul_Var_Meth[kval_active],MATCH(table_Methods[[#This Row],[ID]],dict_zul_Var_Meth[ID_Methods],0))</f>
        <v>0</v>
      </c>
      <c r="H456">
        <f t="shared" ca="1" si="38"/>
        <v>33159</v>
      </c>
      <c r="I456">
        <f t="shared" ca="1" si="39"/>
        <v>2368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0"/>
        <v>9000</v>
      </c>
      <c r="E457">
        <f t="shared" ca="1" si="36"/>
        <v>-90</v>
      </c>
      <c r="F457">
        <f t="shared" ca="1" si="37"/>
        <v>120</v>
      </c>
      <c r="G457" s="3" t="b">
        <f ca="1">INDEX(dict_zul_Var_Meth[kval_active],MATCH(table_Methods[[#This Row],[ID]],dict_zul_Var_Meth[ID_Methods],0))</f>
        <v>0</v>
      </c>
      <c r="H457">
        <f t="shared" ca="1" si="38"/>
        <v>15174</v>
      </c>
      <c r="I457">
        <f t="shared" ca="1" si="39"/>
        <v>16128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0"/>
        <v>710</v>
      </c>
      <c r="E458">
        <f t="shared" ca="1" si="36"/>
        <v>0</v>
      </c>
      <c r="F458">
        <f t="shared" ca="1" si="37"/>
        <v>760</v>
      </c>
      <c r="G458" s="3" t="b">
        <f ca="1">INDEX(dict_zul_Var_Meth[kval_active],MATCH(table_Methods[[#This Row],[ID]],dict_zul_Var_Meth[ID_Methods],0))</f>
        <v>0</v>
      </c>
      <c r="H458">
        <f t="shared" ca="1" si="38"/>
        <v>3521</v>
      </c>
      <c r="I458">
        <f t="shared" ca="1" si="39"/>
        <v>29696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0"/>
        <v>48.000000000000007</v>
      </c>
      <c r="E459">
        <f t="shared" ca="1" si="36"/>
        <v>-10</v>
      </c>
      <c r="F459">
        <f t="shared" ca="1" si="37"/>
        <v>190</v>
      </c>
      <c r="G459" s="3" t="b">
        <f ca="1">INDEX(dict_zul_Var_Meth[kval_active],MATCH(table_Methods[[#This Row],[ID]],dict_zul_Var_Meth[ID_Methods],0))</f>
        <v>0</v>
      </c>
      <c r="H459">
        <f t="shared" ca="1" si="38"/>
        <v>21159</v>
      </c>
      <c r="I459">
        <f t="shared" ca="1" si="39"/>
        <v>11008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0"/>
        <v>3600</v>
      </c>
      <c r="E460">
        <f t="shared" ca="1" si="36"/>
        <v>10</v>
      </c>
      <c r="F460">
        <f t="shared" ca="1" si="37"/>
        <v>290</v>
      </c>
      <c r="G460" s="3" t="b">
        <f ca="1">INDEX(dict_zul_Var_Meth[kval_active],MATCH(table_Methods[[#This Row],[ID]],dict_zul_Var_Meth[ID_Methods],0))</f>
        <v>0</v>
      </c>
      <c r="H460">
        <f t="shared" ca="1" si="38"/>
        <v>19936</v>
      </c>
      <c r="I460">
        <f t="shared" ca="1" si="39"/>
        <v>92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0"/>
        <v>7500</v>
      </c>
      <c r="E461">
        <f t="shared" ca="1" si="36"/>
        <v>10</v>
      </c>
      <c r="F461">
        <f t="shared" ca="1" si="37"/>
        <v>300</v>
      </c>
      <c r="G461" s="3" t="b">
        <f ca="1">INDEX(dict_zul_Var_Meth[kval_active],MATCH(table_Methods[[#This Row],[ID]],dict_zul_Var_Meth[ID_Methods],0))</f>
        <v>0</v>
      </c>
      <c r="H461">
        <f t="shared" ca="1" si="38"/>
        <v>15360</v>
      </c>
      <c r="I461">
        <f t="shared" ca="1" si="39"/>
        <v>784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0"/>
        <v>80</v>
      </c>
      <c r="E462">
        <f t="shared" ca="1" si="36"/>
        <v>-50</v>
      </c>
      <c r="F462">
        <f t="shared" ca="1" si="37"/>
        <v>940</v>
      </c>
      <c r="G462" s="3" t="b">
        <f ca="1">INDEX(dict_zul_Var_Meth[kval_active],MATCH(table_Methods[[#This Row],[ID]],dict_zul_Var_Meth[ID_Methods],0))</f>
        <v>0</v>
      </c>
      <c r="H462">
        <f t="shared" ca="1" si="38"/>
        <v>9560</v>
      </c>
      <c r="I462">
        <f t="shared" ca="1" si="39"/>
        <v>256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0"/>
        <v>9900</v>
      </c>
      <c r="E463">
        <f t="shared" ca="1" si="36"/>
        <v>-40</v>
      </c>
      <c r="F463">
        <f t="shared" ca="1" si="37"/>
        <v>540</v>
      </c>
      <c r="G463" s="3" t="b">
        <f ca="1">INDEX(dict_zul_Var_Meth[kval_active],MATCH(table_Methods[[#This Row],[ID]],dict_zul_Var_Meth[ID_Methods],0))</f>
        <v>0</v>
      </c>
      <c r="H463">
        <f t="shared" ca="1" si="38"/>
        <v>42650</v>
      </c>
      <c r="I463">
        <f t="shared" ca="1" si="39"/>
        <v>232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0"/>
        <v>830</v>
      </c>
      <c r="E464">
        <f t="shared" ca="1" si="36"/>
        <v>-10</v>
      </c>
      <c r="F464">
        <f t="shared" ca="1" si="37"/>
        <v>420</v>
      </c>
      <c r="G464" s="3" t="b">
        <f ca="1">INDEX(dict_zul_Var_Meth[kval_active],MATCH(table_Methods[[#This Row],[ID]],dict_zul_Var_Meth[ID_Methods],0))</f>
        <v>0</v>
      </c>
      <c r="H464">
        <f t="shared" ca="1" si="38"/>
        <v>34872</v>
      </c>
      <c r="I464">
        <f t="shared" ca="1" si="39"/>
        <v>6656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0"/>
        <v>3600</v>
      </c>
      <c r="E465">
        <f t="shared" ca="1" si="36"/>
        <v>-70</v>
      </c>
      <c r="F465">
        <f t="shared" ca="1" si="37"/>
        <v>430</v>
      </c>
      <c r="G465" s="3" t="b">
        <f ca="1">INDEX(dict_zul_Var_Meth[kval_active],MATCH(table_Methods[[#This Row],[ID]],dict_zul_Var_Meth[ID_Methods],0))</f>
        <v>0</v>
      </c>
      <c r="H465">
        <f t="shared" ca="1" si="38"/>
        <v>2224</v>
      </c>
      <c r="I465">
        <f t="shared" ca="1" si="39"/>
        <v>184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0"/>
        <v>4200</v>
      </c>
      <c r="E466">
        <f t="shared" ca="1" si="36"/>
        <v>-50</v>
      </c>
      <c r="F466">
        <f t="shared" ca="1" si="37"/>
        <v>480</v>
      </c>
      <c r="G466" s="3" t="b">
        <f ca="1">INDEX(dict_zul_Var_Meth[kval_active],MATCH(table_Methods[[#This Row],[ID]],dict_zul_Var_Meth[ID_Methods],0))</f>
        <v>0</v>
      </c>
      <c r="H466">
        <f t="shared" ca="1" si="38"/>
        <v>24888</v>
      </c>
      <c r="I466">
        <f t="shared" ca="1" si="39"/>
        <v>2048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0"/>
        <v>8100</v>
      </c>
      <c r="E467">
        <f t="shared" ca="1" si="36"/>
        <v>10</v>
      </c>
      <c r="F467">
        <f t="shared" ca="1" si="37"/>
        <v>230</v>
      </c>
      <c r="G467" s="3" t="b">
        <f ca="1">INDEX(dict_zul_Var_Meth[kval_active],MATCH(table_Methods[[#This Row],[ID]],dict_zul_Var_Meth[ID_Methods],0))</f>
        <v>0</v>
      </c>
      <c r="H467">
        <f t="shared" ca="1" si="38"/>
        <v>12870</v>
      </c>
      <c r="I467">
        <f t="shared" ca="1" si="39"/>
        <v>256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0"/>
        <v>57</v>
      </c>
      <c r="E468">
        <f t="shared" ca="1" si="36"/>
        <v>-90</v>
      </c>
      <c r="F468">
        <f t="shared" ca="1" si="37"/>
        <v>180</v>
      </c>
      <c r="G468" s="3" t="b">
        <f ca="1">INDEX(dict_zul_Var_Meth[kval_active],MATCH(table_Methods[[#This Row],[ID]],dict_zul_Var_Meth[ID_Methods],0))</f>
        <v>0</v>
      </c>
      <c r="H468">
        <f t="shared" ca="1" si="38"/>
        <v>2304</v>
      </c>
      <c r="I468">
        <f t="shared" ca="1" si="39"/>
        <v>2560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0"/>
        <v>58.000000000000007</v>
      </c>
      <c r="E469">
        <f t="shared" ca="1" si="36"/>
        <v>-100</v>
      </c>
      <c r="F469">
        <f t="shared" ca="1" si="37"/>
        <v>790</v>
      </c>
      <c r="G469" s="3" t="b">
        <f ca="1">INDEX(dict_zul_Var_Meth[kval_active],MATCH(table_Methods[[#This Row],[ID]],dict_zul_Var_Meth[ID_Methods],0))</f>
        <v>0</v>
      </c>
      <c r="H469">
        <f t="shared" ca="1" si="38"/>
        <v>44289</v>
      </c>
      <c r="I469">
        <f t="shared" ca="1" si="39"/>
        <v>496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0"/>
        <v>160</v>
      </c>
      <c r="E470">
        <f t="shared" ca="1" si="36"/>
        <v>-10</v>
      </c>
      <c r="F470">
        <f t="shared" ca="1" si="37"/>
        <v>520</v>
      </c>
      <c r="G470" s="3" t="b">
        <f ca="1">INDEX(dict_zul_Var_Meth[kval_active],MATCH(table_Methods[[#This Row],[ID]],dict_zul_Var_Meth[ID_Methods],0))</f>
        <v>0</v>
      </c>
      <c r="H470">
        <f t="shared" ca="1" si="38"/>
        <v>48000</v>
      </c>
      <c r="I470">
        <f t="shared" ca="1" si="39"/>
        <v>152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0"/>
        <v>64</v>
      </c>
      <c r="E471">
        <f t="shared" ca="1" si="36"/>
        <v>-90</v>
      </c>
      <c r="F471">
        <f t="shared" ca="1" si="37"/>
        <v>490</v>
      </c>
      <c r="G471" s="3" t="b">
        <f ca="1">INDEX(dict_zul_Var_Meth[kval_active],MATCH(table_Methods[[#This Row],[ID]],dict_zul_Var_Meth[ID_Methods],0))</f>
        <v>0</v>
      </c>
      <c r="H471">
        <f t="shared" ca="1" si="38"/>
        <v>9815</v>
      </c>
      <c r="I471">
        <f t="shared" ca="1" si="39"/>
        <v>7040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0"/>
        <v>2600</v>
      </c>
      <c r="E472">
        <f t="shared" ca="1" si="36"/>
        <v>30</v>
      </c>
      <c r="F472">
        <f t="shared" ca="1" si="37"/>
        <v>320</v>
      </c>
      <c r="G472" s="3" t="b">
        <f ca="1">INDEX(dict_zul_Var_Meth[kval_active],MATCH(table_Methods[[#This Row],[ID]],dict_zul_Var_Meth[ID_Methods],0))</f>
        <v>0</v>
      </c>
      <c r="H472">
        <f t="shared" ca="1" si="38"/>
        <v>18004</v>
      </c>
      <c r="I472">
        <f t="shared" ca="1" si="39"/>
        <v>43520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0"/>
        <v>6400</v>
      </c>
      <c r="E473">
        <f t="shared" ca="1" si="36"/>
        <v>-50</v>
      </c>
      <c r="F473">
        <f t="shared" ca="1" si="37"/>
        <v>690</v>
      </c>
      <c r="G473" s="3" t="b">
        <f ca="1">INDEX(dict_zul_Var_Meth[kval_active],MATCH(table_Methods[[#This Row],[ID]],dict_zul_Var_Meth[ID_Methods],0))</f>
        <v>0</v>
      </c>
      <c r="H473">
        <f t="shared" ca="1" si="38"/>
        <v>5013</v>
      </c>
      <c r="I473">
        <f t="shared" ca="1" si="39"/>
        <v>1600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0"/>
        <v>4400</v>
      </c>
      <c r="E474">
        <f t="shared" ca="1" si="36"/>
        <v>30</v>
      </c>
      <c r="F474">
        <f t="shared" ca="1" si="37"/>
        <v>890</v>
      </c>
      <c r="G474" s="3" t="b">
        <f ca="1">INDEX(dict_zul_Var_Meth[kval_active],MATCH(table_Methods[[#This Row],[ID]],dict_zul_Var_Meth[ID_Methods],0))</f>
        <v>0</v>
      </c>
      <c r="H474">
        <f t="shared" ca="1" si="38"/>
        <v>4324</v>
      </c>
      <c r="I474">
        <f t="shared" ca="1" si="39"/>
        <v>1376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0"/>
        <v>85</v>
      </c>
      <c r="E475">
        <f t="shared" ca="1" si="36"/>
        <v>-70</v>
      </c>
      <c r="F475">
        <f t="shared" ca="1" si="37"/>
        <v>160</v>
      </c>
      <c r="G475" s="3" t="b">
        <f ca="1">INDEX(dict_zul_Var_Meth[kval_active],MATCH(table_Methods[[#This Row],[ID]],dict_zul_Var_Meth[ID_Methods],0))</f>
        <v>0</v>
      </c>
      <c r="H475">
        <f t="shared" ca="1" si="38"/>
        <v>35976</v>
      </c>
      <c r="I475">
        <f t="shared" ca="1" si="39"/>
        <v>158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0"/>
        <v>94</v>
      </c>
      <c r="E476">
        <f t="shared" ca="1" si="36"/>
        <v>-30</v>
      </c>
      <c r="F476">
        <f t="shared" ca="1" si="37"/>
        <v>450</v>
      </c>
      <c r="G476" s="3" t="b">
        <f ca="1">INDEX(dict_zul_Var_Meth[kval_active],MATCH(table_Methods[[#This Row],[ID]],dict_zul_Var_Meth[ID_Methods],0))</f>
        <v>0</v>
      </c>
      <c r="H476">
        <f t="shared" ca="1" si="38"/>
        <v>9488</v>
      </c>
      <c r="I476">
        <f t="shared" ca="1" si="39"/>
        <v>59392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0"/>
        <v>6.0000000000000009</v>
      </c>
      <c r="E477">
        <f t="shared" ca="1" si="36"/>
        <v>-80</v>
      </c>
      <c r="F477">
        <f t="shared" ca="1" si="37"/>
        <v>530</v>
      </c>
      <c r="G477" s="3" t="b">
        <f ca="1">INDEX(dict_zul_Var_Meth[kval_active],MATCH(table_Methods[[#This Row],[ID]],dict_zul_Var_Meth[ID_Methods],0))</f>
        <v>0</v>
      </c>
      <c r="H477">
        <f t="shared" ca="1" si="38"/>
        <v>16975</v>
      </c>
      <c r="I477">
        <f t="shared" ca="1" si="39"/>
        <v>23808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0"/>
        <v>85</v>
      </c>
      <c r="E478">
        <f t="shared" ca="1" si="36"/>
        <v>-100</v>
      </c>
      <c r="F478">
        <f t="shared" ca="1" si="37"/>
        <v>830</v>
      </c>
      <c r="G478" s="3" t="b">
        <f ca="1">INDEX(dict_zul_Var_Meth[kval_active],MATCH(table_Methods[[#This Row],[ID]],dict_zul_Var_Meth[ID_Methods],0))</f>
        <v>0</v>
      </c>
      <c r="H478">
        <f t="shared" ca="1" si="38"/>
        <v>14148</v>
      </c>
      <c r="I478">
        <f t="shared" ca="1" si="39"/>
        <v>178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0"/>
        <v>3600</v>
      </c>
      <c r="E479">
        <f t="shared" ca="1" si="36"/>
        <v>-70</v>
      </c>
      <c r="F479">
        <f t="shared" ca="1" si="37"/>
        <v>460</v>
      </c>
      <c r="G479" s="3" t="b">
        <f ca="1">INDEX(dict_zul_Var_Meth[kval_active],MATCH(table_Methods[[#This Row],[ID]],dict_zul_Var_Meth[ID_Methods],0))</f>
        <v>0</v>
      </c>
      <c r="H479">
        <f t="shared" ca="1" si="38"/>
        <v>4562</v>
      </c>
      <c r="I479">
        <f t="shared" ca="1" si="39"/>
        <v>2496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0"/>
        <v>2200</v>
      </c>
      <c r="E480">
        <f t="shared" ca="1" si="36"/>
        <v>0</v>
      </c>
      <c r="F480">
        <f t="shared" ca="1" si="37"/>
        <v>120</v>
      </c>
      <c r="G480" s="3" t="b">
        <f ca="1">INDEX(dict_zul_Var_Meth[kval_active],MATCH(table_Methods[[#This Row],[ID]],dict_zul_Var_Meth[ID_Methods],0))</f>
        <v>0</v>
      </c>
      <c r="H480">
        <f t="shared" ca="1" si="38"/>
        <v>23944</v>
      </c>
      <c r="I480">
        <f t="shared" ca="1" si="39"/>
        <v>256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0"/>
        <v>950</v>
      </c>
      <c r="E481">
        <f t="shared" ca="1" si="36"/>
        <v>-90</v>
      </c>
      <c r="F481">
        <f t="shared" ca="1" si="37"/>
        <v>890</v>
      </c>
      <c r="G481" s="3" t="b">
        <f ca="1">INDEX(dict_zul_Var_Meth[kval_active],MATCH(table_Methods[[#This Row],[ID]],dict_zul_Var_Meth[ID_Methods],0))</f>
        <v>0</v>
      </c>
      <c r="H481">
        <f t="shared" ca="1" si="38"/>
        <v>16938</v>
      </c>
      <c r="I481">
        <f t="shared" ca="1" si="39"/>
        <v>960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0"/>
        <v>96.000000000000014</v>
      </c>
      <c r="E482">
        <f t="shared" ca="1" si="36"/>
        <v>-30</v>
      </c>
      <c r="F482">
        <f t="shared" ca="1" si="37"/>
        <v>980</v>
      </c>
      <c r="G482" s="3" t="b">
        <f ca="1">INDEX(dict_zul_Var_Meth[kval_active],MATCH(table_Methods[[#This Row],[ID]],dict_zul_Var_Meth[ID_Methods],0))</f>
        <v>0</v>
      </c>
      <c r="H482">
        <f t="shared" ca="1" si="38"/>
        <v>3706</v>
      </c>
      <c r="I482">
        <f t="shared" ca="1" si="39"/>
        <v>6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0"/>
        <v>940</v>
      </c>
      <c r="E483">
        <f t="shared" ca="1" si="36"/>
        <v>20</v>
      </c>
      <c r="F483">
        <f t="shared" ca="1" si="37"/>
        <v>460</v>
      </c>
      <c r="G483" s="3" t="b">
        <f ca="1">INDEX(dict_zul_Var_Meth[kval_active],MATCH(table_Methods[[#This Row],[ID]],dict_zul_Var_Meth[ID_Methods],0))</f>
        <v>0</v>
      </c>
      <c r="H483">
        <f t="shared" ca="1" si="38"/>
        <v>36664</v>
      </c>
      <c r="I483">
        <f t="shared" ca="1" si="39"/>
        <v>2016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0"/>
        <v>4700</v>
      </c>
      <c r="E484">
        <f t="shared" ref="E484:E547" ca="1" si="41">RANDBETWEEN(-10,3)*10</f>
        <v>0</v>
      </c>
      <c r="F484">
        <f t="shared" ref="F484:F547" ca="1" si="42">RANDBETWEEN(2,100)*10</f>
        <v>580</v>
      </c>
      <c r="G484" s="3" t="b">
        <f ca="1">INDEX(dict_zul_Var_Meth[kval_active],MATCH(table_Methods[[#This Row],[ID]],dict_zul_Var_Meth[ID_Methods],0))</f>
        <v>0</v>
      </c>
      <c r="H484">
        <f t="shared" ref="H484:H547" ca="1" si="43">RANDBETWEEN(1,10)*RANDBETWEEN(1,5000)</f>
        <v>13422</v>
      </c>
      <c r="I484">
        <f t="shared" ref="I484:I547" ca="1" si="44">2^RANDBETWEEN(1,10)*RANDBETWEEN(1,100)</f>
        <v>52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0"/>
        <v>7800</v>
      </c>
      <c r="E485">
        <f t="shared" ca="1" si="41"/>
        <v>-100</v>
      </c>
      <c r="F485">
        <f t="shared" ca="1" si="42"/>
        <v>30</v>
      </c>
      <c r="G485" s="3" t="b">
        <f ca="1">INDEX(dict_zul_Var_Meth[kval_active],MATCH(table_Methods[[#This Row],[ID]],dict_zul_Var_Meth[ID_Methods],0))</f>
        <v>0</v>
      </c>
      <c r="H485">
        <f t="shared" ca="1" si="43"/>
        <v>27170</v>
      </c>
      <c r="I485">
        <f t="shared" ca="1" si="44"/>
        <v>8192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0"/>
        <v>19</v>
      </c>
      <c r="E486">
        <f t="shared" ca="1" si="41"/>
        <v>20</v>
      </c>
      <c r="F486">
        <f t="shared" ca="1" si="42"/>
        <v>970</v>
      </c>
      <c r="G486" s="3" t="b">
        <f ca="1">INDEX(dict_zul_Var_Meth[kval_active],MATCH(table_Methods[[#This Row],[ID]],dict_zul_Var_Meth[ID_Methods],0))</f>
        <v>0</v>
      </c>
      <c r="H486">
        <f t="shared" ca="1" si="43"/>
        <v>3150</v>
      </c>
      <c r="I486">
        <f t="shared" ca="1" si="44"/>
        <v>12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0"/>
        <v>750</v>
      </c>
      <c r="E487">
        <f t="shared" ca="1" si="41"/>
        <v>-80</v>
      </c>
      <c r="F487">
        <f t="shared" ca="1" si="42"/>
        <v>790</v>
      </c>
      <c r="G487" s="3" t="b">
        <f ca="1">INDEX(dict_zul_Var_Meth[kval_active],MATCH(table_Methods[[#This Row],[ID]],dict_zul_Var_Meth[ID_Methods],0))</f>
        <v>0</v>
      </c>
      <c r="H487">
        <f t="shared" ca="1" si="43"/>
        <v>3866</v>
      </c>
      <c r="I487">
        <f t="shared" ca="1" si="44"/>
        <v>3072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0"/>
        <v>2500</v>
      </c>
      <c r="E488">
        <f t="shared" ca="1" si="41"/>
        <v>30</v>
      </c>
      <c r="F488">
        <f t="shared" ca="1" si="42"/>
        <v>700</v>
      </c>
      <c r="G488" s="3" t="b">
        <f ca="1">INDEX(dict_zul_Var_Meth[kval_active],MATCH(table_Methods[[#This Row],[ID]],dict_zul_Var_Meth[ID_Methods],0))</f>
        <v>0</v>
      </c>
      <c r="H488">
        <f t="shared" ca="1" si="43"/>
        <v>26676</v>
      </c>
      <c r="I488">
        <f t="shared" ca="1" si="44"/>
        <v>416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0"/>
        <v>84</v>
      </c>
      <c r="E489">
        <f t="shared" ca="1" si="41"/>
        <v>10</v>
      </c>
      <c r="F489">
        <f t="shared" ca="1" si="42"/>
        <v>790</v>
      </c>
      <c r="G489" s="3" t="b">
        <f ca="1">INDEX(dict_zul_Var_Meth[kval_active],MATCH(table_Methods[[#This Row],[ID]],dict_zul_Var_Meth[ID_Methods],0))</f>
        <v>0</v>
      </c>
      <c r="H489">
        <f t="shared" ca="1" si="43"/>
        <v>5712</v>
      </c>
      <c r="I489">
        <f t="shared" ca="1" si="44"/>
        <v>43520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0"/>
        <v>3600</v>
      </c>
      <c r="E490">
        <f t="shared" ca="1" si="41"/>
        <v>-40</v>
      </c>
      <c r="F490">
        <f t="shared" ca="1" si="42"/>
        <v>650</v>
      </c>
      <c r="G490" s="3" t="b">
        <f ca="1">INDEX(dict_zul_Var_Meth[kval_active],MATCH(table_Methods[[#This Row],[ID]],dict_zul_Var_Meth[ID_Methods],0))</f>
        <v>0</v>
      </c>
      <c r="H490">
        <f t="shared" ca="1" si="43"/>
        <v>1936</v>
      </c>
      <c r="I490">
        <f t="shared" ca="1" si="44"/>
        <v>208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0"/>
        <v>65</v>
      </c>
      <c r="E491">
        <f t="shared" ca="1" si="41"/>
        <v>-30</v>
      </c>
      <c r="F491">
        <f t="shared" ca="1" si="42"/>
        <v>120</v>
      </c>
      <c r="G491" s="3" t="b">
        <f ca="1">INDEX(dict_zul_Var_Meth[kval_active],MATCH(table_Methods[[#This Row],[ID]],dict_zul_Var_Meth[ID_Methods],0))</f>
        <v>0</v>
      </c>
      <c r="H491">
        <f t="shared" ca="1" si="43"/>
        <v>46630</v>
      </c>
      <c r="I491">
        <f t="shared" ca="1" si="44"/>
        <v>480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0"/>
        <v>8000</v>
      </c>
      <c r="E492">
        <f t="shared" ca="1" si="41"/>
        <v>-100</v>
      </c>
      <c r="F492">
        <f t="shared" ca="1" si="42"/>
        <v>720</v>
      </c>
      <c r="G492" s="3" t="b">
        <f ca="1">INDEX(dict_zul_Var_Meth[kval_active],MATCH(table_Methods[[#This Row],[ID]],dict_zul_Var_Meth[ID_Methods],0))</f>
        <v>0</v>
      </c>
      <c r="H492">
        <f t="shared" ca="1" si="43"/>
        <v>1318</v>
      </c>
      <c r="I492">
        <f t="shared" ca="1" si="44"/>
        <v>336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0"/>
        <v>730</v>
      </c>
      <c r="E493">
        <f t="shared" ca="1" si="41"/>
        <v>-10</v>
      </c>
      <c r="F493">
        <f t="shared" ca="1" si="42"/>
        <v>970</v>
      </c>
      <c r="G493" s="3" t="b">
        <f ca="1">INDEX(dict_zul_Var_Meth[kval_active],MATCH(table_Methods[[#This Row],[ID]],dict_zul_Var_Meth[ID_Methods],0))</f>
        <v>0</v>
      </c>
      <c r="H493">
        <f t="shared" ca="1" si="43"/>
        <v>7672</v>
      </c>
      <c r="I493">
        <f t="shared" ca="1" si="44"/>
        <v>584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0"/>
        <v>250</v>
      </c>
      <c r="E494">
        <f t="shared" ca="1" si="41"/>
        <v>30</v>
      </c>
      <c r="F494">
        <f t="shared" ca="1" si="42"/>
        <v>1000</v>
      </c>
      <c r="G494" s="3" t="b">
        <f ca="1">INDEX(dict_zul_Var_Meth[kval_active],MATCH(table_Methods[[#This Row],[ID]],dict_zul_Var_Meth[ID_Methods],0))</f>
        <v>0</v>
      </c>
      <c r="H494">
        <f t="shared" ca="1" si="43"/>
        <v>1574</v>
      </c>
      <c r="I494">
        <f t="shared" ca="1" si="44"/>
        <v>640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0"/>
        <v>23.000000000000004</v>
      </c>
      <c r="E495">
        <f t="shared" ca="1" si="41"/>
        <v>-90</v>
      </c>
      <c r="F495">
        <f t="shared" ca="1" si="42"/>
        <v>80</v>
      </c>
      <c r="G495" s="3" t="b">
        <f ca="1">INDEX(dict_zul_Var_Meth[kval_active],MATCH(table_Methods[[#This Row],[ID]],dict_zul_Var_Meth[ID_Methods],0))</f>
        <v>0</v>
      </c>
      <c r="H495">
        <f t="shared" ca="1" si="43"/>
        <v>1099</v>
      </c>
      <c r="I495">
        <f t="shared" ca="1" si="44"/>
        <v>248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0"/>
        <v>1500</v>
      </c>
      <c r="E496">
        <f t="shared" ca="1" si="41"/>
        <v>-100</v>
      </c>
      <c r="F496">
        <f t="shared" ca="1" si="42"/>
        <v>530</v>
      </c>
      <c r="G496" s="3" t="b">
        <f ca="1">INDEX(dict_zul_Var_Meth[kval_active],MATCH(table_Methods[[#This Row],[ID]],dict_zul_Var_Meth[ID_Methods],0))</f>
        <v>0</v>
      </c>
      <c r="H496">
        <f t="shared" ca="1" si="43"/>
        <v>12284</v>
      </c>
      <c r="I496">
        <f t="shared" ca="1" si="44"/>
        <v>656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0"/>
        <v>2000</v>
      </c>
      <c r="E497">
        <f t="shared" ca="1" si="41"/>
        <v>0</v>
      </c>
      <c r="F497">
        <f t="shared" ca="1" si="42"/>
        <v>840</v>
      </c>
      <c r="G497" s="3" t="b">
        <f ca="1">INDEX(dict_zul_Var_Meth[kval_active],MATCH(table_Methods[[#This Row],[ID]],dict_zul_Var_Meth[ID_Methods],0))</f>
        <v>0</v>
      </c>
      <c r="H497">
        <f t="shared" ca="1" si="43"/>
        <v>21135</v>
      </c>
      <c r="I497">
        <f t="shared" ca="1" si="44"/>
        <v>46080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0"/>
        <v>7600</v>
      </c>
      <c r="E498">
        <f t="shared" ca="1" si="41"/>
        <v>-60</v>
      </c>
      <c r="F498">
        <f t="shared" ca="1" si="42"/>
        <v>940</v>
      </c>
      <c r="G498" s="3" t="b">
        <f ca="1">INDEX(dict_zul_Var_Meth[kval_active],MATCH(table_Methods[[#This Row],[ID]],dict_zul_Var_Meth[ID_Methods],0))</f>
        <v>0</v>
      </c>
      <c r="H498">
        <f t="shared" ca="1" si="43"/>
        <v>9220</v>
      </c>
      <c r="I498">
        <f t="shared" ca="1" si="44"/>
        <v>648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0"/>
        <v>10</v>
      </c>
      <c r="E499">
        <f t="shared" ca="1" si="41"/>
        <v>0</v>
      </c>
      <c r="F499">
        <f t="shared" ca="1" si="42"/>
        <v>450</v>
      </c>
      <c r="G499" s="3" t="b">
        <f ca="1">INDEX(dict_zul_Var_Meth[kval_active],MATCH(table_Methods[[#This Row],[ID]],dict_zul_Var_Meth[ID_Methods],0))</f>
        <v>0</v>
      </c>
      <c r="H499">
        <f t="shared" ca="1" si="43"/>
        <v>28722</v>
      </c>
      <c r="I499">
        <f t="shared" ca="1" si="44"/>
        <v>10624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0"/>
        <v>430</v>
      </c>
      <c r="E500">
        <f t="shared" ca="1" si="41"/>
        <v>20</v>
      </c>
      <c r="F500">
        <f t="shared" ca="1" si="42"/>
        <v>690</v>
      </c>
      <c r="G500" s="3" t="b">
        <f ca="1">INDEX(dict_zul_Var_Meth[kval_active],MATCH(table_Methods[[#This Row],[ID]],dict_zul_Var_Meth[ID_Methods],0))</f>
        <v>0</v>
      </c>
      <c r="H500">
        <f t="shared" ca="1" si="43"/>
        <v>26845</v>
      </c>
      <c r="I500">
        <f t="shared" ca="1" si="44"/>
        <v>7936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0"/>
        <v>89</v>
      </c>
      <c r="E501">
        <f t="shared" ca="1" si="41"/>
        <v>-20</v>
      </c>
      <c r="F501">
        <f t="shared" ca="1" si="42"/>
        <v>1000</v>
      </c>
      <c r="G501" s="3" t="b">
        <f ca="1">INDEX(dict_zul_Var_Meth[kval_active],MATCH(table_Methods[[#This Row],[ID]],dict_zul_Var_Meth[ID_Methods],0))</f>
        <v>0</v>
      </c>
      <c r="H501">
        <f t="shared" ca="1" si="43"/>
        <v>5121</v>
      </c>
      <c r="I501">
        <f t="shared" ca="1" si="44"/>
        <v>38912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0"/>
        <v>9</v>
      </c>
      <c r="E502">
        <f t="shared" ca="1" si="41"/>
        <v>-10</v>
      </c>
      <c r="F502">
        <f t="shared" ca="1" si="42"/>
        <v>690</v>
      </c>
      <c r="G502" s="3" t="b">
        <f ca="1">INDEX(dict_zul_Var_Meth[kval_active],MATCH(table_Methods[[#This Row],[ID]],dict_zul_Var_Meth[ID_Methods],0))</f>
        <v>0</v>
      </c>
      <c r="H502">
        <f t="shared" ca="1" si="43"/>
        <v>8658</v>
      </c>
      <c r="I502">
        <f t="shared" ca="1" si="44"/>
        <v>1360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0"/>
        <v>210</v>
      </c>
      <c r="E503">
        <f t="shared" ca="1" si="41"/>
        <v>-70</v>
      </c>
      <c r="F503">
        <f t="shared" ca="1" si="42"/>
        <v>590</v>
      </c>
      <c r="G503" s="3" t="b">
        <f ca="1">INDEX(dict_zul_Var_Meth[kval_active],MATCH(table_Methods[[#This Row],[ID]],dict_zul_Var_Meth[ID_Methods],0))</f>
        <v>0</v>
      </c>
      <c r="H503">
        <f t="shared" ca="1" si="43"/>
        <v>4592</v>
      </c>
      <c r="I503">
        <f t="shared" ca="1" si="44"/>
        <v>5888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0"/>
        <v>44</v>
      </c>
      <c r="E504">
        <f t="shared" ca="1" si="41"/>
        <v>-50</v>
      </c>
      <c r="F504">
        <f t="shared" ca="1" si="42"/>
        <v>580</v>
      </c>
      <c r="G504" s="3" t="b">
        <f ca="1">INDEX(dict_zul_Var_Meth[kval_active],MATCH(table_Methods[[#This Row],[ID]],dict_zul_Var_Meth[ID_Methods],0))</f>
        <v>0</v>
      </c>
      <c r="H504">
        <f t="shared" ca="1" si="43"/>
        <v>3479</v>
      </c>
      <c r="I504">
        <f t="shared" ca="1" si="44"/>
        <v>5376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0"/>
        <v>14.000000000000002</v>
      </c>
      <c r="E505">
        <f t="shared" ca="1" si="41"/>
        <v>0</v>
      </c>
      <c r="F505">
        <f t="shared" ca="1" si="42"/>
        <v>840</v>
      </c>
      <c r="G505" s="3" t="b">
        <f ca="1">INDEX(dict_zul_Var_Meth[kval_active],MATCH(table_Methods[[#This Row],[ID]],dict_zul_Var_Meth[ID_Methods],0))</f>
        <v>0</v>
      </c>
      <c r="H505">
        <f t="shared" ca="1" si="43"/>
        <v>11760</v>
      </c>
      <c r="I505">
        <f t="shared" ca="1" si="44"/>
        <v>48640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0"/>
        <v>49</v>
      </c>
      <c r="E506">
        <f t="shared" ca="1" si="41"/>
        <v>-30</v>
      </c>
      <c r="F506">
        <f t="shared" ca="1" si="42"/>
        <v>990</v>
      </c>
      <c r="G506" s="3" t="b">
        <f ca="1">INDEX(dict_zul_Var_Meth[kval_active],MATCH(table_Methods[[#This Row],[ID]],dict_zul_Var_Meth[ID_Methods],0))</f>
        <v>0</v>
      </c>
      <c r="H506">
        <f t="shared" ca="1" si="43"/>
        <v>7376</v>
      </c>
      <c r="I506">
        <f t="shared" ca="1" si="44"/>
        <v>2560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0"/>
        <v>3900</v>
      </c>
      <c r="E507">
        <f t="shared" ca="1" si="41"/>
        <v>-40</v>
      </c>
      <c r="F507">
        <f t="shared" ca="1" si="42"/>
        <v>270</v>
      </c>
      <c r="G507" s="3" t="b">
        <f ca="1">INDEX(dict_zul_Var_Meth[kval_active],MATCH(table_Methods[[#This Row],[ID]],dict_zul_Var_Meth[ID_Methods],0))</f>
        <v>0</v>
      </c>
      <c r="H507">
        <f t="shared" ca="1" si="43"/>
        <v>19938</v>
      </c>
      <c r="I507">
        <f t="shared" ca="1" si="44"/>
        <v>112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0"/>
        <v>5200</v>
      </c>
      <c r="E508">
        <f t="shared" ca="1" si="41"/>
        <v>-60</v>
      </c>
      <c r="F508">
        <f t="shared" ca="1" si="42"/>
        <v>290</v>
      </c>
      <c r="G508" s="3" t="b">
        <f ca="1">INDEX(dict_zul_Var_Meth[kval_active],MATCH(table_Methods[[#This Row],[ID]],dict_zul_Var_Meth[ID_Methods],0))</f>
        <v>0</v>
      </c>
      <c r="H508">
        <f t="shared" ca="1" si="43"/>
        <v>12987</v>
      </c>
      <c r="I508">
        <f t="shared" ca="1" si="44"/>
        <v>21504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0"/>
        <v>32</v>
      </c>
      <c r="E509">
        <f t="shared" ca="1" si="41"/>
        <v>-40</v>
      </c>
      <c r="F509">
        <f t="shared" ca="1" si="42"/>
        <v>830</v>
      </c>
      <c r="G509" s="3" t="b">
        <f ca="1">INDEX(dict_zul_Var_Meth[kval_active],MATCH(table_Methods[[#This Row],[ID]],dict_zul_Var_Meth[ID_Methods],0))</f>
        <v>0</v>
      </c>
      <c r="H509">
        <f t="shared" ca="1" si="43"/>
        <v>3676</v>
      </c>
      <c r="I509">
        <f t="shared" ca="1" si="44"/>
        <v>640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0"/>
        <v>790</v>
      </c>
      <c r="E510">
        <f t="shared" ca="1" si="41"/>
        <v>0</v>
      </c>
      <c r="F510">
        <f t="shared" ca="1" si="42"/>
        <v>360</v>
      </c>
      <c r="G510" s="3" t="b">
        <f ca="1">INDEX(dict_zul_Var_Meth[kval_active],MATCH(table_Methods[[#This Row],[ID]],dict_zul_Var_Meth[ID_Methods],0))</f>
        <v>0</v>
      </c>
      <c r="H510">
        <f t="shared" ca="1" si="43"/>
        <v>746</v>
      </c>
      <c r="I510">
        <f t="shared" ca="1" si="44"/>
        <v>228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0"/>
        <v>240</v>
      </c>
      <c r="E511">
        <f t="shared" ca="1" si="41"/>
        <v>-100</v>
      </c>
      <c r="F511">
        <f t="shared" ca="1" si="42"/>
        <v>190</v>
      </c>
      <c r="G511" s="3" t="b">
        <f ca="1">INDEX(dict_zul_Var_Meth[kval_active],MATCH(table_Methods[[#This Row],[ID]],dict_zul_Var_Meth[ID_Methods],0))</f>
        <v>0</v>
      </c>
      <c r="H511">
        <f t="shared" ca="1" si="43"/>
        <v>18144</v>
      </c>
      <c r="I511">
        <f t="shared" ca="1" si="44"/>
        <v>5504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0"/>
        <v>790</v>
      </c>
      <c r="E512">
        <f t="shared" ca="1" si="41"/>
        <v>10</v>
      </c>
      <c r="F512">
        <f t="shared" ca="1" si="42"/>
        <v>700</v>
      </c>
      <c r="G512" s="3" t="b">
        <f ca="1">INDEX(dict_zul_Var_Meth[kval_active],MATCH(table_Methods[[#This Row],[ID]],dict_zul_Var_Meth[ID_Methods],0))</f>
        <v>0</v>
      </c>
      <c r="H512">
        <f t="shared" ca="1" si="43"/>
        <v>4881</v>
      </c>
      <c r="I512">
        <f t="shared" ca="1" si="44"/>
        <v>512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0"/>
        <v>120</v>
      </c>
      <c r="E513">
        <f t="shared" ca="1" si="41"/>
        <v>-30</v>
      </c>
      <c r="F513">
        <f t="shared" ca="1" si="42"/>
        <v>910</v>
      </c>
      <c r="G513" s="3" t="b">
        <f ca="1">INDEX(dict_zul_Var_Meth[kval_active],MATCH(table_Methods[[#This Row],[ID]],dict_zul_Var_Meth[ID_Methods],0))</f>
        <v>0</v>
      </c>
      <c r="H513">
        <f t="shared" ca="1" si="43"/>
        <v>3320</v>
      </c>
      <c r="I513">
        <f t="shared" ca="1" si="44"/>
        <v>640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45">10^(RANDBETWEEN(-1,1))*RANDBETWEEN(1,100)*10</f>
        <v>9000</v>
      </c>
      <c r="E514">
        <f t="shared" ca="1" si="41"/>
        <v>20</v>
      </c>
      <c r="F514">
        <f t="shared" ca="1" si="42"/>
        <v>890</v>
      </c>
      <c r="G514" s="3" t="b">
        <f ca="1">INDEX(dict_zul_Var_Meth[kval_active],MATCH(table_Methods[[#This Row],[ID]],dict_zul_Var_Meth[ID_Methods],0))</f>
        <v>0</v>
      </c>
      <c r="H514">
        <f t="shared" ca="1" si="43"/>
        <v>1948</v>
      </c>
      <c r="I514">
        <f t="shared" ca="1" si="44"/>
        <v>2496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45"/>
        <v>2200</v>
      </c>
      <c r="E515">
        <f t="shared" ca="1" si="41"/>
        <v>10</v>
      </c>
      <c r="F515">
        <f t="shared" ca="1" si="42"/>
        <v>310</v>
      </c>
      <c r="G515" s="3" t="b">
        <f ca="1">INDEX(dict_zul_Var_Meth[kval_active],MATCH(table_Methods[[#This Row],[ID]],dict_zul_Var_Meth[ID_Methods],0))</f>
        <v>0</v>
      </c>
      <c r="H515">
        <f t="shared" ca="1" si="43"/>
        <v>15152</v>
      </c>
      <c r="I515">
        <f t="shared" ca="1" si="44"/>
        <v>77824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45"/>
        <v>1000</v>
      </c>
      <c r="E516">
        <f t="shared" ca="1" si="41"/>
        <v>-70</v>
      </c>
      <c r="F516">
        <f t="shared" ca="1" si="42"/>
        <v>760</v>
      </c>
      <c r="G516" s="3" t="b">
        <f ca="1">INDEX(dict_zul_Var_Meth[kval_active],MATCH(table_Methods[[#This Row],[ID]],dict_zul_Var_Meth[ID_Methods],0))</f>
        <v>0</v>
      </c>
      <c r="H516">
        <f t="shared" ca="1" si="43"/>
        <v>3103</v>
      </c>
      <c r="I516">
        <f t="shared" ca="1" si="44"/>
        <v>464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45"/>
        <v>28.000000000000004</v>
      </c>
      <c r="E517">
        <f t="shared" ca="1" si="41"/>
        <v>20</v>
      </c>
      <c r="F517">
        <f t="shared" ca="1" si="42"/>
        <v>610</v>
      </c>
      <c r="G517" s="3" t="b">
        <f ca="1">INDEX(dict_zul_Var_Meth[kval_active],MATCH(table_Methods[[#This Row],[ID]],dict_zul_Var_Meth[ID_Methods],0))</f>
        <v>0</v>
      </c>
      <c r="H517">
        <f t="shared" ca="1" si="43"/>
        <v>9456</v>
      </c>
      <c r="I517">
        <f t="shared" ca="1" si="44"/>
        <v>6080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45"/>
        <v>82.000000000000014</v>
      </c>
      <c r="E518">
        <f t="shared" ca="1" si="41"/>
        <v>-100</v>
      </c>
      <c r="F518">
        <f t="shared" ca="1" si="42"/>
        <v>520</v>
      </c>
      <c r="G518" s="3" t="b">
        <f ca="1">INDEX(dict_zul_Var_Meth[kval_active],MATCH(table_Methods[[#This Row],[ID]],dict_zul_Var_Meth[ID_Methods],0))</f>
        <v>0</v>
      </c>
      <c r="H518">
        <f t="shared" ca="1" si="43"/>
        <v>34974</v>
      </c>
      <c r="I518">
        <f t="shared" ca="1" si="44"/>
        <v>3968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45"/>
        <v>350</v>
      </c>
      <c r="E519">
        <f t="shared" ca="1" si="41"/>
        <v>30</v>
      </c>
      <c r="F519">
        <f t="shared" ca="1" si="42"/>
        <v>300</v>
      </c>
      <c r="G519" s="3" t="b">
        <f ca="1">INDEX(dict_zul_Var_Meth[kval_active],MATCH(table_Methods[[#This Row],[ID]],dict_zul_Var_Meth[ID_Methods],0))</f>
        <v>0</v>
      </c>
      <c r="H519">
        <f t="shared" ca="1" si="43"/>
        <v>43480</v>
      </c>
      <c r="I519">
        <f t="shared" ca="1" si="44"/>
        <v>26624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45"/>
        <v>63.000000000000007</v>
      </c>
      <c r="E520">
        <f t="shared" ca="1" si="41"/>
        <v>-60</v>
      </c>
      <c r="F520">
        <f t="shared" ca="1" si="42"/>
        <v>610</v>
      </c>
      <c r="G520" s="3" t="b">
        <f ca="1">INDEX(dict_zul_Var_Meth[kval_active],MATCH(table_Methods[[#This Row],[ID]],dict_zul_Var_Meth[ID_Methods],0))</f>
        <v>0</v>
      </c>
      <c r="H520">
        <f t="shared" ca="1" si="43"/>
        <v>4158</v>
      </c>
      <c r="I520">
        <f t="shared" ca="1" si="44"/>
        <v>11264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45"/>
        <v>9000</v>
      </c>
      <c r="E521">
        <f t="shared" ca="1" si="41"/>
        <v>-10</v>
      </c>
      <c r="F521">
        <f t="shared" ca="1" si="42"/>
        <v>220</v>
      </c>
      <c r="G521" s="3" t="b">
        <f ca="1">INDEX(dict_zul_Var_Meth[kval_active],MATCH(table_Methods[[#This Row],[ID]],dict_zul_Var_Meth[ID_Methods],0))</f>
        <v>0</v>
      </c>
      <c r="H521">
        <f t="shared" ca="1" si="43"/>
        <v>35680</v>
      </c>
      <c r="I521">
        <f t="shared" ca="1" si="44"/>
        <v>344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45"/>
        <v>200</v>
      </c>
      <c r="E522">
        <f t="shared" ca="1" si="41"/>
        <v>-80</v>
      </c>
      <c r="F522">
        <f t="shared" ca="1" si="42"/>
        <v>220</v>
      </c>
      <c r="G522" s="3" t="b">
        <f ca="1">INDEX(dict_zul_Var_Meth[kval_active],MATCH(table_Methods[[#This Row],[ID]],dict_zul_Var_Meth[ID_Methods],0))</f>
        <v>0</v>
      </c>
      <c r="H522">
        <f t="shared" ca="1" si="43"/>
        <v>2582</v>
      </c>
      <c r="I522">
        <f t="shared" ca="1" si="44"/>
        <v>116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45"/>
        <v>190</v>
      </c>
      <c r="E523">
        <f t="shared" ca="1" si="41"/>
        <v>-60</v>
      </c>
      <c r="F523">
        <f t="shared" ca="1" si="42"/>
        <v>950</v>
      </c>
      <c r="G523" s="3" t="b">
        <f ca="1">INDEX(dict_zul_Var_Meth[kval_active],MATCH(table_Methods[[#This Row],[ID]],dict_zul_Var_Meth[ID_Methods],0))</f>
        <v>0</v>
      </c>
      <c r="H523">
        <f t="shared" ca="1" si="43"/>
        <v>24689</v>
      </c>
      <c r="I523">
        <f t="shared" ca="1" si="44"/>
        <v>5760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45"/>
        <v>5</v>
      </c>
      <c r="E524">
        <f t="shared" ca="1" si="41"/>
        <v>-40</v>
      </c>
      <c r="F524">
        <f t="shared" ca="1" si="42"/>
        <v>820</v>
      </c>
      <c r="G524" s="3" t="b">
        <f ca="1">INDEX(dict_zul_Var_Meth[kval_active],MATCH(table_Methods[[#This Row],[ID]],dict_zul_Var_Meth[ID_Methods],0))</f>
        <v>0</v>
      </c>
      <c r="H524">
        <f t="shared" ca="1" si="43"/>
        <v>9235</v>
      </c>
      <c r="I524">
        <f t="shared" ca="1" si="44"/>
        <v>200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45"/>
        <v>530</v>
      </c>
      <c r="E525">
        <f t="shared" ca="1" si="41"/>
        <v>20</v>
      </c>
      <c r="F525">
        <f t="shared" ca="1" si="42"/>
        <v>370</v>
      </c>
      <c r="G525" s="3" t="b">
        <f ca="1">INDEX(dict_zul_Var_Meth[kval_active],MATCH(table_Methods[[#This Row],[ID]],dict_zul_Var_Meth[ID_Methods],0))</f>
        <v>0</v>
      </c>
      <c r="H525">
        <f t="shared" ca="1" si="43"/>
        <v>1392</v>
      </c>
      <c r="I525">
        <f t="shared" ca="1" si="44"/>
        <v>38400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45"/>
        <v>570</v>
      </c>
      <c r="E526">
        <f t="shared" ca="1" si="41"/>
        <v>-80</v>
      </c>
      <c r="F526">
        <f t="shared" ca="1" si="42"/>
        <v>410</v>
      </c>
      <c r="G526" s="3" t="b">
        <f ca="1">INDEX(dict_zul_Var_Meth[kval_active],MATCH(table_Methods[[#This Row],[ID]],dict_zul_Var_Meth[ID_Methods],0))</f>
        <v>0</v>
      </c>
      <c r="H526">
        <f t="shared" ca="1" si="43"/>
        <v>11375</v>
      </c>
      <c r="I526">
        <f t="shared" ca="1" si="44"/>
        <v>7936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45"/>
        <v>840</v>
      </c>
      <c r="E527">
        <f t="shared" ca="1" si="41"/>
        <v>-40</v>
      </c>
      <c r="F527">
        <f t="shared" ca="1" si="42"/>
        <v>680</v>
      </c>
      <c r="G527" s="3" t="b">
        <f ca="1">INDEX(dict_zul_Var_Meth[kval_active],MATCH(table_Methods[[#This Row],[ID]],dict_zul_Var_Meth[ID_Methods],0))</f>
        <v>0</v>
      </c>
      <c r="H527">
        <f t="shared" ca="1" si="43"/>
        <v>24112</v>
      </c>
      <c r="I527">
        <f t="shared" ca="1" si="44"/>
        <v>112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45"/>
        <v>89</v>
      </c>
      <c r="E528">
        <f t="shared" ca="1" si="41"/>
        <v>-70</v>
      </c>
      <c r="F528">
        <f t="shared" ca="1" si="42"/>
        <v>290</v>
      </c>
      <c r="G528" s="3" t="b">
        <f ca="1">INDEX(dict_zul_Var_Meth[kval_active],MATCH(table_Methods[[#This Row],[ID]],dict_zul_Var_Meth[ID_Methods],0))</f>
        <v>0</v>
      </c>
      <c r="H528">
        <f t="shared" ca="1" si="43"/>
        <v>2717</v>
      </c>
      <c r="I528">
        <f t="shared" ca="1" si="44"/>
        <v>110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45"/>
        <v>50</v>
      </c>
      <c r="E529">
        <f t="shared" ca="1" si="41"/>
        <v>10</v>
      </c>
      <c r="F529">
        <f t="shared" ca="1" si="42"/>
        <v>940</v>
      </c>
      <c r="G529" s="3" t="b">
        <f ca="1">INDEX(dict_zul_Var_Meth[kval_active],MATCH(table_Methods[[#This Row],[ID]],dict_zul_Var_Meth[ID_Methods],0))</f>
        <v>0</v>
      </c>
      <c r="H529">
        <f t="shared" ca="1" si="43"/>
        <v>24024</v>
      </c>
      <c r="I529">
        <f t="shared" ca="1" si="44"/>
        <v>1792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45"/>
        <v>2100</v>
      </c>
      <c r="E530">
        <f t="shared" ca="1" si="41"/>
        <v>-40</v>
      </c>
      <c r="F530">
        <f t="shared" ca="1" si="42"/>
        <v>820</v>
      </c>
      <c r="G530" s="3" t="b">
        <f ca="1">INDEX(dict_zul_Var_Meth[kval_active],MATCH(table_Methods[[#This Row],[ID]],dict_zul_Var_Meth[ID_Methods],0))</f>
        <v>0</v>
      </c>
      <c r="H530">
        <f t="shared" ca="1" si="43"/>
        <v>27398</v>
      </c>
      <c r="I530">
        <f t="shared" ca="1" si="44"/>
        <v>140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45"/>
        <v>420</v>
      </c>
      <c r="E531">
        <f t="shared" ca="1" si="41"/>
        <v>-70</v>
      </c>
      <c r="F531">
        <f t="shared" ca="1" si="42"/>
        <v>580</v>
      </c>
      <c r="G531" s="3" t="b">
        <f ca="1">INDEX(dict_zul_Var_Meth[kval_active],MATCH(table_Methods[[#This Row],[ID]],dict_zul_Var_Meth[ID_Methods],0))</f>
        <v>0</v>
      </c>
      <c r="H531">
        <f t="shared" ca="1" si="43"/>
        <v>7270</v>
      </c>
      <c r="I531">
        <f t="shared" ca="1" si="44"/>
        <v>640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45"/>
        <v>7600</v>
      </c>
      <c r="E532">
        <f t="shared" ca="1" si="41"/>
        <v>-70</v>
      </c>
      <c r="F532">
        <f t="shared" ca="1" si="42"/>
        <v>240</v>
      </c>
      <c r="G532" s="3" t="b">
        <f ca="1">INDEX(dict_zul_Var_Meth[kval_active],MATCH(table_Methods[[#This Row],[ID]],dict_zul_Var_Meth[ID_Methods],0))</f>
        <v>0</v>
      </c>
      <c r="H532">
        <f t="shared" ca="1" si="43"/>
        <v>4388</v>
      </c>
      <c r="I532">
        <f t="shared" ca="1" si="44"/>
        <v>4288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45"/>
        <v>790</v>
      </c>
      <c r="E533">
        <f t="shared" ca="1" si="41"/>
        <v>-100</v>
      </c>
      <c r="F533">
        <f t="shared" ca="1" si="42"/>
        <v>790</v>
      </c>
      <c r="G533" s="3" t="b">
        <f ca="1">INDEX(dict_zul_Var_Meth[kval_active],MATCH(table_Methods[[#This Row],[ID]],dict_zul_Var_Meth[ID_Methods],0))</f>
        <v>0</v>
      </c>
      <c r="H533">
        <f t="shared" ca="1" si="43"/>
        <v>927</v>
      </c>
      <c r="I533">
        <f t="shared" ca="1" si="44"/>
        <v>24576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45"/>
        <v>850</v>
      </c>
      <c r="E534">
        <f t="shared" ca="1" si="41"/>
        <v>20</v>
      </c>
      <c r="F534">
        <f t="shared" ca="1" si="42"/>
        <v>730</v>
      </c>
      <c r="G534" s="3" t="b">
        <f ca="1">INDEX(dict_zul_Var_Meth[kval_active],MATCH(table_Methods[[#This Row],[ID]],dict_zul_Var_Meth[ID_Methods],0))</f>
        <v>0</v>
      </c>
      <c r="H534">
        <f t="shared" ca="1" si="43"/>
        <v>30947</v>
      </c>
      <c r="I534">
        <f t="shared" ca="1" si="44"/>
        <v>1152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45"/>
        <v>22</v>
      </c>
      <c r="E535">
        <f t="shared" ca="1" si="41"/>
        <v>-30</v>
      </c>
      <c r="F535">
        <f t="shared" ca="1" si="42"/>
        <v>600</v>
      </c>
      <c r="G535" s="3" t="b">
        <f ca="1">INDEX(dict_zul_Var_Meth[kval_active],MATCH(table_Methods[[#This Row],[ID]],dict_zul_Var_Meth[ID_Methods],0))</f>
        <v>0</v>
      </c>
      <c r="H535">
        <f t="shared" ca="1" si="43"/>
        <v>12846</v>
      </c>
      <c r="I535">
        <f t="shared" ca="1" si="44"/>
        <v>448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45"/>
        <v>12.000000000000002</v>
      </c>
      <c r="E536">
        <f t="shared" ca="1" si="41"/>
        <v>-10</v>
      </c>
      <c r="F536">
        <f t="shared" ca="1" si="42"/>
        <v>510</v>
      </c>
      <c r="G536" s="3" t="b">
        <f ca="1">INDEX(dict_zul_Var_Meth[kval_active],MATCH(table_Methods[[#This Row],[ID]],dict_zul_Var_Meth[ID_Methods],0))</f>
        <v>0</v>
      </c>
      <c r="H536">
        <f t="shared" ca="1" si="43"/>
        <v>4143</v>
      </c>
      <c r="I536">
        <f t="shared" ca="1" si="44"/>
        <v>240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45"/>
        <v>1100</v>
      </c>
      <c r="E537">
        <f t="shared" ca="1" si="41"/>
        <v>-20</v>
      </c>
      <c r="F537">
        <f t="shared" ca="1" si="42"/>
        <v>270</v>
      </c>
      <c r="G537" s="3" t="b">
        <f ca="1">INDEX(dict_zul_Var_Meth[kval_active],MATCH(table_Methods[[#This Row],[ID]],dict_zul_Var_Meth[ID_Methods],0))</f>
        <v>0</v>
      </c>
      <c r="H537">
        <f t="shared" ca="1" si="43"/>
        <v>13008</v>
      </c>
      <c r="I537">
        <f t="shared" ca="1" si="44"/>
        <v>64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45"/>
        <v>3500</v>
      </c>
      <c r="E538">
        <f t="shared" ca="1" si="41"/>
        <v>-70</v>
      </c>
      <c r="F538">
        <f t="shared" ca="1" si="42"/>
        <v>940</v>
      </c>
      <c r="G538" s="3" t="b">
        <f ca="1">INDEX(dict_zul_Var_Meth[kval_active],MATCH(table_Methods[[#This Row],[ID]],dict_zul_Var_Meth[ID_Methods],0))</f>
        <v>0</v>
      </c>
      <c r="H538">
        <f t="shared" ca="1" si="43"/>
        <v>22560</v>
      </c>
      <c r="I538">
        <f t="shared" ca="1" si="44"/>
        <v>448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45"/>
        <v>13</v>
      </c>
      <c r="E539">
        <f t="shared" ca="1" si="41"/>
        <v>0</v>
      </c>
      <c r="F539">
        <f t="shared" ca="1" si="42"/>
        <v>590</v>
      </c>
      <c r="G539" s="3" t="b">
        <f ca="1">INDEX(dict_zul_Var_Meth[kval_active],MATCH(table_Methods[[#This Row],[ID]],dict_zul_Var_Meth[ID_Methods],0))</f>
        <v>0</v>
      </c>
      <c r="H539">
        <f t="shared" ca="1" si="43"/>
        <v>540</v>
      </c>
      <c r="I539">
        <f t="shared" ca="1" si="44"/>
        <v>704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45"/>
        <v>9800</v>
      </c>
      <c r="E540">
        <f t="shared" ca="1" si="41"/>
        <v>30</v>
      </c>
      <c r="F540">
        <f t="shared" ca="1" si="42"/>
        <v>480</v>
      </c>
      <c r="G540" s="3" t="b">
        <f ca="1">INDEX(dict_zul_Var_Meth[kval_active],MATCH(table_Methods[[#This Row],[ID]],dict_zul_Var_Meth[ID_Methods],0))</f>
        <v>0</v>
      </c>
      <c r="H540">
        <f t="shared" ca="1" si="43"/>
        <v>120</v>
      </c>
      <c r="I540">
        <f t="shared" ca="1" si="44"/>
        <v>6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45"/>
        <v>790</v>
      </c>
      <c r="E541">
        <f t="shared" ca="1" si="41"/>
        <v>-100</v>
      </c>
      <c r="F541">
        <f t="shared" ca="1" si="42"/>
        <v>670</v>
      </c>
      <c r="G541" s="3" t="b">
        <f ca="1">INDEX(dict_zul_Var_Meth[kval_active],MATCH(table_Methods[[#This Row],[ID]],dict_zul_Var_Meth[ID_Methods],0))</f>
        <v>0</v>
      </c>
      <c r="H541">
        <f t="shared" ca="1" si="43"/>
        <v>6034</v>
      </c>
      <c r="I541">
        <f t="shared" ca="1" si="44"/>
        <v>10240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45"/>
        <v>2400</v>
      </c>
      <c r="E542">
        <f t="shared" ca="1" si="41"/>
        <v>-90</v>
      </c>
      <c r="F542">
        <f t="shared" ca="1" si="42"/>
        <v>900</v>
      </c>
      <c r="G542" s="3" t="b">
        <f ca="1">INDEX(dict_zul_Var_Meth[kval_active],MATCH(table_Methods[[#This Row],[ID]],dict_zul_Var_Meth[ID_Methods],0))</f>
        <v>0</v>
      </c>
      <c r="H542">
        <f t="shared" ca="1" si="43"/>
        <v>2430</v>
      </c>
      <c r="I542">
        <f t="shared" ca="1" si="44"/>
        <v>192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45"/>
        <v>510</v>
      </c>
      <c r="E543">
        <f t="shared" ca="1" si="41"/>
        <v>-100</v>
      </c>
      <c r="F543">
        <f t="shared" ca="1" si="42"/>
        <v>730</v>
      </c>
      <c r="G543" s="3" t="b">
        <f ca="1">INDEX(dict_zul_Var_Meth[kval_active],MATCH(table_Methods[[#This Row],[ID]],dict_zul_Var_Meth[ID_Methods],0))</f>
        <v>0</v>
      </c>
      <c r="H543">
        <f t="shared" ca="1" si="43"/>
        <v>2039</v>
      </c>
      <c r="I543">
        <f t="shared" ca="1" si="44"/>
        <v>520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45"/>
        <v>84</v>
      </c>
      <c r="E544">
        <f t="shared" ca="1" si="41"/>
        <v>-70</v>
      </c>
      <c r="F544">
        <f t="shared" ca="1" si="42"/>
        <v>820</v>
      </c>
      <c r="G544" s="3" t="b">
        <f ca="1">INDEX(dict_zul_Var_Meth[kval_active],MATCH(table_Methods[[#This Row],[ID]],dict_zul_Var_Meth[ID_Methods],0))</f>
        <v>0</v>
      </c>
      <c r="H544">
        <f t="shared" ca="1" si="43"/>
        <v>7251</v>
      </c>
      <c r="I544">
        <f t="shared" ca="1" si="44"/>
        <v>960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45"/>
        <v>3300</v>
      </c>
      <c r="E545">
        <f t="shared" ca="1" si="41"/>
        <v>-10</v>
      </c>
      <c r="F545">
        <f t="shared" ca="1" si="42"/>
        <v>100</v>
      </c>
      <c r="G545" s="3" t="b">
        <f ca="1">INDEX(dict_zul_Var_Meth[kval_active],MATCH(table_Methods[[#This Row],[ID]],dict_zul_Var_Meth[ID_Methods],0))</f>
        <v>0</v>
      </c>
      <c r="H545">
        <f t="shared" ca="1" si="43"/>
        <v>4551</v>
      </c>
      <c r="I545">
        <f t="shared" ca="1" si="44"/>
        <v>1056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45"/>
        <v>1800</v>
      </c>
      <c r="E546">
        <f t="shared" ca="1" si="41"/>
        <v>-60</v>
      </c>
      <c r="F546">
        <f t="shared" ca="1" si="42"/>
        <v>980</v>
      </c>
      <c r="G546" s="3" t="b">
        <f ca="1">INDEX(dict_zul_Var_Meth[kval_active],MATCH(table_Methods[[#This Row],[ID]],dict_zul_Var_Meth[ID_Methods],0))</f>
        <v>0</v>
      </c>
      <c r="H546">
        <f t="shared" ca="1" si="43"/>
        <v>2289</v>
      </c>
      <c r="I546">
        <f t="shared" ca="1" si="44"/>
        <v>9728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45"/>
        <v>270</v>
      </c>
      <c r="E547">
        <f t="shared" ca="1" si="41"/>
        <v>0</v>
      </c>
      <c r="F547">
        <f t="shared" ca="1" si="42"/>
        <v>680</v>
      </c>
      <c r="G547" s="3" t="b">
        <f ca="1">INDEX(dict_zul_Var_Meth[kval_active],MATCH(table_Methods[[#This Row],[ID]],dict_zul_Var_Meth[ID_Methods],0))</f>
        <v>0</v>
      </c>
      <c r="H547">
        <f t="shared" ca="1" si="43"/>
        <v>1908</v>
      </c>
      <c r="I547">
        <f t="shared" ca="1" si="44"/>
        <v>15872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45"/>
        <v>12.000000000000002</v>
      </c>
      <c r="E548">
        <f t="shared" ref="E548:E611" ca="1" si="46">RANDBETWEEN(-10,3)*10</f>
        <v>-80</v>
      </c>
      <c r="F548">
        <f t="shared" ref="F548:F611" ca="1" si="47">RANDBETWEEN(2,100)*10</f>
        <v>380</v>
      </c>
      <c r="G548" s="3" t="b">
        <f ca="1">INDEX(dict_zul_Var_Meth[kval_active],MATCH(table_Methods[[#This Row],[ID]],dict_zul_Var_Meth[ID_Methods],0))</f>
        <v>0</v>
      </c>
      <c r="H548">
        <f t="shared" ref="H548:H611" ca="1" si="48">RANDBETWEEN(1,10)*RANDBETWEEN(1,5000)</f>
        <v>4896</v>
      </c>
      <c r="I548">
        <f t="shared" ref="I548:I611" ca="1" si="49">2^RANDBETWEEN(1,10)*RANDBETWEEN(1,100)</f>
        <v>36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45"/>
        <v>100</v>
      </c>
      <c r="E549">
        <f t="shared" ca="1" si="46"/>
        <v>-90</v>
      </c>
      <c r="F549">
        <f t="shared" ca="1" si="47"/>
        <v>400</v>
      </c>
      <c r="G549" s="3" t="b">
        <f ca="1">INDEX(dict_zul_Var_Meth[kval_active],MATCH(table_Methods[[#This Row],[ID]],dict_zul_Var_Meth[ID_Methods],0))</f>
        <v>0</v>
      </c>
      <c r="H549">
        <f t="shared" ca="1" si="48"/>
        <v>3060</v>
      </c>
      <c r="I549">
        <f t="shared" ca="1" si="49"/>
        <v>11904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45"/>
        <v>3900</v>
      </c>
      <c r="E550">
        <f t="shared" ca="1" si="46"/>
        <v>-90</v>
      </c>
      <c r="F550">
        <f t="shared" ca="1" si="47"/>
        <v>900</v>
      </c>
      <c r="G550" s="3" t="b">
        <f ca="1">INDEX(dict_zul_Var_Meth[kval_active],MATCH(table_Methods[[#This Row],[ID]],dict_zul_Var_Meth[ID_Methods],0))</f>
        <v>0</v>
      </c>
      <c r="H550">
        <f t="shared" ca="1" si="48"/>
        <v>9900</v>
      </c>
      <c r="I550">
        <f t="shared" ca="1" si="49"/>
        <v>6656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45"/>
        <v>5900</v>
      </c>
      <c r="E551">
        <f t="shared" ca="1" si="46"/>
        <v>-20</v>
      </c>
      <c r="F551">
        <f t="shared" ca="1" si="47"/>
        <v>920</v>
      </c>
      <c r="G551" s="3" t="b">
        <f ca="1">INDEX(dict_zul_Var_Meth[kval_active],MATCH(table_Methods[[#This Row],[ID]],dict_zul_Var_Meth[ID_Methods],0))</f>
        <v>0</v>
      </c>
      <c r="H551">
        <f t="shared" ca="1" si="48"/>
        <v>2280</v>
      </c>
      <c r="I551">
        <f t="shared" ca="1" si="49"/>
        <v>200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45"/>
        <v>2000</v>
      </c>
      <c r="E552">
        <f t="shared" ca="1" si="46"/>
        <v>-10</v>
      </c>
      <c r="F552">
        <f t="shared" ca="1" si="47"/>
        <v>290</v>
      </c>
      <c r="G552" s="3" t="b">
        <f ca="1">INDEX(dict_zul_Var_Meth[kval_active],MATCH(table_Methods[[#This Row],[ID]],dict_zul_Var_Meth[ID_Methods],0))</f>
        <v>0</v>
      </c>
      <c r="H552">
        <f t="shared" ca="1" si="48"/>
        <v>26710</v>
      </c>
      <c r="I552">
        <f t="shared" ca="1" si="49"/>
        <v>760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45"/>
        <v>740</v>
      </c>
      <c r="E553">
        <f t="shared" ca="1" si="46"/>
        <v>-50</v>
      </c>
      <c r="F553">
        <f t="shared" ca="1" si="47"/>
        <v>670</v>
      </c>
      <c r="G553" s="3" t="b">
        <f ca="1">INDEX(dict_zul_Var_Meth[kval_active],MATCH(table_Methods[[#This Row],[ID]],dict_zul_Var_Meth[ID_Methods],0))</f>
        <v>0</v>
      </c>
      <c r="H553">
        <f t="shared" ca="1" si="48"/>
        <v>8730</v>
      </c>
      <c r="I553">
        <f t="shared" ca="1" si="49"/>
        <v>8320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45"/>
        <v>1600</v>
      </c>
      <c r="E554">
        <f t="shared" ca="1" si="46"/>
        <v>0</v>
      </c>
      <c r="F554">
        <f t="shared" ca="1" si="47"/>
        <v>150</v>
      </c>
      <c r="G554" s="3" t="b">
        <f ca="1">INDEX(dict_zul_Var_Meth[kval_active],MATCH(table_Methods[[#This Row],[ID]],dict_zul_Var_Meth[ID_Methods],0))</f>
        <v>0</v>
      </c>
      <c r="H554">
        <f t="shared" ca="1" si="48"/>
        <v>4270</v>
      </c>
      <c r="I554">
        <f t="shared" ca="1" si="49"/>
        <v>24064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45"/>
        <v>280</v>
      </c>
      <c r="E555">
        <f t="shared" ca="1" si="46"/>
        <v>-20</v>
      </c>
      <c r="F555">
        <f t="shared" ca="1" si="47"/>
        <v>380</v>
      </c>
      <c r="G555" s="3" t="b">
        <f ca="1">INDEX(dict_zul_Var_Meth[kval_active],MATCH(table_Methods[[#This Row],[ID]],dict_zul_Var_Meth[ID_Methods],0))</f>
        <v>0</v>
      </c>
      <c r="H555">
        <f t="shared" ca="1" si="48"/>
        <v>1550</v>
      </c>
      <c r="I555">
        <f t="shared" ca="1" si="49"/>
        <v>864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45"/>
        <v>3300</v>
      </c>
      <c r="E556">
        <f t="shared" ca="1" si="46"/>
        <v>-40</v>
      </c>
      <c r="F556">
        <f t="shared" ca="1" si="47"/>
        <v>670</v>
      </c>
      <c r="G556" s="3" t="b">
        <f ca="1">INDEX(dict_zul_Var_Meth[kval_active],MATCH(table_Methods[[#This Row],[ID]],dict_zul_Var_Meth[ID_Methods],0))</f>
        <v>0</v>
      </c>
      <c r="H556">
        <f t="shared" ca="1" si="48"/>
        <v>37050</v>
      </c>
      <c r="I556">
        <f t="shared" ca="1" si="49"/>
        <v>10240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45"/>
        <v>450</v>
      </c>
      <c r="E557">
        <f t="shared" ca="1" si="46"/>
        <v>-90</v>
      </c>
      <c r="F557">
        <f t="shared" ca="1" si="47"/>
        <v>770</v>
      </c>
      <c r="G557" s="3" t="b">
        <f ca="1">INDEX(dict_zul_Var_Meth[kval_active],MATCH(table_Methods[[#This Row],[ID]],dict_zul_Var_Meth[ID_Methods],0))</f>
        <v>0</v>
      </c>
      <c r="H557">
        <f t="shared" ca="1" si="48"/>
        <v>17206</v>
      </c>
      <c r="I557">
        <f t="shared" ca="1" si="49"/>
        <v>4096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45"/>
        <v>760</v>
      </c>
      <c r="E558">
        <f t="shared" ca="1" si="46"/>
        <v>-20</v>
      </c>
      <c r="F558">
        <f t="shared" ca="1" si="47"/>
        <v>260</v>
      </c>
      <c r="G558" s="3" t="b">
        <f ca="1">INDEX(dict_zul_Var_Meth[kval_active],MATCH(table_Methods[[#This Row],[ID]],dict_zul_Var_Meth[ID_Methods],0))</f>
        <v>0</v>
      </c>
      <c r="H558">
        <f t="shared" ca="1" si="48"/>
        <v>20520</v>
      </c>
      <c r="I558">
        <f t="shared" ca="1" si="49"/>
        <v>712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45"/>
        <v>2</v>
      </c>
      <c r="E559">
        <f t="shared" ca="1" si="46"/>
        <v>30</v>
      </c>
      <c r="F559">
        <f t="shared" ca="1" si="47"/>
        <v>270</v>
      </c>
      <c r="G559" s="3" t="b">
        <f ca="1">INDEX(dict_zul_Var_Meth[kval_active],MATCH(table_Methods[[#This Row],[ID]],dict_zul_Var_Meth[ID_Methods],0))</f>
        <v>0</v>
      </c>
      <c r="H559">
        <f t="shared" ca="1" si="48"/>
        <v>3994</v>
      </c>
      <c r="I559">
        <f t="shared" ca="1" si="49"/>
        <v>2848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45"/>
        <v>4400</v>
      </c>
      <c r="E560">
        <f t="shared" ca="1" si="46"/>
        <v>-90</v>
      </c>
      <c r="F560">
        <f t="shared" ca="1" si="47"/>
        <v>180</v>
      </c>
      <c r="G560" s="3" t="b">
        <f ca="1">INDEX(dict_zul_Var_Meth[kval_active],MATCH(table_Methods[[#This Row],[ID]],dict_zul_Var_Meth[ID_Methods],0))</f>
        <v>0</v>
      </c>
      <c r="H560">
        <f t="shared" ca="1" si="48"/>
        <v>35523</v>
      </c>
      <c r="I560">
        <f t="shared" ca="1" si="49"/>
        <v>20992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45"/>
        <v>840</v>
      </c>
      <c r="E561">
        <f t="shared" ca="1" si="46"/>
        <v>-70</v>
      </c>
      <c r="F561">
        <f t="shared" ca="1" si="47"/>
        <v>240</v>
      </c>
      <c r="G561" s="3" t="b">
        <f ca="1">INDEX(dict_zul_Var_Meth[kval_active],MATCH(table_Methods[[#This Row],[ID]],dict_zul_Var_Meth[ID_Methods],0))</f>
        <v>0</v>
      </c>
      <c r="H561">
        <f t="shared" ca="1" si="48"/>
        <v>34656</v>
      </c>
      <c r="I561">
        <f t="shared" ca="1" si="49"/>
        <v>992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45"/>
        <v>7700</v>
      </c>
      <c r="E562">
        <f t="shared" ca="1" si="46"/>
        <v>-50</v>
      </c>
      <c r="F562">
        <f t="shared" ca="1" si="47"/>
        <v>790</v>
      </c>
      <c r="G562" s="3" t="b">
        <f ca="1">INDEX(dict_zul_Var_Meth[kval_active],MATCH(table_Methods[[#This Row],[ID]],dict_zul_Var_Meth[ID_Methods],0))</f>
        <v>0</v>
      </c>
      <c r="H562">
        <f t="shared" ca="1" si="48"/>
        <v>15184</v>
      </c>
      <c r="I562">
        <f t="shared" ca="1" si="49"/>
        <v>12032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45"/>
        <v>300</v>
      </c>
      <c r="E563">
        <f t="shared" ca="1" si="46"/>
        <v>-20</v>
      </c>
      <c r="F563">
        <f t="shared" ca="1" si="47"/>
        <v>220</v>
      </c>
      <c r="G563" s="3" t="b">
        <f ca="1">INDEX(dict_zul_Var_Meth[kval_active],MATCH(table_Methods[[#This Row],[ID]],dict_zul_Var_Meth[ID_Methods],0))</f>
        <v>0</v>
      </c>
      <c r="H563">
        <f t="shared" ca="1" si="48"/>
        <v>1799</v>
      </c>
      <c r="I563">
        <f t="shared" ca="1" si="49"/>
        <v>456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45"/>
        <v>4300</v>
      </c>
      <c r="E564">
        <f t="shared" ca="1" si="46"/>
        <v>-10</v>
      </c>
      <c r="F564">
        <f t="shared" ca="1" si="47"/>
        <v>230</v>
      </c>
      <c r="G564" s="3" t="b">
        <f ca="1">INDEX(dict_zul_Var_Meth[kval_active],MATCH(table_Methods[[#This Row],[ID]],dict_zul_Var_Meth[ID_Methods],0))</f>
        <v>0</v>
      </c>
      <c r="H564">
        <f t="shared" ca="1" si="48"/>
        <v>12057</v>
      </c>
      <c r="I564">
        <f t="shared" ca="1" si="49"/>
        <v>3904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45"/>
        <v>190</v>
      </c>
      <c r="E565">
        <f t="shared" ca="1" si="46"/>
        <v>-50</v>
      </c>
      <c r="F565">
        <f t="shared" ca="1" si="47"/>
        <v>480</v>
      </c>
      <c r="G565" s="3" t="b">
        <f ca="1">INDEX(dict_zul_Var_Meth[kval_active],MATCH(table_Methods[[#This Row],[ID]],dict_zul_Var_Meth[ID_Methods],0))</f>
        <v>0</v>
      </c>
      <c r="H565">
        <f t="shared" ca="1" si="48"/>
        <v>540</v>
      </c>
      <c r="I565">
        <f t="shared" ca="1" si="49"/>
        <v>6912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45"/>
        <v>5000</v>
      </c>
      <c r="E566">
        <f t="shared" ca="1" si="46"/>
        <v>-50</v>
      </c>
      <c r="F566">
        <f t="shared" ca="1" si="47"/>
        <v>940</v>
      </c>
      <c r="G566" s="3" t="b">
        <f ca="1">INDEX(dict_zul_Var_Meth[kval_active],MATCH(table_Methods[[#This Row],[ID]],dict_zul_Var_Meth[ID_Methods],0))</f>
        <v>0</v>
      </c>
      <c r="H566">
        <f t="shared" ca="1" si="48"/>
        <v>14</v>
      </c>
      <c r="I566">
        <f t="shared" ca="1" si="49"/>
        <v>6400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45"/>
        <v>240</v>
      </c>
      <c r="E567">
        <f t="shared" ca="1" si="46"/>
        <v>20</v>
      </c>
      <c r="F567">
        <f t="shared" ca="1" si="47"/>
        <v>880</v>
      </c>
      <c r="G567" s="3" t="b">
        <f ca="1">INDEX(dict_zul_Var_Meth[kval_active],MATCH(table_Methods[[#This Row],[ID]],dict_zul_Var_Meth[ID_Methods],0))</f>
        <v>0</v>
      </c>
      <c r="H567">
        <f t="shared" ca="1" si="48"/>
        <v>21498</v>
      </c>
      <c r="I567">
        <f t="shared" ca="1" si="49"/>
        <v>896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45"/>
        <v>800</v>
      </c>
      <c r="E568">
        <f t="shared" ca="1" si="46"/>
        <v>-70</v>
      </c>
      <c r="F568">
        <f t="shared" ca="1" si="47"/>
        <v>380</v>
      </c>
      <c r="G568" s="3" t="b">
        <f ca="1">INDEX(dict_zul_Var_Meth[kval_active],MATCH(table_Methods[[#This Row],[ID]],dict_zul_Var_Meth[ID_Methods],0))</f>
        <v>0</v>
      </c>
      <c r="H568">
        <f t="shared" ca="1" si="48"/>
        <v>24090</v>
      </c>
      <c r="I568">
        <f t="shared" ca="1" si="49"/>
        <v>5120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45"/>
        <v>810</v>
      </c>
      <c r="E569">
        <f t="shared" ca="1" si="46"/>
        <v>-70</v>
      </c>
      <c r="F569">
        <f t="shared" ca="1" si="47"/>
        <v>750</v>
      </c>
      <c r="G569" s="3" t="b">
        <f ca="1">INDEX(dict_zul_Var_Meth[kval_active],MATCH(table_Methods[[#This Row],[ID]],dict_zul_Var_Meth[ID_Methods],0))</f>
        <v>0</v>
      </c>
      <c r="H569">
        <f t="shared" ca="1" si="48"/>
        <v>16555</v>
      </c>
      <c r="I569">
        <f t="shared" ca="1" si="49"/>
        <v>3584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45"/>
        <v>7100</v>
      </c>
      <c r="E570">
        <f t="shared" ca="1" si="46"/>
        <v>-10</v>
      </c>
      <c r="F570">
        <f t="shared" ca="1" si="47"/>
        <v>920</v>
      </c>
      <c r="G570" s="3" t="b">
        <f ca="1">INDEX(dict_zul_Var_Meth[kval_active],MATCH(table_Methods[[#This Row],[ID]],dict_zul_Var_Meth[ID_Methods],0))</f>
        <v>0</v>
      </c>
      <c r="H570">
        <f t="shared" ca="1" si="48"/>
        <v>22197</v>
      </c>
      <c r="I570">
        <f t="shared" ca="1" si="49"/>
        <v>2944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45"/>
        <v>2000</v>
      </c>
      <c r="E571">
        <f t="shared" ca="1" si="46"/>
        <v>-100</v>
      </c>
      <c r="F571">
        <f t="shared" ca="1" si="47"/>
        <v>590</v>
      </c>
      <c r="G571" s="3" t="b">
        <f ca="1">INDEX(dict_zul_Var_Meth[kval_active],MATCH(table_Methods[[#This Row],[ID]],dict_zul_Var_Meth[ID_Methods],0))</f>
        <v>0</v>
      </c>
      <c r="H571">
        <f t="shared" ca="1" si="48"/>
        <v>7404</v>
      </c>
      <c r="I571">
        <f t="shared" ca="1" si="49"/>
        <v>320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45"/>
        <v>260</v>
      </c>
      <c r="E572">
        <f t="shared" ca="1" si="46"/>
        <v>-30</v>
      </c>
      <c r="F572">
        <f t="shared" ca="1" si="47"/>
        <v>200</v>
      </c>
      <c r="G572" s="3" t="b">
        <f ca="1">INDEX(dict_zul_Var_Meth[kval_active],MATCH(table_Methods[[#This Row],[ID]],dict_zul_Var_Meth[ID_Methods],0))</f>
        <v>0</v>
      </c>
      <c r="H572">
        <f t="shared" ca="1" si="48"/>
        <v>35532</v>
      </c>
      <c r="I572">
        <f t="shared" ca="1" si="49"/>
        <v>14848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45"/>
        <v>40</v>
      </c>
      <c r="E573">
        <f t="shared" ca="1" si="46"/>
        <v>-20</v>
      </c>
      <c r="F573">
        <f t="shared" ca="1" si="47"/>
        <v>270</v>
      </c>
      <c r="G573" s="3" t="b">
        <f ca="1">INDEX(dict_zul_Var_Meth[kval_active],MATCH(table_Methods[[#This Row],[ID]],dict_zul_Var_Meth[ID_Methods],0))</f>
        <v>0</v>
      </c>
      <c r="H573">
        <f t="shared" ca="1" si="48"/>
        <v>15651</v>
      </c>
      <c r="I573">
        <f t="shared" ca="1" si="49"/>
        <v>80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45"/>
        <v>5300</v>
      </c>
      <c r="E574">
        <f t="shared" ca="1" si="46"/>
        <v>-30</v>
      </c>
      <c r="F574">
        <f t="shared" ca="1" si="47"/>
        <v>420</v>
      </c>
      <c r="G574" s="3" t="b">
        <f ca="1">INDEX(dict_zul_Var_Meth[kval_active],MATCH(table_Methods[[#This Row],[ID]],dict_zul_Var_Meth[ID_Methods],0))</f>
        <v>0</v>
      </c>
      <c r="H574">
        <f t="shared" ca="1" si="48"/>
        <v>14070</v>
      </c>
      <c r="I574">
        <f t="shared" ca="1" si="49"/>
        <v>80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45"/>
        <v>6600</v>
      </c>
      <c r="E575">
        <f t="shared" ca="1" si="46"/>
        <v>-50</v>
      </c>
      <c r="F575">
        <f t="shared" ca="1" si="47"/>
        <v>80</v>
      </c>
      <c r="G575" s="3" t="b">
        <f ca="1">INDEX(dict_zul_Var_Meth[kval_active],MATCH(table_Methods[[#This Row],[ID]],dict_zul_Var_Meth[ID_Methods],0))</f>
        <v>0</v>
      </c>
      <c r="H575">
        <f t="shared" ca="1" si="48"/>
        <v>1070</v>
      </c>
      <c r="I575">
        <f t="shared" ca="1" si="49"/>
        <v>1408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45"/>
        <v>550</v>
      </c>
      <c r="E576">
        <f t="shared" ca="1" si="46"/>
        <v>10</v>
      </c>
      <c r="F576">
        <f t="shared" ca="1" si="47"/>
        <v>270</v>
      </c>
      <c r="G576" s="3" t="b">
        <f ca="1">INDEX(dict_zul_Var_Meth[kval_active],MATCH(table_Methods[[#This Row],[ID]],dict_zul_Var_Meth[ID_Methods],0))</f>
        <v>0</v>
      </c>
      <c r="H576">
        <f t="shared" ca="1" si="48"/>
        <v>3984</v>
      </c>
      <c r="I576">
        <f t="shared" ca="1" si="49"/>
        <v>992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45"/>
        <v>6.0000000000000009</v>
      </c>
      <c r="E577">
        <f t="shared" ca="1" si="46"/>
        <v>10</v>
      </c>
      <c r="F577">
        <f t="shared" ca="1" si="47"/>
        <v>80</v>
      </c>
      <c r="G577" s="3" t="b">
        <f ca="1">INDEX(dict_zul_Var_Meth[kval_active],MATCH(table_Methods[[#This Row],[ID]],dict_zul_Var_Meth[ID_Methods],0))</f>
        <v>0</v>
      </c>
      <c r="H577">
        <f t="shared" ca="1" si="48"/>
        <v>1140</v>
      </c>
      <c r="I577">
        <f t="shared" ca="1" si="49"/>
        <v>128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0">10^(RANDBETWEEN(-1,1))*RANDBETWEEN(1,100)*10</f>
        <v>900</v>
      </c>
      <c r="E578">
        <f t="shared" ca="1" si="46"/>
        <v>-80</v>
      </c>
      <c r="F578">
        <f t="shared" ca="1" si="47"/>
        <v>980</v>
      </c>
      <c r="G578" s="3" t="b">
        <f ca="1">INDEX(dict_zul_Var_Meth[kval_active],MATCH(table_Methods[[#This Row],[ID]],dict_zul_Var_Meth[ID_Methods],0))</f>
        <v>0</v>
      </c>
      <c r="H578">
        <f t="shared" ca="1" si="48"/>
        <v>13578</v>
      </c>
      <c r="I578">
        <f t="shared" ca="1" si="49"/>
        <v>72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0"/>
        <v>110</v>
      </c>
      <c r="E579">
        <f t="shared" ca="1" si="46"/>
        <v>0</v>
      </c>
      <c r="F579">
        <f t="shared" ca="1" si="47"/>
        <v>40</v>
      </c>
      <c r="G579" s="3" t="b">
        <f ca="1">INDEX(dict_zul_Var_Meth[kval_active],MATCH(table_Methods[[#This Row],[ID]],dict_zul_Var_Meth[ID_Methods],0))</f>
        <v>0</v>
      </c>
      <c r="H579">
        <f t="shared" ca="1" si="48"/>
        <v>8008</v>
      </c>
      <c r="I579">
        <f t="shared" ca="1" si="49"/>
        <v>5504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0"/>
        <v>82.000000000000014</v>
      </c>
      <c r="E580">
        <f t="shared" ca="1" si="46"/>
        <v>-90</v>
      </c>
      <c r="F580">
        <f t="shared" ca="1" si="47"/>
        <v>940</v>
      </c>
      <c r="G580" s="3" t="b">
        <f ca="1">INDEX(dict_zul_Var_Meth[kval_active],MATCH(table_Methods[[#This Row],[ID]],dict_zul_Var_Meth[ID_Methods],0))</f>
        <v>0</v>
      </c>
      <c r="H580">
        <f t="shared" ca="1" si="48"/>
        <v>19490</v>
      </c>
      <c r="I580">
        <f t="shared" ca="1" si="49"/>
        <v>17920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0"/>
        <v>75</v>
      </c>
      <c r="E581">
        <f t="shared" ca="1" si="46"/>
        <v>-60</v>
      </c>
      <c r="F581">
        <f t="shared" ca="1" si="47"/>
        <v>60</v>
      </c>
      <c r="G581" s="3" t="b">
        <f ca="1">INDEX(dict_zul_Var_Meth[kval_active],MATCH(table_Methods[[#This Row],[ID]],dict_zul_Var_Meth[ID_Methods],0))</f>
        <v>0</v>
      </c>
      <c r="H581">
        <f t="shared" ca="1" si="48"/>
        <v>2212</v>
      </c>
      <c r="I581">
        <f t="shared" ca="1" si="49"/>
        <v>3840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0"/>
        <v>53.000000000000007</v>
      </c>
      <c r="E582">
        <f t="shared" ca="1" si="46"/>
        <v>-40</v>
      </c>
      <c r="F582">
        <f t="shared" ca="1" si="47"/>
        <v>330</v>
      </c>
      <c r="G582" s="3" t="b">
        <f ca="1">INDEX(dict_zul_Var_Meth[kval_active],MATCH(table_Methods[[#This Row],[ID]],dict_zul_Var_Meth[ID_Methods],0))</f>
        <v>0</v>
      </c>
      <c r="H582">
        <f t="shared" ca="1" si="48"/>
        <v>1565</v>
      </c>
      <c r="I582">
        <f t="shared" ca="1" si="49"/>
        <v>1344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0"/>
        <v>78</v>
      </c>
      <c r="E583">
        <f t="shared" ca="1" si="46"/>
        <v>-40</v>
      </c>
      <c r="F583">
        <f t="shared" ca="1" si="47"/>
        <v>120</v>
      </c>
      <c r="G583" s="3" t="b">
        <f ca="1">INDEX(dict_zul_Var_Meth[kval_active],MATCH(table_Methods[[#This Row],[ID]],dict_zul_Var_Meth[ID_Methods],0))</f>
        <v>0</v>
      </c>
      <c r="H583">
        <f t="shared" ca="1" si="48"/>
        <v>9464</v>
      </c>
      <c r="I583">
        <f t="shared" ca="1" si="49"/>
        <v>6144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0"/>
        <v>620</v>
      </c>
      <c r="E584">
        <f t="shared" ca="1" si="46"/>
        <v>30</v>
      </c>
      <c r="F584">
        <f t="shared" ca="1" si="47"/>
        <v>150</v>
      </c>
      <c r="G584" s="3" t="b">
        <f ca="1">INDEX(dict_zul_Var_Meth[kval_active],MATCH(table_Methods[[#This Row],[ID]],dict_zul_Var_Meth[ID_Methods],0))</f>
        <v>0</v>
      </c>
      <c r="H584">
        <f t="shared" ca="1" si="48"/>
        <v>7380</v>
      </c>
      <c r="I584">
        <f t="shared" ca="1" si="49"/>
        <v>90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0"/>
        <v>750</v>
      </c>
      <c r="E585">
        <f t="shared" ca="1" si="46"/>
        <v>-30</v>
      </c>
      <c r="F585">
        <f t="shared" ca="1" si="47"/>
        <v>510</v>
      </c>
      <c r="G585" s="3" t="b">
        <f ca="1">INDEX(dict_zul_Var_Meth[kval_active],MATCH(table_Methods[[#This Row],[ID]],dict_zul_Var_Meth[ID_Methods],0))</f>
        <v>0</v>
      </c>
      <c r="H585">
        <f t="shared" ca="1" si="48"/>
        <v>87</v>
      </c>
      <c r="I585">
        <f t="shared" ca="1" si="49"/>
        <v>4288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0"/>
        <v>960</v>
      </c>
      <c r="E586">
        <f t="shared" ca="1" si="46"/>
        <v>20</v>
      </c>
      <c r="F586">
        <f t="shared" ca="1" si="47"/>
        <v>250</v>
      </c>
      <c r="G586" s="3" t="b">
        <f ca="1">INDEX(dict_zul_Var_Meth[kval_active],MATCH(table_Methods[[#This Row],[ID]],dict_zul_Var_Meth[ID_Methods],0))</f>
        <v>0</v>
      </c>
      <c r="H586">
        <f t="shared" ca="1" si="48"/>
        <v>16168</v>
      </c>
      <c r="I586">
        <f t="shared" ca="1" si="49"/>
        <v>1408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0"/>
        <v>98</v>
      </c>
      <c r="E587">
        <f t="shared" ca="1" si="46"/>
        <v>-70</v>
      </c>
      <c r="F587">
        <f t="shared" ca="1" si="47"/>
        <v>340</v>
      </c>
      <c r="G587" s="3" t="b">
        <f ca="1">INDEX(dict_zul_Var_Meth[kval_active],MATCH(table_Methods[[#This Row],[ID]],dict_zul_Var_Meth[ID_Methods],0))</f>
        <v>0</v>
      </c>
      <c r="H587">
        <f t="shared" ca="1" si="48"/>
        <v>3310</v>
      </c>
      <c r="I587">
        <f t="shared" ca="1" si="49"/>
        <v>2240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0"/>
        <v>2000</v>
      </c>
      <c r="E588">
        <f t="shared" ca="1" si="46"/>
        <v>30</v>
      </c>
      <c r="F588">
        <f t="shared" ca="1" si="47"/>
        <v>160</v>
      </c>
      <c r="G588" s="3" t="b">
        <f ca="1">INDEX(dict_zul_Var_Meth[kval_active],MATCH(table_Methods[[#This Row],[ID]],dict_zul_Var_Meth[ID_Methods],0))</f>
        <v>0</v>
      </c>
      <c r="H588">
        <f t="shared" ca="1" si="48"/>
        <v>859</v>
      </c>
      <c r="I588">
        <f t="shared" ca="1" si="49"/>
        <v>736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0"/>
        <v>770</v>
      </c>
      <c r="E589">
        <f t="shared" ca="1" si="46"/>
        <v>-90</v>
      </c>
      <c r="F589">
        <f t="shared" ca="1" si="47"/>
        <v>230</v>
      </c>
      <c r="G589" s="3" t="b">
        <f ca="1">INDEX(dict_zul_Var_Meth[kval_active],MATCH(table_Methods[[#This Row],[ID]],dict_zul_Var_Meth[ID_Methods],0))</f>
        <v>0</v>
      </c>
      <c r="H589">
        <f t="shared" ca="1" si="48"/>
        <v>3674</v>
      </c>
      <c r="I589">
        <f t="shared" ca="1" si="49"/>
        <v>100352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0"/>
        <v>58.000000000000007</v>
      </c>
      <c r="E590">
        <f t="shared" ca="1" si="46"/>
        <v>-30</v>
      </c>
      <c r="F590">
        <f t="shared" ca="1" si="47"/>
        <v>630</v>
      </c>
      <c r="G590" s="3" t="b">
        <f ca="1">INDEX(dict_zul_Var_Meth[kval_active],MATCH(table_Methods[[#This Row],[ID]],dict_zul_Var_Meth[ID_Methods],0))</f>
        <v>0</v>
      </c>
      <c r="H590">
        <f t="shared" ca="1" si="48"/>
        <v>10476</v>
      </c>
      <c r="I590">
        <f t="shared" ca="1" si="49"/>
        <v>1520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0"/>
        <v>650</v>
      </c>
      <c r="E591">
        <f t="shared" ca="1" si="46"/>
        <v>10</v>
      </c>
      <c r="F591">
        <f t="shared" ca="1" si="47"/>
        <v>430</v>
      </c>
      <c r="G591" s="3" t="b">
        <f ca="1">INDEX(dict_zul_Var_Meth[kval_active],MATCH(table_Methods[[#This Row],[ID]],dict_zul_Var_Meth[ID_Methods],0))</f>
        <v>0</v>
      </c>
      <c r="H591">
        <f t="shared" ca="1" si="48"/>
        <v>3011</v>
      </c>
      <c r="I591">
        <f t="shared" ca="1" si="49"/>
        <v>768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0"/>
        <v>70</v>
      </c>
      <c r="E592">
        <f t="shared" ca="1" si="46"/>
        <v>-60</v>
      </c>
      <c r="F592">
        <f t="shared" ca="1" si="47"/>
        <v>180</v>
      </c>
      <c r="G592" s="3" t="b">
        <f ca="1">INDEX(dict_zul_Var_Meth[kval_active],MATCH(table_Methods[[#This Row],[ID]],dict_zul_Var_Meth[ID_Methods],0))</f>
        <v>0</v>
      </c>
      <c r="H592">
        <f t="shared" ca="1" si="48"/>
        <v>4590</v>
      </c>
      <c r="I592">
        <f t="shared" ca="1" si="49"/>
        <v>1664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0"/>
        <v>6700</v>
      </c>
      <c r="E593">
        <f t="shared" ca="1" si="46"/>
        <v>10</v>
      </c>
      <c r="F593">
        <f t="shared" ca="1" si="47"/>
        <v>20</v>
      </c>
      <c r="G593" s="3" t="b">
        <f ca="1">INDEX(dict_zul_Var_Meth[kval_active],MATCH(table_Methods[[#This Row],[ID]],dict_zul_Var_Meth[ID_Methods],0))</f>
        <v>0</v>
      </c>
      <c r="H593">
        <f t="shared" ca="1" si="48"/>
        <v>29979</v>
      </c>
      <c r="I593">
        <f t="shared" ca="1" si="49"/>
        <v>284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0"/>
        <v>740</v>
      </c>
      <c r="E594">
        <f t="shared" ca="1" si="46"/>
        <v>-90</v>
      </c>
      <c r="F594">
        <f t="shared" ca="1" si="47"/>
        <v>590</v>
      </c>
      <c r="G594" s="3" t="b">
        <f ca="1">INDEX(dict_zul_Var_Meth[kval_active],MATCH(table_Methods[[#This Row],[ID]],dict_zul_Var_Meth[ID_Methods],0))</f>
        <v>0</v>
      </c>
      <c r="H594">
        <f t="shared" ca="1" si="48"/>
        <v>4996</v>
      </c>
      <c r="I594">
        <f t="shared" ca="1" si="49"/>
        <v>208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0"/>
        <v>33</v>
      </c>
      <c r="E595">
        <f t="shared" ca="1" si="46"/>
        <v>10</v>
      </c>
      <c r="F595">
        <f t="shared" ca="1" si="47"/>
        <v>960</v>
      </c>
      <c r="G595" s="3" t="b">
        <f ca="1">INDEX(dict_zul_Var_Meth[kval_active],MATCH(table_Methods[[#This Row],[ID]],dict_zul_Var_Meth[ID_Methods],0))</f>
        <v>0</v>
      </c>
      <c r="H595">
        <f t="shared" ca="1" si="48"/>
        <v>32016</v>
      </c>
      <c r="I595">
        <f t="shared" ca="1" si="49"/>
        <v>96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0"/>
        <v>280</v>
      </c>
      <c r="E596">
        <f t="shared" ca="1" si="46"/>
        <v>-10</v>
      </c>
      <c r="F596">
        <f t="shared" ca="1" si="47"/>
        <v>300</v>
      </c>
      <c r="G596" s="3" t="b">
        <f ca="1">INDEX(dict_zul_Var_Meth[kval_active],MATCH(table_Methods[[#This Row],[ID]],dict_zul_Var_Meth[ID_Methods],0))</f>
        <v>0</v>
      </c>
      <c r="H596">
        <f t="shared" ca="1" si="48"/>
        <v>25711</v>
      </c>
      <c r="I596">
        <f t="shared" ca="1" si="49"/>
        <v>2432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0"/>
        <v>94</v>
      </c>
      <c r="E597">
        <f t="shared" ca="1" si="46"/>
        <v>30</v>
      </c>
      <c r="F597">
        <f t="shared" ca="1" si="47"/>
        <v>150</v>
      </c>
      <c r="G597" s="3" t="b">
        <f ca="1">INDEX(dict_zul_Var_Meth[kval_active],MATCH(table_Methods[[#This Row],[ID]],dict_zul_Var_Meth[ID_Methods],0))</f>
        <v>0</v>
      </c>
      <c r="H597">
        <f t="shared" ca="1" si="48"/>
        <v>1691</v>
      </c>
      <c r="I597">
        <f t="shared" ca="1" si="49"/>
        <v>122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0"/>
        <v>2400</v>
      </c>
      <c r="E598">
        <f t="shared" ca="1" si="46"/>
        <v>-70</v>
      </c>
      <c r="F598">
        <f t="shared" ca="1" si="47"/>
        <v>630</v>
      </c>
      <c r="G598" s="3" t="b">
        <f ca="1">INDEX(dict_zul_Var_Meth[kval_active],MATCH(table_Methods[[#This Row],[ID]],dict_zul_Var_Meth[ID_Methods],0))</f>
        <v>0</v>
      </c>
      <c r="H598">
        <f t="shared" ca="1" si="48"/>
        <v>3258</v>
      </c>
      <c r="I598">
        <f t="shared" ca="1" si="49"/>
        <v>16128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0"/>
        <v>5500</v>
      </c>
      <c r="E599">
        <f t="shared" ca="1" si="46"/>
        <v>-20</v>
      </c>
      <c r="F599">
        <f t="shared" ca="1" si="47"/>
        <v>680</v>
      </c>
      <c r="G599" s="3" t="b">
        <f ca="1">INDEX(dict_zul_Var_Meth[kval_active],MATCH(table_Methods[[#This Row],[ID]],dict_zul_Var_Meth[ID_Methods],0))</f>
        <v>0</v>
      </c>
      <c r="H599">
        <f t="shared" ca="1" si="48"/>
        <v>1994</v>
      </c>
      <c r="I599">
        <f t="shared" ca="1" si="49"/>
        <v>2336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0"/>
        <v>85</v>
      </c>
      <c r="E600">
        <f t="shared" ca="1" si="46"/>
        <v>10</v>
      </c>
      <c r="F600">
        <f t="shared" ca="1" si="47"/>
        <v>180</v>
      </c>
      <c r="G600" s="3" t="b">
        <f ca="1">INDEX(dict_zul_Var_Meth[kval_active],MATCH(table_Methods[[#This Row],[ID]],dict_zul_Var_Meth[ID_Methods],0))</f>
        <v>0</v>
      </c>
      <c r="H600">
        <f t="shared" ca="1" si="48"/>
        <v>17008</v>
      </c>
      <c r="I600">
        <f t="shared" ca="1" si="49"/>
        <v>3328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0"/>
        <v>94</v>
      </c>
      <c r="E601">
        <f t="shared" ca="1" si="46"/>
        <v>-20</v>
      </c>
      <c r="F601">
        <f t="shared" ca="1" si="47"/>
        <v>380</v>
      </c>
      <c r="G601" s="3" t="b">
        <f ca="1">INDEX(dict_zul_Var_Meth[kval_active],MATCH(table_Methods[[#This Row],[ID]],dict_zul_Var_Meth[ID_Methods],0))</f>
        <v>0</v>
      </c>
      <c r="H601">
        <f t="shared" ca="1" si="48"/>
        <v>24144</v>
      </c>
      <c r="I601">
        <f t="shared" ca="1" si="49"/>
        <v>26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0"/>
        <v>580</v>
      </c>
      <c r="E602">
        <f t="shared" ca="1" si="46"/>
        <v>-30</v>
      </c>
      <c r="F602">
        <f t="shared" ca="1" si="47"/>
        <v>1000</v>
      </c>
      <c r="G602" s="3" t="b">
        <f ca="1">INDEX(dict_zul_Var_Meth[kval_active],MATCH(table_Methods[[#This Row],[ID]],dict_zul_Var_Meth[ID_Methods],0))</f>
        <v>0</v>
      </c>
      <c r="H602">
        <f t="shared" ca="1" si="48"/>
        <v>12633</v>
      </c>
      <c r="I602">
        <f t="shared" ca="1" si="49"/>
        <v>14592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0"/>
        <v>2200</v>
      </c>
      <c r="E603">
        <f t="shared" ca="1" si="46"/>
        <v>-30</v>
      </c>
      <c r="F603">
        <f t="shared" ca="1" si="47"/>
        <v>530</v>
      </c>
      <c r="G603" s="3" t="b">
        <f ca="1">INDEX(dict_zul_Var_Meth[kval_active],MATCH(table_Methods[[#This Row],[ID]],dict_zul_Var_Meth[ID_Methods],0))</f>
        <v>0</v>
      </c>
      <c r="H603">
        <f t="shared" ca="1" si="48"/>
        <v>13890</v>
      </c>
      <c r="I603">
        <f t="shared" ca="1" si="49"/>
        <v>104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0"/>
        <v>180</v>
      </c>
      <c r="E604">
        <f t="shared" ca="1" si="46"/>
        <v>0</v>
      </c>
      <c r="F604">
        <f t="shared" ca="1" si="47"/>
        <v>370</v>
      </c>
      <c r="G604" s="3" t="b">
        <f ca="1">INDEX(dict_zul_Var_Meth[kval_active],MATCH(table_Methods[[#This Row],[ID]],dict_zul_Var_Meth[ID_Methods],0))</f>
        <v>0</v>
      </c>
      <c r="H604">
        <f t="shared" ca="1" si="48"/>
        <v>2056</v>
      </c>
      <c r="I604">
        <f t="shared" ca="1" si="49"/>
        <v>496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0"/>
        <v>360</v>
      </c>
      <c r="E605">
        <f t="shared" ca="1" si="46"/>
        <v>-50</v>
      </c>
      <c r="F605">
        <f t="shared" ca="1" si="47"/>
        <v>740</v>
      </c>
      <c r="G605" s="3" t="b">
        <f ca="1">INDEX(dict_zul_Var_Meth[kval_active],MATCH(table_Methods[[#This Row],[ID]],dict_zul_Var_Meth[ID_Methods],0))</f>
        <v>0</v>
      </c>
      <c r="H605">
        <f t="shared" ca="1" si="48"/>
        <v>25193</v>
      </c>
      <c r="I605">
        <f t="shared" ca="1" si="49"/>
        <v>2432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0"/>
        <v>7200</v>
      </c>
      <c r="E606">
        <f t="shared" ca="1" si="46"/>
        <v>-100</v>
      </c>
      <c r="F606">
        <f t="shared" ca="1" si="47"/>
        <v>140</v>
      </c>
      <c r="G606" s="3" t="b">
        <f ca="1">INDEX(dict_zul_Var_Meth[kval_active],MATCH(table_Methods[[#This Row],[ID]],dict_zul_Var_Meth[ID_Methods],0))</f>
        <v>0</v>
      </c>
      <c r="H606">
        <f t="shared" ca="1" si="48"/>
        <v>21976</v>
      </c>
      <c r="I606">
        <f t="shared" ca="1" si="49"/>
        <v>2304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0"/>
        <v>200</v>
      </c>
      <c r="E607">
        <f t="shared" ca="1" si="46"/>
        <v>-100</v>
      </c>
      <c r="F607">
        <f t="shared" ca="1" si="47"/>
        <v>220</v>
      </c>
      <c r="G607" s="3" t="b">
        <f ca="1">INDEX(dict_zul_Var_Meth[kval_active],MATCH(table_Methods[[#This Row],[ID]],dict_zul_Var_Meth[ID_Methods],0))</f>
        <v>0</v>
      </c>
      <c r="H607">
        <f t="shared" ca="1" si="48"/>
        <v>16660</v>
      </c>
      <c r="I607">
        <f t="shared" ca="1" si="49"/>
        <v>5184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0"/>
        <v>180</v>
      </c>
      <c r="E608">
        <f t="shared" ca="1" si="46"/>
        <v>-20</v>
      </c>
      <c r="F608">
        <f t="shared" ca="1" si="47"/>
        <v>810</v>
      </c>
      <c r="G608" s="3" t="b">
        <f ca="1">INDEX(dict_zul_Var_Meth[kval_active],MATCH(table_Methods[[#This Row],[ID]],dict_zul_Var_Meth[ID_Methods],0))</f>
        <v>0</v>
      </c>
      <c r="H608">
        <f t="shared" ca="1" si="48"/>
        <v>2442</v>
      </c>
      <c r="I608">
        <f t="shared" ca="1" si="49"/>
        <v>14336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0"/>
        <v>8500</v>
      </c>
      <c r="E609">
        <f t="shared" ca="1" si="46"/>
        <v>-20</v>
      </c>
      <c r="F609">
        <f t="shared" ca="1" si="47"/>
        <v>30</v>
      </c>
      <c r="G609" s="3" t="b">
        <f ca="1">INDEX(dict_zul_Var_Meth[kval_active],MATCH(table_Methods[[#This Row],[ID]],dict_zul_Var_Meth[ID_Methods],0))</f>
        <v>0</v>
      </c>
      <c r="H609">
        <f t="shared" ca="1" si="48"/>
        <v>4660</v>
      </c>
      <c r="I609">
        <f t="shared" ca="1" si="49"/>
        <v>3392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0"/>
        <v>620</v>
      </c>
      <c r="E610">
        <f t="shared" ca="1" si="46"/>
        <v>-40</v>
      </c>
      <c r="F610">
        <f t="shared" ca="1" si="47"/>
        <v>650</v>
      </c>
      <c r="G610" s="3" t="b">
        <f ca="1">INDEX(dict_zul_Var_Meth[kval_active],MATCH(table_Methods[[#This Row],[ID]],dict_zul_Var_Meth[ID_Methods],0))</f>
        <v>0</v>
      </c>
      <c r="H610">
        <f t="shared" ca="1" si="48"/>
        <v>5424</v>
      </c>
      <c r="I610">
        <f t="shared" ca="1" si="49"/>
        <v>3072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0"/>
        <v>22</v>
      </c>
      <c r="E611">
        <f t="shared" ca="1" si="46"/>
        <v>-20</v>
      </c>
      <c r="F611">
        <f t="shared" ca="1" si="47"/>
        <v>550</v>
      </c>
      <c r="G611" s="3" t="b">
        <f ca="1">INDEX(dict_zul_Var_Meth[kval_active],MATCH(table_Methods[[#This Row],[ID]],dict_zul_Var_Meth[ID_Methods],0))</f>
        <v>0</v>
      </c>
      <c r="H611">
        <f t="shared" ca="1" si="48"/>
        <v>15050</v>
      </c>
      <c r="I611">
        <f t="shared" ca="1" si="49"/>
        <v>12672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0"/>
        <v>81</v>
      </c>
      <c r="E612">
        <f t="shared" ref="E612:E675" ca="1" si="51">RANDBETWEEN(-10,3)*10</f>
        <v>10</v>
      </c>
      <c r="F612">
        <f t="shared" ref="F612:F675" ca="1" si="52">RANDBETWEEN(2,100)*10</f>
        <v>950</v>
      </c>
      <c r="G612" s="3" t="b">
        <f ca="1">INDEX(dict_zul_Var_Meth[kval_active],MATCH(table_Methods[[#This Row],[ID]],dict_zul_Var_Meth[ID_Methods],0))</f>
        <v>0</v>
      </c>
      <c r="H612">
        <f t="shared" ref="H612:H675" ca="1" si="53">RANDBETWEEN(1,10)*RANDBETWEEN(1,5000)</f>
        <v>30056</v>
      </c>
      <c r="I612">
        <f t="shared" ref="I612:I675" ca="1" si="54">2^RANDBETWEEN(1,10)*RANDBETWEEN(1,100)</f>
        <v>192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0"/>
        <v>25</v>
      </c>
      <c r="E613">
        <f t="shared" ca="1" si="51"/>
        <v>-70</v>
      </c>
      <c r="F613">
        <f t="shared" ca="1" si="52"/>
        <v>500</v>
      </c>
      <c r="G613" s="3" t="b">
        <f ca="1">INDEX(dict_zul_Var_Meth[kval_active],MATCH(table_Methods[[#This Row],[ID]],dict_zul_Var_Meth[ID_Methods],0))</f>
        <v>0</v>
      </c>
      <c r="H613">
        <f t="shared" ca="1" si="53"/>
        <v>12327</v>
      </c>
      <c r="I613">
        <f t="shared" ca="1" si="54"/>
        <v>23808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0"/>
        <v>7000</v>
      </c>
      <c r="E614">
        <f t="shared" ca="1" si="51"/>
        <v>-40</v>
      </c>
      <c r="F614">
        <f t="shared" ca="1" si="52"/>
        <v>730</v>
      </c>
      <c r="G614" s="3" t="b">
        <f ca="1">INDEX(dict_zul_Var_Meth[kval_active],MATCH(table_Methods[[#This Row],[ID]],dict_zul_Var_Meth[ID_Methods],0))</f>
        <v>0</v>
      </c>
      <c r="H614">
        <f t="shared" ca="1" si="53"/>
        <v>30920</v>
      </c>
      <c r="I614">
        <f t="shared" ca="1" si="54"/>
        <v>42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0"/>
        <v>380</v>
      </c>
      <c r="E615">
        <f t="shared" ca="1" si="51"/>
        <v>-60</v>
      </c>
      <c r="F615">
        <f t="shared" ca="1" si="52"/>
        <v>840</v>
      </c>
      <c r="G615" s="3" t="b">
        <f ca="1">INDEX(dict_zul_Var_Meth[kval_active],MATCH(table_Methods[[#This Row],[ID]],dict_zul_Var_Meth[ID_Methods],0))</f>
        <v>0</v>
      </c>
      <c r="H615">
        <f t="shared" ca="1" si="53"/>
        <v>5824</v>
      </c>
      <c r="I615">
        <f t="shared" ca="1" si="54"/>
        <v>59392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0"/>
        <v>130</v>
      </c>
      <c r="E616">
        <f t="shared" ca="1" si="51"/>
        <v>-40</v>
      </c>
      <c r="F616">
        <f t="shared" ca="1" si="52"/>
        <v>730</v>
      </c>
      <c r="G616" s="3" t="b">
        <f ca="1">INDEX(dict_zul_Var_Meth[kval_active],MATCH(table_Methods[[#This Row],[ID]],dict_zul_Var_Meth[ID_Methods],0))</f>
        <v>0</v>
      </c>
      <c r="H616">
        <f t="shared" ca="1" si="53"/>
        <v>8185</v>
      </c>
      <c r="I616">
        <f t="shared" ca="1" si="54"/>
        <v>2560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0"/>
        <v>800</v>
      </c>
      <c r="E617">
        <f t="shared" ca="1" si="51"/>
        <v>-100</v>
      </c>
      <c r="F617">
        <f t="shared" ca="1" si="52"/>
        <v>530</v>
      </c>
      <c r="G617" s="3" t="b">
        <f ca="1">INDEX(dict_zul_Var_Meth[kval_active],MATCH(table_Methods[[#This Row],[ID]],dict_zul_Var_Meth[ID_Methods],0))</f>
        <v>0</v>
      </c>
      <c r="H617">
        <f t="shared" ca="1" si="53"/>
        <v>10592</v>
      </c>
      <c r="I617">
        <f t="shared" ca="1" si="54"/>
        <v>928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0"/>
        <v>48.000000000000007</v>
      </c>
      <c r="E618">
        <f t="shared" ca="1" si="51"/>
        <v>-70</v>
      </c>
      <c r="F618">
        <f t="shared" ca="1" si="52"/>
        <v>400</v>
      </c>
      <c r="G618" s="3" t="b">
        <f ca="1">INDEX(dict_zul_Var_Meth[kval_active],MATCH(table_Methods[[#This Row],[ID]],dict_zul_Var_Meth[ID_Methods],0))</f>
        <v>0</v>
      </c>
      <c r="H618">
        <f t="shared" ca="1" si="53"/>
        <v>27139</v>
      </c>
      <c r="I618">
        <f t="shared" ca="1" si="54"/>
        <v>1312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0"/>
        <v>43</v>
      </c>
      <c r="E619">
        <f t="shared" ca="1" si="51"/>
        <v>-90</v>
      </c>
      <c r="F619">
        <f t="shared" ca="1" si="52"/>
        <v>430</v>
      </c>
      <c r="G619" s="3" t="b">
        <f ca="1">INDEX(dict_zul_Var_Meth[kval_active],MATCH(table_Methods[[#This Row],[ID]],dict_zul_Var_Meth[ID_Methods],0))</f>
        <v>0</v>
      </c>
      <c r="H619">
        <f t="shared" ca="1" si="53"/>
        <v>6057</v>
      </c>
      <c r="I619">
        <f t="shared" ca="1" si="54"/>
        <v>6400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0"/>
        <v>5</v>
      </c>
      <c r="E620">
        <f t="shared" ca="1" si="51"/>
        <v>-100</v>
      </c>
      <c r="F620">
        <f t="shared" ca="1" si="52"/>
        <v>730</v>
      </c>
      <c r="G620" s="3" t="b">
        <f ca="1">INDEX(dict_zul_Var_Meth[kval_active],MATCH(table_Methods[[#This Row],[ID]],dict_zul_Var_Meth[ID_Methods],0))</f>
        <v>0</v>
      </c>
      <c r="H620">
        <f t="shared" ca="1" si="53"/>
        <v>11732</v>
      </c>
      <c r="I620">
        <f t="shared" ca="1" si="54"/>
        <v>3328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0"/>
        <v>10</v>
      </c>
      <c r="E621">
        <f t="shared" ca="1" si="51"/>
        <v>-90</v>
      </c>
      <c r="F621">
        <f t="shared" ca="1" si="52"/>
        <v>300</v>
      </c>
      <c r="G621" s="3" t="b">
        <f ca="1">INDEX(dict_zul_Var_Meth[kval_active],MATCH(table_Methods[[#This Row],[ID]],dict_zul_Var_Meth[ID_Methods],0))</f>
        <v>0</v>
      </c>
      <c r="H621">
        <f t="shared" ca="1" si="53"/>
        <v>1660</v>
      </c>
      <c r="I621">
        <f t="shared" ca="1" si="54"/>
        <v>896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0"/>
        <v>760</v>
      </c>
      <c r="E622">
        <f t="shared" ca="1" si="51"/>
        <v>20</v>
      </c>
      <c r="F622">
        <f t="shared" ca="1" si="52"/>
        <v>750</v>
      </c>
      <c r="G622" s="3" t="b">
        <f ca="1">INDEX(dict_zul_Var_Meth[kval_active],MATCH(table_Methods[[#This Row],[ID]],dict_zul_Var_Meth[ID_Methods],0))</f>
        <v>0</v>
      </c>
      <c r="H622">
        <f t="shared" ca="1" si="53"/>
        <v>16525</v>
      </c>
      <c r="I622">
        <f t="shared" ca="1" si="54"/>
        <v>13312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0"/>
        <v>680</v>
      </c>
      <c r="E623">
        <f t="shared" ca="1" si="51"/>
        <v>-40</v>
      </c>
      <c r="F623">
        <f t="shared" ca="1" si="52"/>
        <v>710</v>
      </c>
      <c r="G623" s="3" t="b">
        <f ca="1">INDEX(dict_zul_Var_Meth[kval_active],MATCH(table_Methods[[#This Row],[ID]],dict_zul_Var_Meth[ID_Methods],0))</f>
        <v>0</v>
      </c>
      <c r="H623">
        <f t="shared" ca="1" si="53"/>
        <v>825</v>
      </c>
      <c r="I623">
        <f t="shared" ca="1" si="54"/>
        <v>18432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0"/>
        <v>1000</v>
      </c>
      <c r="E624">
        <f t="shared" ca="1" si="51"/>
        <v>-70</v>
      </c>
      <c r="F624">
        <f t="shared" ca="1" si="52"/>
        <v>890</v>
      </c>
      <c r="G624" s="3" t="b">
        <f ca="1">INDEX(dict_zul_Var_Meth[kval_active],MATCH(table_Methods[[#This Row],[ID]],dict_zul_Var_Meth[ID_Methods],0))</f>
        <v>0</v>
      </c>
      <c r="H624">
        <f t="shared" ca="1" si="53"/>
        <v>14792</v>
      </c>
      <c r="I624">
        <f t="shared" ca="1" si="54"/>
        <v>544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0"/>
        <v>700</v>
      </c>
      <c r="E625">
        <f t="shared" ca="1" si="51"/>
        <v>-70</v>
      </c>
      <c r="F625">
        <f t="shared" ca="1" si="52"/>
        <v>600</v>
      </c>
      <c r="G625" s="3" t="b">
        <f ca="1">INDEX(dict_zul_Var_Meth[kval_active],MATCH(table_Methods[[#This Row],[ID]],dict_zul_Var_Meth[ID_Methods],0))</f>
        <v>0</v>
      </c>
      <c r="H625">
        <f t="shared" ca="1" si="53"/>
        <v>6768</v>
      </c>
      <c r="I625">
        <f t="shared" ca="1" si="54"/>
        <v>162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0"/>
        <v>3500</v>
      </c>
      <c r="E626">
        <f t="shared" ca="1" si="51"/>
        <v>-80</v>
      </c>
      <c r="F626">
        <f t="shared" ca="1" si="52"/>
        <v>520</v>
      </c>
      <c r="G626" s="3" t="b">
        <f ca="1">INDEX(dict_zul_Var_Meth[kval_active],MATCH(table_Methods[[#This Row],[ID]],dict_zul_Var_Meth[ID_Methods],0))</f>
        <v>0</v>
      </c>
      <c r="H626">
        <f t="shared" ca="1" si="53"/>
        <v>13662</v>
      </c>
      <c r="I626">
        <f t="shared" ca="1" si="54"/>
        <v>2080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0"/>
        <v>87.000000000000014</v>
      </c>
      <c r="E627">
        <f t="shared" ca="1" si="51"/>
        <v>-30</v>
      </c>
      <c r="F627">
        <f t="shared" ca="1" si="52"/>
        <v>430</v>
      </c>
      <c r="G627" s="3" t="b">
        <f ca="1">INDEX(dict_zul_Var_Meth[kval_active],MATCH(table_Methods[[#This Row],[ID]],dict_zul_Var_Meth[ID_Methods],0))</f>
        <v>0</v>
      </c>
      <c r="H627">
        <f t="shared" ca="1" si="53"/>
        <v>2094</v>
      </c>
      <c r="I627">
        <f t="shared" ca="1" si="54"/>
        <v>2560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0"/>
        <v>11</v>
      </c>
      <c r="E628">
        <f t="shared" ca="1" si="51"/>
        <v>-90</v>
      </c>
      <c r="F628">
        <f t="shared" ca="1" si="52"/>
        <v>450</v>
      </c>
      <c r="G628" s="3" t="b">
        <f ca="1">INDEX(dict_zul_Var_Meth[kval_active],MATCH(table_Methods[[#This Row],[ID]],dict_zul_Var_Meth[ID_Methods],0))</f>
        <v>0</v>
      </c>
      <c r="H628">
        <f t="shared" ca="1" si="53"/>
        <v>11331</v>
      </c>
      <c r="I628">
        <f t="shared" ca="1" si="54"/>
        <v>208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0"/>
        <v>2300</v>
      </c>
      <c r="E629">
        <f t="shared" ca="1" si="51"/>
        <v>-10</v>
      </c>
      <c r="F629">
        <f t="shared" ca="1" si="52"/>
        <v>120</v>
      </c>
      <c r="G629" s="3" t="b">
        <f ca="1">INDEX(dict_zul_Var_Meth[kval_active],MATCH(table_Methods[[#This Row],[ID]],dict_zul_Var_Meth[ID_Methods],0))</f>
        <v>0</v>
      </c>
      <c r="H629">
        <f t="shared" ca="1" si="53"/>
        <v>5116</v>
      </c>
      <c r="I629">
        <f t="shared" ca="1" si="54"/>
        <v>332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0"/>
        <v>480</v>
      </c>
      <c r="E630">
        <f t="shared" ca="1" si="51"/>
        <v>-80</v>
      </c>
      <c r="F630">
        <f t="shared" ca="1" si="52"/>
        <v>390</v>
      </c>
      <c r="G630" s="3" t="b">
        <f ca="1">INDEX(dict_zul_Var_Meth[kval_active],MATCH(table_Methods[[#This Row],[ID]],dict_zul_Var_Meth[ID_Methods],0))</f>
        <v>0</v>
      </c>
      <c r="H630">
        <f t="shared" ca="1" si="53"/>
        <v>38780</v>
      </c>
      <c r="I630">
        <f t="shared" ca="1" si="54"/>
        <v>704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0"/>
        <v>9500</v>
      </c>
      <c r="E631">
        <f t="shared" ca="1" si="51"/>
        <v>-70</v>
      </c>
      <c r="F631">
        <f t="shared" ca="1" si="52"/>
        <v>910</v>
      </c>
      <c r="G631" s="3" t="b">
        <f ca="1">INDEX(dict_zul_Var_Meth[kval_active],MATCH(table_Methods[[#This Row],[ID]],dict_zul_Var_Meth[ID_Methods],0))</f>
        <v>0</v>
      </c>
      <c r="H631">
        <f t="shared" ca="1" si="53"/>
        <v>29670</v>
      </c>
      <c r="I631">
        <f t="shared" ca="1" si="54"/>
        <v>156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0"/>
        <v>730</v>
      </c>
      <c r="E632">
        <f t="shared" ca="1" si="51"/>
        <v>20</v>
      </c>
      <c r="F632">
        <f t="shared" ca="1" si="52"/>
        <v>210</v>
      </c>
      <c r="G632" s="3" t="b">
        <f ca="1">INDEX(dict_zul_Var_Meth[kval_active],MATCH(table_Methods[[#This Row],[ID]],dict_zul_Var_Meth[ID_Methods],0))</f>
        <v>0</v>
      </c>
      <c r="H632">
        <f t="shared" ca="1" si="53"/>
        <v>4606</v>
      </c>
      <c r="I632">
        <f t="shared" ca="1" si="54"/>
        <v>24832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0"/>
        <v>2800</v>
      </c>
      <c r="E633">
        <f t="shared" ca="1" si="51"/>
        <v>-40</v>
      </c>
      <c r="F633">
        <f t="shared" ca="1" si="52"/>
        <v>810</v>
      </c>
      <c r="G633" s="3" t="b">
        <f ca="1">INDEX(dict_zul_Var_Meth[kval_active],MATCH(table_Methods[[#This Row],[ID]],dict_zul_Var_Meth[ID_Methods],0))</f>
        <v>0</v>
      </c>
      <c r="H633">
        <f t="shared" ca="1" si="53"/>
        <v>8092</v>
      </c>
      <c r="I633">
        <f t="shared" ca="1" si="54"/>
        <v>72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0"/>
        <v>180</v>
      </c>
      <c r="E634">
        <f t="shared" ca="1" si="51"/>
        <v>20</v>
      </c>
      <c r="F634">
        <f t="shared" ca="1" si="52"/>
        <v>50</v>
      </c>
      <c r="G634" s="3" t="b">
        <f ca="1">INDEX(dict_zul_Var_Meth[kval_active],MATCH(table_Methods[[#This Row],[ID]],dict_zul_Var_Meth[ID_Methods],0))</f>
        <v>0</v>
      </c>
      <c r="H634">
        <f t="shared" ca="1" si="53"/>
        <v>21030</v>
      </c>
      <c r="I634">
        <f t="shared" ca="1" si="54"/>
        <v>88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0"/>
        <v>210</v>
      </c>
      <c r="E635">
        <f t="shared" ca="1" si="51"/>
        <v>-80</v>
      </c>
      <c r="F635">
        <f t="shared" ca="1" si="52"/>
        <v>200</v>
      </c>
      <c r="G635" s="3" t="b">
        <f ca="1">INDEX(dict_zul_Var_Meth[kval_active],MATCH(table_Methods[[#This Row],[ID]],dict_zul_Var_Meth[ID_Methods],0))</f>
        <v>0</v>
      </c>
      <c r="H635">
        <f t="shared" ca="1" si="53"/>
        <v>10432</v>
      </c>
      <c r="I635">
        <f t="shared" ca="1" si="54"/>
        <v>512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0"/>
        <v>540</v>
      </c>
      <c r="E636">
        <f t="shared" ca="1" si="51"/>
        <v>-40</v>
      </c>
      <c r="F636">
        <f t="shared" ca="1" si="52"/>
        <v>930</v>
      </c>
      <c r="G636" s="3" t="b">
        <f ca="1">INDEX(dict_zul_Var_Meth[kval_active],MATCH(table_Methods[[#This Row],[ID]],dict_zul_Var_Meth[ID_Methods],0))</f>
        <v>0</v>
      </c>
      <c r="H636">
        <f t="shared" ca="1" si="53"/>
        <v>7318</v>
      </c>
      <c r="I636">
        <f t="shared" ca="1" si="54"/>
        <v>2752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0"/>
        <v>71</v>
      </c>
      <c r="E637">
        <f t="shared" ca="1" si="51"/>
        <v>-100</v>
      </c>
      <c r="F637">
        <f t="shared" ca="1" si="52"/>
        <v>180</v>
      </c>
      <c r="G637" s="3" t="b">
        <f ca="1">INDEX(dict_zul_Var_Meth[kval_active],MATCH(table_Methods[[#This Row],[ID]],dict_zul_Var_Meth[ID_Methods],0))</f>
        <v>0</v>
      </c>
      <c r="H637">
        <f t="shared" ca="1" si="53"/>
        <v>1672</v>
      </c>
      <c r="I637">
        <f t="shared" ca="1" si="54"/>
        <v>512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0"/>
        <v>390</v>
      </c>
      <c r="E638">
        <f t="shared" ca="1" si="51"/>
        <v>-60</v>
      </c>
      <c r="F638">
        <f t="shared" ca="1" si="52"/>
        <v>390</v>
      </c>
      <c r="G638" s="3" t="b">
        <f ca="1">INDEX(dict_zul_Var_Meth[kval_active],MATCH(table_Methods[[#This Row],[ID]],dict_zul_Var_Meth[ID_Methods],0))</f>
        <v>0</v>
      </c>
      <c r="H638">
        <f t="shared" ca="1" si="53"/>
        <v>1964</v>
      </c>
      <c r="I638">
        <f t="shared" ca="1" si="54"/>
        <v>640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0"/>
        <v>9100</v>
      </c>
      <c r="E639">
        <f t="shared" ca="1" si="51"/>
        <v>-80</v>
      </c>
      <c r="F639">
        <f t="shared" ca="1" si="52"/>
        <v>240</v>
      </c>
      <c r="G639" s="3" t="b">
        <f ca="1">INDEX(dict_zul_Var_Meth[kval_active],MATCH(table_Methods[[#This Row],[ID]],dict_zul_Var_Meth[ID_Methods],0))</f>
        <v>0</v>
      </c>
      <c r="H639">
        <f t="shared" ca="1" si="53"/>
        <v>26201</v>
      </c>
      <c r="I639">
        <f t="shared" ca="1" si="54"/>
        <v>19712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0"/>
        <v>160</v>
      </c>
      <c r="E640">
        <f t="shared" ca="1" si="51"/>
        <v>0</v>
      </c>
      <c r="F640">
        <f t="shared" ca="1" si="52"/>
        <v>340</v>
      </c>
      <c r="G640" s="3" t="b">
        <f ca="1">INDEX(dict_zul_Var_Meth[kval_active],MATCH(table_Methods[[#This Row],[ID]],dict_zul_Var_Meth[ID_Methods],0))</f>
        <v>0</v>
      </c>
      <c r="H640">
        <f t="shared" ca="1" si="53"/>
        <v>5738</v>
      </c>
      <c r="I640">
        <f t="shared" ca="1" si="54"/>
        <v>12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0"/>
        <v>27</v>
      </c>
      <c r="E641">
        <f t="shared" ca="1" si="51"/>
        <v>-10</v>
      </c>
      <c r="F641">
        <f t="shared" ca="1" si="52"/>
        <v>290</v>
      </c>
      <c r="G641" s="3" t="b">
        <f ca="1">INDEX(dict_zul_Var_Meth[kval_active],MATCH(table_Methods[[#This Row],[ID]],dict_zul_Var_Meth[ID_Methods],0))</f>
        <v>0</v>
      </c>
      <c r="H641">
        <f t="shared" ca="1" si="53"/>
        <v>2149</v>
      </c>
      <c r="I641">
        <f t="shared" ca="1" si="54"/>
        <v>75776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55">10^(RANDBETWEEN(-1,1))*RANDBETWEEN(1,100)*10</f>
        <v>750</v>
      </c>
      <c r="E642">
        <f t="shared" ca="1" si="51"/>
        <v>-100</v>
      </c>
      <c r="F642">
        <f t="shared" ca="1" si="52"/>
        <v>920</v>
      </c>
      <c r="G642" s="3" t="b">
        <f ca="1">INDEX(dict_zul_Var_Meth[kval_active],MATCH(table_Methods[[#This Row],[ID]],dict_zul_Var_Meth[ID_Methods],0))</f>
        <v>0</v>
      </c>
      <c r="H642">
        <f t="shared" ca="1" si="53"/>
        <v>628</v>
      </c>
      <c r="I642">
        <f t="shared" ca="1" si="54"/>
        <v>672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55"/>
        <v>1100</v>
      </c>
      <c r="E643">
        <f t="shared" ca="1" si="51"/>
        <v>-50</v>
      </c>
      <c r="F643">
        <f t="shared" ca="1" si="52"/>
        <v>740</v>
      </c>
      <c r="G643" s="3" t="b">
        <f ca="1">INDEX(dict_zul_Var_Meth[kval_active],MATCH(table_Methods[[#This Row],[ID]],dict_zul_Var_Meth[ID_Methods],0))</f>
        <v>0</v>
      </c>
      <c r="H643">
        <f t="shared" ca="1" si="53"/>
        <v>3938</v>
      </c>
      <c r="I643">
        <f t="shared" ca="1" si="54"/>
        <v>6272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55"/>
        <v>10</v>
      </c>
      <c r="E644">
        <f t="shared" ca="1" si="51"/>
        <v>30</v>
      </c>
      <c r="F644">
        <f t="shared" ca="1" si="52"/>
        <v>560</v>
      </c>
      <c r="G644" s="3" t="b">
        <f ca="1">INDEX(dict_zul_Var_Meth[kval_active],MATCH(table_Methods[[#This Row],[ID]],dict_zul_Var_Meth[ID_Methods],0))</f>
        <v>0</v>
      </c>
      <c r="H644">
        <f t="shared" ca="1" si="53"/>
        <v>34425</v>
      </c>
      <c r="I644">
        <f t="shared" ca="1" si="54"/>
        <v>896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55"/>
        <v>400</v>
      </c>
      <c r="E645">
        <f t="shared" ca="1" si="51"/>
        <v>-30</v>
      </c>
      <c r="F645">
        <f t="shared" ca="1" si="52"/>
        <v>1000</v>
      </c>
      <c r="G645" s="3" t="b">
        <f ca="1">INDEX(dict_zul_Var_Meth[kval_active],MATCH(table_Methods[[#This Row],[ID]],dict_zul_Var_Meth[ID_Methods],0))</f>
        <v>0</v>
      </c>
      <c r="H645">
        <f t="shared" ca="1" si="53"/>
        <v>11452</v>
      </c>
      <c r="I645">
        <f t="shared" ca="1" si="54"/>
        <v>832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55"/>
        <v>7800</v>
      </c>
      <c r="E646">
        <f t="shared" ca="1" si="51"/>
        <v>-60</v>
      </c>
      <c r="F646">
        <f t="shared" ca="1" si="52"/>
        <v>670</v>
      </c>
      <c r="G646" s="3" t="b">
        <f ca="1">INDEX(dict_zul_Var_Meth[kval_active],MATCH(table_Methods[[#This Row],[ID]],dict_zul_Var_Meth[ID_Methods],0))</f>
        <v>0</v>
      </c>
      <c r="H646">
        <f t="shared" ca="1" si="53"/>
        <v>25696</v>
      </c>
      <c r="I646">
        <f t="shared" ca="1" si="54"/>
        <v>64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55"/>
        <v>6500</v>
      </c>
      <c r="E647">
        <f t="shared" ca="1" si="51"/>
        <v>30</v>
      </c>
      <c r="F647">
        <f t="shared" ca="1" si="52"/>
        <v>710</v>
      </c>
      <c r="G647" s="3" t="b">
        <f ca="1">INDEX(dict_zul_Var_Meth[kval_active],MATCH(table_Methods[[#This Row],[ID]],dict_zul_Var_Meth[ID_Methods],0))</f>
        <v>0</v>
      </c>
      <c r="H647">
        <f t="shared" ca="1" si="53"/>
        <v>9724</v>
      </c>
      <c r="I647">
        <f t="shared" ca="1" si="54"/>
        <v>1920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55"/>
        <v>680</v>
      </c>
      <c r="E648">
        <f t="shared" ca="1" si="51"/>
        <v>-10</v>
      </c>
      <c r="F648">
        <f t="shared" ca="1" si="52"/>
        <v>810</v>
      </c>
      <c r="G648" s="3" t="b">
        <f ca="1">INDEX(dict_zul_Var_Meth[kval_active],MATCH(table_Methods[[#This Row],[ID]],dict_zul_Var_Meth[ID_Methods],0))</f>
        <v>0</v>
      </c>
      <c r="H648">
        <f t="shared" ca="1" si="53"/>
        <v>8184</v>
      </c>
      <c r="I648">
        <f t="shared" ca="1" si="54"/>
        <v>576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55"/>
        <v>9000</v>
      </c>
      <c r="E649">
        <f t="shared" ca="1" si="51"/>
        <v>-40</v>
      </c>
      <c r="F649">
        <f t="shared" ca="1" si="52"/>
        <v>710</v>
      </c>
      <c r="G649" s="3" t="b">
        <f ca="1">INDEX(dict_zul_Var_Meth[kval_active],MATCH(table_Methods[[#This Row],[ID]],dict_zul_Var_Meth[ID_Methods],0))</f>
        <v>0</v>
      </c>
      <c r="H649">
        <f t="shared" ca="1" si="53"/>
        <v>9938</v>
      </c>
      <c r="I649">
        <f t="shared" ca="1" si="54"/>
        <v>272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55"/>
        <v>55</v>
      </c>
      <c r="E650">
        <f t="shared" ca="1" si="51"/>
        <v>-10</v>
      </c>
      <c r="F650">
        <f t="shared" ca="1" si="52"/>
        <v>120</v>
      </c>
      <c r="G650" s="3" t="b">
        <f ca="1">INDEX(dict_zul_Var_Meth[kval_active],MATCH(table_Methods[[#This Row],[ID]],dict_zul_Var_Meth[ID_Methods],0))</f>
        <v>0</v>
      </c>
      <c r="H650">
        <f t="shared" ca="1" si="53"/>
        <v>340</v>
      </c>
      <c r="I650">
        <f t="shared" ca="1" si="54"/>
        <v>49152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55"/>
        <v>5700</v>
      </c>
      <c r="E651">
        <f t="shared" ca="1" si="51"/>
        <v>-50</v>
      </c>
      <c r="F651">
        <f t="shared" ca="1" si="52"/>
        <v>360</v>
      </c>
      <c r="G651" s="3" t="b">
        <f ca="1">INDEX(dict_zul_Var_Meth[kval_active],MATCH(table_Methods[[#This Row],[ID]],dict_zul_Var_Meth[ID_Methods],0))</f>
        <v>0</v>
      </c>
      <c r="H651">
        <f t="shared" ca="1" si="53"/>
        <v>848</v>
      </c>
      <c r="I651">
        <f t="shared" ca="1" si="54"/>
        <v>256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55"/>
        <v>940</v>
      </c>
      <c r="E652">
        <f t="shared" ca="1" si="51"/>
        <v>30</v>
      </c>
      <c r="F652">
        <f t="shared" ca="1" si="52"/>
        <v>410</v>
      </c>
      <c r="G652" s="3" t="b">
        <f ca="1">INDEX(dict_zul_Var_Meth[kval_active],MATCH(table_Methods[[#This Row],[ID]],dict_zul_Var_Meth[ID_Methods],0))</f>
        <v>0</v>
      </c>
      <c r="H652">
        <f t="shared" ca="1" si="53"/>
        <v>8110</v>
      </c>
      <c r="I652">
        <f t="shared" ca="1" si="54"/>
        <v>9984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55"/>
        <v>4300</v>
      </c>
      <c r="E653">
        <f t="shared" ca="1" si="51"/>
        <v>-30</v>
      </c>
      <c r="F653">
        <f t="shared" ca="1" si="52"/>
        <v>110</v>
      </c>
      <c r="G653" s="3" t="b">
        <f ca="1">INDEX(dict_zul_Var_Meth[kval_active],MATCH(table_Methods[[#This Row],[ID]],dict_zul_Var_Meth[ID_Methods],0))</f>
        <v>1</v>
      </c>
      <c r="H653">
        <f t="shared" ca="1" si="53"/>
        <v>13580</v>
      </c>
      <c r="I653">
        <f t="shared" ca="1" si="54"/>
        <v>13568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55"/>
        <v>31</v>
      </c>
      <c r="E654">
        <f t="shared" ca="1" si="51"/>
        <v>-30</v>
      </c>
      <c r="F654">
        <f t="shared" ca="1" si="52"/>
        <v>550</v>
      </c>
      <c r="G654" s="3" t="b">
        <f ca="1">INDEX(dict_zul_Var_Meth[kval_active],MATCH(table_Methods[[#This Row],[ID]],dict_zul_Var_Meth[ID_Methods],0))</f>
        <v>0</v>
      </c>
      <c r="H654">
        <f t="shared" ca="1" si="53"/>
        <v>4880</v>
      </c>
      <c r="I654">
        <f t="shared" ca="1" si="54"/>
        <v>5888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55"/>
        <v>300</v>
      </c>
      <c r="E655">
        <f t="shared" ca="1" si="51"/>
        <v>-80</v>
      </c>
      <c r="F655">
        <f t="shared" ca="1" si="52"/>
        <v>350</v>
      </c>
      <c r="G655" s="3" t="b">
        <f ca="1">INDEX(dict_zul_Var_Meth[kval_active],MATCH(table_Methods[[#This Row],[ID]],dict_zul_Var_Meth[ID_Methods],0))</f>
        <v>0</v>
      </c>
      <c r="H655">
        <f t="shared" ca="1" si="53"/>
        <v>10002</v>
      </c>
      <c r="I655">
        <f t="shared" ca="1" si="54"/>
        <v>448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55"/>
        <v>660</v>
      </c>
      <c r="E656">
        <f t="shared" ca="1" si="51"/>
        <v>20</v>
      </c>
      <c r="F656">
        <f t="shared" ca="1" si="52"/>
        <v>80</v>
      </c>
      <c r="G656" s="3" t="b">
        <f ca="1">INDEX(dict_zul_Var_Meth[kval_active],MATCH(table_Methods[[#This Row],[ID]],dict_zul_Var_Meth[ID_Methods],0))</f>
        <v>0</v>
      </c>
      <c r="H656">
        <f t="shared" ca="1" si="53"/>
        <v>7872</v>
      </c>
      <c r="I656">
        <f t="shared" ca="1" si="54"/>
        <v>268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55"/>
        <v>6700</v>
      </c>
      <c r="E657">
        <f t="shared" ca="1" si="51"/>
        <v>-10</v>
      </c>
      <c r="F657">
        <f t="shared" ca="1" si="52"/>
        <v>140</v>
      </c>
      <c r="G657" s="3" t="b">
        <f ca="1">INDEX(dict_zul_Var_Meth[kval_active],MATCH(table_Methods[[#This Row],[ID]],dict_zul_Var_Meth[ID_Methods],0))</f>
        <v>0</v>
      </c>
      <c r="H657">
        <f t="shared" ca="1" si="53"/>
        <v>7854</v>
      </c>
      <c r="I657">
        <f t="shared" ca="1" si="54"/>
        <v>12288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55"/>
        <v>610</v>
      </c>
      <c r="E658">
        <f t="shared" ca="1" si="51"/>
        <v>-100</v>
      </c>
      <c r="F658">
        <f t="shared" ca="1" si="52"/>
        <v>170</v>
      </c>
      <c r="G658" s="3" t="b">
        <f ca="1">INDEX(dict_zul_Var_Meth[kval_active],MATCH(table_Methods[[#This Row],[ID]],dict_zul_Var_Meth[ID_Methods],0))</f>
        <v>0</v>
      </c>
      <c r="H658">
        <f t="shared" ca="1" si="53"/>
        <v>33103</v>
      </c>
      <c r="I658">
        <f t="shared" ca="1" si="54"/>
        <v>4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55"/>
        <v>910</v>
      </c>
      <c r="E659">
        <f t="shared" ca="1" si="51"/>
        <v>-90</v>
      </c>
      <c r="F659">
        <f t="shared" ca="1" si="52"/>
        <v>530</v>
      </c>
      <c r="G659" s="3" t="b">
        <f ca="1">INDEX(dict_zul_Var_Meth[kval_active],MATCH(table_Methods[[#This Row],[ID]],dict_zul_Var_Meth[ID_Methods],0))</f>
        <v>0</v>
      </c>
      <c r="H659">
        <f t="shared" ca="1" si="53"/>
        <v>5898</v>
      </c>
      <c r="I659">
        <f t="shared" ca="1" si="54"/>
        <v>27648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55"/>
        <v>730</v>
      </c>
      <c r="E660">
        <f t="shared" ca="1" si="51"/>
        <v>20</v>
      </c>
      <c r="F660">
        <f t="shared" ca="1" si="52"/>
        <v>90</v>
      </c>
      <c r="G660" s="3" t="b">
        <f ca="1">INDEX(dict_zul_Var_Meth[kval_active],MATCH(table_Methods[[#This Row],[ID]],dict_zul_Var_Meth[ID_Methods],0))</f>
        <v>0</v>
      </c>
      <c r="H660">
        <f t="shared" ca="1" si="53"/>
        <v>10096</v>
      </c>
      <c r="I660">
        <f t="shared" ca="1" si="54"/>
        <v>728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55"/>
        <v>9300</v>
      </c>
      <c r="E661">
        <f t="shared" ca="1" si="51"/>
        <v>10</v>
      </c>
      <c r="F661">
        <f t="shared" ca="1" si="52"/>
        <v>160</v>
      </c>
      <c r="G661" s="3" t="b">
        <f ca="1">INDEX(dict_zul_Var_Meth[kval_active],MATCH(table_Methods[[#This Row],[ID]],dict_zul_Var_Meth[ID_Methods],0))</f>
        <v>0</v>
      </c>
      <c r="H661">
        <f t="shared" ca="1" si="53"/>
        <v>2180</v>
      </c>
      <c r="I661">
        <f t="shared" ca="1" si="54"/>
        <v>200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55"/>
        <v>5600</v>
      </c>
      <c r="E662">
        <f t="shared" ca="1" si="51"/>
        <v>-80</v>
      </c>
      <c r="F662">
        <f t="shared" ca="1" si="52"/>
        <v>30</v>
      </c>
      <c r="G662" s="3" t="b">
        <f ca="1">INDEX(dict_zul_Var_Meth[kval_active],MATCH(table_Methods[[#This Row],[ID]],dict_zul_Var_Meth[ID_Methods],0))</f>
        <v>0</v>
      </c>
      <c r="H662">
        <f t="shared" ca="1" si="53"/>
        <v>22372</v>
      </c>
      <c r="I662">
        <f t="shared" ca="1" si="54"/>
        <v>432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55"/>
        <v>6700</v>
      </c>
      <c r="E663">
        <f t="shared" ca="1" si="51"/>
        <v>-10</v>
      </c>
      <c r="F663">
        <f t="shared" ca="1" si="52"/>
        <v>420</v>
      </c>
      <c r="G663" s="3" t="b">
        <f ca="1">INDEX(dict_zul_Var_Meth[kval_active],MATCH(table_Methods[[#This Row],[ID]],dict_zul_Var_Meth[ID_Methods],0))</f>
        <v>0</v>
      </c>
      <c r="H663">
        <f t="shared" ca="1" si="53"/>
        <v>6680</v>
      </c>
      <c r="I663">
        <f t="shared" ca="1" si="54"/>
        <v>8704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55"/>
        <v>6000</v>
      </c>
      <c r="E664">
        <f t="shared" ca="1" si="51"/>
        <v>-10</v>
      </c>
      <c r="F664">
        <f t="shared" ca="1" si="52"/>
        <v>40</v>
      </c>
      <c r="G664" s="3" t="b">
        <f ca="1">INDEX(dict_zul_Var_Meth[kval_active],MATCH(table_Methods[[#This Row],[ID]],dict_zul_Var_Meth[ID_Methods],0))</f>
        <v>1</v>
      </c>
      <c r="H664">
        <f t="shared" ca="1" si="53"/>
        <v>23220</v>
      </c>
      <c r="I664">
        <f t="shared" ca="1" si="54"/>
        <v>65536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55"/>
        <v>64</v>
      </c>
      <c r="E665">
        <f t="shared" ca="1" si="51"/>
        <v>-40</v>
      </c>
      <c r="F665">
        <f t="shared" ca="1" si="52"/>
        <v>820</v>
      </c>
      <c r="G665" s="3" t="b">
        <f ca="1">INDEX(dict_zul_Var_Meth[kval_active],MATCH(table_Methods[[#This Row],[ID]],dict_zul_Var_Meth[ID_Methods],0))</f>
        <v>0</v>
      </c>
      <c r="H665">
        <f t="shared" ca="1" si="53"/>
        <v>8883</v>
      </c>
      <c r="I665">
        <f t="shared" ca="1" si="54"/>
        <v>23552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55"/>
        <v>10</v>
      </c>
      <c r="E666">
        <f t="shared" ca="1" si="51"/>
        <v>-20</v>
      </c>
      <c r="F666">
        <f t="shared" ca="1" si="52"/>
        <v>680</v>
      </c>
      <c r="G666" s="3" t="b">
        <f ca="1">INDEX(dict_zul_Var_Meth[kval_active],MATCH(table_Methods[[#This Row],[ID]],dict_zul_Var_Meth[ID_Methods],0))</f>
        <v>0</v>
      </c>
      <c r="H666">
        <f t="shared" ca="1" si="53"/>
        <v>14972</v>
      </c>
      <c r="I666">
        <f t="shared" ca="1" si="54"/>
        <v>40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55"/>
        <v>90</v>
      </c>
      <c r="E667">
        <f t="shared" ca="1" si="51"/>
        <v>20</v>
      </c>
      <c r="F667">
        <f t="shared" ca="1" si="52"/>
        <v>970</v>
      </c>
      <c r="G667" s="3" t="b">
        <f ca="1">INDEX(dict_zul_Var_Meth[kval_active],MATCH(table_Methods[[#This Row],[ID]],dict_zul_Var_Meth[ID_Methods],0))</f>
        <v>0</v>
      </c>
      <c r="H667">
        <f t="shared" ca="1" si="53"/>
        <v>4162</v>
      </c>
      <c r="I667">
        <f t="shared" ca="1" si="54"/>
        <v>3200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55"/>
        <v>7600</v>
      </c>
      <c r="E668">
        <f t="shared" ca="1" si="51"/>
        <v>-20</v>
      </c>
      <c r="F668">
        <f t="shared" ca="1" si="52"/>
        <v>120</v>
      </c>
      <c r="G668" s="3" t="b">
        <f ca="1">INDEX(dict_zul_Var_Meth[kval_active],MATCH(table_Methods[[#This Row],[ID]],dict_zul_Var_Meth[ID_Methods],0))</f>
        <v>0</v>
      </c>
      <c r="H668">
        <f t="shared" ca="1" si="53"/>
        <v>807</v>
      </c>
      <c r="I668">
        <f t="shared" ca="1" si="54"/>
        <v>36864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55"/>
        <v>13</v>
      </c>
      <c r="E669">
        <f t="shared" ca="1" si="51"/>
        <v>-20</v>
      </c>
      <c r="F669">
        <f t="shared" ca="1" si="52"/>
        <v>570</v>
      </c>
      <c r="G669" s="3" t="b">
        <f ca="1">INDEX(dict_zul_Var_Meth[kval_active],MATCH(table_Methods[[#This Row],[ID]],dict_zul_Var_Meth[ID_Methods],0))</f>
        <v>0</v>
      </c>
      <c r="H669">
        <f t="shared" ca="1" si="53"/>
        <v>11456</v>
      </c>
      <c r="I669">
        <f t="shared" ca="1" si="54"/>
        <v>2816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55"/>
        <v>3200</v>
      </c>
      <c r="E670">
        <f t="shared" ca="1" si="51"/>
        <v>10</v>
      </c>
      <c r="F670">
        <f t="shared" ca="1" si="52"/>
        <v>720</v>
      </c>
      <c r="G670" s="3" t="b">
        <f ca="1">INDEX(dict_zul_Var_Meth[kval_active],MATCH(table_Methods[[#This Row],[ID]],dict_zul_Var_Meth[ID_Methods],0))</f>
        <v>0</v>
      </c>
      <c r="H670">
        <f t="shared" ca="1" si="53"/>
        <v>524</v>
      </c>
      <c r="I670">
        <f t="shared" ca="1" si="54"/>
        <v>24064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55"/>
        <v>150</v>
      </c>
      <c r="E671">
        <f t="shared" ca="1" si="51"/>
        <v>-30</v>
      </c>
      <c r="F671">
        <f t="shared" ca="1" si="52"/>
        <v>540</v>
      </c>
      <c r="G671" s="3" t="b">
        <f ca="1">INDEX(dict_zul_Var_Meth[kval_active],MATCH(table_Methods[[#This Row],[ID]],dict_zul_Var_Meth[ID_Methods],0))</f>
        <v>0</v>
      </c>
      <c r="H671">
        <f t="shared" ca="1" si="53"/>
        <v>30519</v>
      </c>
      <c r="I671">
        <f t="shared" ca="1" si="54"/>
        <v>432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55"/>
        <v>560</v>
      </c>
      <c r="E672">
        <f t="shared" ca="1" si="51"/>
        <v>0</v>
      </c>
      <c r="F672">
        <f t="shared" ca="1" si="52"/>
        <v>810</v>
      </c>
      <c r="G672" s="3" t="b">
        <f ca="1">INDEX(dict_zul_Var_Meth[kval_active],MATCH(table_Methods[[#This Row],[ID]],dict_zul_Var_Meth[ID_Methods],0))</f>
        <v>0</v>
      </c>
      <c r="H672">
        <f t="shared" ca="1" si="53"/>
        <v>34040</v>
      </c>
      <c r="I672">
        <f t="shared" ca="1" si="54"/>
        <v>128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55"/>
        <v>56.000000000000007</v>
      </c>
      <c r="E673">
        <f t="shared" ca="1" si="51"/>
        <v>-10</v>
      </c>
      <c r="F673">
        <f t="shared" ca="1" si="52"/>
        <v>880</v>
      </c>
      <c r="G673" s="3" t="b">
        <f ca="1">INDEX(dict_zul_Var_Meth[kval_active],MATCH(table_Methods[[#This Row],[ID]],dict_zul_Var_Meth[ID_Methods],0))</f>
        <v>0</v>
      </c>
      <c r="H673">
        <f t="shared" ca="1" si="53"/>
        <v>22310</v>
      </c>
      <c r="I673">
        <f t="shared" ca="1" si="54"/>
        <v>728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55"/>
        <v>790</v>
      </c>
      <c r="E674">
        <f t="shared" ca="1" si="51"/>
        <v>-60</v>
      </c>
      <c r="F674">
        <f t="shared" ca="1" si="52"/>
        <v>800</v>
      </c>
      <c r="G674" s="3" t="b">
        <f ca="1">INDEX(dict_zul_Var_Meth[kval_active],MATCH(table_Methods[[#This Row],[ID]],dict_zul_Var_Meth[ID_Methods],0))</f>
        <v>0</v>
      </c>
      <c r="H674">
        <f t="shared" ca="1" si="53"/>
        <v>6000</v>
      </c>
      <c r="I674">
        <f t="shared" ca="1" si="54"/>
        <v>21248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55"/>
        <v>5800</v>
      </c>
      <c r="E675">
        <f t="shared" ca="1" si="51"/>
        <v>-60</v>
      </c>
      <c r="F675">
        <f t="shared" ca="1" si="52"/>
        <v>240</v>
      </c>
      <c r="G675" s="3" t="b">
        <f ca="1">INDEX(dict_zul_Var_Meth[kval_active],MATCH(table_Methods[[#This Row],[ID]],dict_zul_Var_Meth[ID_Methods],0))</f>
        <v>0</v>
      </c>
      <c r="H675">
        <f t="shared" ca="1" si="53"/>
        <v>2071</v>
      </c>
      <c r="I675">
        <f t="shared" ca="1" si="54"/>
        <v>23040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55"/>
        <v>3.0000000000000004</v>
      </c>
      <c r="E676">
        <f t="shared" ref="E676:E702" ca="1" si="56">RANDBETWEEN(-10,3)*10</f>
        <v>-80</v>
      </c>
      <c r="F676">
        <f t="shared" ref="F676:F702" ca="1" si="57">RANDBETWEEN(2,100)*10</f>
        <v>120</v>
      </c>
      <c r="G676" s="3" t="b">
        <f ca="1">INDEX(dict_zul_Var_Meth[kval_active],MATCH(table_Methods[[#This Row],[ID]],dict_zul_Var_Meth[ID_Methods],0))</f>
        <v>0</v>
      </c>
      <c r="H676">
        <f t="shared" ref="H676:H702" ca="1" si="58">RANDBETWEEN(1,10)*RANDBETWEEN(1,5000)</f>
        <v>2212</v>
      </c>
      <c r="I676">
        <f t="shared" ref="I676:I702" ca="1" si="59">2^RANDBETWEEN(1,10)*RANDBETWEEN(1,100)</f>
        <v>192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55"/>
        <v>2900</v>
      </c>
      <c r="E677">
        <f t="shared" ca="1" si="56"/>
        <v>-50</v>
      </c>
      <c r="F677">
        <f t="shared" ca="1" si="57"/>
        <v>440</v>
      </c>
      <c r="G677" s="3" t="b">
        <f ca="1">INDEX(dict_zul_Var_Meth[kval_active],MATCH(table_Methods[[#This Row],[ID]],dict_zul_Var_Meth[ID_Methods],0))</f>
        <v>0</v>
      </c>
      <c r="H677">
        <f t="shared" ca="1" si="58"/>
        <v>4786</v>
      </c>
      <c r="I677">
        <f t="shared" ca="1" si="59"/>
        <v>11008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55"/>
        <v>2</v>
      </c>
      <c r="E678">
        <f t="shared" ca="1" si="56"/>
        <v>-80</v>
      </c>
      <c r="F678">
        <f t="shared" ca="1" si="57"/>
        <v>370</v>
      </c>
      <c r="G678" s="3" t="b">
        <f ca="1">INDEX(dict_zul_Var_Meth[kval_active],MATCH(table_Methods[[#This Row],[ID]],dict_zul_Var_Meth[ID_Methods],0))</f>
        <v>0</v>
      </c>
      <c r="H678">
        <f t="shared" ca="1" si="58"/>
        <v>13971</v>
      </c>
      <c r="I678">
        <f t="shared" ca="1" si="59"/>
        <v>328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55"/>
        <v>18</v>
      </c>
      <c r="E679">
        <f t="shared" ca="1" si="56"/>
        <v>-10</v>
      </c>
      <c r="F679">
        <f t="shared" ca="1" si="57"/>
        <v>110</v>
      </c>
      <c r="G679" s="3" t="b">
        <f ca="1">INDEX(dict_zul_Var_Meth[kval_active],MATCH(table_Methods[[#This Row],[ID]],dict_zul_Var_Meth[ID_Methods],0))</f>
        <v>0</v>
      </c>
      <c r="H679">
        <f t="shared" ca="1" si="58"/>
        <v>25448</v>
      </c>
      <c r="I679">
        <f t="shared" ca="1" si="59"/>
        <v>34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55"/>
        <v>300</v>
      </c>
      <c r="E680">
        <f t="shared" ca="1" si="56"/>
        <v>-60</v>
      </c>
      <c r="F680">
        <f t="shared" ca="1" si="57"/>
        <v>350</v>
      </c>
      <c r="G680" s="3" t="b">
        <f ca="1">INDEX(dict_zul_Var_Meth[kval_active],MATCH(table_Methods[[#This Row],[ID]],dict_zul_Var_Meth[ID_Methods],0))</f>
        <v>0</v>
      </c>
      <c r="H680">
        <f t="shared" ca="1" si="58"/>
        <v>28242</v>
      </c>
      <c r="I680">
        <f t="shared" ca="1" si="59"/>
        <v>6144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55"/>
        <v>10000</v>
      </c>
      <c r="E681">
        <f t="shared" ca="1" si="56"/>
        <v>-60</v>
      </c>
      <c r="F681">
        <f t="shared" ca="1" si="57"/>
        <v>210</v>
      </c>
      <c r="G681" s="3" t="b">
        <f ca="1">INDEX(dict_zul_Var_Meth[kval_active],MATCH(table_Methods[[#This Row],[ID]],dict_zul_Var_Meth[ID_Methods],0))</f>
        <v>0</v>
      </c>
      <c r="H681">
        <f t="shared" ca="1" si="58"/>
        <v>12939</v>
      </c>
      <c r="I681">
        <f t="shared" ca="1" si="59"/>
        <v>704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55"/>
        <v>210</v>
      </c>
      <c r="E682">
        <f t="shared" ca="1" si="56"/>
        <v>10</v>
      </c>
      <c r="F682">
        <f t="shared" ca="1" si="57"/>
        <v>890</v>
      </c>
      <c r="G682" s="3" t="b">
        <f ca="1">INDEX(dict_zul_Var_Meth[kval_active],MATCH(table_Methods[[#This Row],[ID]],dict_zul_Var_Meth[ID_Methods],0))</f>
        <v>0</v>
      </c>
      <c r="H682">
        <f t="shared" ca="1" si="58"/>
        <v>32481</v>
      </c>
      <c r="I682">
        <f t="shared" ca="1" si="59"/>
        <v>10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55"/>
        <v>530</v>
      </c>
      <c r="E683">
        <f t="shared" ca="1" si="56"/>
        <v>30</v>
      </c>
      <c r="F683">
        <f t="shared" ca="1" si="57"/>
        <v>880</v>
      </c>
      <c r="G683" s="3" t="b">
        <f ca="1">INDEX(dict_zul_Var_Meth[kval_active],MATCH(table_Methods[[#This Row],[ID]],dict_zul_Var_Meth[ID_Methods],0))</f>
        <v>0</v>
      </c>
      <c r="H683">
        <f t="shared" ca="1" si="58"/>
        <v>25659</v>
      </c>
      <c r="I683">
        <f t="shared" ca="1" si="59"/>
        <v>56320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55"/>
        <v>99</v>
      </c>
      <c r="E684">
        <f t="shared" ca="1" si="56"/>
        <v>20</v>
      </c>
      <c r="F684">
        <f t="shared" ca="1" si="57"/>
        <v>820</v>
      </c>
      <c r="G684" s="3" t="b">
        <f ca="1">INDEX(dict_zul_Var_Meth[kval_active],MATCH(table_Methods[[#This Row],[ID]],dict_zul_Var_Meth[ID_Methods],0))</f>
        <v>0</v>
      </c>
      <c r="H684">
        <f t="shared" ca="1" si="58"/>
        <v>9804</v>
      </c>
      <c r="I684">
        <f t="shared" ca="1" si="59"/>
        <v>114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55"/>
        <v>40</v>
      </c>
      <c r="E685">
        <f t="shared" ca="1" si="56"/>
        <v>-30</v>
      </c>
      <c r="F685">
        <f t="shared" ca="1" si="57"/>
        <v>460</v>
      </c>
      <c r="G685" s="3" t="b">
        <f ca="1">INDEX(dict_zul_Var_Meth[kval_active],MATCH(table_Methods[[#This Row],[ID]],dict_zul_Var_Meth[ID_Methods],0))</f>
        <v>0</v>
      </c>
      <c r="H685">
        <f t="shared" ca="1" si="58"/>
        <v>2967</v>
      </c>
      <c r="I685">
        <f t="shared" ca="1" si="59"/>
        <v>3584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55"/>
        <v>100</v>
      </c>
      <c r="E686">
        <f t="shared" ca="1" si="56"/>
        <v>-30</v>
      </c>
      <c r="F686">
        <f t="shared" ca="1" si="57"/>
        <v>600</v>
      </c>
      <c r="G686" s="3" t="b">
        <f ca="1">INDEX(dict_zul_Var_Meth[kval_active],MATCH(table_Methods[[#This Row],[ID]],dict_zul_Var_Meth[ID_Methods],0))</f>
        <v>0</v>
      </c>
      <c r="H686">
        <f t="shared" ca="1" si="58"/>
        <v>39870</v>
      </c>
      <c r="I686">
        <f t="shared" ca="1" si="59"/>
        <v>148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55"/>
        <v>1800</v>
      </c>
      <c r="E687">
        <f t="shared" ca="1" si="56"/>
        <v>-30</v>
      </c>
      <c r="F687">
        <f t="shared" ca="1" si="57"/>
        <v>350</v>
      </c>
      <c r="G687" s="3" t="b">
        <f ca="1">INDEX(dict_zul_Var_Meth[kval_active],MATCH(table_Methods[[#This Row],[ID]],dict_zul_Var_Meth[ID_Methods],0))</f>
        <v>0</v>
      </c>
      <c r="H687">
        <f t="shared" ca="1" si="58"/>
        <v>8490</v>
      </c>
      <c r="I687">
        <f t="shared" ca="1" si="59"/>
        <v>98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55"/>
        <v>6000</v>
      </c>
      <c r="E688">
        <f t="shared" ca="1" si="56"/>
        <v>-100</v>
      </c>
      <c r="F688">
        <f t="shared" ca="1" si="57"/>
        <v>540</v>
      </c>
      <c r="G688" s="3" t="b">
        <f ca="1">INDEX(dict_zul_Var_Meth[kval_active],MATCH(table_Methods[[#This Row],[ID]],dict_zul_Var_Meth[ID_Methods],0))</f>
        <v>0</v>
      </c>
      <c r="H688">
        <f t="shared" ca="1" si="58"/>
        <v>26703</v>
      </c>
      <c r="I688">
        <f t="shared" ca="1" si="59"/>
        <v>4352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55"/>
        <v>12.000000000000002</v>
      </c>
      <c r="E689">
        <f t="shared" ca="1" si="56"/>
        <v>-40</v>
      </c>
      <c r="F689">
        <f t="shared" ca="1" si="57"/>
        <v>210</v>
      </c>
      <c r="G689" s="3" t="b">
        <f ca="1">INDEX(dict_zul_Var_Meth[kval_active],MATCH(table_Methods[[#This Row],[ID]],dict_zul_Var_Meth[ID_Methods],0))</f>
        <v>0</v>
      </c>
      <c r="H689">
        <f t="shared" ca="1" si="58"/>
        <v>14365</v>
      </c>
      <c r="I689">
        <f t="shared" ca="1" si="59"/>
        <v>22016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55"/>
        <v>1000</v>
      </c>
      <c r="E690">
        <f t="shared" ca="1" si="56"/>
        <v>-80</v>
      </c>
      <c r="F690">
        <f t="shared" ca="1" si="57"/>
        <v>840</v>
      </c>
      <c r="G690" s="3" t="b">
        <f ca="1">INDEX(dict_zul_Var_Meth[kval_active],MATCH(table_Methods[[#This Row],[ID]],dict_zul_Var_Meth[ID_Methods],0))</f>
        <v>0</v>
      </c>
      <c r="H690">
        <f t="shared" ca="1" si="58"/>
        <v>2574</v>
      </c>
      <c r="I690">
        <f t="shared" ca="1" si="59"/>
        <v>12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55"/>
        <v>8600</v>
      </c>
      <c r="E691">
        <f t="shared" ca="1" si="56"/>
        <v>-60</v>
      </c>
      <c r="F691">
        <f t="shared" ca="1" si="57"/>
        <v>470</v>
      </c>
      <c r="G691" s="3" t="b">
        <f ca="1">INDEX(dict_zul_Var_Meth[kval_active],MATCH(table_Methods[[#This Row],[ID]],dict_zul_Var_Meth[ID_Methods],0))</f>
        <v>0</v>
      </c>
      <c r="H691">
        <f t="shared" ca="1" si="58"/>
        <v>5937</v>
      </c>
      <c r="I691">
        <f t="shared" ca="1" si="59"/>
        <v>28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55"/>
        <v>370</v>
      </c>
      <c r="E692">
        <f t="shared" ca="1" si="56"/>
        <v>-80</v>
      </c>
      <c r="F692">
        <f t="shared" ca="1" si="57"/>
        <v>490</v>
      </c>
      <c r="G692" s="3" t="b">
        <f ca="1">INDEX(dict_zul_Var_Meth[kval_active],MATCH(table_Methods[[#This Row],[ID]],dict_zul_Var_Meth[ID_Methods],0))</f>
        <v>0</v>
      </c>
      <c r="H692">
        <f t="shared" ca="1" si="58"/>
        <v>6720</v>
      </c>
      <c r="I692">
        <f t="shared" ca="1" si="59"/>
        <v>96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55"/>
        <v>640</v>
      </c>
      <c r="E693">
        <f t="shared" ca="1" si="56"/>
        <v>0</v>
      </c>
      <c r="F693">
        <f t="shared" ca="1" si="57"/>
        <v>640</v>
      </c>
      <c r="G693" s="3" t="b">
        <f ca="1">INDEX(dict_zul_Var_Meth[kval_active],MATCH(table_Methods[[#This Row],[ID]],dict_zul_Var_Meth[ID_Methods],0))</f>
        <v>0</v>
      </c>
      <c r="H693">
        <f t="shared" ca="1" si="58"/>
        <v>1309</v>
      </c>
      <c r="I693">
        <f t="shared" ca="1" si="59"/>
        <v>11008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55"/>
        <v>70</v>
      </c>
      <c r="E694">
        <f t="shared" ca="1" si="56"/>
        <v>-70</v>
      </c>
      <c r="F694">
        <f t="shared" ca="1" si="57"/>
        <v>610</v>
      </c>
      <c r="G694" s="3" t="b">
        <f ca="1">INDEX(dict_zul_Var_Meth[kval_active],MATCH(table_Methods[[#This Row],[ID]],dict_zul_Var_Meth[ID_Methods],0))</f>
        <v>0</v>
      </c>
      <c r="H694">
        <f t="shared" ca="1" si="58"/>
        <v>4240</v>
      </c>
      <c r="I694">
        <f t="shared" ca="1" si="59"/>
        <v>288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55"/>
        <v>1000</v>
      </c>
      <c r="E695">
        <f t="shared" ca="1" si="56"/>
        <v>-70</v>
      </c>
      <c r="F695">
        <f t="shared" ca="1" si="57"/>
        <v>110</v>
      </c>
      <c r="G695" s="3" t="b">
        <f ca="1">INDEX(dict_zul_Var_Meth[kval_active],MATCH(table_Methods[[#This Row],[ID]],dict_zul_Var_Meth[ID_Methods],0))</f>
        <v>0</v>
      </c>
      <c r="H695">
        <f t="shared" ca="1" si="58"/>
        <v>2484</v>
      </c>
      <c r="I695">
        <f t="shared" ca="1" si="59"/>
        <v>38912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55"/>
        <v>38</v>
      </c>
      <c r="E696">
        <f t="shared" ca="1" si="56"/>
        <v>-90</v>
      </c>
      <c r="F696">
        <f t="shared" ca="1" si="57"/>
        <v>300</v>
      </c>
      <c r="G696" s="3" t="b">
        <f ca="1">INDEX(dict_zul_Var_Meth[kval_active],MATCH(table_Methods[[#This Row],[ID]],dict_zul_Var_Meth[ID_Methods],0))</f>
        <v>0</v>
      </c>
      <c r="H696">
        <f t="shared" ca="1" si="58"/>
        <v>18830</v>
      </c>
      <c r="I696">
        <f t="shared" ca="1" si="59"/>
        <v>2432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55"/>
        <v>7600</v>
      </c>
      <c r="E697">
        <f t="shared" ca="1" si="56"/>
        <v>-40</v>
      </c>
      <c r="F697">
        <f t="shared" ca="1" si="57"/>
        <v>720</v>
      </c>
      <c r="G697" s="3" t="b">
        <f ca="1">INDEX(dict_zul_Var_Meth[kval_active],MATCH(table_Methods[[#This Row],[ID]],dict_zul_Var_Meth[ID_Methods],0))</f>
        <v>0</v>
      </c>
      <c r="H697">
        <f t="shared" ca="1" si="58"/>
        <v>16303</v>
      </c>
      <c r="I697">
        <f t="shared" ca="1" si="59"/>
        <v>140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55"/>
        <v>9600</v>
      </c>
      <c r="E698">
        <f t="shared" ca="1" si="56"/>
        <v>-80</v>
      </c>
      <c r="F698">
        <f t="shared" ca="1" si="57"/>
        <v>690</v>
      </c>
      <c r="G698" s="3" t="b">
        <f ca="1">INDEX(dict_zul_Var_Meth[kval_active],MATCH(table_Methods[[#This Row],[ID]],dict_zul_Var_Meth[ID_Methods],0))</f>
        <v>1</v>
      </c>
      <c r="H698">
        <f t="shared" ca="1" si="58"/>
        <v>10902</v>
      </c>
      <c r="I698">
        <f t="shared" ca="1" si="59"/>
        <v>11776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55"/>
        <v>1400</v>
      </c>
      <c r="E699">
        <f t="shared" ca="1" si="56"/>
        <v>-40</v>
      </c>
      <c r="F699">
        <f t="shared" ca="1" si="57"/>
        <v>490</v>
      </c>
      <c r="G699" s="3" t="b">
        <f ca="1">INDEX(dict_zul_Var_Meth[kval_active],MATCH(table_Methods[[#This Row],[ID]],dict_zul_Var_Meth[ID_Methods],0))</f>
        <v>0</v>
      </c>
      <c r="H699">
        <f t="shared" ca="1" si="58"/>
        <v>19240</v>
      </c>
      <c r="I699">
        <f t="shared" ca="1" si="59"/>
        <v>2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55"/>
        <v>8200</v>
      </c>
      <c r="E700">
        <f t="shared" ca="1" si="56"/>
        <v>-50</v>
      </c>
      <c r="F700">
        <f t="shared" ca="1" si="57"/>
        <v>1000</v>
      </c>
      <c r="G700" s="3" t="b">
        <f ca="1">INDEX(dict_zul_Var_Meth[kval_active],MATCH(table_Methods[[#This Row],[ID]],dict_zul_Var_Meth[ID_Methods],0))</f>
        <v>0</v>
      </c>
      <c r="H700">
        <f t="shared" ca="1" si="58"/>
        <v>26898</v>
      </c>
      <c r="I700">
        <f t="shared" ca="1" si="59"/>
        <v>584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55"/>
        <v>810</v>
      </c>
      <c r="E701">
        <f t="shared" ca="1" si="56"/>
        <v>30</v>
      </c>
      <c r="F701">
        <f t="shared" ca="1" si="57"/>
        <v>70</v>
      </c>
      <c r="G701" s="3" t="b">
        <f ca="1">INDEX(dict_zul_Var_Meth[kval_active],MATCH(table_Methods[[#This Row],[ID]],dict_zul_Var_Meth[ID_Methods],0))</f>
        <v>0</v>
      </c>
      <c r="H701">
        <f t="shared" ca="1" si="58"/>
        <v>10644</v>
      </c>
      <c r="I701">
        <f t="shared" ca="1" si="59"/>
        <v>48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55"/>
        <v>6900</v>
      </c>
      <c r="E702">
        <f t="shared" ca="1" si="56"/>
        <v>-100</v>
      </c>
      <c r="F702">
        <f t="shared" ca="1" si="57"/>
        <v>760</v>
      </c>
      <c r="G702" s="3" t="b">
        <f ca="1">INDEX(dict_zul_Var_Meth[kval_active],MATCH(table_Methods[[#This Row],[ID]],dict_zul_Var_Meth[ID_Methods],0))</f>
        <v>0</v>
      </c>
      <c r="H702">
        <f t="shared" ca="1" si="58"/>
        <v>2455</v>
      </c>
      <c r="I702">
        <f t="shared" ca="1" si="59"/>
        <v>80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topLeftCell="A7" workbookViewId="0">
      <selection activeCell="C3" sqref="C3"/>
    </sheetView>
    <sheetView workbookViewId="1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0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1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0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0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0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0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0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0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0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0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0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1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0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0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1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0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0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0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0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0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0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0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1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0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0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topLeftCell="A190" workbookViewId="0">
      <selection activeCell="C3" sqref="C3"/>
    </sheetView>
    <sheetView workbookViewId="1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0</v>
      </c>
      <c r="D2">
        <f t="shared" ref="D2:D65" ca="1" si="0">20+RANDBETWEEN(0,10)*RANDBETWEEN(0,10)-RANDBETWEEN(0,20)</f>
        <v>49</v>
      </c>
      <c r="E2">
        <f ca="1">table_Positions[[#This Row],[temp_lb]]+10+RANDBETWEEN(0,100)*RANDBETWEEN(0,10)-RANDBETWEEN(0,10)</f>
        <v>584</v>
      </c>
      <c r="F2" t="b">
        <f>COUNTIF(dict_zuord_Meth_Pos[ID_Positions], table_Positions[[#This Row],[ID]]) &gt; 0</f>
        <v>0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0</v>
      </c>
      <c r="D3">
        <f t="shared" ca="1" si="0"/>
        <v>18</v>
      </c>
      <c r="E3">
        <f ca="1">table_Positions[[#This Row],[temp_lb]]+10+RANDBETWEEN(0,100)*RANDBETWEEN(0,10)-RANDBETWEEN(0,10)</f>
        <v>80</v>
      </c>
      <c r="F3" t="b">
        <f>COUNTIF(dict_zuord_Meth_Pos[ID_Positions], table_Positions[[#This Row],[ID]]) &gt; 0</f>
        <v>0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0</v>
      </c>
      <c r="D4">
        <f t="shared" ca="1" si="0"/>
        <v>57</v>
      </c>
      <c r="E4">
        <f ca="1">table_Positions[[#This Row],[temp_lb]]+10+RANDBETWEEN(0,100)*RANDBETWEEN(0,10)-RANDBETWEEN(0,10)</f>
        <v>347</v>
      </c>
      <c r="F4" t="b">
        <f>COUNTIF(dict_zuord_Meth_Pos[ID_Positions], table_Positions[[#This Row],[ID]]) &gt; 0</f>
        <v>0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0</v>
      </c>
      <c r="D5">
        <f t="shared" ca="1" si="0"/>
        <v>18</v>
      </c>
      <c r="E5">
        <f ca="1">table_Positions[[#This Row],[temp_lb]]+10+RANDBETWEEN(0,100)*RANDBETWEEN(0,10)-RANDBETWEEN(0,10)</f>
        <v>109</v>
      </c>
      <c r="F5" t="b">
        <f>COUNTIF(dict_zuord_Meth_Pos[ID_Positions], table_Positions[[#This Row],[ID]]) &gt; 0</f>
        <v>0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0</v>
      </c>
      <c r="D6">
        <f t="shared" ca="1" si="0"/>
        <v>41</v>
      </c>
      <c r="E6">
        <f ca="1">table_Positions[[#This Row],[temp_lb]]+10+RANDBETWEEN(0,100)*RANDBETWEEN(0,10)-RANDBETWEEN(0,10)</f>
        <v>63</v>
      </c>
      <c r="F6" t="b">
        <f>COUNTIF(dict_zuord_Meth_Pos[ID_Positions], table_Positions[[#This Row],[ID]]) &gt; 0</f>
        <v>0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0</v>
      </c>
      <c r="D7">
        <f t="shared" ca="1" si="0"/>
        <v>23</v>
      </c>
      <c r="E7">
        <f ca="1">table_Positions[[#This Row],[temp_lb]]+10+RANDBETWEEN(0,100)*RANDBETWEEN(0,10)-RANDBETWEEN(0,10)</f>
        <v>218</v>
      </c>
      <c r="F7" t="b">
        <f>COUNTIF(dict_zuord_Meth_Pos[ID_Positions], table_Positions[[#This Row],[ID]]) &gt; 0</f>
        <v>0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0</v>
      </c>
      <c r="D8">
        <f t="shared" ca="1" si="0"/>
        <v>49</v>
      </c>
      <c r="E8">
        <f ca="1">table_Positions[[#This Row],[temp_lb]]+10+RANDBETWEEN(0,100)*RANDBETWEEN(0,10)-RANDBETWEEN(0,10)</f>
        <v>90</v>
      </c>
      <c r="F8" t="b">
        <f>COUNTIF(dict_zuord_Meth_Pos[ID_Positions], table_Positions[[#This Row],[ID]]) &gt; 0</f>
        <v>0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0</v>
      </c>
      <c r="D9">
        <f t="shared" ca="1" si="0"/>
        <v>25</v>
      </c>
      <c r="E9">
        <f ca="1">table_Positions[[#This Row],[temp_lb]]+10+RANDBETWEEN(0,100)*RANDBETWEEN(0,10)-RANDBETWEEN(0,10)</f>
        <v>73</v>
      </c>
      <c r="F9" t="b">
        <f>COUNTIF(dict_zuord_Meth_Pos[ID_Positions], table_Positions[[#This Row],[ID]]) &gt; 0</f>
        <v>0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0</v>
      </c>
      <c r="D10">
        <f t="shared" ca="1" si="0"/>
        <v>21</v>
      </c>
      <c r="E10">
        <f ca="1">table_Positions[[#This Row],[temp_lb]]+10+RANDBETWEEN(0,100)*RANDBETWEEN(0,10)-RANDBETWEEN(0,10)</f>
        <v>68</v>
      </c>
      <c r="F10" t="b">
        <f>COUNTIF(dict_zuord_Meth_Pos[ID_Positions], table_Positions[[#This Row],[ID]]) &gt; 0</f>
        <v>0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0</v>
      </c>
      <c r="D11">
        <f t="shared" ca="1" si="0"/>
        <v>110</v>
      </c>
      <c r="E11">
        <f ca="1">table_Positions[[#This Row],[temp_lb]]+10+RANDBETWEEN(0,100)*RANDBETWEEN(0,10)-RANDBETWEEN(0,10)</f>
        <v>408</v>
      </c>
      <c r="F11" t="b">
        <f>COUNTIF(dict_zuord_Meth_Pos[ID_Positions], table_Positions[[#This Row],[ID]]) &gt; 0</f>
        <v>0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0</v>
      </c>
      <c r="D12">
        <f t="shared" ca="1" si="0"/>
        <v>54</v>
      </c>
      <c r="E12">
        <f ca="1">table_Positions[[#This Row],[temp_lb]]+10+RANDBETWEEN(0,100)*RANDBETWEEN(0,10)-RANDBETWEEN(0,10)</f>
        <v>273</v>
      </c>
      <c r="F12" t="b">
        <f>COUNTIF(dict_zuord_Meth_Pos[ID_Positions], table_Positions[[#This Row],[ID]]) &gt; 0</f>
        <v>0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0</v>
      </c>
      <c r="D13">
        <f t="shared" ca="1" si="0"/>
        <v>27</v>
      </c>
      <c r="E13">
        <f ca="1">table_Positions[[#This Row],[temp_lb]]+10+RANDBETWEEN(0,100)*RANDBETWEEN(0,10)-RANDBETWEEN(0,10)</f>
        <v>134</v>
      </c>
      <c r="F13" t="b">
        <f>COUNTIF(dict_zuord_Meth_Pos[ID_Positions], table_Positions[[#This Row],[ID]]) &gt; 0</f>
        <v>0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0</v>
      </c>
      <c r="D14">
        <f t="shared" ca="1" si="0"/>
        <v>20</v>
      </c>
      <c r="E14">
        <f ca="1">table_Positions[[#This Row],[temp_lb]]+10+RANDBETWEEN(0,100)*RANDBETWEEN(0,10)-RANDBETWEEN(0,10)</f>
        <v>24</v>
      </c>
      <c r="F14" t="b">
        <f>COUNTIF(dict_zuord_Meth_Pos[ID_Positions], table_Positions[[#This Row],[ID]]) &gt; 0</f>
        <v>0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0</v>
      </c>
      <c r="D15">
        <f t="shared" ca="1" si="0"/>
        <v>1</v>
      </c>
      <c r="E15">
        <f ca="1">table_Positions[[#This Row],[temp_lb]]+10+RANDBETWEEN(0,100)*RANDBETWEEN(0,10)-RANDBETWEEN(0,10)</f>
        <v>9</v>
      </c>
      <c r="F15" t="b">
        <f>COUNTIF(dict_zuord_Meth_Pos[ID_Positions], table_Positions[[#This Row],[ID]]) &gt; 0</f>
        <v>0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0</v>
      </c>
      <c r="D16">
        <f t="shared" ca="1" si="0"/>
        <v>1</v>
      </c>
      <c r="E16">
        <f ca="1">table_Positions[[#This Row],[temp_lb]]+10+RANDBETWEEN(0,100)*RANDBETWEEN(0,10)-RANDBETWEEN(0,10)</f>
        <v>431</v>
      </c>
      <c r="F16" t="b">
        <f>COUNTIF(dict_zuord_Meth_Pos[ID_Positions], table_Positions[[#This Row],[ID]]) &gt; 0</f>
        <v>0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0</v>
      </c>
      <c r="D17">
        <f t="shared" ca="1" si="0"/>
        <v>21</v>
      </c>
      <c r="E17">
        <f ca="1">table_Positions[[#This Row],[temp_lb]]+10+RANDBETWEEN(0,100)*RANDBETWEEN(0,10)-RANDBETWEEN(0,10)</f>
        <v>101</v>
      </c>
      <c r="F17" t="b">
        <f>COUNTIF(dict_zuord_Meth_Pos[ID_Positions], table_Positions[[#This Row],[ID]]) &gt; 0</f>
        <v>0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0</v>
      </c>
      <c r="D18">
        <f t="shared" ca="1" si="0"/>
        <v>47</v>
      </c>
      <c r="E18">
        <f ca="1">table_Positions[[#This Row],[temp_lb]]+10+RANDBETWEEN(0,100)*RANDBETWEEN(0,10)-RANDBETWEEN(0,10)</f>
        <v>79</v>
      </c>
      <c r="F18" t="b">
        <f>COUNTIF(dict_zuord_Meth_Pos[ID_Positions], table_Positions[[#This Row],[ID]]) &gt; 0</f>
        <v>0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0</v>
      </c>
      <c r="D19">
        <f t="shared" ca="1" si="0"/>
        <v>11</v>
      </c>
      <c r="E19">
        <f ca="1">table_Positions[[#This Row],[temp_lb]]+10+RANDBETWEEN(0,100)*RANDBETWEEN(0,10)-RANDBETWEEN(0,10)</f>
        <v>42</v>
      </c>
      <c r="F19" t="b">
        <f>COUNTIF(dict_zuord_Meth_Pos[ID_Positions], table_Positions[[#This Row],[ID]]) &gt; 0</f>
        <v>0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0</v>
      </c>
      <c r="D20">
        <f t="shared" ca="1" si="0"/>
        <v>30</v>
      </c>
      <c r="E20">
        <f ca="1">table_Positions[[#This Row],[temp_lb]]+10+RANDBETWEEN(0,100)*RANDBETWEEN(0,10)-RANDBETWEEN(0,10)</f>
        <v>269</v>
      </c>
      <c r="F20" t="b">
        <f>COUNTIF(dict_zuord_Meth_Pos[ID_Positions], table_Positions[[#This Row],[ID]]) &gt; 0</f>
        <v>0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0</v>
      </c>
      <c r="D21">
        <f t="shared" ca="1" si="0"/>
        <v>35</v>
      </c>
      <c r="E21">
        <f ca="1">table_Positions[[#This Row],[temp_lb]]+10+RANDBETWEEN(0,100)*RANDBETWEEN(0,10)-RANDBETWEEN(0,10)</f>
        <v>579</v>
      </c>
      <c r="F21" t="b">
        <f>COUNTIF(dict_zuord_Meth_Pos[ID_Positions], table_Positions[[#This Row],[ID]]) &gt; 0</f>
        <v>0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50</v>
      </c>
      <c r="E22">
        <f ca="1">table_Positions[[#This Row],[temp_lb]]+10+RANDBETWEEN(0,100)*RANDBETWEEN(0,10)-RANDBETWEEN(0,10)</f>
        <v>98</v>
      </c>
      <c r="F22" t="b">
        <f>COUNTIF(dict_zuord_Meth_Pos[ID_Positions], table_Positions[[#This Row],[ID]]) &gt; 0</f>
        <v>0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0</v>
      </c>
      <c r="D23">
        <f t="shared" ca="1" si="0"/>
        <v>16</v>
      </c>
      <c r="E23">
        <f ca="1">table_Positions[[#This Row],[temp_lb]]+10+RANDBETWEEN(0,100)*RANDBETWEEN(0,10)-RANDBETWEEN(0,10)</f>
        <v>93</v>
      </c>
      <c r="F23" t="b">
        <f>COUNTIF(dict_zuord_Meth_Pos[ID_Positions], table_Positions[[#This Row],[ID]]) &gt; 0</f>
        <v>0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27</v>
      </c>
      <c r="E24">
        <f ca="1">table_Positions[[#This Row],[temp_lb]]+10+RANDBETWEEN(0,100)*RANDBETWEEN(0,10)-RANDBETWEEN(0,10)</f>
        <v>89</v>
      </c>
      <c r="F24" t="b">
        <f>COUNTIF(dict_zuord_Meth_Pos[ID_Positions], table_Positions[[#This Row],[ID]]) &gt; 0</f>
        <v>0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16</v>
      </c>
      <c r="E25">
        <f ca="1">table_Positions[[#This Row],[temp_lb]]+10+RANDBETWEEN(0,100)*RANDBETWEEN(0,10)-RANDBETWEEN(0,10)</f>
        <v>131</v>
      </c>
      <c r="F25" t="b">
        <f>COUNTIF(dict_zuord_Meth_Pos[ID_Positions], table_Positions[[#This Row],[ID]]) &gt; 0</f>
        <v>0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0</v>
      </c>
      <c r="D26">
        <f t="shared" ca="1" si="0"/>
        <v>1</v>
      </c>
      <c r="E26">
        <f ca="1">table_Positions[[#This Row],[temp_lb]]+10+RANDBETWEEN(0,100)*RANDBETWEEN(0,10)-RANDBETWEEN(0,10)</f>
        <v>283</v>
      </c>
      <c r="F26" t="b">
        <f>COUNTIF(dict_zuord_Meth_Pos[ID_Positions], table_Positions[[#This Row],[ID]]) &gt; 0</f>
        <v>0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15</v>
      </c>
      <c r="E27">
        <f ca="1">table_Positions[[#This Row],[temp_lb]]+10+RANDBETWEEN(0,100)*RANDBETWEEN(0,10)-RANDBETWEEN(0,10)</f>
        <v>81</v>
      </c>
      <c r="F27" t="b">
        <f>COUNTIF(dict_zuord_Meth_Pos[ID_Positions], table_Positions[[#This Row],[ID]]) &gt; 0</f>
        <v>0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20</v>
      </c>
      <c r="E28">
        <f ca="1">table_Positions[[#This Row],[temp_lb]]+10+RANDBETWEEN(0,100)*RANDBETWEEN(0,10)-RANDBETWEEN(0,10)</f>
        <v>28</v>
      </c>
      <c r="F28" t="b">
        <f>COUNTIF(dict_zuord_Meth_Pos[ID_Positions], table_Positions[[#This Row],[ID]]) &gt; 0</f>
        <v>0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75</v>
      </c>
      <c r="E29">
        <f ca="1">table_Positions[[#This Row],[temp_lb]]+10+RANDBETWEEN(0,100)*RANDBETWEEN(0,10)-RANDBETWEEN(0,10)</f>
        <v>142</v>
      </c>
      <c r="F29" t="b">
        <f>COUNTIF(dict_zuord_Meth_Pos[ID_Positions], table_Positions[[#This Row],[ID]]) &gt; 0</f>
        <v>0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15</v>
      </c>
      <c r="E30">
        <f ca="1">table_Positions[[#This Row],[temp_lb]]+10+RANDBETWEEN(0,100)*RANDBETWEEN(0,10)-RANDBETWEEN(0,10)</f>
        <v>622</v>
      </c>
      <c r="F30" t="b">
        <f>COUNTIF(dict_zuord_Meth_Pos[ID_Positions], table_Positions[[#This Row],[ID]]) &gt; 0</f>
        <v>0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54</v>
      </c>
      <c r="E31">
        <f ca="1">table_Positions[[#This Row],[temp_lb]]+10+RANDBETWEEN(0,100)*RANDBETWEEN(0,10)-RANDBETWEEN(0,10)</f>
        <v>310</v>
      </c>
      <c r="F31" t="b">
        <f>COUNTIF(dict_zuord_Meth_Pos[ID_Positions], table_Positions[[#This Row],[ID]]) &gt; 0</f>
        <v>0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65</v>
      </c>
      <c r="E32">
        <f ca="1">table_Positions[[#This Row],[temp_lb]]+10+RANDBETWEEN(0,100)*RANDBETWEEN(0,10)-RANDBETWEEN(0,10)</f>
        <v>766</v>
      </c>
      <c r="F32" t="b">
        <f>COUNTIF(dict_zuord_Meth_Pos[ID_Positions], table_Positions[[#This Row],[ID]]) &gt; 0</f>
        <v>0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23</v>
      </c>
      <c r="E33">
        <f ca="1">table_Positions[[#This Row],[temp_lb]]+10+RANDBETWEEN(0,100)*RANDBETWEEN(0,10)-RANDBETWEEN(0,10)</f>
        <v>590</v>
      </c>
      <c r="F33" t="b">
        <f>COUNTIF(dict_zuord_Meth_Pos[ID_Positions], table_Positions[[#This Row],[ID]]) &gt; 0</f>
        <v>0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0</v>
      </c>
      <c r="D34">
        <f t="shared" ca="1" si="0"/>
        <v>74</v>
      </c>
      <c r="E34">
        <f ca="1">table_Positions[[#This Row],[temp_lb]]+10+RANDBETWEEN(0,100)*RANDBETWEEN(0,10)-RANDBETWEEN(0,10)</f>
        <v>534</v>
      </c>
      <c r="F34" t="b">
        <f>COUNTIF(dict_zuord_Meth_Pos[ID_Positions], table_Positions[[#This Row],[ID]]) &gt; 0</f>
        <v>0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0</v>
      </c>
      <c r="D35">
        <f t="shared" ca="1" si="0"/>
        <v>55</v>
      </c>
      <c r="E35">
        <f ca="1">table_Positions[[#This Row],[temp_lb]]+10+RANDBETWEEN(0,100)*RANDBETWEEN(0,10)-RANDBETWEEN(0,10)</f>
        <v>312</v>
      </c>
      <c r="F35" t="b">
        <f>COUNTIF(dict_zuord_Meth_Pos[ID_Positions], table_Positions[[#This Row],[ID]]) &gt; 0</f>
        <v>0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10</v>
      </c>
      <c r="E36">
        <f ca="1">table_Positions[[#This Row],[temp_lb]]+10+RANDBETWEEN(0,100)*RANDBETWEEN(0,10)-RANDBETWEEN(0,10)</f>
        <v>13</v>
      </c>
      <c r="F36" t="b">
        <f>COUNTIF(dict_zuord_Meth_Pos[ID_Positions], table_Positions[[#This Row],[ID]]) &gt; 0</f>
        <v>0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51</v>
      </c>
      <c r="E37">
        <f ca="1">table_Positions[[#This Row],[temp_lb]]+10+RANDBETWEEN(0,100)*RANDBETWEEN(0,10)-RANDBETWEEN(0,10)</f>
        <v>267</v>
      </c>
      <c r="F37" t="b">
        <f>COUNTIF(dict_zuord_Meth_Pos[ID_Positions], table_Positions[[#This Row],[ID]]) &gt; 0</f>
        <v>0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16</v>
      </c>
      <c r="E38">
        <f ca="1">table_Positions[[#This Row],[temp_lb]]+10+RANDBETWEEN(0,100)*RANDBETWEEN(0,10)-RANDBETWEEN(0,10)</f>
        <v>192</v>
      </c>
      <c r="F38" t="b">
        <f>COUNTIF(dict_zuord_Meth_Pos[ID_Positions], table_Positions[[#This Row],[ID]]) &gt; 0</f>
        <v>0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32</v>
      </c>
      <c r="E39">
        <f ca="1">table_Positions[[#This Row],[temp_lb]]+10+RANDBETWEEN(0,100)*RANDBETWEEN(0,10)-RANDBETWEEN(0,10)</f>
        <v>110</v>
      </c>
      <c r="F39" t="b">
        <f>COUNTIF(dict_zuord_Meth_Pos[ID_Positions], table_Positions[[#This Row],[ID]]) &gt; 0</f>
        <v>0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0</v>
      </c>
      <c r="D40">
        <f t="shared" ca="1" si="0"/>
        <v>34</v>
      </c>
      <c r="E40">
        <f ca="1">table_Positions[[#This Row],[temp_lb]]+10+RANDBETWEEN(0,100)*RANDBETWEEN(0,10)-RANDBETWEEN(0,10)</f>
        <v>404</v>
      </c>
      <c r="F40" t="b">
        <f>COUNTIF(dict_zuord_Meth_Pos[ID_Positions], table_Positions[[#This Row],[ID]]) &gt; 0</f>
        <v>0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0</v>
      </c>
      <c r="D41">
        <f t="shared" ca="1" si="0"/>
        <v>13</v>
      </c>
      <c r="E41">
        <f ca="1">table_Positions[[#This Row],[temp_lb]]+10+RANDBETWEEN(0,100)*RANDBETWEEN(0,10)-RANDBETWEEN(0,10)</f>
        <v>24</v>
      </c>
      <c r="F41" t="b">
        <f>COUNTIF(dict_zuord_Meth_Pos[ID_Positions], table_Positions[[#This Row],[ID]]) &gt; 0</f>
        <v>0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74</v>
      </c>
      <c r="E42">
        <f ca="1">table_Positions[[#This Row],[temp_lb]]+10+RANDBETWEEN(0,100)*RANDBETWEEN(0,10)-RANDBETWEEN(0,10)</f>
        <v>202</v>
      </c>
      <c r="F42" t="b">
        <f>COUNTIF(dict_zuord_Meth_Pos[ID_Positions], table_Positions[[#This Row],[ID]]) &gt; 0</f>
        <v>0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5</v>
      </c>
      <c r="E43">
        <f ca="1">table_Positions[[#This Row],[temp_lb]]+10+RANDBETWEEN(0,100)*RANDBETWEEN(0,10)-RANDBETWEEN(0,10)</f>
        <v>420</v>
      </c>
      <c r="F43" t="b">
        <f>COUNTIF(dict_zuord_Meth_Pos[ID_Positions], table_Positions[[#This Row],[ID]]) &gt; 0</f>
        <v>0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22</v>
      </c>
      <c r="E44">
        <f ca="1">table_Positions[[#This Row],[temp_lb]]+10+RANDBETWEEN(0,100)*RANDBETWEEN(0,10)-RANDBETWEEN(0,10)</f>
        <v>341</v>
      </c>
      <c r="F44" t="b">
        <f>COUNTIF(dict_zuord_Meth_Pos[ID_Positions], table_Positions[[#This Row],[ID]]) &gt; 0</f>
        <v>0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12</v>
      </c>
      <c r="E45">
        <f ca="1">table_Positions[[#This Row],[temp_lb]]+10+RANDBETWEEN(0,100)*RANDBETWEEN(0,10)-RANDBETWEEN(0,10)</f>
        <v>372</v>
      </c>
      <c r="F45" t="b">
        <f>COUNTIF(dict_zuord_Meth_Pos[ID_Positions], table_Positions[[#This Row],[ID]]) &gt; 0</f>
        <v>0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52</v>
      </c>
      <c r="E46">
        <f ca="1">table_Positions[[#This Row],[temp_lb]]+10+RANDBETWEEN(0,100)*RANDBETWEEN(0,10)-RANDBETWEEN(0,10)</f>
        <v>452</v>
      </c>
      <c r="F46" t="b">
        <f>COUNTIF(dict_zuord_Meth_Pos[ID_Positions], table_Positions[[#This Row],[ID]]) &gt; 0</f>
        <v>0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25</v>
      </c>
      <c r="E47">
        <f ca="1">table_Positions[[#This Row],[temp_lb]]+10+RANDBETWEEN(0,100)*RANDBETWEEN(0,10)-RANDBETWEEN(0,10)</f>
        <v>145</v>
      </c>
      <c r="F47" t="b">
        <f>COUNTIF(dict_zuord_Meth_Pos[ID_Positions], table_Positions[[#This Row],[ID]]) &gt; 0</f>
        <v>0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0</v>
      </c>
      <c r="D48">
        <f t="shared" ca="1" si="0"/>
        <v>17</v>
      </c>
      <c r="E48">
        <f ca="1">table_Positions[[#This Row],[temp_lb]]+10+RANDBETWEEN(0,100)*RANDBETWEEN(0,10)-RANDBETWEEN(0,10)</f>
        <v>219</v>
      </c>
      <c r="F48" t="b">
        <f>COUNTIF(dict_zuord_Meth_Pos[ID_Positions], table_Positions[[#This Row],[ID]]) &gt; 0</f>
        <v>0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0</v>
      </c>
      <c r="D49">
        <f t="shared" ca="1" si="0"/>
        <v>11</v>
      </c>
      <c r="E49">
        <f ca="1">table_Positions[[#This Row],[temp_lb]]+10+RANDBETWEEN(0,100)*RANDBETWEEN(0,10)-RANDBETWEEN(0,10)</f>
        <v>212</v>
      </c>
      <c r="F49" t="b">
        <f>COUNTIF(dict_zuord_Meth_Pos[ID_Positions], table_Positions[[#This Row],[ID]]) &gt; 0</f>
        <v>0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65</v>
      </c>
      <c r="E50">
        <f ca="1">table_Positions[[#This Row],[temp_lb]]+10+RANDBETWEEN(0,100)*RANDBETWEEN(0,10)-RANDBETWEEN(0,10)</f>
        <v>409</v>
      </c>
      <c r="F50" t="b">
        <f>COUNTIF(dict_zuord_Meth_Pos[ID_Positions], table_Positions[[#This Row],[ID]]) &gt; 0</f>
        <v>0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17</v>
      </c>
      <c r="E51">
        <f ca="1">table_Positions[[#This Row],[temp_lb]]+10+RANDBETWEEN(0,100)*RANDBETWEEN(0,10)-RANDBETWEEN(0,10)</f>
        <v>68</v>
      </c>
      <c r="F51" t="b">
        <f>COUNTIF(dict_zuord_Meth_Pos[ID_Positions], table_Positions[[#This Row],[ID]]) &gt; 0</f>
        <v>0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2</v>
      </c>
      <c r="E52">
        <f ca="1">table_Positions[[#This Row],[temp_lb]]+10+RANDBETWEEN(0,100)*RANDBETWEEN(0,10)-RANDBETWEEN(0,10)</f>
        <v>189</v>
      </c>
      <c r="F52" t="b">
        <f>COUNTIF(dict_zuord_Meth_Pos[ID_Positions], table_Positions[[#This Row],[ID]]) &gt; 0</f>
        <v>0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20</v>
      </c>
      <c r="E53">
        <f ca="1">table_Positions[[#This Row],[temp_lb]]+10+RANDBETWEEN(0,100)*RANDBETWEEN(0,10)-RANDBETWEEN(0,10)</f>
        <v>811</v>
      </c>
      <c r="F53" t="b">
        <f>COUNTIF(dict_zuord_Meth_Pos[ID_Positions], table_Positions[[#This Row],[ID]]) &gt; 0</f>
        <v>0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12</v>
      </c>
      <c r="E54">
        <f ca="1">table_Positions[[#This Row],[temp_lb]]+10+RANDBETWEEN(0,100)*RANDBETWEEN(0,10)-RANDBETWEEN(0,10)</f>
        <v>249</v>
      </c>
      <c r="F54" t="b">
        <f>COUNTIF(dict_zuord_Meth_Pos[ID_Positions], table_Positions[[#This Row],[ID]]) &gt; 0</f>
        <v>0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41</v>
      </c>
      <c r="E55">
        <f ca="1">table_Positions[[#This Row],[temp_lb]]+10+RANDBETWEEN(0,100)*RANDBETWEEN(0,10)-RANDBETWEEN(0,10)</f>
        <v>52</v>
      </c>
      <c r="F55" t="b">
        <f>COUNTIF(dict_zuord_Meth_Pos[ID_Positions], table_Positions[[#This Row],[ID]]) &gt; 0</f>
        <v>0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0</v>
      </c>
      <c r="D56">
        <f t="shared" ca="1" si="0"/>
        <v>116</v>
      </c>
      <c r="E56">
        <f ca="1">table_Positions[[#This Row],[temp_lb]]+10+RANDBETWEEN(0,100)*RANDBETWEEN(0,10)-RANDBETWEEN(0,10)</f>
        <v>359</v>
      </c>
      <c r="F56" t="b">
        <f>COUNTIF(dict_zuord_Meth_Pos[ID_Positions], table_Positions[[#This Row],[ID]]) &gt; 0</f>
        <v>0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6</v>
      </c>
      <c r="E57">
        <f ca="1">table_Positions[[#This Row],[temp_lb]]+10+RANDBETWEEN(0,100)*RANDBETWEEN(0,10)-RANDBETWEEN(0,10)</f>
        <v>82</v>
      </c>
      <c r="F57" t="b">
        <f>COUNTIF(dict_zuord_Meth_Pos[ID_Positions], table_Positions[[#This Row],[ID]]) &gt; 0</f>
        <v>0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59</v>
      </c>
      <c r="E58">
        <f ca="1">table_Positions[[#This Row],[temp_lb]]+10+RANDBETWEEN(0,100)*RANDBETWEEN(0,10)-RANDBETWEEN(0,10)</f>
        <v>241</v>
      </c>
      <c r="F58" t="b">
        <f>COUNTIF(dict_zuord_Meth_Pos[ID_Positions], table_Positions[[#This Row],[ID]]) &gt; 0</f>
        <v>0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12</v>
      </c>
      <c r="E59">
        <f ca="1">table_Positions[[#This Row],[temp_lb]]+10+RANDBETWEEN(0,100)*RANDBETWEEN(0,10)-RANDBETWEEN(0,10)</f>
        <v>458</v>
      </c>
      <c r="F59" t="b">
        <f>COUNTIF(dict_zuord_Meth_Pos[ID_Positions], table_Positions[[#This Row],[ID]]) &gt; 0</f>
        <v>0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16</v>
      </c>
      <c r="E60">
        <f ca="1">table_Positions[[#This Row],[temp_lb]]+10+RANDBETWEEN(0,100)*RANDBETWEEN(0,10)-RANDBETWEEN(0,10)</f>
        <v>21</v>
      </c>
      <c r="F60" t="b">
        <f>COUNTIF(dict_zuord_Meth_Pos[ID_Positions], table_Positions[[#This Row],[ID]]) &gt; 0</f>
        <v>0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28</v>
      </c>
      <c r="E61">
        <f ca="1">table_Positions[[#This Row],[temp_lb]]+10+RANDBETWEEN(0,100)*RANDBETWEEN(0,10)-RANDBETWEEN(0,10)</f>
        <v>49</v>
      </c>
      <c r="F61" t="b">
        <f>COUNTIF(dict_zuord_Meth_Pos[ID_Positions], table_Positions[[#This Row],[ID]]) &gt; 0</f>
        <v>0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53</v>
      </c>
      <c r="E62">
        <f ca="1">table_Positions[[#This Row],[temp_lb]]+10+RANDBETWEEN(0,100)*RANDBETWEEN(0,10)-RANDBETWEEN(0,10)</f>
        <v>172</v>
      </c>
      <c r="F62" t="b">
        <f>COUNTIF(dict_zuord_Meth_Pos[ID_Positions], table_Positions[[#This Row],[ID]]) &gt; 0</f>
        <v>0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26</v>
      </c>
      <c r="E63">
        <f ca="1">table_Positions[[#This Row],[temp_lb]]+10+RANDBETWEEN(0,100)*RANDBETWEEN(0,10)-RANDBETWEEN(0,10)</f>
        <v>313</v>
      </c>
      <c r="F63" t="b">
        <f>COUNTIF(dict_zuord_Meth_Pos[ID_Positions], table_Positions[[#This Row],[ID]]) &gt; 0</f>
        <v>0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25</v>
      </c>
      <c r="E64">
        <f ca="1">table_Positions[[#This Row],[temp_lb]]+10+RANDBETWEEN(0,100)*RANDBETWEEN(0,10)-RANDBETWEEN(0,10)</f>
        <v>284</v>
      </c>
      <c r="F64" t="b">
        <f>COUNTIF(dict_zuord_Meth_Pos[ID_Positions], table_Positions[[#This Row],[ID]]) &gt; 0</f>
        <v>0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40</v>
      </c>
      <c r="E65">
        <f ca="1">table_Positions[[#This Row],[temp_lb]]+10+RANDBETWEEN(0,100)*RANDBETWEEN(0,10)-RANDBETWEEN(0,10)</f>
        <v>420</v>
      </c>
      <c r="F65" t="b">
        <f>COUNTIF(dict_zuord_Meth_Pos[ID_Positions], table_Positions[[#This Row],[ID]]) &gt; 0</f>
        <v>0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32</v>
      </c>
      <c r="E66">
        <f ca="1">table_Positions[[#This Row],[temp_lb]]+10+RANDBETWEEN(0,100)*RANDBETWEEN(0,10)-RANDBETWEEN(0,10)</f>
        <v>418</v>
      </c>
      <c r="F66" t="b">
        <f>COUNTIF(dict_zuord_Meth_Pos[ID_Positions], table_Positions[[#This Row],[ID]]) &gt; 0</f>
        <v>0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20</v>
      </c>
      <c r="E67">
        <f ca="1">table_Positions[[#This Row],[temp_lb]]+10+RANDBETWEEN(0,100)*RANDBETWEEN(0,10)-RANDBETWEEN(0,10)</f>
        <v>567</v>
      </c>
      <c r="F67" t="b">
        <f>COUNTIF(dict_zuord_Meth_Pos[ID_Positions], table_Positions[[#This Row],[ID]]) &gt; 0</f>
        <v>0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21</v>
      </c>
      <c r="E68">
        <f ca="1">table_Positions[[#This Row],[temp_lb]]+10+RANDBETWEEN(0,100)*RANDBETWEEN(0,10)-RANDBETWEEN(0,10)</f>
        <v>82</v>
      </c>
      <c r="F68" t="b">
        <f>COUNTIF(dict_zuord_Meth_Pos[ID_Positions], table_Positions[[#This Row],[ID]]) &gt; 0</f>
        <v>0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11</v>
      </c>
      <c r="E69">
        <f ca="1">table_Positions[[#This Row],[temp_lb]]+10+RANDBETWEEN(0,100)*RANDBETWEEN(0,10)-RANDBETWEEN(0,10)</f>
        <v>237</v>
      </c>
      <c r="F69" t="b">
        <f>COUNTIF(dict_zuord_Meth_Pos[ID_Positions], table_Positions[[#This Row],[ID]]) &gt; 0</f>
        <v>0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7</v>
      </c>
      <c r="E70">
        <f ca="1">table_Positions[[#This Row],[temp_lb]]+10+RANDBETWEEN(0,100)*RANDBETWEEN(0,10)-RANDBETWEEN(0,10)</f>
        <v>15</v>
      </c>
      <c r="F70" t="b">
        <f>COUNTIF(dict_zuord_Meth_Pos[ID_Positions], table_Positions[[#This Row],[ID]]) &gt; 0</f>
        <v>0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36</v>
      </c>
      <c r="E71">
        <f ca="1">table_Positions[[#This Row],[temp_lb]]+10+RANDBETWEEN(0,100)*RANDBETWEEN(0,10)-RANDBETWEEN(0,10)</f>
        <v>1027</v>
      </c>
      <c r="F71" t="b">
        <f>COUNTIF(dict_zuord_Meth_Pos[ID_Positions], table_Positions[[#This Row],[ID]]) &gt; 0</f>
        <v>0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36</v>
      </c>
      <c r="E72">
        <f ca="1">table_Positions[[#This Row],[temp_lb]]+10+RANDBETWEEN(0,100)*RANDBETWEEN(0,10)-RANDBETWEEN(0,10)</f>
        <v>329</v>
      </c>
      <c r="F72" t="b">
        <f>COUNTIF(dict_zuord_Meth_Pos[ID_Positions], table_Positions[[#This Row],[ID]]) &gt; 0</f>
        <v>0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41</v>
      </c>
      <c r="E73">
        <f ca="1">table_Positions[[#This Row],[temp_lb]]+10+RANDBETWEEN(0,100)*RANDBETWEEN(0,10)-RANDBETWEEN(0,10)</f>
        <v>426</v>
      </c>
      <c r="F73" t="b">
        <f>COUNTIF(dict_zuord_Meth_Pos[ID_Positions], table_Positions[[#This Row],[ID]]) &gt; 0</f>
        <v>0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18</v>
      </c>
      <c r="E74">
        <f ca="1">table_Positions[[#This Row],[temp_lb]]+10+RANDBETWEEN(0,100)*RANDBETWEEN(0,10)-RANDBETWEEN(0,10)</f>
        <v>218</v>
      </c>
      <c r="F74" t="b">
        <f>COUNTIF(dict_zuord_Meth_Pos[ID_Positions], table_Positions[[#This Row],[ID]]) &gt; 0</f>
        <v>0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32</v>
      </c>
      <c r="E75">
        <f ca="1">table_Positions[[#This Row],[temp_lb]]+10+RANDBETWEEN(0,100)*RANDBETWEEN(0,10)-RANDBETWEEN(0,10)</f>
        <v>473</v>
      </c>
      <c r="F75" t="b">
        <f>COUNTIF(dict_zuord_Meth_Pos[ID_Positions], table_Positions[[#This Row],[ID]]) &gt; 0</f>
        <v>0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32</v>
      </c>
      <c r="E76">
        <f ca="1">table_Positions[[#This Row],[temp_lb]]+10+RANDBETWEEN(0,100)*RANDBETWEEN(0,10)-RANDBETWEEN(0,10)</f>
        <v>204</v>
      </c>
      <c r="F76" t="b">
        <f>COUNTIF(dict_zuord_Meth_Pos[ID_Positions], table_Positions[[#This Row],[ID]]) &gt; 0</f>
        <v>0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15</v>
      </c>
      <c r="E77">
        <f ca="1">table_Positions[[#This Row],[temp_lb]]+10+RANDBETWEEN(0,100)*RANDBETWEEN(0,10)-RANDBETWEEN(0,10)</f>
        <v>219</v>
      </c>
      <c r="F77" t="b">
        <f>COUNTIF(dict_zuord_Meth_Pos[ID_Positions], table_Positions[[#This Row],[ID]]) &gt; 0</f>
        <v>0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2</v>
      </c>
      <c r="E78">
        <f ca="1">table_Positions[[#This Row],[temp_lb]]+10+RANDBETWEEN(0,100)*RANDBETWEEN(0,10)-RANDBETWEEN(0,10)</f>
        <v>30</v>
      </c>
      <c r="F78" t="b">
        <f>COUNTIF(dict_zuord_Meth_Pos[ID_Positions], table_Positions[[#This Row],[ID]]) &gt; 0</f>
        <v>0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0</v>
      </c>
      <c r="D79">
        <f t="shared" ca="1" si="1"/>
        <v>14</v>
      </c>
      <c r="E79">
        <f ca="1">table_Positions[[#This Row],[temp_lb]]+10+RANDBETWEEN(0,100)*RANDBETWEEN(0,10)-RANDBETWEEN(0,10)</f>
        <v>169</v>
      </c>
      <c r="F79" t="b">
        <f>COUNTIF(dict_zuord_Meth_Pos[ID_Positions], table_Positions[[#This Row],[ID]]) &gt; 0</f>
        <v>0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0</v>
      </c>
      <c r="D80">
        <f t="shared" ca="1" si="1"/>
        <v>90</v>
      </c>
      <c r="E80">
        <f ca="1">table_Positions[[#This Row],[temp_lb]]+10+RANDBETWEEN(0,100)*RANDBETWEEN(0,10)-RANDBETWEEN(0,10)</f>
        <v>469</v>
      </c>
      <c r="F80" t="b">
        <f>COUNTIF(dict_zuord_Meth_Pos[ID_Positions], table_Positions[[#This Row],[ID]]) &gt; 0</f>
        <v>0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0</v>
      </c>
      <c r="D81">
        <f t="shared" ca="1" si="1"/>
        <v>22</v>
      </c>
      <c r="E81">
        <f ca="1">table_Positions[[#This Row],[temp_lb]]+10+RANDBETWEEN(0,100)*RANDBETWEEN(0,10)-RANDBETWEEN(0,10)</f>
        <v>254</v>
      </c>
      <c r="F81" t="b">
        <f>COUNTIF(dict_zuord_Meth_Pos[ID_Positions], table_Positions[[#This Row],[ID]]) &gt; 0</f>
        <v>0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46</v>
      </c>
      <c r="E82">
        <f ca="1">table_Positions[[#This Row],[temp_lb]]+10+RANDBETWEEN(0,100)*RANDBETWEEN(0,10)-RANDBETWEEN(0,10)</f>
        <v>856</v>
      </c>
      <c r="F82" t="b">
        <f>COUNTIF(dict_zuord_Meth_Pos[ID_Positions], table_Positions[[#This Row],[ID]]) &gt; 0</f>
        <v>0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20</v>
      </c>
      <c r="E83">
        <f ca="1">table_Positions[[#This Row],[temp_lb]]+10+RANDBETWEEN(0,100)*RANDBETWEEN(0,10)-RANDBETWEEN(0,10)</f>
        <v>380</v>
      </c>
      <c r="F83" t="b">
        <f>COUNTIF(dict_zuord_Meth_Pos[ID_Positions], table_Positions[[#This Row],[ID]]) &gt; 0</f>
        <v>0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35</v>
      </c>
      <c r="E84">
        <f ca="1">table_Positions[[#This Row],[temp_lb]]+10+RANDBETWEEN(0,100)*RANDBETWEEN(0,10)-RANDBETWEEN(0,10)</f>
        <v>36</v>
      </c>
      <c r="F84" t="b">
        <f>COUNTIF(dict_zuord_Meth_Pos[ID_Positions], table_Positions[[#This Row],[ID]]) &gt; 0</f>
        <v>0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0</v>
      </c>
      <c r="D85">
        <f t="shared" ca="1" si="1"/>
        <v>56</v>
      </c>
      <c r="E85">
        <f ca="1">table_Positions[[#This Row],[temp_lb]]+10+RANDBETWEEN(0,100)*RANDBETWEEN(0,10)-RANDBETWEEN(0,10)</f>
        <v>108</v>
      </c>
      <c r="F85" t="b">
        <f>COUNTIF(dict_zuord_Meth_Pos[ID_Positions], table_Positions[[#This Row],[ID]]) &gt; 0</f>
        <v>0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30</v>
      </c>
      <c r="E86">
        <f ca="1">table_Positions[[#This Row],[temp_lb]]+10+RANDBETWEEN(0,100)*RANDBETWEEN(0,10)-RANDBETWEEN(0,10)</f>
        <v>37</v>
      </c>
      <c r="F86" t="b">
        <f>COUNTIF(dict_zuord_Meth_Pos[ID_Positions], table_Positions[[#This Row],[ID]]) &gt; 0</f>
        <v>0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14</v>
      </c>
      <c r="E87">
        <f ca="1">table_Positions[[#This Row],[temp_lb]]+10+RANDBETWEEN(0,100)*RANDBETWEEN(0,10)-RANDBETWEEN(0,10)</f>
        <v>19</v>
      </c>
      <c r="F87" t="b">
        <f>COUNTIF(dict_zuord_Meth_Pos[ID_Positions], table_Positions[[#This Row],[ID]]) &gt; 0</f>
        <v>0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19</v>
      </c>
      <c r="E88">
        <f ca="1">table_Positions[[#This Row],[temp_lb]]+10+RANDBETWEEN(0,100)*RANDBETWEEN(0,10)-RANDBETWEEN(0,10)</f>
        <v>290</v>
      </c>
      <c r="F88" t="b">
        <f>COUNTIF(dict_zuord_Meth_Pos[ID_Positions], table_Positions[[#This Row],[ID]]) &gt; 0</f>
        <v>0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26</v>
      </c>
      <c r="E89">
        <f ca="1">table_Positions[[#This Row],[temp_lb]]+10+RANDBETWEEN(0,100)*RANDBETWEEN(0,10)-RANDBETWEEN(0,10)</f>
        <v>610</v>
      </c>
      <c r="F89" t="b">
        <f>COUNTIF(dict_zuord_Meth_Pos[ID_Positions], table_Positions[[#This Row],[ID]]) &gt; 0</f>
        <v>0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59</v>
      </c>
      <c r="E90">
        <f ca="1">table_Positions[[#This Row],[temp_lb]]+10+RANDBETWEEN(0,100)*RANDBETWEEN(0,10)-RANDBETWEEN(0,10)</f>
        <v>96</v>
      </c>
      <c r="F90" t="b">
        <f>COUNTIF(dict_zuord_Meth_Pos[ID_Positions], table_Positions[[#This Row],[ID]]) &gt; 0</f>
        <v>0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7</v>
      </c>
      <c r="E91">
        <f ca="1">table_Positions[[#This Row],[temp_lb]]+10+RANDBETWEEN(0,100)*RANDBETWEEN(0,10)-RANDBETWEEN(0,10)</f>
        <v>16</v>
      </c>
      <c r="F91" t="b">
        <f>COUNTIF(dict_zuord_Meth_Pos[ID_Positions], table_Positions[[#This Row],[ID]]) &gt; 0</f>
        <v>0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12</v>
      </c>
      <c r="E92">
        <f ca="1">table_Positions[[#This Row],[temp_lb]]+10+RANDBETWEEN(0,100)*RANDBETWEEN(0,10)-RANDBETWEEN(0,10)</f>
        <v>23</v>
      </c>
      <c r="F92" t="b">
        <f>COUNTIF(dict_zuord_Meth_Pos[ID_Positions], table_Positions[[#This Row],[ID]]) &gt; 0</f>
        <v>0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61</v>
      </c>
      <c r="E93">
        <f ca="1">table_Positions[[#This Row],[temp_lb]]+10+RANDBETWEEN(0,100)*RANDBETWEEN(0,10)-RANDBETWEEN(0,10)</f>
        <v>161</v>
      </c>
      <c r="F93" t="b">
        <f>COUNTIF(dict_zuord_Meth_Pos[ID_Positions], table_Positions[[#This Row],[ID]]) &gt; 0</f>
        <v>0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11</v>
      </c>
      <c r="E94">
        <f ca="1">table_Positions[[#This Row],[temp_lb]]+10+RANDBETWEEN(0,100)*RANDBETWEEN(0,10)-RANDBETWEEN(0,10)</f>
        <v>11</v>
      </c>
      <c r="F94" t="b">
        <f>COUNTIF(dict_zuord_Meth_Pos[ID_Positions], table_Positions[[#This Row],[ID]]) &gt; 0</f>
        <v>0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22</v>
      </c>
      <c r="E95">
        <f ca="1">table_Positions[[#This Row],[temp_lb]]+10+RANDBETWEEN(0,100)*RANDBETWEEN(0,10)-RANDBETWEEN(0,10)</f>
        <v>400</v>
      </c>
      <c r="F95" t="b">
        <f>COUNTIF(dict_zuord_Meth_Pos[ID_Positions], table_Positions[[#This Row],[ID]]) &gt; 0</f>
        <v>0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20</v>
      </c>
      <c r="E96">
        <f ca="1">table_Positions[[#This Row],[temp_lb]]+10+RANDBETWEEN(0,100)*RANDBETWEEN(0,10)-RANDBETWEEN(0,10)</f>
        <v>430</v>
      </c>
      <c r="F96" t="b">
        <f>COUNTIF(dict_zuord_Meth_Pos[ID_Positions], table_Positions[[#This Row],[ID]]) &gt; 0</f>
        <v>0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46</v>
      </c>
      <c r="E97">
        <f ca="1">table_Positions[[#This Row],[temp_lb]]+10+RANDBETWEEN(0,100)*RANDBETWEEN(0,10)-RANDBETWEEN(0,10)</f>
        <v>492</v>
      </c>
      <c r="F97" t="b">
        <f>COUNTIF(dict_zuord_Meth_Pos[ID_Positions], table_Positions[[#This Row],[ID]]) &gt; 0</f>
        <v>0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18</v>
      </c>
      <c r="E98">
        <f ca="1">table_Positions[[#This Row],[temp_lb]]+10+RANDBETWEEN(0,100)*RANDBETWEEN(0,10)-RANDBETWEEN(0,10)</f>
        <v>128</v>
      </c>
      <c r="F98" t="b">
        <f>COUNTIF(dict_zuord_Meth_Pos[ID_Positions], table_Positions[[#This Row],[ID]]) &gt; 0</f>
        <v>0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89</v>
      </c>
      <c r="E99">
        <f ca="1">table_Positions[[#This Row],[temp_lb]]+10+RANDBETWEEN(0,100)*RANDBETWEEN(0,10)-RANDBETWEEN(0,10)</f>
        <v>201</v>
      </c>
      <c r="F99" t="b">
        <f>COUNTIF(dict_zuord_Meth_Pos[ID_Positions], table_Positions[[#This Row],[ID]]) &gt; 0</f>
        <v>0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7</v>
      </c>
      <c r="E100">
        <f ca="1">table_Positions[[#This Row],[temp_lb]]+10+RANDBETWEEN(0,100)*RANDBETWEEN(0,10)-RANDBETWEEN(0,10)</f>
        <v>107</v>
      </c>
      <c r="F100" t="b">
        <f>COUNTIF(dict_zuord_Meth_Pos[ID_Positions], table_Positions[[#This Row],[ID]]) &gt; 0</f>
        <v>0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0</v>
      </c>
      <c r="D101">
        <f t="shared" ca="1" si="1"/>
        <v>76</v>
      </c>
      <c r="E101">
        <f ca="1">table_Positions[[#This Row],[temp_lb]]+10+RANDBETWEEN(0,100)*RANDBETWEEN(0,10)-RANDBETWEEN(0,10)</f>
        <v>77</v>
      </c>
      <c r="F101" t="b">
        <f>COUNTIF(dict_zuord_Meth_Pos[ID_Positions], table_Positions[[#This Row],[ID]]) &gt; 0</f>
        <v>0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46</v>
      </c>
      <c r="E102">
        <f ca="1">table_Positions[[#This Row],[temp_lb]]+10+RANDBETWEEN(0,100)*RANDBETWEEN(0,10)-RANDBETWEEN(0,10)</f>
        <v>100</v>
      </c>
      <c r="F102" t="b">
        <f>COUNTIF(dict_zuord_Meth_Pos[ID_Positions], table_Positions[[#This Row],[ID]]) &gt; 0</f>
        <v>0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71</v>
      </c>
      <c r="E103">
        <f ca="1">table_Positions[[#This Row],[temp_lb]]+10+RANDBETWEEN(0,100)*RANDBETWEEN(0,10)-RANDBETWEEN(0,10)</f>
        <v>128</v>
      </c>
      <c r="F103" t="b">
        <f>COUNTIF(dict_zuord_Meth_Pos[ID_Positions], table_Positions[[#This Row],[ID]]) &gt; 0</f>
        <v>0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55</v>
      </c>
      <c r="E104">
        <f ca="1">table_Positions[[#This Row],[temp_lb]]+10+RANDBETWEEN(0,100)*RANDBETWEEN(0,10)-RANDBETWEEN(0,10)</f>
        <v>723</v>
      </c>
      <c r="F104" t="b">
        <f>COUNTIF(dict_zuord_Meth_Pos[ID_Positions], table_Positions[[#This Row],[ID]]) &gt; 0</f>
        <v>0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0</v>
      </c>
      <c r="E105">
        <f ca="1">table_Positions[[#This Row],[temp_lb]]+10+RANDBETWEEN(0,100)*RANDBETWEEN(0,10)-RANDBETWEEN(0,10)</f>
        <v>418</v>
      </c>
      <c r="F105" t="b">
        <f>COUNTIF(dict_zuord_Meth_Pos[ID_Positions], table_Positions[[#This Row],[ID]]) &gt; 0</f>
        <v>0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16</v>
      </c>
      <c r="E106">
        <f ca="1">table_Positions[[#This Row],[temp_lb]]+10+RANDBETWEEN(0,100)*RANDBETWEEN(0,10)-RANDBETWEEN(0,10)</f>
        <v>485</v>
      </c>
      <c r="F106" t="b">
        <f>COUNTIF(dict_zuord_Meth_Pos[ID_Positions], table_Positions[[#This Row],[ID]]) &gt; 0</f>
        <v>0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9</v>
      </c>
      <c r="E107">
        <f ca="1">table_Positions[[#This Row],[temp_lb]]+10+RANDBETWEEN(0,100)*RANDBETWEEN(0,10)-RANDBETWEEN(0,10)</f>
        <v>169</v>
      </c>
      <c r="F107" t="b">
        <f>COUNTIF(dict_zuord_Meth_Pos[ID_Positions], table_Positions[[#This Row],[ID]]) &gt; 0</f>
        <v>0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5</v>
      </c>
      <c r="E108">
        <f ca="1">table_Positions[[#This Row],[temp_lb]]+10+RANDBETWEEN(0,100)*RANDBETWEEN(0,10)-RANDBETWEEN(0,10)</f>
        <v>6</v>
      </c>
      <c r="F108" t="b">
        <f>COUNTIF(dict_zuord_Meth_Pos[ID_Positions], table_Positions[[#This Row],[ID]]) &gt; 0</f>
        <v>0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50</v>
      </c>
      <c r="E109">
        <f ca="1">table_Positions[[#This Row],[temp_lb]]+10+RANDBETWEEN(0,100)*RANDBETWEEN(0,10)-RANDBETWEEN(0,10)</f>
        <v>453</v>
      </c>
      <c r="F109" t="b">
        <f>COUNTIF(dict_zuord_Meth_Pos[ID_Positions], table_Positions[[#This Row],[ID]]) &gt; 0</f>
        <v>0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23</v>
      </c>
      <c r="E110">
        <f ca="1">table_Positions[[#This Row],[temp_lb]]+10+RANDBETWEEN(0,100)*RANDBETWEEN(0,10)-RANDBETWEEN(0,10)</f>
        <v>112</v>
      </c>
      <c r="F110" t="b">
        <f>COUNTIF(dict_zuord_Meth_Pos[ID_Positions], table_Positions[[#This Row],[ID]]) &gt; 0</f>
        <v>0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45</v>
      </c>
      <c r="E111">
        <f ca="1">table_Positions[[#This Row],[temp_lb]]+10+RANDBETWEEN(0,100)*RANDBETWEEN(0,10)-RANDBETWEEN(0,10)</f>
        <v>379</v>
      </c>
      <c r="F111" t="b">
        <f>COUNTIF(dict_zuord_Meth_Pos[ID_Positions], table_Positions[[#This Row],[ID]]) &gt; 0</f>
        <v>0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17</v>
      </c>
      <c r="E112">
        <f ca="1">table_Positions[[#This Row],[temp_lb]]+10+RANDBETWEEN(0,100)*RANDBETWEEN(0,10)-RANDBETWEEN(0,10)</f>
        <v>357</v>
      </c>
      <c r="F112" t="b">
        <f>COUNTIF(dict_zuord_Meth_Pos[ID_Positions], table_Positions[[#This Row],[ID]]) &gt; 0</f>
        <v>0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14</v>
      </c>
      <c r="E113">
        <f ca="1">table_Positions[[#This Row],[temp_lb]]+10+RANDBETWEEN(0,100)*RANDBETWEEN(0,10)-RANDBETWEEN(0,10)</f>
        <v>47</v>
      </c>
      <c r="F113" t="b">
        <f>COUNTIF(dict_zuord_Meth_Pos[ID_Positions], table_Positions[[#This Row],[ID]]) &gt; 0</f>
        <v>0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55</v>
      </c>
      <c r="E114">
        <f ca="1">table_Positions[[#This Row],[temp_lb]]+10+RANDBETWEEN(0,100)*RANDBETWEEN(0,10)-RANDBETWEEN(0,10)</f>
        <v>141</v>
      </c>
      <c r="F114" t="b">
        <f>COUNTIF(dict_zuord_Meth_Pos[ID_Positions], table_Positions[[#This Row],[ID]]) &gt; 0</f>
        <v>0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83</v>
      </c>
      <c r="E115">
        <f ca="1">table_Positions[[#This Row],[temp_lb]]+10+RANDBETWEEN(0,100)*RANDBETWEEN(0,10)-RANDBETWEEN(0,10)</f>
        <v>261</v>
      </c>
      <c r="F115" t="b">
        <f>COUNTIF(dict_zuord_Meth_Pos[ID_Positions], table_Positions[[#This Row],[ID]]) &gt; 0</f>
        <v>0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9</v>
      </c>
      <c r="E116">
        <f ca="1">table_Positions[[#This Row],[temp_lb]]+10+RANDBETWEEN(0,100)*RANDBETWEEN(0,10)-RANDBETWEEN(0,10)</f>
        <v>113</v>
      </c>
      <c r="F116" t="b">
        <f>COUNTIF(dict_zuord_Meth_Pos[ID_Positions], table_Positions[[#This Row],[ID]]) &gt; 0</f>
        <v>0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7</v>
      </c>
      <c r="E117">
        <f ca="1">table_Positions[[#This Row],[temp_lb]]+10+RANDBETWEEN(0,100)*RANDBETWEEN(0,10)-RANDBETWEEN(0,10)</f>
        <v>14</v>
      </c>
      <c r="F117" t="b">
        <f>COUNTIF(dict_zuord_Meth_Pos[ID_Positions], table_Positions[[#This Row],[ID]]) &gt; 0</f>
        <v>0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19</v>
      </c>
      <c r="E118">
        <f ca="1">table_Positions[[#This Row],[temp_lb]]+10+RANDBETWEEN(0,100)*RANDBETWEEN(0,10)-RANDBETWEEN(0,10)</f>
        <v>449</v>
      </c>
      <c r="F118" t="b">
        <f>COUNTIF(dict_zuord_Meth_Pos[ID_Positions], table_Positions[[#This Row],[ID]]) &gt; 0</f>
        <v>0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28</v>
      </c>
      <c r="E119">
        <f ca="1">table_Positions[[#This Row],[temp_lb]]+10+RANDBETWEEN(0,100)*RANDBETWEEN(0,10)-RANDBETWEEN(0,10)</f>
        <v>118</v>
      </c>
      <c r="F119" t="b">
        <f>COUNTIF(dict_zuord_Meth_Pos[ID_Positions], table_Positions[[#This Row],[ID]]) &gt; 0</f>
        <v>0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53</v>
      </c>
      <c r="E120">
        <f ca="1">table_Positions[[#This Row],[temp_lb]]+10+RANDBETWEEN(0,100)*RANDBETWEEN(0,10)-RANDBETWEEN(0,10)</f>
        <v>268</v>
      </c>
      <c r="F120" t="b">
        <f>COUNTIF(dict_zuord_Meth_Pos[ID_Positions], table_Positions[[#This Row],[ID]]) &gt; 0</f>
        <v>0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29</v>
      </c>
      <c r="E121">
        <f ca="1">table_Positions[[#This Row],[temp_lb]]+10+RANDBETWEEN(0,100)*RANDBETWEEN(0,10)-RANDBETWEEN(0,10)</f>
        <v>34</v>
      </c>
      <c r="F121" t="b">
        <f>COUNTIF(dict_zuord_Meth_Pos[ID_Positions], table_Positions[[#This Row],[ID]]) &gt; 0</f>
        <v>0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3</v>
      </c>
      <c r="E122">
        <f ca="1">table_Positions[[#This Row],[temp_lb]]+10+RANDBETWEEN(0,100)*RANDBETWEEN(0,10)-RANDBETWEEN(0,10)</f>
        <v>100</v>
      </c>
      <c r="F122" t="b">
        <f>COUNTIF(dict_zuord_Meth_Pos[ID_Positions], table_Positions[[#This Row],[ID]]) &gt; 0</f>
        <v>0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26</v>
      </c>
      <c r="E123">
        <f ca="1">table_Positions[[#This Row],[temp_lb]]+10+RANDBETWEEN(0,100)*RANDBETWEEN(0,10)-RANDBETWEEN(0,10)</f>
        <v>470</v>
      </c>
      <c r="F123" t="b">
        <f>COUNTIF(dict_zuord_Meth_Pos[ID_Positions], table_Positions[[#This Row],[ID]]) &gt; 0</f>
        <v>0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18</v>
      </c>
      <c r="E124">
        <f ca="1">table_Positions[[#This Row],[temp_lb]]+10+RANDBETWEEN(0,100)*RANDBETWEEN(0,10)-RANDBETWEEN(0,10)</f>
        <v>97</v>
      </c>
      <c r="F124" t="b">
        <f>COUNTIF(dict_zuord_Meth_Pos[ID_Positions], table_Positions[[#This Row],[ID]]) &gt; 0</f>
        <v>0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36</v>
      </c>
      <c r="E125">
        <f ca="1">table_Positions[[#This Row],[temp_lb]]+10+RANDBETWEEN(0,100)*RANDBETWEEN(0,10)-RANDBETWEEN(0,10)</f>
        <v>36</v>
      </c>
      <c r="F125" t="b">
        <f>COUNTIF(dict_zuord_Meth_Pos[ID_Positions], table_Positions[[#This Row],[ID]]) &gt; 0</f>
        <v>0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84</v>
      </c>
      <c r="E126">
        <f ca="1">table_Positions[[#This Row],[temp_lb]]+10+RANDBETWEEN(0,100)*RANDBETWEEN(0,10)-RANDBETWEEN(0,10)</f>
        <v>233</v>
      </c>
      <c r="F126" t="b">
        <f>COUNTIF(dict_zuord_Meth_Pos[ID_Positions], table_Positions[[#This Row],[ID]]) &gt; 0</f>
        <v>0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0</v>
      </c>
      <c r="D127">
        <f t="shared" ca="1" si="1"/>
        <v>65</v>
      </c>
      <c r="E127">
        <f ca="1">table_Positions[[#This Row],[temp_lb]]+10+RANDBETWEEN(0,100)*RANDBETWEEN(0,10)-RANDBETWEEN(0,10)</f>
        <v>69</v>
      </c>
      <c r="F127" t="b">
        <f>COUNTIF(dict_zuord_Meth_Pos[ID_Positions], table_Positions[[#This Row],[ID]]) &gt; 0</f>
        <v>0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82</v>
      </c>
      <c r="E128">
        <f ca="1">table_Positions[[#This Row],[temp_lb]]+10+RANDBETWEEN(0,100)*RANDBETWEEN(0,10)-RANDBETWEEN(0,10)</f>
        <v>675</v>
      </c>
      <c r="F128" t="b">
        <f>COUNTIF(dict_zuord_Meth_Pos[ID_Positions], table_Positions[[#This Row],[ID]]) &gt; 0</f>
        <v>0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33</v>
      </c>
      <c r="E129">
        <f ca="1">table_Positions[[#This Row],[temp_lb]]+10+RANDBETWEEN(0,100)*RANDBETWEEN(0,10)-RANDBETWEEN(0,10)</f>
        <v>139</v>
      </c>
      <c r="F129" t="b">
        <f>COUNTIF(dict_zuord_Meth_Pos[ID_Positions], table_Positions[[#This Row],[ID]]) &gt; 0</f>
        <v>0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17</v>
      </c>
      <c r="E130">
        <f ca="1">table_Positions[[#This Row],[temp_lb]]+10+RANDBETWEEN(0,100)*RANDBETWEEN(0,10)-RANDBETWEEN(0,10)</f>
        <v>105</v>
      </c>
      <c r="F130" t="b">
        <f>COUNTIF(dict_zuord_Meth_Pos[ID_Positions], table_Positions[[#This Row],[ID]]) &gt; 0</f>
        <v>0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17</v>
      </c>
      <c r="E131">
        <f ca="1">table_Positions[[#This Row],[temp_lb]]+10+RANDBETWEEN(0,100)*RANDBETWEEN(0,10)-RANDBETWEEN(0,10)</f>
        <v>41</v>
      </c>
      <c r="F131" t="b">
        <f>COUNTIF(dict_zuord_Meth_Pos[ID_Positions], table_Positions[[#This Row],[ID]]) &gt; 0</f>
        <v>0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26</v>
      </c>
      <c r="E132">
        <f ca="1">table_Positions[[#This Row],[temp_lb]]+10+RANDBETWEEN(0,100)*RANDBETWEEN(0,10)-RANDBETWEEN(0,10)</f>
        <v>305</v>
      </c>
      <c r="F132" t="b">
        <f>COUNTIF(dict_zuord_Meth_Pos[ID_Positions], table_Positions[[#This Row],[ID]]) &gt; 0</f>
        <v>0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10</v>
      </c>
      <c r="E133">
        <f ca="1">table_Positions[[#This Row],[temp_lb]]+10+RANDBETWEEN(0,100)*RANDBETWEEN(0,10)-RANDBETWEEN(0,10)</f>
        <v>382</v>
      </c>
      <c r="F133" t="b">
        <f>COUNTIF(dict_zuord_Meth_Pos[ID_Positions], table_Positions[[#This Row],[ID]]) &gt; 0</f>
        <v>0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52</v>
      </c>
      <c r="E134">
        <f ca="1">table_Positions[[#This Row],[temp_lb]]+10+RANDBETWEEN(0,100)*RANDBETWEEN(0,10)-RANDBETWEEN(0,10)</f>
        <v>778</v>
      </c>
      <c r="F134" t="b">
        <f>COUNTIF(dict_zuord_Meth_Pos[ID_Positions], table_Positions[[#This Row],[ID]]) &gt; 0</f>
        <v>0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14</v>
      </c>
      <c r="E135">
        <f ca="1">table_Positions[[#This Row],[temp_lb]]+10+RANDBETWEEN(0,100)*RANDBETWEEN(0,10)-RANDBETWEEN(0,10)</f>
        <v>40</v>
      </c>
      <c r="F135" t="b">
        <f>COUNTIF(dict_zuord_Meth_Pos[ID_Positions], table_Positions[[#This Row],[ID]]) &gt; 0</f>
        <v>0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17</v>
      </c>
      <c r="E136">
        <f ca="1">table_Positions[[#This Row],[temp_lb]]+10+RANDBETWEEN(0,100)*RANDBETWEEN(0,10)-RANDBETWEEN(0,10)</f>
        <v>487</v>
      </c>
      <c r="F136" t="b">
        <f>COUNTIF(dict_zuord_Meth_Pos[ID_Positions], table_Positions[[#This Row],[ID]]) &gt; 0</f>
        <v>0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18</v>
      </c>
      <c r="E137">
        <f ca="1">table_Positions[[#This Row],[temp_lb]]+10+RANDBETWEEN(0,100)*RANDBETWEEN(0,10)-RANDBETWEEN(0,10)</f>
        <v>23</v>
      </c>
      <c r="F137" t="b">
        <f>COUNTIF(dict_zuord_Meth_Pos[ID_Positions], table_Positions[[#This Row],[ID]]) &gt; 0</f>
        <v>0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14</v>
      </c>
      <c r="E138">
        <f ca="1">table_Positions[[#This Row],[temp_lb]]+10+RANDBETWEEN(0,100)*RANDBETWEEN(0,10)-RANDBETWEEN(0,10)</f>
        <v>124</v>
      </c>
      <c r="F138" t="b">
        <f>COUNTIF(dict_zuord_Meth_Pos[ID_Positions], table_Positions[[#This Row],[ID]]) &gt; 0</f>
        <v>0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80</v>
      </c>
      <c r="E139">
        <f ca="1">table_Positions[[#This Row],[temp_lb]]+10+RANDBETWEEN(0,100)*RANDBETWEEN(0,10)-RANDBETWEEN(0,10)</f>
        <v>144</v>
      </c>
      <c r="F139" t="b">
        <f>COUNTIF(dict_zuord_Meth_Pos[ID_Positions], table_Positions[[#This Row],[ID]]) &gt; 0</f>
        <v>0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22</v>
      </c>
      <c r="E140">
        <f ca="1">table_Positions[[#This Row],[temp_lb]]+10+RANDBETWEEN(0,100)*RANDBETWEEN(0,10)-RANDBETWEEN(0,10)</f>
        <v>98</v>
      </c>
      <c r="F140" t="b">
        <f>COUNTIF(dict_zuord_Meth_Pos[ID_Positions], table_Positions[[#This Row],[ID]]) &gt; 0</f>
        <v>0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12</v>
      </c>
      <c r="E141">
        <f ca="1">table_Positions[[#This Row],[temp_lb]]+10+RANDBETWEEN(0,100)*RANDBETWEEN(0,10)-RANDBETWEEN(0,10)</f>
        <v>435</v>
      </c>
      <c r="F141" t="b">
        <f>COUNTIF(dict_zuord_Meth_Pos[ID_Positions], table_Positions[[#This Row],[ID]]) &gt; 0</f>
        <v>0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26</v>
      </c>
      <c r="E142">
        <f ca="1">table_Positions[[#This Row],[temp_lb]]+10+RANDBETWEEN(0,100)*RANDBETWEEN(0,10)-RANDBETWEEN(0,10)</f>
        <v>60</v>
      </c>
      <c r="F142" t="b">
        <f>COUNTIF(dict_zuord_Meth_Pos[ID_Positions], table_Positions[[#This Row],[ID]]) &gt; 0</f>
        <v>0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19</v>
      </c>
      <c r="E143">
        <f ca="1">table_Positions[[#This Row],[temp_lb]]+10+RANDBETWEEN(0,100)*RANDBETWEEN(0,10)-RANDBETWEEN(0,10)</f>
        <v>592</v>
      </c>
      <c r="F143" t="b">
        <f>COUNTIF(dict_zuord_Meth_Pos[ID_Positions], table_Positions[[#This Row],[ID]]) &gt; 0</f>
        <v>0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11</v>
      </c>
      <c r="E144">
        <f ca="1">table_Positions[[#This Row],[temp_lb]]+10+RANDBETWEEN(0,100)*RANDBETWEEN(0,10)-RANDBETWEEN(0,10)</f>
        <v>35</v>
      </c>
      <c r="F144" t="b">
        <f>COUNTIF(dict_zuord_Meth_Pos[ID_Positions], table_Positions[[#This Row],[ID]]) &gt; 0</f>
        <v>0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28</v>
      </c>
      <c r="E145">
        <f ca="1">table_Positions[[#This Row],[temp_lb]]+10+RANDBETWEEN(0,100)*RANDBETWEEN(0,10)-RANDBETWEEN(0,10)</f>
        <v>38</v>
      </c>
      <c r="F145" t="b">
        <f>COUNTIF(dict_zuord_Meth_Pos[ID_Positions], table_Positions[[#This Row],[ID]]) &gt; 0</f>
        <v>0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74</v>
      </c>
      <c r="E146">
        <f ca="1">table_Positions[[#This Row],[temp_lb]]+10+RANDBETWEEN(0,100)*RANDBETWEEN(0,10)-RANDBETWEEN(0,10)</f>
        <v>277</v>
      </c>
      <c r="F146" t="b">
        <f>COUNTIF(dict_zuord_Meth_Pos[ID_Positions], table_Positions[[#This Row],[ID]]) &gt; 0</f>
        <v>0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20</v>
      </c>
      <c r="E147">
        <f ca="1">table_Positions[[#This Row],[temp_lb]]+10+RANDBETWEEN(0,100)*RANDBETWEEN(0,10)-RANDBETWEEN(0,10)</f>
        <v>716</v>
      </c>
      <c r="F147" t="b">
        <f>COUNTIF(dict_zuord_Meth_Pos[ID_Positions], table_Positions[[#This Row],[ID]]) &gt; 0</f>
        <v>0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29</v>
      </c>
      <c r="E148">
        <f ca="1">table_Positions[[#This Row],[temp_lb]]+10+RANDBETWEEN(0,100)*RANDBETWEEN(0,10)-RANDBETWEEN(0,10)</f>
        <v>32</v>
      </c>
      <c r="F148" t="b">
        <f>COUNTIF(dict_zuord_Meth_Pos[ID_Positions], table_Positions[[#This Row],[ID]]) &gt; 0</f>
        <v>0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44</v>
      </c>
      <c r="E149">
        <f ca="1">table_Positions[[#This Row],[temp_lb]]+10+RANDBETWEEN(0,100)*RANDBETWEEN(0,10)-RANDBETWEEN(0,10)</f>
        <v>265</v>
      </c>
      <c r="F149" t="b">
        <f>COUNTIF(dict_zuord_Meth_Pos[ID_Positions], table_Positions[[#This Row],[ID]]) &gt; 0</f>
        <v>0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37</v>
      </c>
      <c r="E150">
        <f ca="1">table_Positions[[#This Row],[temp_lb]]+10+RANDBETWEEN(0,100)*RANDBETWEEN(0,10)-RANDBETWEEN(0,10)</f>
        <v>611</v>
      </c>
      <c r="F150" t="b">
        <f>COUNTIF(dict_zuord_Meth_Pos[ID_Positions], table_Positions[[#This Row],[ID]]) &gt; 0</f>
        <v>0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41</v>
      </c>
      <c r="E151">
        <f ca="1">table_Positions[[#This Row],[temp_lb]]+10+RANDBETWEEN(0,100)*RANDBETWEEN(0,10)-RANDBETWEEN(0,10)</f>
        <v>125</v>
      </c>
      <c r="F151" t="b">
        <f>COUNTIF(dict_zuord_Meth_Pos[ID_Positions], table_Positions[[#This Row],[ID]]) &gt; 0</f>
        <v>0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42</v>
      </c>
      <c r="E152">
        <f ca="1">table_Positions[[#This Row],[temp_lb]]+10+RANDBETWEEN(0,100)*RANDBETWEEN(0,10)-RANDBETWEEN(0,10)</f>
        <v>357</v>
      </c>
      <c r="F152" t="b">
        <f>COUNTIF(dict_zuord_Meth_Pos[ID_Positions], table_Positions[[#This Row],[ID]]) &gt; 0</f>
        <v>0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70</v>
      </c>
      <c r="E153">
        <f ca="1">table_Positions[[#This Row],[temp_lb]]+10+RANDBETWEEN(0,100)*RANDBETWEEN(0,10)-RANDBETWEEN(0,10)</f>
        <v>190</v>
      </c>
      <c r="F153" t="b">
        <f>COUNTIF(dict_zuord_Meth_Pos[ID_Positions], table_Positions[[#This Row],[ID]]) &gt; 0</f>
        <v>0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1</v>
      </c>
      <c r="E154">
        <f ca="1">table_Positions[[#This Row],[temp_lb]]+10+RANDBETWEEN(0,100)*RANDBETWEEN(0,10)-RANDBETWEEN(0,10)</f>
        <v>391</v>
      </c>
      <c r="F154" t="b">
        <f>COUNTIF(dict_zuord_Meth_Pos[ID_Positions], table_Positions[[#This Row],[ID]]) &gt; 0</f>
        <v>0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24</v>
      </c>
      <c r="E155">
        <f ca="1">table_Positions[[#This Row],[temp_lb]]+10+RANDBETWEEN(0,100)*RANDBETWEEN(0,10)-RANDBETWEEN(0,10)</f>
        <v>343</v>
      </c>
      <c r="F155" t="b">
        <f>COUNTIF(dict_zuord_Meth_Pos[ID_Positions], table_Positions[[#This Row],[ID]]) &gt; 0</f>
        <v>0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71</v>
      </c>
      <c r="E156">
        <f ca="1">table_Positions[[#This Row],[temp_lb]]+10+RANDBETWEEN(0,100)*RANDBETWEEN(0,10)-RANDBETWEEN(0,10)</f>
        <v>124</v>
      </c>
      <c r="F156" t="b">
        <f>COUNTIF(dict_zuord_Meth_Pos[ID_Positions], table_Positions[[#This Row],[ID]]) &gt; 0</f>
        <v>0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20</v>
      </c>
      <c r="E157">
        <f ca="1">table_Positions[[#This Row],[temp_lb]]+10+RANDBETWEEN(0,100)*RANDBETWEEN(0,10)-RANDBETWEEN(0,10)</f>
        <v>530</v>
      </c>
      <c r="F157" t="b">
        <f>COUNTIF(dict_zuord_Meth_Pos[ID_Positions], table_Positions[[#This Row],[ID]]) &gt; 0</f>
        <v>0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50</v>
      </c>
      <c r="E158">
        <f ca="1">table_Positions[[#This Row],[temp_lb]]+10+RANDBETWEEN(0,100)*RANDBETWEEN(0,10)-RANDBETWEEN(0,10)</f>
        <v>267</v>
      </c>
      <c r="F158" t="b">
        <f>COUNTIF(dict_zuord_Meth_Pos[ID_Positions], table_Positions[[#This Row],[ID]]) &gt; 0</f>
        <v>0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51</v>
      </c>
      <c r="E159">
        <f ca="1">table_Positions[[#This Row],[temp_lb]]+10+RANDBETWEEN(0,100)*RANDBETWEEN(0,10)-RANDBETWEEN(0,10)</f>
        <v>578</v>
      </c>
      <c r="F159" t="b">
        <f>COUNTIF(dict_zuord_Meth_Pos[ID_Positions], table_Positions[[#This Row],[ID]]) &gt; 0</f>
        <v>0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103</v>
      </c>
      <c r="E160">
        <f ca="1">table_Positions[[#This Row],[temp_lb]]+10+RANDBETWEEN(0,100)*RANDBETWEEN(0,10)-RANDBETWEEN(0,10)</f>
        <v>374</v>
      </c>
      <c r="F160" t="b">
        <f>COUNTIF(dict_zuord_Meth_Pos[ID_Positions], table_Positions[[#This Row],[ID]]) &gt; 0</f>
        <v>0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15</v>
      </c>
      <c r="E161">
        <f ca="1">table_Positions[[#This Row],[temp_lb]]+10+RANDBETWEEN(0,100)*RANDBETWEEN(0,10)-RANDBETWEEN(0,10)</f>
        <v>31</v>
      </c>
      <c r="F161" t="b">
        <f>COUNTIF(dict_zuord_Meth_Pos[ID_Positions], table_Positions[[#This Row],[ID]]) &gt; 0</f>
        <v>0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10</v>
      </c>
      <c r="E162">
        <f ca="1">table_Positions[[#This Row],[temp_lb]]+10+RANDBETWEEN(0,100)*RANDBETWEEN(0,10)-RANDBETWEEN(0,10)</f>
        <v>648</v>
      </c>
      <c r="F162" t="b">
        <f>COUNTIF(dict_zuord_Meth_Pos[ID_Positions], table_Positions[[#This Row],[ID]]) &gt; 0</f>
        <v>0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90</v>
      </c>
      <c r="E163">
        <f ca="1">table_Positions[[#This Row],[temp_lb]]+10+RANDBETWEEN(0,100)*RANDBETWEEN(0,10)-RANDBETWEEN(0,10)</f>
        <v>399</v>
      </c>
      <c r="F163" t="b">
        <f>COUNTIF(dict_zuord_Meth_Pos[ID_Positions], table_Positions[[#This Row],[ID]]) &gt; 0</f>
        <v>0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23</v>
      </c>
      <c r="E164">
        <f ca="1">table_Positions[[#This Row],[temp_lb]]+10+RANDBETWEEN(0,100)*RANDBETWEEN(0,10)-RANDBETWEEN(0,10)</f>
        <v>374</v>
      </c>
      <c r="F164" t="b">
        <f>COUNTIF(dict_zuord_Meth_Pos[ID_Positions], table_Positions[[#This Row],[ID]]) &gt; 0</f>
        <v>0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5</v>
      </c>
      <c r="E165">
        <f ca="1">table_Positions[[#This Row],[temp_lb]]+10+RANDBETWEEN(0,100)*RANDBETWEEN(0,10)-RANDBETWEEN(0,10)</f>
        <v>719</v>
      </c>
      <c r="F165" t="b">
        <f>COUNTIF(dict_zuord_Meth_Pos[ID_Positions], table_Positions[[#This Row],[ID]]) &gt; 0</f>
        <v>0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37</v>
      </c>
      <c r="E166">
        <f ca="1">table_Positions[[#This Row],[temp_lb]]+10+RANDBETWEEN(0,100)*RANDBETWEEN(0,10)-RANDBETWEEN(0,10)</f>
        <v>262</v>
      </c>
      <c r="F166" t="b">
        <f>COUNTIF(dict_zuord_Meth_Pos[ID_Positions], table_Positions[[#This Row],[ID]]) &gt; 0</f>
        <v>0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76</v>
      </c>
      <c r="E167">
        <f ca="1">table_Positions[[#This Row],[temp_lb]]+10+RANDBETWEEN(0,100)*RANDBETWEEN(0,10)-RANDBETWEEN(0,10)</f>
        <v>397</v>
      </c>
      <c r="F167" t="b">
        <f>COUNTIF(dict_zuord_Meth_Pos[ID_Positions], table_Positions[[#This Row],[ID]]) &gt; 0</f>
        <v>0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18</v>
      </c>
      <c r="E168">
        <f ca="1">table_Positions[[#This Row],[temp_lb]]+10+RANDBETWEEN(0,100)*RANDBETWEEN(0,10)-RANDBETWEEN(0,10)</f>
        <v>708</v>
      </c>
      <c r="F168" t="b">
        <f>COUNTIF(dict_zuord_Meth_Pos[ID_Positions], table_Positions[[#This Row],[ID]]) &gt; 0</f>
        <v>0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55</v>
      </c>
      <c r="E169">
        <f ca="1">table_Positions[[#This Row],[temp_lb]]+10+RANDBETWEEN(0,100)*RANDBETWEEN(0,10)-RANDBETWEEN(0,10)</f>
        <v>117</v>
      </c>
      <c r="F169" t="b">
        <f>COUNTIF(dict_zuord_Meth_Pos[ID_Positions], table_Positions[[#This Row],[ID]]) &gt; 0</f>
        <v>0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45</v>
      </c>
      <c r="E170">
        <f ca="1">table_Positions[[#This Row],[temp_lb]]+10+RANDBETWEEN(0,100)*RANDBETWEEN(0,10)-RANDBETWEEN(0,10)</f>
        <v>111</v>
      </c>
      <c r="F170" t="b">
        <f>COUNTIF(dict_zuord_Meth_Pos[ID_Positions], table_Positions[[#This Row],[ID]]) &gt; 0</f>
        <v>0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4</v>
      </c>
      <c r="E171">
        <f ca="1">table_Positions[[#This Row],[temp_lb]]+10+RANDBETWEEN(0,100)*RANDBETWEEN(0,10)-RANDBETWEEN(0,10)</f>
        <v>274</v>
      </c>
      <c r="F171" t="b">
        <f>COUNTIF(dict_zuord_Meth_Pos[ID_Positions], table_Positions[[#This Row],[ID]]) &gt; 0</f>
        <v>0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8</v>
      </c>
      <c r="E172">
        <f ca="1">table_Positions[[#This Row],[temp_lb]]+10+RANDBETWEEN(0,100)*RANDBETWEEN(0,10)-RANDBETWEEN(0,10)</f>
        <v>615</v>
      </c>
      <c r="F172" t="b">
        <f>COUNTIF(dict_zuord_Meth_Pos[ID_Positions], table_Positions[[#This Row],[ID]]) &gt; 0</f>
        <v>0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35</v>
      </c>
      <c r="E173">
        <f ca="1">table_Positions[[#This Row],[temp_lb]]+10+RANDBETWEEN(0,100)*RANDBETWEEN(0,10)-RANDBETWEEN(0,10)</f>
        <v>705</v>
      </c>
      <c r="F173" t="b">
        <f>COUNTIF(dict_zuord_Meth_Pos[ID_Positions], table_Positions[[#This Row],[ID]]) &gt; 0</f>
        <v>0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102</v>
      </c>
      <c r="E174">
        <f ca="1">table_Positions[[#This Row],[temp_lb]]+10+RANDBETWEEN(0,100)*RANDBETWEEN(0,10)-RANDBETWEEN(0,10)</f>
        <v>228</v>
      </c>
      <c r="F174" t="b">
        <f>COUNTIF(dict_zuord_Meth_Pos[ID_Positions], table_Positions[[#This Row],[ID]]) &gt; 0</f>
        <v>0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60</v>
      </c>
      <c r="E175">
        <f ca="1">table_Positions[[#This Row],[temp_lb]]+10+RANDBETWEEN(0,100)*RANDBETWEEN(0,10)-RANDBETWEEN(0,10)</f>
        <v>286</v>
      </c>
      <c r="F175" t="b">
        <f>COUNTIF(dict_zuord_Meth_Pos[ID_Positions], table_Positions[[#This Row],[ID]]) &gt; 0</f>
        <v>0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48</v>
      </c>
      <c r="E176">
        <f ca="1">table_Positions[[#This Row],[temp_lb]]+10+RANDBETWEEN(0,100)*RANDBETWEEN(0,10)-RANDBETWEEN(0,10)</f>
        <v>200</v>
      </c>
      <c r="F176" t="b">
        <f>COUNTIF(dict_zuord_Meth_Pos[ID_Positions], table_Positions[[#This Row],[ID]]) &gt; 0</f>
        <v>0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52</v>
      </c>
      <c r="E177">
        <f ca="1">table_Positions[[#This Row],[temp_lb]]+10+RANDBETWEEN(0,100)*RANDBETWEEN(0,10)-RANDBETWEEN(0,10)</f>
        <v>260</v>
      </c>
      <c r="F177" t="b">
        <f>COUNTIF(dict_zuord_Meth_Pos[ID_Positions], table_Positions[[#This Row],[ID]]) &gt; 0</f>
        <v>0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26</v>
      </c>
      <c r="E178">
        <f ca="1">table_Positions[[#This Row],[temp_lb]]+10+RANDBETWEEN(0,100)*RANDBETWEEN(0,10)-RANDBETWEEN(0,10)</f>
        <v>453</v>
      </c>
      <c r="F178" t="b">
        <f>COUNTIF(dict_zuord_Meth_Pos[ID_Positions], table_Positions[[#This Row],[ID]]) &gt; 0</f>
        <v>0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29</v>
      </c>
      <c r="E179">
        <f ca="1">table_Positions[[#This Row],[temp_lb]]+10+RANDBETWEEN(0,100)*RANDBETWEEN(0,10)-RANDBETWEEN(0,10)</f>
        <v>509</v>
      </c>
      <c r="F179" t="b">
        <f>COUNTIF(dict_zuord_Meth_Pos[ID_Positions], table_Positions[[#This Row],[ID]]) &gt; 0</f>
        <v>0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14</v>
      </c>
      <c r="E180">
        <f ca="1">table_Positions[[#This Row],[temp_lb]]+10+RANDBETWEEN(0,100)*RANDBETWEEN(0,10)-RANDBETWEEN(0,10)</f>
        <v>19</v>
      </c>
      <c r="F180" t="b">
        <f>COUNTIF(dict_zuord_Meth_Pos[ID_Positions], table_Positions[[#This Row],[ID]]) &gt; 0</f>
        <v>0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82</v>
      </c>
      <c r="E181">
        <f ca="1">table_Positions[[#This Row],[temp_lb]]+10+RANDBETWEEN(0,100)*RANDBETWEEN(0,10)-RANDBETWEEN(0,10)</f>
        <v>228</v>
      </c>
      <c r="F181" t="b">
        <f>COUNTIF(dict_zuord_Meth_Pos[ID_Positions], table_Positions[[#This Row],[ID]]) &gt; 0</f>
        <v>0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8</v>
      </c>
      <c r="E182">
        <f ca="1">table_Positions[[#This Row],[temp_lb]]+10+RANDBETWEEN(0,100)*RANDBETWEEN(0,10)-RANDBETWEEN(0,10)</f>
        <v>709</v>
      </c>
      <c r="F182" t="b">
        <f>COUNTIF(dict_zuord_Meth_Pos[ID_Positions], table_Positions[[#This Row],[ID]]) &gt; 0</f>
        <v>0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10</v>
      </c>
      <c r="E183">
        <f ca="1">table_Positions[[#This Row],[temp_lb]]+10+RANDBETWEEN(0,100)*RANDBETWEEN(0,10)-RANDBETWEEN(0,10)</f>
        <v>96</v>
      </c>
      <c r="F183" t="b">
        <f>COUNTIF(dict_zuord_Meth_Pos[ID_Positions], table_Positions[[#This Row],[ID]]) &gt; 0</f>
        <v>0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28</v>
      </c>
      <c r="E184">
        <f ca="1">table_Positions[[#This Row],[temp_lb]]+10+RANDBETWEEN(0,100)*RANDBETWEEN(0,10)-RANDBETWEEN(0,10)</f>
        <v>394</v>
      </c>
      <c r="F184" t="b">
        <f>COUNTIF(dict_zuord_Meth_Pos[ID_Positions], table_Positions[[#This Row],[ID]]) &gt; 0</f>
        <v>0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32</v>
      </c>
      <c r="E185">
        <f ca="1">table_Positions[[#This Row],[temp_lb]]+10+RANDBETWEEN(0,100)*RANDBETWEEN(0,10)-RANDBETWEEN(0,10)</f>
        <v>38</v>
      </c>
      <c r="F185" t="b">
        <f>COUNTIF(dict_zuord_Meth_Pos[ID_Positions], table_Positions[[#This Row],[ID]]) &gt; 0</f>
        <v>0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4</v>
      </c>
      <c r="E186">
        <f ca="1">table_Positions[[#This Row],[temp_lb]]+10+RANDBETWEEN(0,100)*RANDBETWEEN(0,10)-RANDBETWEEN(0,10)</f>
        <v>61</v>
      </c>
      <c r="F186" t="b">
        <f>COUNTIF(dict_zuord_Meth_Pos[ID_Positions], table_Positions[[#This Row],[ID]]) &gt; 0</f>
        <v>0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16</v>
      </c>
      <c r="E187">
        <f ca="1">table_Positions[[#This Row],[temp_lb]]+10+RANDBETWEEN(0,100)*RANDBETWEEN(0,10)-RANDBETWEEN(0,10)</f>
        <v>413</v>
      </c>
      <c r="F187" t="b">
        <f>COUNTIF(dict_zuord_Meth_Pos[ID_Positions], table_Positions[[#This Row],[ID]]) &gt; 0</f>
        <v>0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12</v>
      </c>
      <c r="E188">
        <f ca="1">table_Positions[[#This Row],[temp_lb]]+10+RANDBETWEEN(0,100)*RANDBETWEEN(0,10)-RANDBETWEEN(0,10)</f>
        <v>211</v>
      </c>
      <c r="F188" t="b">
        <f>COUNTIF(dict_zuord_Meth_Pos[ID_Positions], table_Positions[[#This Row],[ID]]) &gt; 0</f>
        <v>0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48</v>
      </c>
      <c r="E189">
        <f ca="1">table_Positions[[#This Row],[temp_lb]]+10+RANDBETWEEN(0,100)*RANDBETWEEN(0,10)-RANDBETWEEN(0,10)</f>
        <v>78</v>
      </c>
      <c r="F189" t="b">
        <f>COUNTIF(dict_zuord_Meth_Pos[ID_Positions], table_Positions[[#This Row],[ID]]) &gt; 0</f>
        <v>0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82</v>
      </c>
      <c r="E190">
        <f ca="1">table_Positions[[#This Row],[temp_lb]]+10+RANDBETWEEN(0,100)*RANDBETWEEN(0,10)-RANDBETWEEN(0,10)</f>
        <v>111</v>
      </c>
      <c r="F190" t="b">
        <f>COUNTIF(dict_zuord_Meth_Pos[ID_Positions], table_Positions[[#This Row],[ID]]) &gt; 0</f>
        <v>0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27</v>
      </c>
      <c r="E191">
        <f ca="1">table_Positions[[#This Row],[temp_lb]]+10+RANDBETWEEN(0,100)*RANDBETWEEN(0,10)-RANDBETWEEN(0,10)</f>
        <v>156</v>
      </c>
      <c r="F191" t="b">
        <f>COUNTIF(dict_zuord_Meth_Pos[ID_Positions], table_Positions[[#This Row],[ID]]) &gt; 0</f>
        <v>0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12</v>
      </c>
      <c r="E192">
        <f ca="1">table_Positions[[#This Row],[temp_lb]]+10+RANDBETWEEN(0,100)*RANDBETWEEN(0,10)-RANDBETWEEN(0,10)</f>
        <v>490</v>
      </c>
      <c r="F192" t="b">
        <f>COUNTIF(dict_zuord_Meth_Pos[ID_Positions], table_Positions[[#This Row],[ID]]) &gt; 0</f>
        <v>0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0</v>
      </c>
      <c r="D193">
        <f t="shared" ca="1" si="2"/>
        <v>12</v>
      </c>
      <c r="E193">
        <f ca="1">table_Positions[[#This Row],[temp_lb]]+10+RANDBETWEEN(0,100)*RANDBETWEEN(0,10)-RANDBETWEEN(0,10)</f>
        <v>84</v>
      </c>
      <c r="F193" t="b">
        <f>COUNTIF(dict_zuord_Meth_Pos[ID_Positions], table_Positions[[#This Row],[ID]]) &gt; 0</f>
        <v>0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24</v>
      </c>
      <c r="E194">
        <f ca="1">table_Positions[[#This Row],[temp_lb]]+10+RANDBETWEEN(0,100)*RANDBETWEEN(0,10)-RANDBETWEEN(0,10)</f>
        <v>54</v>
      </c>
      <c r="F194" t="b">
        <f>COUNTIF(dict_zuord_Meth_Pos[ID_Positions], table_Positions[[#This Row],[ID]]) &gt; 0</f>
        <v>0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20</v>
      </c>
      <c r="E195">
        <f ca="1">table_Positions[[#This Row],[temp_lb]]+10+RANDBETWEEN(0,100)*RANDBETWEEN(0,10)-RANDBETWEEN(0,10)</f>
        <v>288</v>
      </c>
      <c r="F195" t="b">
        <f>COUNTIF(dict_zuord_Meth_Pos[ID_Positions], table_Positions[[#This Row],[ID]]) &gt; 0</f>
        <v>0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6</v>
      </c>
      <c r="E196">
        <f ca="1">table_Positions[[#This Row],[temp_lb]]+10+RANDBETWEEN(0,100)*RANDBETWEEN(0,10)-RANDBETWEEN(0,10)</f>
        <v>11</v>
      </c>
      <c r="F196" t="b">
        <f>COUNTIF(dict_zuord_Meth_Pos[ID_Positions], table_Positions[[#This Row],[ID]]) &gt; 0</f>
        <v>0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57</v>
      </c>
      <c r="E197">
        <f ca="1">table_Positions[[#This Row],[temp_lb]]+10+RANDBETWEEN(0,100)*RANDBETWEEN(0,10)-RANDBETWEEN(0,10)</f>
        <v>126</v>
      </c>
      <c r="F197" t="b">
        <f>COUNTIF(dict_zuord_Meth_Pos[ID_Positions], table_Positions[[#This Row],[ID]]) &gt; 0</f>
        <v>0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1</v>
      </c>
      <c r="E198">
        <f ca="1">table_Positions[[#This Row],[temp_lb]]+10+RANDBETWEEN(0,100)*RANDBETWEEN(0,10)-RANDBETWEEN(0,10)</f>
        <v>538</v>
      </c>
      <c r="F198" t="b">
        <f>COUNTIF(dict_zuord_Meth_Pos[ID_Positions], table_Positions[[#This Row],[ID]]) &gt; 0</f>
        <v>0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20</v>
      </c>
      <c r="E199">
        <f ca="1">table_Positions[[#This Row],[temp_lb]]+10+RANDBETWEEN(0,100)*RANDBETWEEN(0,10)-RANDBETWEEN(0,10)</f>
        <v>266</v>
      </c>
      <c r="F199" t="b">
        <f>COUNTIF(dict_zuord_Meth_Pos[ID_Positions], table_Positions[[#This Row],[ID]]) &gt; 0</f>
        <v>0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72</v>
      </c>
      <c r="E200">
        <f ca="1">table_Positions[[#This Row],[temp_lb]]+10+RANDBETWEEN(0,100)*RANDBETWEEN(0,10)-RANDBETWEEN(0,10)</f>
        <v>281</v>
      </c>
      <c r="F200" t="b">
        <f>COUNTIF(dict_zuord_Meth_Pos[ID_Positions], table_Positions[[#This Row],[ID]]) &gt; 0</f>
        <v>0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62</v>
      </c>
      <c r="E201">
        <f ca="1">table_Positions[[#This Row],[temp_lb]]+10+RANDBETWEEN(0,100)*RANDBETWEEN(0,10)-RANDBETWEEN(0,10)</f>
        <v>63</v>
      </c>
      <c r="F201" t="b">
        <f>COUNTIF(dict_zuord_Meth_Pos[ID_Positions], table_Positions[[#This Row],[ID]]) &gt; 0</f>
        <v>0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82</v>
      </c>
      <c r="E202">
        <f ca="1">table_Positions[[#This Row],[temp_lb]]+10+RANDBETWEEN(0,100)*RANDBETWEEN(0,10)-RANDBETWEEN(0,10)</f>
        <v>86</v>
      </c>
      <c r="F202" t="b">
        <f>COUNTIF(dict_zuord_Meth_Pos[ID_Positions], table_Positions[[#This Row],[ID]]) &gt; 0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workbookViewId="0">
      <selection activeCell="C3" sqref="C3"/>
    </sheetView>
    <sheetView workbookViewId="1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1241600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</v>
      </c>
      <c r="F2">
        <f ca="1">ROUND(ROUND(1/table_Transfers[[#This Row],[investcost]],3)*RANDBETWEEN(10,100)/10,5)</f>
        <v>0.08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0</v>
      </c>
      <c r="D3">
        <f t="shared" ca="1" si="0"/>
        <v>1075200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152</v>
      </c>
      <c r="F3">
        <f ca="1">ROUND(1/table_Transfers[[#This Row],[investcost]]*RANDBETWEEN(10,100)/10,5)</f>
        <v>2.6970000000000001E-2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1</v>
      </c>
      <c r="D4">
        <f t="shared" ca="1" si="0"/>
        <v>185600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4">
        <f ca="1">ROUND(1/table_Transfers[[#This Row],[investcost]]*RANDBETWEEN(10,100)/10,5)</f>
        <v>0.5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704000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5">
        <f ca="1">ROUND(1/table_Transfers[[#This Row],[investcost]]*RANDBETWEEN(10,100)/10,5)</f>
        <v>7.1999999999999995E-2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0</v>
      </c>
      <c r="D6">
        <f t="shared" ca="1" si="0"/>
        <v>2355200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</v>
      </c>
      <c r="F6">
        <f ca="1">ROUND(1/table_Transfers[[#This Row],[investcost]]*RANDBETWEEN(10,100)/10,5)</f>
        <v>2.0920000000000001E-2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0</v>
      </c>
      <c r="D7">
        <f t="shared" ca="1" si="0"/>
        <v>3276800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221</v>
      </c>
      <c r="F7">
        <f ca="1">ROUND(1/table_Transfers[[#This Row],[investcost]]*RANDBETWEEN(10,100)/10,5)</f>
        <v>7.6899999999999998E-3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1</v>
      </c>
      <c r="D8">
        <f t="shared" ca="1" si="0"/>
        <v>7782400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670</v>
      </c>
      <c r="F8">
        <f ca="1">ROUND(1/table_Transfers[[#This Row],[investcost]]*RANDBETWEEN(10,100)/10,5)</f>
        <v>4.4799999999999996E-3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0</v>
      </c>
      <c r="D9">
        <f t="shared" ca="1" si="0"/>
        <v>19251200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1770</v>
      </c>
      <c r="F9">
        <f ca="1">ROUND(1/table_Transfers[[#This Row],[investcost]]*RANDBETWEEN(10,100)/10,5)</f>
        <v>4.4099999999999999E-3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0</v>
      </c>
      <c r="D10">
        <f t="shared" ca="1" si="0"/>
        <v>1638400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10">
        <f ca="1">ROUND(1/table_Transfers[[#This Row],[investcost]]*RANDBETWEEN(10,100)/10,5)</f>
        <v>3.5540000000000002E-2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0</v>
      </c>
      <c r="D11">
        <f t="shared" ca="1" si="0"/>
        <v>512000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</v>
      </c>
      <c r="F11">
        <f ca="1">ROUND(1/table_Transfers[[#This Row],[investcost]]*RANDBETWEEN(10,100)/10,5)</f>
        <v>0.14792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0</v>
      </c>
      <c r="D12">
        <f t="shared" ca="1" si="0"/>
        <v>11264000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815</v>
      </c>
      <c r="F12">
        <f ca="1">ROUND(1/table_Transfers[[#This Row],[investcost]]*RANDBETWEEN(10,100)/10,5)</f>
        <v>8.7100000000000007E-3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18432000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1551</v>
      </c>
      <c r="F13">
        <f ca="1">ROUND(1/table_Transfers[[#This Row],[investcost]]*RANDBETWEEN(10,100)/10,5)</f>
        <v>6.45E-3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0</v>
      </c>
      <c r="D14">
        <f t="shared" ca="1" si="0"/>
        <v>19865600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1811</v>
      </c>
      <c r="F14">
        <f ca="1">ROUND(1/table_Transfers[[#This Row],[investcost]]*RANDBETWEEN(10,100)/10,5)</f>
        <v>1.1000000000000001E-3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0</v>
      </c>
      <c r="D15">
        <f t="shared" ca="1" si="0"/>
        <v>40550400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2911</v>
      </c>
      <c r="F15">
        <f ca="1">ROUND(1/table_Transfers[[#This Row],[investcost]]*RANDBETWEEN(10,100)/10,5)</f>
        <v>6.2E-4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5324800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522</v>
      </c>
      <c r="F16">
        <f ca="1">ROUND(1/table_Transfers[[#This Row],[investcost]]*RANDBETWEEN(10,100)/10,5)</f>
        <v>1.341E-2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2508800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245</v>
      </c>
      <c r="F17">
        <f ca="1">ROUND(1/table_Transfers[[#This Row],[investcost]]*RANDBETWEEN(10,100)/10,5)</f>
        <v>1.469E-2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0</v>
      </c>
      <c r="D18">
        <f t="shared" ca="1" si="0"/>
        <v>38912000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7797</v>
      </c>
      <c r="F18">
        <f ca="1">ROUND(1/table_Transfers[[#This Row],[investcost]]*RANDBETWEEN(10,100)/10,5)</f>
        <v>7.3999999999999999E-4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0</v>
      </c>
      <c r="D19">
        <f t="shared" ca="1" si="0"/>
        <v>14950400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2142</v>
      </c>
      <c r="F19">
        <f ca="1">ROUND(1/table_Transfers[[#This Row],[investcost]]*RANDBETWEEN(10,100)/10,5)</f>
        <v>3.3600000000000001E-3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0</v>
      </c>
      <c r="D20">
        <f t="shared" ca="1" si="0"/>
        <v>2304000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285</v>
      </c>
      <c r="F20">
        <f ca="1">ROUND(1/table_Transfers[[#This Row],[investcost]]*RANDBETWEEN(10,100)/10,5)</f>
        <v>4.5599999999999998E-3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0</v>
      </c>
      <c r="D21">
        <f t="shared" ca="1" si="0"/>
        <v>256000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</v>
      </c>
      <c r="F21">
        <f ca="1">ROUND(1/table_Transfers[[#This Row],[investcost]]*RANDBETWEEN(10,100)/10,5)</f>
        <v>0.10625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0</v>
      </c>
      <c r="D22">
        <f t="shared" ca="1" si="0"/>
        <v>4608000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492</v>
      </c>
      <c r="F22">
        <f ca="1">ROUND(1/table_Transfers[[#This Row],[investcost]]*RANDBETWEEN(10,100)/10,5)</f>
        <v>1.524E-2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0</v>
      </c>
      <c r="D23">
        <f t="shared" ca="1" si="0"/>
        <v>1190400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23">
        <f ca="1">ROUND(1/table_Transfers[[#This Row],[investcost]]*RANDBETWEEN(10,100)/10,5)</f>
        <v>6.2179999999999999E-2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0</v>
      </c>
      <c r="D24">
        <f t="shared" ca="1" si="0"/>
        <v>3379200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263</v>
      </c>
      <c r="F24">
        <f ca="1">ROUND(1/table_Transfers[[#This Row],[investcost]]*RANDBETWEEN(10,100)/10,5)</f>
        <v>2.0150000000000001E-2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0</v>
      </c>
      <c r="D25">
        <f t="shared" ca="1" si="0"/>
        <v>12492800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2123</v>
      </c>
      <c r="F25">
        <f ca="1">ROUND(1/table_Transfers[[#This Row],[investcost]]*RANDBETWEEN(10,100)/10,5)</f>
        <v>6.0999999999999997E-4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0</v>
      </c>
      <c r="D26">
        <f t="shared" ca="1" si="0"/>
        <v>2355200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</v>
      </c>
      <c r="F26">
        <f ca="1">ROUND(1/table_Transfers[[#This Row],[investcost]]*RANDBETWEEN(10,100)/10,5)</f>
        <v>1.9269999999999999E-2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0</v>
      </c>
      <c r="D27">
        <f t="shared" ca="1" si="0"/>
        <v>3532800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626</v>
      </c>
      <c r="F27">
        <f ca="1">ROUND(1/table_Transfers[[#This Row],[investcost]]*RANDBETWEEN(10,100)/10,5)</f>
        <v>1.5180000000000001E-2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0</v>
      </c>
      <c r="D28">
        <f t="shared" ca="1" si="0"/>
        <v>4249600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553</v>
      </c>
      <c r="F28">
        <f ca="1">ROUND(1/table_Transfers[[#This Row],[investcost]]*RANDBETWEEN(10,100)/10,5)</f>
        <v>1.8079999999999999E-2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0</v>
      </c>
      <c r="D29">
        <f t="shared" ca="1" si="0"/>
        <v>7372800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1224</v>
      </c>
      <c r="F29">
        <f ca="1">ROUND(1/table_Transfers[[#This Row],[investcost]]*RANDBETWEEN(10,100)/10,5)</f>
        <v>7.0299999999999998E-3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6144000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507</v>
      </c>
      <c r="F30">
        <f ca="1">ROUND(1/table_Transfers[[#This Row],[investcost]]*RANDBETWEEN(10,100)/10,5)</f>
        <v>1.302E-2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0</v>
      </c>
      <c r="D31">
        <f t="shared" ca="1" si="0"/>
        <v>9420800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1383</v>
      </c>
      <c r="F31">
        <f ca="1">ROUND(1/table_Transfers[[#This Row],[investcost]]*RANDBETWEEN(10,100)/10,5)</f>
        <v>1.16E-3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0</v>
      </c>
      <c r="D32">
        <f t="shared" ca="1" si="0"/>
        <v>5734400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839</v>
      </c>
      <c r="F32">
        <f ca="1">ROUND(1/table_Transfers[[#This Row],[investcost]]*RANDBETWEEN(10,100)/10,5)</f>
        <v>2.0300000000000001E-3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550400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33">
        <f ca="1">ROUND(1/table_Transfers[[#This Row],[investcost]]*RANDBETWEEN(10,100)/10,5)</f>
        <v>4.8840000000000001E-2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0</v>
      </c>
      <c r="D34">
        <f t="shared" ref="D34:D65" ca="1" si="1">2^RANDBETWEEN(6,12)*100*RANDBETWEEN(10,100)</f>
        <v>37683200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2927</v>
      </c>
      <c r="F34">
        <f ca="1">ROUND(1/table_Transfers[[#This Row],[investcost]]*RANDBETWEEN(10,100)/10,5)</f>
        <v>6.4999999999999997E-4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0</v>
      </c>
      <c r="D35">
        <f t="shared" ca="1" si="1"/>
        <v>281600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35">
        <f ca="1">ROUND(1/table_Transfers[[#This Row],[investcost]]*RANDBETWEEN(10,100)/10,5)</f>
        <v>0.12540000000000001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0</v>
      </c>
      <c r="D36">
        <f t="shared" ca="1" si="1"/>
        <v>1228800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</v>
      </c>
      <c r="F36">
        <f ca="1">ROUND(1/table_Transfers[[#This Row],[investcost]]*RANDBETWEEN(10,100)/10,5)</f>
        <v>2.657E-2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0</v>
      </c>
      <c r="D37">
        <f t="shared" ca="1" si="1"/>
        <v>7987200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1354</v>
      </c>
      <c r="F37">
        <f ca="1">ROUND(1/table_Transfers[[#This Row],[investcost]]*RANDBETWEEN(10,100)/10,5)</f>
        <v>1.33E-3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0</v>
      </c>
      <c r="D38">
        <f t="shared" ca="1" si="1"/>
        <v>2048000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335</v>
      </c>
      <c r="F38">
        <f ca="1">ROUND(1/table_Transfers[[#This Row],[investcost]]*RANDBETWEEN(10,100)/10,5)</f>
        <v>1.3129999999999999E-2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0</v>
      </c>
      <c r="D39">
        <f t="shared" ca="1" si="1"/>
        <v>627200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</v>
      </c>
      <c r="F39">
        <f ca="1">ROUND(1/table_Transfers[[#This Row],[investcost]]*RANDBETWEEN(10,100)/10,5)</f>
        <v>0.12307999999999999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0</v>
      </c>
      <c r="D40">
        <f t="shared" ca="1" si="1"/>
        <v>2611200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457</v>
      </c>
      <c r="F40">
        <f ca="1">ROUND(1/table_Transfers[[#This Row],[investcost]]*RANDBETWEEN(10,100)/10,5)</f>
        <v>1.9689999999999999E-2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0</v>
      </c>
      <c r="D41">
        <f t="shared" ca="1" si="1"/>
        <v>29491200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2721</v>
      </c>
      <c r="F41">
        <f ca="1">ROUND(1/table_Transfers[[#This Row],[investcost]]*RANDBETWEEN(10,100)/10,5)</f>
        <v>2.2799999999999999E-3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0</v>
      </c>
      <c r="D42">
        <f t="shared" ca="1" si="1"/>
        <v>15360000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1916</v>
      </c>
      <c r="F42">
        <f ca="1">ROUND(1/table_Transfers[[#This Row],[investcost]]*RANDBETWEEN(10,100)/10,5)</f>
        <v>2.4499999999999999E-3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0</v>
      </c>
      <c r="D43">
        <f t="shared" ca="1" si="1"/>
        <v>217600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</v>
      </c>
      <c r="F43">
        <f ca="1">ROUND(1/table_Transfers[[#This Row],[investcost]]*RANDBETWEEN(10,100)/10,5)</f>
        <v>0.46500000000000002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0</v>
      </c>
      <c r="D44">
        <f t="shared" ca="1" si="1"/>
        <v>17203200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1148</v>
      </c>
      <c r="F44">
        <f ca="1">ROUND(1/table_Transfers[[#This Row],[investcost]]*RANDBETWEEN(10,100)/10,5)</f>
        <v>1.0499999999999999E-3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11468800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951</v>
      </c>
      <c r="F45">
        <f ca="1">ROUND(1/table_Transfers[[#This Row],[investcost]]*RANDBETWEEN(10,100)/10,5)</f>
        <v>2E-3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0</v>
      </c>
      <c r="D46">
        <f t="shared" ca="1" si="1"/>
        <v>678400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46">
        <f ca="1">ROUND(1/table_Transfers[[#This Row],[investcost]]*RANDBETWEEN(10,100)/10,5)</f>
        <v>0.11817999999999999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0</v>
      </c>
      <c r="D47">
        <f t="shared" ca="1" si="1"/>
        <v>10240000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783</v>
      </c>
      <c r="F47">
        <f ca="1">ROUND(1/table_Transfers[[#This Row],[investcost]]*RANDBETWEEN(10,100)/10,5)</f>
        <v>1.2800000000000001E-3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0</v>
      </c>
      <c r="D48">
        <f t="shared" ca="1" si="1"/>
        <v>13721600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1522</v>
      </c>
      <c r="F48">
        <f ca="1">ROUND(1/table_Transfers[[#This Row],[investcost]]*RANDBETWEEN(10,100)/10,5)</f>
        <v>1.1199999999999999E-3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0</v>
      </c>
      <c r="D49">
        <f t="shared" ca="1" si="1"/>
        <v>345600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49">
        <f ca="1">ROUND(1/table_Transfers[[#This Row],[investcost]]*RANDBETWEEN(10,100)/10,5)</f>
        <v>8.6360000000000006E-2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1126400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</v>
      </c>
      <c r="F50">
        <f ca="1">ROUND(1/table_Transfers[[#This Row],[investcost]]*RANDBETWEEN(10,100)/10,5)</f>
        <v>1.523E-2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0</v>
      </c>
      <c r="D51">
        <f t="shared" ca="1" si="1"/>
        <v>601600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51">
        <f ca="1">ROUND(1/table_Transfers[[#This Row],[investcost]]*RANDBETWEEN(10,100)/10,5)</f>
        <v>1.29E-2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1</v>
      </c>
      <c r="D52">
        <f t="shared" ca="1" si="1"/>
        <v>960000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</v>
      </c>
      <c r="F52">
        <f ca="1">ROUND(1/table_Transfers[[#This Row],[investcost]]*RANDBETWEEN(10,100)/10,5)</f>
        <v>1.119E-2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2329600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212</v>
      </c>
      <c r="F53">
        <f ca="1">ROUND(1/table_Transfers[[#This Row],[investcost]]*RANDBETWEEN(10,100)/10,5)</f>
        <v>2.3109999999999999E-2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0</v>
      </c>
      <c r="D54">
        <f t="shared" ca="1" si="1"/>
        <v>8806400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647</v>
      </c>
      <c r="F54">
        <f ca="1">ROUND(1/table_Transfers[[#This Row],[investcost]]*RANDBETWEEN(10,100)/10,5)</f>
        <v>5.7200000000000003E-3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0</v>
      </c>
      <c r="D55">
        <f t="shared" ca="1" si="1"/>
        <v>24985600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1796</v>
      </c>
      <c r="F55">
        <f ca="1">ROUND(1/table_Transfers[[#This Row],[investcost]]*RANDBETWEEN(10,100)/10,5)</f>
        <v>3.1199999999999999E-3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20275200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1384</v>
      </c>
      <c r="F56">
        <f ca="1">ROUND(1/table_Transfers[[#This Row],[investcost]]*RANDBETWEEN(10,100)/10,5)</f>
        <v>5.0600000000000003E-3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0</v>
      </c>
      <c r="D57">
        <f t="shared" ca="1" si="1"/>
        <v>1740800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244</v>
      </c>
      <c r="F57">
        <f ca="1">ROUND(1/table_Transfers[[#This Row],[investcost]]*RANDBETWEEN(10,100)/10,5)</f>
        <v>3.9750000000000001E-2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0</v>
      </c>
      <c r="D58">
        <f t="shared" ca="1" si="1"/>
        <v>2355200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186</v>
      </c>
      <c r="F58">
        <f ca="1">ROUND(1/table_Transfers[[#This Row],[investcost]]*RANDBETWEEN(10,100)/10,5)</f>
        <v>9.6799999999999994E-3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358400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</v>
      </c>
      <c r="F59">
        <f ca="1">ROUND(1/table_Transfers[[#This Row],[investcost]]*RANDBETWEEN(10,100)/10,5)</f>
        <v>5.3129999999999997E-2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0</v>
      </c>
      <c r="D60">
        <f t="shared" ca="1" si="1"/>
        <v>8294400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730</v>
      </c>
      <c r="F60">
        <f ca="1">ROUND(1/table_Transfers[[#This Row],[investcost]]*RANDBETWEEN(10,100)/10,5)</f>
        <v>5.2100000000000002E-3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0</v>
      </c>
      <c r="D61">
        <f t="shared" ca="1" si="1"/>
        <v>3686400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251</v>
      </c>
      <c r="F61">
        <f ca="1">ROUND(1/table_Transfers[[#This Row],[investcost]]*RANDBETWEEN(10,100)/10,5)</f>
        <v>2.5899999999999999E-2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1</v>
      </c>
      <c r="D62">
        <f t="shared" ca="1" si="1"/>
        <v>409600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</v>
      </c>
      <c r="F62">
        <f ca="1">ROUND(1/table_Transfers[[#This Row],[investcost]]*RANDBETWEEN(10,100)/10,5)</f>
        <v>2.1600000000000001E-2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0</v>
      </c>
      <c r="D63">
        <f t="shared" ca="1" si="1"/>
        <v>7372800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693</v>
      </c>
      <c r="F63">
        <f ca="1">ROUND(1/table_Transfers[[#This Row],[investcost]]*RANDBETWEEN(10,100)/10,5)</f>
        <v>1.3849999999999999E-2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0</v>
      </c>
      <c r="D64">
        <f t="shared" ca="1" si="1"/>
        <v>576000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F64">
        <f ca="1">ROUND(1/table_Transfers[[#This Row],[investcost]]*RANDBETWEEN(10,100)/10,5)</f>
        <v>5.4390000000000001E-2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0</v>
      </c>
      <c r="D65">
        <f t="shared" ca="1" si="1"/>
        <v>537600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</v>
      </c>
      <c r="F65">
        <f ca="1">ROUND(1/table_Transfers[[#This Row],[investcost]]*RANDBETWEEN(10,100)/10,5)</f>
        <v>4.786E-2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0</v>
      </c>
      <c r="D66">
        <f t="shared" ref="D66:D129" ca="1" si="2">2^RANDBETWEEN(6,12)*100*RANDBETWEEN(10,100)</f>
        <v>4147200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712</v>
      </c>
      <c r="F66">
        <f ca="1">ROUND(1/table_Transfers[[#This Row],[investcost]]*RANDBETWEEN(10,100)/10,5)</f>
        <v>1.5399999999999999E-3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0</v>
      </c>
      <c r="D67">
        <f t="shared" ca="1" si="2"/>
        <v>2867200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288</v>
      </c>
      <c r="F67">
        <f ca="1">ROUND(1/table_Transfers[[#This Row],[investcost]]*RANDBETWEEN(10,100)/10,5)</f>
        <v>2.0830000000000001E-2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0</v>
      </c>
      <c r="D68">
        <f t="shared" ca="1" si="2"/>
        <v>217600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68">
        <f ca="1">ROUND(1/table_Transfers[[#This Row],[investcost]]*RANDBETWEEN(10,100)/10,5)</f>
        <v>8.5370000000000001E-2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0</v>
      </c>
      <c r="D69">
        <f t="shared" ca="1" si="2"/>
        <v>7680000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1300</v>
      </c>
      <c r="F69">
        <f ca="1">ROUND(1/table_Transfers[[#This Row],[investcost]]*RANDBETWEEN(10,100)/10,5)</f>
        <v>4.2300000000000003E-3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0</v>
      </c>
      <c r="D70">
        <f t="shared" ca="1" si="2"/>
        <v>896000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</v>
      </c>
      <c r="F70">
        <f ca="1">ROUND(1/table_Transfers[[#This Row],[investcost]]*RANDBETWEEN(10,100)/10,5)</f>
        <v>2.2579999999999999E-2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0</v>
      </c>
      <c r="D71">
        <f t="shared" ca="1" si="2"/>
        <v>4505600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413</v>
      </c>
      <c r="F71">
        <f ca="1">ROUND(1/table_Transfers[[#This Row],[investcost]]*RANDBETWEEN(10,100)/10,5)</f>
        <v>1.2829999999999999E-2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121600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</v>
      </c>
      <c r="F72">
        <f ca="1">ROUND(1/table_Transfers[[#This Row],[investcost]]*RANDBETWEEN(10,100)/10,5)</f>
        <v>0.12143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1894400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205</v>
      </c>
      <c r="F73">
        <f ca="1">ROUND(1/table_Transfers[[#This Row],[investcost]]*RANDBETWEEN(10,100)/10,5)</f>
        <v>2.4389999999999998E-2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2969600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355</v>
      </c>
      <c r="F74">
        <f ca="1">ROUND(1/table_Transfers[[#This Row],[investcost]]*RANDBETWEEN(10,100)/10,5)</f>
        <v>6.4799999999999996E-3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0</v>
      </c>
      <c r="D75">
        <f t="shared" ca="1" si="2"/>
        <v>2073600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208</v>
      </c>
      <c r="F75">
        <f ca="1">ROUND(1/table_Transfers[[#This Row],[investcost]]*RANDBETWEEN(10,100)/10,5)</f>
        <v>3.5099999999999999E-2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0</v>
      </c>
      <c r="D76">
        <f t="shared" ca="1" si="2"/>
        <v>20070400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1688</v>
      </c>
      <c r="F76">
        <f ca="1">ROUND(1/table_Transfers[[#This Row],[investcost]]*RANDBETWEEN(10,100)/10,5)</f>
        <v>4.0299999999999997E-3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0</v>
      </c>
      <c r="D77">
        <f t="shared" ca="1" si="2"/>
        <v>1177600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111</v>
      </c>
      <c r="F77">
        <f ca="1">ROUND(1/table_Transfers[[#This Row],[investcost]]*RANDBETWEEN(10,100)/10,5)</f>
        <v>6.216E-2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0</v>
      </c>
      <c r="D78">
        <f t="shared" ca="1" si="2"/>
        <v>2252800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188</v>
      </c>
      <c r="F78">
        <f ca="1">ROUND(1/table_Transfers[[#This Row],[investcost]]*RANDBETWEEN(10,100)/10,5)</f>
        <v>1.436E-2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0</v>
      </c>
      <c r="D79">
        <f t="shared" ca="1" si="2"/>
        <v>7782400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884</v>
      </c>
      <c r="F79">
        <f ca="1">ROUND(1/table_Transfers[[#This Row],[investcost]]*RANDBETWEEN(10,100)/10,5)</f>
        <v>3.5100000000000001E-3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0</v>
      </c>
      <c r="D80">
        <f t="shared" ca="1" si="2"/>
        <v>26624000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2252</v>
      </c>
      <c r="F80">
        <f ca="1">ROUND(1/table_Transfers[[#This Row],[investcost]]*RANDBETWEEN(10,100)/10,5)</f>
        <v>3.3300000000000001E-3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0</v>
      </c>
      <c r="D81">
        <f t="shared" ca="1" si="2"/>
        <v>31539200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2641</v>
      </c>
      <c r="F81">
        <f ca="1">ROUND(1/table_Transfers[[#This Row],[investcost]]*RANDBETWEEN(10,100)/10,5)</f>
        <v>3.63E-3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0</v>
      </c>
      <c r="D82">
        <f t="shared" ca="1" si="2"/>
        <v>5734400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1176</v>
      </c>
      <c r="F82">
        <f ca="1">ROUND(1/table_Transfers[[#This Row],[investcost]]*RANDBETWEEN(10,100)/10,5)</f>
        <v>2.0400000000000001E-3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1536000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</v>
      </c>
      <c r="F83">
        <f ca="1">ROUND(1/table_Transfers[[#This Row],[investcost]]*RANDBETWEEN(10,100)/10,5)</f>
        <v>2.2960000000000001E-2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0</v>
      </c>
      <c r="D84">
        <f t="shared" ca="1" si="2"/>
        <v>358400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</v>
      </c>
      <c r="F84">
        <f ca="1">ROUND(1/table_Transfers[[#This Row],[investcost]]*RANDBETWEEN(10,100)/10,5)</f>
        <v>0.17407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0</v>
      </c>
      <c r="D85">
        <f t="shared" ca="1" si="2"/>
        <v>128000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85">
        <f ca="1">ROUND(1/table_Transfers[[#This Row],[investcost]]*RANDBETWEEN(10,100)/10,5)</f>
        <v>5.8139999999999997E-2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0</v>
      </c>
      <c r="D86">
        <f t="shared" ca="1" si="2"/>
        <v>9011200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1534</v>
      </c>
      <c r="F86">
        <f ca="1">ROUND(1/table_Transfers[[#This Row],[investcost]]*RANDBETWEEN(10,100)/10,5)</f>
        <v>1.9599999999999999E-3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0</v>
      </c>
      <c r="D87">
        <f t="shared" ca="1" si="2"/>
        <v>14336000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1481</v>
      </c>
      <c r="F87">
        <f ca="1">ROUND(1/table_Transfers[[#This Row],[investcost]]*RANDBETWEEN(10,100)/10,5)</f>
        <v>6.8000000000000005E-4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0</v>
      </c>
      <c r="D88">
        <f t="shared" ca="1" si="2"/>
        <v>17203200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3449</v>
      </c>
      <c r="F88">
        <f ca="1">ROUND(1/table_Transfers[[#This Row],[investcost]]*RANDBETWEEN(10,100)/10,5)</f>
        <v>1.3600000000000001E-3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5734400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997</v>
      </c>
      <c r="F89">
        <f ca="1">ROUND(1/table_Transfers[[#This Row],[investcost]]*RANDBETWEEN(10,100)/10,5)</f>
        <v>5.3200000000000001E-3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0</v>
      </c>
      <c r="D90">
        <f t="shared" ca="1" si="2"/>
        <v>2764800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420</v>
      </c>
      <c r="F90">
        <f ca="1">ROUND(1/table_Transfers[[#This Row],[investcost]]*RANDBETWEEN(10,100)/10,5)</f>
        <v>8.5699999999999995E-3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2457600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274</v>
      </c>
      <c r="F91">
        <f ca="1">ROUND(1/table_Transfers[[#This Row],[investcost]]*RANDBETWEEN(10,100)/10,5)</f>
        <v>1.8610000000000002E-2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0</v>
      </c>
      <c r="D92">
        <f t="shared" ca="1" si="2"/>
        <v>384000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92">
        <f ca="1">ROUND(1/table_Transfers[[#This Row],[investcost]]*RANDBETWEEN(10,100)/10,5)</f>
        <v>7.1050000000000002E-2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20275200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4069</v>
      </c>
      <c r="F93">
        <f ca="1">ROUND(1/table_Transfers[[#This Row],[investcost]]*RANDBETWEEN(10,100)/10,5)</f>
        <v>1.3799999999999999E-3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2048000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164</v>
      </c>
      <c r="F94">
        <f ca="1">ROUND(1/table_Transfers[[#This Row],[investcost]]*RANDBETWEEN(10,100)/10,5)</f>
        <v>5.4879999999999998E-2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2150400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277</v>
      </c>
      <c r="F95">
        <f ca="1">ROUND(1/table_Transfers[[#This Row],[investcost]]*RANDBETWEEN(10,100)/10,5)</f>
        <v>1.119E-2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0</v>
      </c>
      <c r="D96">
        <f t="shared" ca="1" si="2"/>
        <v>1139200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</v>
      </c>
      <c r="F96">
        <f ca="1">ROUND(1/table_Transfers[[#This Row],[investcost]]*RANDBETWEEN(10,100)/10,5)</f>
        <v>5.6669999999999998E-2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0</v>
      </c>
      <c r="D97">
        <f t="shared" ca="1" si="2"/>
        <v>7168000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520</v>
      </c>
      <c r="F97">
        <f ca="1">ROUND(1/table_Transfers[[#This Row],[investcost]]*RANDBETWEEN(10,100)/10,5)</f>
        <v>1.038E-2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0</v>
      </c>
      <c r="D98">
        <f t="shared" ca="1" si="2"/>
        <v>10854400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1017</v>
      </c>
      <c r="F98">
        <f ca="1">ROUND(1/table_Transfers[[#This Row],[investcost]]*RANDBETWEEN(10,100)/10,5)</f>
        <v>7.1799999999999998E-3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29081600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2432</v>
      </c>
      <c r="F99">
        <f ca="1">ROUND(1/table_Transfers[[#This Row],[investcost]]*RANDBETWEEN(10,100)/10,5)</f>
        <v>1.4400000000000001E-3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1280000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296</v>
      </c>
      <c r="F100">
        <f ca="1">ROUND(1/table_Transfers[[#This Row],[investcost]]*RANDBETWEEN(10,100)/10,5)</f>
        <v>3.2770000000000001E-2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0</v>
      </c>
      <c r="D101">
        <f t="shared" ca="1" si="2"/>
        <v>1228800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F101">
        <f ca="1">ROUND(1/table_Transfers[[#This Row],[investcost]]*RANDBETWEEN(10,100)/10,5)</f>
        <v>4.5760000000000002E-2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0</v>
      </c>
      <c r="D102">
        <f t="shared" ca="1" si="2"/>
        <v>5017600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454</v>
      </c>
      <c r="F102">
        <f ca="1">ROUND(1/table_Transfers[[#This Row],[investcost]]*RANDBETWEEN(10,100)/10,5)</f>
        <v>5.9500000000000004E-3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0</v>
      </c>
      <c r="D103">
        <f t="shared" ca="1" si="2"/>
        <v>121600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</v>
      </c>
      <c r="F103">
        <f ca="1">ROUND(1/table_Transfers[[#This Row],[investcost]]*RANDBETWEEN(10,100)/10,5)</f>
        <v>0.22941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0</v>
      </c>
      <c r="D104">
        <f t="shared" ca="1" si="2"/>
        <v>4608000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336</v>
      </c>
      <c r="F104">
        <f ca="1">ROUND(1/table_Transfers[[#This Row],[investcost]]*RANDBETWEEN(10,100)/10,5)</f>
        <v>2.47E-2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0</v>
      </c>
      <c r="D105">
        <f t="shared" ca="1" si="2"/>
        <v>14745600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2126</v>
      </c>
      <c r="F105">
        <f ca="1">ROUND(1/table_Transfers[[#This Row],[investcost]]*RANDBETWEEN(10,100)/10,5)</f>
        <v>2.9199999999999999E-3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1</v>
      </c>
      <c r="D106">
        <f t="shared" ca="1" si="2"/>
        <v>26214400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2410</v>
      </c>
      <c r="F106">
        <f ca="1">ROUND(1/table_Transfers[[#This Row],[investcost]]*RANDBETWEEN(10,100)/10,5)</f>
        <v>3.8999999999999998E-3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0</v>
      </c>
      <c r="D107">
        <f t="shared" ca="1" si="2"/>
        <v>960000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142</v>
      </c>
      <c r="F107">
        <f ca="1">ROUND(1/table_Transfers[[#This Row],[investcost]]*RANDBETWEEN(10,100)/10,5)</f>
        <v>3.5209999999999998E-2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243200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</v>
      </c>
      <c r="F108">
        <f ca="1">ROUND(1/table_Transfers[[#This Row],[investcost]]*RANDBETWEEN(10,100)/10,5)</f>
        <v>0.25357000000000002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0</v>
      </c>
      <c r="D109">
        <f t="shared" ca="1" si="2"/>
        <v>1715200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383</v>
      </c>
      <c r="F109">
        <f ca="1">ROUND(1/table_Transfers[[#This Row],[investcost]]*RANDBETWEEN(10,100)/10,5)</f>
        <v>2.2190000000000001E-2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0</v>
      </c>
      <c r="D110">
        <f t="shared" ca="1" si="2"/>
        <v>35635200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3968</v>
      </c>
      <c r="F110">
        <f ca="1">ROUND(1/table_Transfers[[#This Row],[investcost]]*RANDBETWEEN(10,100)/10,5)</f>
        <v>1.92E-3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0</v>
      </c>
      <c r="D111">
        <f t="shared" ca="1" si="2"/>
        <v>4710400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334</v>
      </c>
      <c r="F111">
        <f ca="1">ROUND(1/table_Transfers[[#This Row],[investcost]]*RANDBETWEEN(10,100)/10,5)</f>
        <v>1.3169999999999999E-2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0</v>
      </c>
      <c r="D112">
        <f t="shared" ca="1" si="2"/>
        <v>1766400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</v>
      </c>
      <c r="F112">
        <f ca="1">ROUND(1/table_Transfers[[#This Row],[investcost]]*RANDBETWEEN(10,100)/10,5)</f>
        <v>5.0909999999999997E-2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0</v>
      </c>
      <c r="D113">
        <f t="shared" ca="1" si="2"/>
        <v>3276800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322</v>
      </c>
      <c r="F113">
        <f ca="1">ROUND(1/table_Transfers[[#This Row],[investcost]]*RANDBETWEEN(10,100)/10,5)</f>
        <v>6.5199999999999998E-3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0</v>
      </c>
      <c r="D114">
        <f t="shared" ca="1" si="2"/>
        <v>1241600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114">
        <f ca="1">ROUND(1/table_Transfers[[#This Row],[investcost]]*RANDBETWEEN(10,100)/10,5)</f>
        <v>4.1509999999999998E-2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0</v>
      </c>
      <c r="D115">
        <f t="shared" ca="1" si="2"/>
        <v>3788800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641</v>
      </c>
      <c r="F115">
        <f ca="1">ROUND(1/table_Transfers[[#This Row],[investcost]]*RANDBETWEEN(10,100)/10,5)</f>
        <v>1.3729999999999999E-2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6758400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994</v>
      </c>
      <c r="F116">
        <f ca="1">ROUND(1/table_Transfers[[#This Row],[investcost]]*RANDBETWEEN(10,100)/10,5)</f>
        <v>1.31E-3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1</v>
      </c>
      <c r="D117">
        <f t="shared" ca="1" si="2"/>
        <v>15155200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1412</v>
      </c>
      <c r="F117">
        <f ca="1">ROUND(1/table_Transfers[[#This Row],[investcost]]*RANDBETWEEN(10,100)/10,5)</f>
        <v>6.5199999999999998E-3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12288000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1222</v>
      </c>
      <c r="F118">
        <f ca="1">ROUND(1/table_Transfers[[#This Row],[investcost]]*RANDBETWEEN(10,100)/10,5)</f>
        <v>8.0999999999999996E-3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0</v>
      </c>
      <c r="D119">
        <f t="shared" ca="1" si="2"/>
        <v>262400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119">
        <f ca="1">ROUND(1/table_Transfers[[#This Row],[investcost]]*RANDBETWEEN(10,100)/10,5)</f>
        <v>9.3329999999999996E-2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0</v>
      </c>
      <c r="D120">
        <f t="shared" ca="1" si="2"/>
        <v>89600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</v>
      </c>
      <c r="F120">
        <f ca="1">ROUND(1/table_Transfers[[#This Row],[investcost]]*RANDBETWEEN(10,100)/10,5)</f>
        <v>0.43478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1</v>
      </c>
      <c r="D121">
        <f t="shared" ca="1" si="2"/>
        <v>1715200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</v>
      </c>
      <c r="F121">
        <f ca="1">ROUND(1/table_Transfers[[#This Row],[investcost]]*RANDBETWEEN(10,100)/10,5)</f>
        <v>5.9240000000000001E-2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0</v>
      </c>
      <c r="D122">
        <f t="shared" ca="1" si="2"/>
        <v>4556800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546</v>
      </c>
      <c r="F122">
        <f ca="1">ROUND(1/table_Transfers[[#This Row],[investcost]]*RANDBETWEEN(10,100)/10,5)</f>
        <v>6.4099999999999999E-3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1</v>
      </c>
      <c r="D123">
        <f t="shared" ca="1" si="2"/>
        <v>4915200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372</v>
      </c>
      <c r="F123">
        <f ca="1">ROUND(1/table_Transfers[[#This Row],[investcost]]*RANDBETWEEN(10,100)/10,5)</f>
        <v>1.559E-2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0</v>
      </c>
      <c r="D124">
        <f t="shared" ca="1" si="2"/>
        <v>40140800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3654</v>
      </c>
      <c r="F124">
        <f ca="1">ROUND(1/table_Transfers[[#This Row],[investcost]]*RANDBETWEEN(10,100)/10,5)</f>
        <v>1.3699999999999999E-3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0</v>
      </c>
      <c r="D125">
        <f t="shared" ca="1" si="2"/>
        <v>2355200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248</v>
      </c>
      <c r="F125">
        <f ca="1">ROUND(1/table_Transfers[[#This Row],[investcost]]*RANDBETWEEN(10,100)/10,5)</f>
        <v>2.7820000000000001E-2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6246400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786</v>
      </c>
      <c r="F126">
        <f ca="1">ROUND(1/table_Transfers[[#This Row],[investcost]]*RANDBETWEEN(10,100)/10,5)</f>
        <v>4.8300000000000001E-3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7577600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771</v>
      </c>
      <c r="F127">
        <f ca="1">ROUND(1/table_Transfers[[#This Row],[investcost]]*RANDBETWEEN(10,100)/10,5)</f>
        <v>5.0600000000000003E-3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0</v>
      </c>
      <c r="D128">
        <f t="shared" ca="1" si="2"/>
        <v>5939200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433</v>
      </c>
      <c r="F128">
        <f ca="1">ROUND(1/table_Transfers[[#This Row],[investcost]]*RANDBETWEEN(10,100)/10,5)</f>
        <v>9.9299999999999996E-3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1382400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</v>
      </c>
      <c r="F129">
        <f ca="1">ROUND(1/table_Transfers[[#This Row],[investcost]]*RANDBETWEEN(10,100)/10,5)</f>
        <v>5.1159999999999997E-2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307200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130">
        <f ca="1">ROUND(1/table_Transfers[[#This Row],[investcost]]*RANDBETWEEN(10,100)/10,5)</f>
        <v>0.14000000000000001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0</v>
      </c>
      <c r="D131">
        <f t="shared" ca="1" si="3"/>
        <v>12083200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1754</v>
      </c>
      <c r="F131">
        <f ca="1">ROUND(1/table_Transfers[[#This Row],[investcost]]*RANDBETWEEN(10,100)/10,5)</f>
        <v>5.0699999999999999E-3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0</v>
      </c>
      <c r="D132">
        <f t="shared" ca="1" si="3"/>
        <v>1740800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330</v>
      </c>
      <c r="F132">
        <f ca="1">ROUND(1/table_Transfers[[#This Row],[investcost]]*RANDBETWEEN(10,100)/10,5)</f>
        <v>1.636E-2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37683200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2725</v>
      </c>
      <c r="F133">
        <f ca="1">ROUND(1/table_Transfers[[#This Row],[investcost]]*RANDBETWEEN(10,100)/10,5)</f>
        <v>2.1299999999999999E-3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0</v>
      </c>
      <c r="D134">
        <f t="shared" ca="1" si="3"/>
        <v>3532800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712</v>
      </c>
      <c r="F134">
        <f ca="1">ROUND(1/table_Transfers[[#This Row],[investcost]]*RANDBETWEEN(10,100)/10,5)</f>
        <v>2.2499999999999998E-3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0</v>
      </c>
      <c r="D135">
        <f t="shared" ca="1" si="3"/>
        <v>563200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</v>
      </c>
      <c r="F135">
        <f ca="1">ROUND(1/table_Transfers[[#This Row],[investcost]]*RANDBETWEEN(10,100)/10,5)</f>
        <v>8.7359999999999993E-2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26624000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2976</v>
      </c>
      <c r="F136">
        <f ca="1">ROUND(1/table_Transfers[[#This Row],[investcost]]*RANDBETWEEN(10,100)/10,5)</f>
        <v>2.3500000000000001E-3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34406400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2865</v>
      </c>
      <c r="F137">
        <f ca="1">ROUND(1/table_Transfers[[#This Row],[investcost]]*RANDBETWEEN(10,100)/10,5)</f>
        <v>4.2000000000000002E-4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0</v>
      </c>
      <c r="D138">
        <f t="shared" ca="1" si="3"/>
        <v>39731200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3071</v>
      </c>
      <c r="F138">
        <f ca="1">ROUND(1/table_Transfers[[#This Row],[investcost]]*RANDBETWEEN(10,100)/10,5)</f>
        <v>1.2999999999999999E-3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0</v>
      </c>
      <c r="D139">
        <f t="shared" ca="1" si="3"/>
        <v>332800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139">
        <f ca="1">ROUND(1/table_Transfers[[#This Row],[investcost]]*RANDBETWEEN(10,100)/10,5)</f>
        <v>0.14194000000000001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0</v>
      </c>
      <c r="D140">
        <f t="shared" ca="1" si="3"/>
        <v>13312000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1496</v>
      </c>
      <c r="F140">
        <f ca="1">ROUND(1/table_Transfers[[#This Row],[investcost]]*RANDBETWEEN(10,100)/10,5)</f>
        <v>3.0100000000000001E-3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1024000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141">
        <f ca="1">ROUND(1/table_Transfers[[#This Row],[investcost]]*RANDBETWEEN(10,100)/10,5)</f>
        <v>7.4260000000000007E-2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0</v>
      </c>
      <c r="D142">
        <f t="shared" ca="1" si="3"/>
        <v>1164800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142">
        <f ca="1">ROUND(1/table_Transfers[[#This Row],[investcost]]*RANDBETWEEN(10,100)/10,5)</f>
        <v>1.653E-2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1280000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</v>
      </c>
      <c r="F143">
        <f ca="1">ROUND(1/table_Transfers[[#This Row],[investcost]]*RANDBETWEEN(10,100)/10,5)</f>
        <v>4.2380000000000001E-2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0</v>
      </c>
      <c r="D144">
        <f t="shared" ca="1" si="3"/>
        <v>29900800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4301</v>
      </c>
      <c r="F144">
        <f ca="1">ROUND(1/table_Transfers[[#This Row],[investcost]]*RANDBETWEEN(10,100)/10,5)</f>
        <v>1.4E-3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7782400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1105</v>
      </c>
      <c r="F145">
        <f ca="1">ROUND(1/table_Transfers[[#This Row],[investcost]]*RANDBETWEEN(10,100)/10,5)</f>
        <v>7.3299999999999997E-3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0</v>
      </c>
      <c r="D146">
        <f t="shared" ca="1" si="3"/>
        <v>537600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146">
        <f ca="1">ROUND(1/table_Transfers[[#This Row],[investcost]]*RANDBETWEEN(10,100)/10,5)</f>
        <v>0.10159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0</v>
      </c>
      <c r="D147">
        <f t="shared" ca="1" si="3"/>
        <v>2048000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159</v>
      </c>
      <c r="F147">
        <f ca="1">ROUND(1/table_Transfers[[#This Row],[investcost]]*RANDBETWEEN(10,100)/10,5)</f>
        <v>2.2009999999999998E-2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0</v>
      </c>
      <c r="D148">
        <f t="shared" ca="1" si="3"/>
        <v>5734400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485</v>
      </c>
      <c r="F148">
        <f ca="1">ROUND(1/table_Transfers[[#This Row],[investcost]]*RANDBETWEEN(10,100)/10,5)</f>
        <v>7.6299999999999996E-3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0</v>
      </c>
      <c r="D149">
        <f t="shared" ca="1" si="3"/>
        <v>409600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F149">
        <f ca="1">ROUND(1/table_Transfers[[#This Row],[investcost]]*RANDBETWEEN(10,100)/10,5)</f>
        <v>0.11282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0</v>
      </c>
      <c r="D150">
        <f t="shared" ca="1" si="3"/>
        <v>3840000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371</v>
      </c>
      <c r="F150">
        <f ca="1">ROUND(1/table_Transfers[[#This Row],[investcost]]*RANDBETWEEN(10,100)/10,5)</f>
        <v>5.3899999999999998E-3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0</v>
      </c>
      <c r="D151">
        <f t="shared" ca="1" si="3"/>
        <v>2560000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380</v>
      </c>
      <c r="F151">
        <f ca="1">ROUND(1/table_Transfers[[#This Row],[investcost]]*RANDBETWEEN(10,100)/10,5)</f>
        <v>0.02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0</v>
      </c>
      <c r="D152">
        <f t="shared" ca="1" si="3"/>
        <v>6144000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557</v>
      </c>
      <c r="F152">
        <f ca="1">ROUND(1/table_Transfers[[#This Row],[investcost]]*RANDBETWEEN(10,100)/10,5)</f>
        <v>1.3639999999999999E-2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0</v>
      </c>
      <c r="D153">
        <f t="shared" ca="1" si="3"/>
        <v>1177600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271</v>
      </c>
      <c r="F153">
        <f ca="1">ROUND(1/table_Transfers[[#This Row],[investcost]]*RANDBETWEEN(10,100)/10,5)</f>
        <v>2.1770000000000001E-2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15360000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1958</v>
      </c>
      <c r="F154">
        <f ca="1">ROUND(1/table_Transfers[[#This Row],[investcost]]*RANDBETWEEN(10,100)/10,5)</f>
        <v>2.81E-3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1075200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F155">
        <f ca="1">ROUND(1/table_Transfers[[#This Row],[investcost]]*RANDBETWEEN(10,100)/10,5)</f>
        <v>8.5559999999999997E-2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0</v>
      </c>
      <c r="D156">
        <f t="shared" ca="1" si="3"/>
        <v>6758400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1147</v>
      </c>
      <c r="F156">
        <f ca="1">ROUND(1/table_Transfers[[#This Row],[investcost]]*RANDBETWEEN(10,100)/10,5)</f>
        <v>3.14E-3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0</v>
      </c>
      <c r="D157">
        <f t="shared" ca="1" si="3"/>
        <v>3072000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457</v>
      </c>
      <c r="F157">
        <f ca="1">ROUND(1/table_Transfers[[#This Row],[investcost]]*RANDBETWEEN(10,100)/10,5)</f>
        <v>1.685E-2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0</v>
      </c>
      <c r="D158">
        <f t="shared" ca="1" si="3"/>
        <v>1100800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</v>
      </c>
      <c r="F158">
        <f ca="1">ROUND(1/table_Transfers[[#This Row],[investcost]]*RANDBETWEEN(10,100)/10,5)</f>
        <v>6.6180000000000003E-2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1</v>
      </c>
      <c r="D159">
        <f t="shared" ca="1" si="3"/>
        <v>3276800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414</v>
      </c>
      <c r="F159">
        <f ca="1">ROUND(1/table_Transfers[[#This Row],[investcost]]*RANDBETWEEN(10,100)/10,5)</f>
        <v>2.053E-2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1408000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</v>
      </c>
      <c r="F160">
        <f ca="1">ROUND(1/table_Transfers[[#This Row],[investcost]]*RANDBETWEEN(10,100)/10,5)</f>
        <v>4.9209999999999997E-2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0</v>
      </c>
      <c r="D161">
        <f t="shared" ca="1" si="3"/>
        <v>16384000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1362</v>
      </c>
      <c r="F161">
        <f ca="1">ROUND(1/table_Transfers[[#This Row],[investcost]]*RANDBETWEEN(10,100)/10,5)</f>
        <v>2.9399999999999999E-3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0</v>
      </c>
      <c r="D162">
        <f t="shared" ca="1" si="3"/>
        <v>268800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62">
        <f ca="1">ROUND(1/table_Transfers[[#This Row],[investcost]]*RANDBETWEEN(10,100)/10,5)</f>
        <v>0.59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1</v>
      </c>
      <c r="D163">
        <f t="shared" ca="1" si="3"/>
        <v>153600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163">
        <f ca="1">ROUND(1/table_Transfers[[#This Row],[investcost]]*RANDBETWEEN(10,100)/10,5)</f>
        <v>0.12877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0</v>
      </c>
      <c r="D164">
        <f t="shared" ca="1" si="3"/>
        <v>256000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</v>
      </c>
      <c r="F164">
        <f ca="1">ROUND(1/table_Transfers[[#This Row],[investcost]]*RANDBETWEEN(10,100)/10,5)</f>
        <v>0.1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0</v>
      </c>
      <c r="D165">
        <f t="shared" ca="1" si="3"/>
        <v>17612800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3546</v>
      </c>
      <c r="F165">
        <f ca="1">ROUND(1/table_Transfers[[#This Row],[investcost]]*RANDBETWEEN(10,100)/10,5)</f>
        <v>2.5699999999999998E-3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0</v>
      </c>
      <c r="D166">
        <f t="shared" ca="1" si="3"/>
        <v>140800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166">
        <f ca="1">ROUND(1/table_Transfers[[#This Row],[investcost]]*RANDBETWEEN(10,100)/10,5)</f>
        <v>0.22092999999999999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0</v>
      </c>
      <c r="D167">
        <f t="shared" ca="1" si="3"/>
        <v>320000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167">
        <f ca="1">ROUND(1/table_Transfers[[#This Row],[investcost]]*RANDBETWEEN(10,100)/10,5)</f>
        <v>0.1225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0</v>
      </c>
      <c r="D168">
        <f t="shared" ca="1" si="3"/>
        <v>614400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168">
        <f ca="1">ROUND(1/table_Transfers[[#This Row],[investcost]]*RANDBETWEEN(10,100)/10,5)</f>
        <v>5.6599999999999998E-2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0</v>
      </c>
      <c r="D169">
        <f t="shared" ca="1" si="3"/>
        <v>1152000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</v>
      </c>
      <c r="F169">
        <f ca="1">ROUND(1/table_Transfers[[#This Row],[investcost]]*RANDBETWEEN(10,100)/10,5)</f>
        <v>3.7249999999999998E-2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0</v>
      </c>
      <c r="D170">
        <f t="shared" ca="1" si="3"/>
        <v>832000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</v>
      </c>
      <c r="F170">
        <f ca="1">ROUND(1/table_Transfers[[#This Row],[investcost]]*RANDBETWEEN(10,100)/10,5)</f>
        <v>2.989E-2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0</v>
      </c>
      <c r="D171">
        <f t="shared" ca="1" si="3"/>
        <v>13516800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2731</v>
      </c>
      <c r="F171">
        <f ca="1">ROUND(1/table_Transfers[[#This Row],[investcost]]*RANDBETWEEN(10,100)/10,5)</f>
        <v>2.0100000000000001E-3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0</v>
      </c>
      <c r="D172">
        <f t="shared" ca="1" si="3"/>
        <v>780800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172">
        <f ca="1">ROUND(1/table_Transfers[[#This Row],[investcost]]*RANDBETWEEN(10,100)/10,5)</f>
        <v>4.2999999999999997E-2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0</v>
      </c>
      <c r="D173">
        <f t="shared" ca="1" si="3"/>
        <v>294400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173">
        <f ca="1">ROUND(1/table_Transfers[[#This Row],[investcost]]*RANDBETWEEN(10,100)/10,5)</f>
        <v>7.9549999999999996E-2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0</v>
      </c>
      <c r="D174">
        <f t="shared" ca="1" si="3"/>
        <v>20889600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1751</v>
      </c>
      <c r="F174">
        <f ca="1">ROUND(1/table_Transfers[[#This Row],[investcost]]*RANDBETWEEN(10,100)/10,5)</f>
        <v>3.2599999999999999E-3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0</v>
      </c>
      <c r="D175">
        <f t="shared" ca="1" si="3"/>
        <v>70400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175">
        <f ca="1">ROUND(1/table_Transfers[[#This Row],[investcost]]*RANDBETWEEN(10,100)/10,5)</f>
        <v>0.10588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409600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176">
        <f ca="1">ROUND(1/table_Transfers[[#This Row],[investcost]]*RANDBETWEEN(10,100)/10,5)</f>
        <v>0.11136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0</v>
      </c>
      <c r="D177">
        <f t="shared" ca="1" si="3"/>
        <v>473600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</v>
      </c>
      <c r="F177">
        <f ca="1">ROUND(1/table_Transfers[[#This Row],[investcost]]*RANDBETWEEN(10,100)/10,5)</f>
        <v>3.3329999999999999E-2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1945600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174</v>
      </c>
      <c r="F178">
        <f ca="1">ROUND(1/table_Transfers[[#This Row],[investcost]]*RANDBETWEEN(10,100)/10,5)</f>
        <v>4.0230000000000002E-2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0</v>
      </c>
      <c r="D179">
        <f t="shared" ca="1" si="3"/>
        <v>614400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179">
        <f ca="1">ROUND(1/table_Transfers[[#This Row],[investcost]]*RANDBETWEEN(10,100)/10,5)</f>
        <v>6.3369999999999996E-2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192000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</v>
      </c>
      <c r="F180">
        <f ca="1">ROUND(1/table_Transfers[[#This Row],[investcost]]*RANDBETWEEN(10,100)/10,5)</f>
        <v>0.12414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0</v>
      </c>
      <c r="D181">
        <f t="shared" ca="1" si="3"/>
        <v>10444800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2100</v>
      </c>
      <c r="F181">
        <f ca="1">ROUND(1/table_Transfers[[#This Row],[investcost]]*RANDBETWEEN(10,100)/10,5)</f>
        <v>2.0999999999999999E-3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0</v>
      </c>
      <c r="D182">
        <f t="shared" ca="1" si="3"/>
        <v>1267200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182">
        <f ca="1">ROUND(1/table_Transfers[[#This Row],[investcost]]*RANDBETWEEN(10,100)/10,5)</f>
        <v>9.4E-2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0</v>
      </c>
      <c r="D183">
        <f t="shared" ca="1" si="3"/>
        <v>5324800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767</v>
      </c>
      <c r="F183">
        <f ca="1">ROUND(1/table_Transfers[[#This Row],[investcost]]*RANDBETWEEN(10,100)/10,5)</f>
        <v>6.13E-3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0</v>
      </c>
      <c r="D184">
        <f t="shared" ca="1" si="3"/>
        <v>358400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</v>
      </c>
      <c r="F184">
        <f ca="1">ROUND(1/table_Transfers[[#This Row],[investcost]]*RANDBETWEEN(10,100)/10,5)</f>
        <v>6.6669999999999993E-2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9728000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1244</v>
      </c>
      <c r="F185">
        <f ca="1">ROUND(1/table_Transfers[[#This Row],[investcost]]*RANDBETWEEN(10,100)/10,5)</f>
        <v>2.33E-3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0</v>
      </c>
      <c r="D186">
        <f t="shared" ca="1" si="3"/>
        <v>2662400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224</v>
      </c>
      <c r="F186">
        <f ca="1">ROUND(1/table_Transfers[[#This Row],[investcost]]*RANDBETWEEN(10,100)/10,5)</f>
        <v>3.5270000000000003E-2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1</v>
      </c>
      <c r="D187">
        <f t="shared" ca="1" si="3"/>
        <v>1228800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</v>
      </c>
      <c r="F187">
        <f ca="1">ROUND(1/table_Transfers[[#This Row],[investcost]]*RANDBETWEEN(10,100)/10,5)</f>
        <v>7.4050000000000005E-2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1</v>
      </c>
      <c r="D188">
        <f t="shared" ca="1" si="3"/>
        <v>2022400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207</v>
      </c>
      <c r="F188">
        <f ca="1">ROUND(1/table_Transfers[[#This Row],[investcost]]*RANDBETWEEN(10,100)/10,5)</f>
        <v>3.8649999999999997E-2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0</v>
      </c>
      <c r="D189">
        <f t="shared" ca="1" si="3"/>
        <v>256000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189">
        <f ca="1">ROUND(1/table_Transfers[[#This Row],[investcost]]*RANDBETWEEN(10,100)/10,5)</f>
        <v>0.16578999999999999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0</v>
      </c>
      <c r="D190">
        <f t="shared" ca="1" si="3"/>
        <v>28262400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3140</v>
      </c>
      <c r="F190">
        <f ca="1">ROUND(1/table_Transfers[[#This Row],[investcost]]*RANDBETWEEN(10,100)/10,5)</f>
        <v>5.6999999999999998E-4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0</v>
      </c>
      <c r="D191">
        <f t="shared" ca="1" si="3"/>
        <v>7680000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566</v>
      </c>
      <c r="F191">
        <f ca="1">ROUND(1/table_Transfers[[#This Row],[investcost]]*RANDBETWEEN(10,100)/10,5)</f>
        <v>3.8899999999999998E-3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0</v>
      </c>
      <c r="D192">
        <f t="shared" ca="1" si="3"/>
        <v>6758400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483</v>
      </c>
      <c r="F192">
        <f ca="1">ROUND(1/table_Transfers[[#This Row],[investcost]]*RANDBETWEEN(10,100)/10,5)</f>
        <v>1.1390000000000001E-2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0</v>
      </c>
      <c r="D193">
        <f t="shared" ca="1" si="3"/>
        <v>13312000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1923</v>
      </c>
      <c r="F193">
        <f ca="1">ROUND(1/table_Transfers[[#This Row],[investcost]]*RANDBETWEEN(10,100)/10,5)</f>
        <v>1.72E-3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1</v>
      </c>
      <c r="D194">
        <f t="shared" ref="D194:D202" ca="1" si="4">2^RANDBETWEEN(6,12)*100*RANDBETWEEN(10,100)</f>
        <v>6553600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1315</v>
      </c>
      <c r="F194">
        <f ca="1">ROUND(1/table_Transfers[[#This Row],[investcost]]*RANDBETWEEN(10,100)/10,5)</f>
        <v>1.2899999999999999E-3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0</v>
      </c>
      <c r="D195">
        <f t="shared" ca="1" si="4"/>
        <v>2406400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255</v>
      </c>
      <c r="F195">
        <f ca="1">ROUND(1/table_Transfers[[#This Row],[investcost]]*RANDBETWEEN(10,100)/10,5)</f>
        <v>5.8799999999999998E-3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0</v>
      </c>
      <c r="D196">
        <f t="shared" ca="1" si="4"/>
        <v>364800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196">
        <f ca="1">ROUND(1/table_Transfers[[#This Row],[investcost]]*RANDBETWEEN(10,100)/10,5)</f>
        <v>2.1180000000000001E-2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0</v>
      </c>
      <c r="D197">
        <f t="shared" ca="1" si="4"/>
        <v>2918400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344</v>
      </c>
      <c r="F197">
        <f ca="1">ROUND(1/table_Transfers[[#This Row],[investcost]]*RANDBETWEEN(10,100)/10,5)</f>
        <v>4.3600000000000002E-3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3379200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276</v>
      </c>
      <c r="F198">
        <f ca="1">ROUND(1/table_Transfers[[#This Row],[investcost]]*RANDBETWEEN(10,100)/10,5)</f>
        <v>2.681E-2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0</v>
      </c>
      <c r="D199">
        <f t="shared" ca="1" si="4"/>
        <v>21708800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2195</v>
      </c>
      <c r="F199">
        <f ca="1">ROUND(1/table_Transfers[[#This Row],[investcost]]*RANDBETWEEN(10,100)/10,5)</f>
        <v>2.5999999999999999E-3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0</v>
      </c>
      <c r="D200">
        <f t="shared" ca="1" si="4"/>
        <v>665600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</v>
      </c>
      <c r="F200">
        <f ca="1">ROUND(1/table_Transfers[[#This Row],[investcost]]*RANDBETWEEN(10,100)/10,5)</f>
        <v>1.9769999999999999E-2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2508800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542</v>
      </c>
      <c r="F201">
        <f ca="1">ROUND(1/table_Transfers[[#This Row],[investcost]]*RANDBETWEEN(10,100)/10,5)</f>
        <v>1.439E-2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0</v>
      </c>
      <c r="D202">
        <f t="shared" ca="1" si="4"/>
        <v>2867200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231</v>
      </c>
      <c r="F202">
        <f ca="1">ROUND(1/table_Transfers[[#This Row],[investcost]]*RANDBETWEEN(10,100)/10,5)</f>
        <v>3.2469999999999999E-2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"/>
  <sheetViews>
    <sheetView topLeftCell="A70" workbookViewId="0">
      <selection activeCell="I63" sqref="I63"/>
    </sheetView>
    <sheetView workbookViewId="1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352000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281</v>
      </c>
      <c r="F2">
        <f ca="1">ROUND(ROUND(1/table_Transfers[[#This Row],[investcost]],3)*RANDBETWEEN(5,50)/10,5)</f>
        <v>8.8000000000000005E-3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16640000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</v>
      </c>
      <c r="F3">
        <f ca="1">ROUND(1/table_Transfers[[#This Row],[investcost]]*RANDBETWEEN(10,100)/10,5)</f>
        <v>2.171E-2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54272000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</v>
      </c>
      <c r="F4">
        <f ca="1">ROUND(1/table_Transfers[[#This Row],[investcost]]*RANDBETWEEN(10,100)/10,5)</f>
        <v>0.54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768000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</v>
      </c>
      <c r="F5">
        <f ca="1">ROUND(1/table_Transfers[[#This Row],[investcost]]*RANDBETWEEN(10,100)/10,5)</f>
        <v>2.8000000000000001E-2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2816000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</v>
      </c>
      <c r="F6">
        <f ca="1">ROUND(1/table_Transfers[[#This Row],[investcost]]*RANDBETWEEN(10,100)/10,5)</f>
        <v>4.1329999999999999E-2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4480000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491</v>
      </c>
      <c r="F7">
        <f ca="1">ROUND(1/table_Transfers[[#This Row],[investcost]]*RANDBETWEEN(10,100)/10,5)</f>
        <v>1.6740000000000001E-2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5568000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1597</v>
      </c>
      <c r="F8">
        <f ca="1">ROUND(1/table_Transfers[[#This Row],[investcost]]*RANDBETWEEN(10,100)/10,5)</f>
        <v>1.299E-2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270336000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1918</v>
      </c>
      <c r="F9">
        <f ca="1">ROUND(1/table_Transfers[[#This Row],[investcost]]*RANDBETWEEN(10,100)/10,5)</f>
        <v>1.07E-3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8192000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169</v>
      </c>
      <c r="F10">
        <f ca="1">ROUND(1/table_Transfers[[#This Row],[investcost]]*RANDBETWEEN(10,100)/10,5)</f>
        <v>6.8599999999999994E-2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21504000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120</v>
      </c>
      <c r="F11">
        <f ca="1">ROUND(1/table_Transfers[[#This Row],[investcost]]*RANDBETWEEN(10,100)/10,5)</f>
        <v>0.10625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401408000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841</v>
      </c>
      <c r="F12">
        <f ca="1">ROUND(1/table_Transfers[[#This Row],[investcost]]*RANDBETWEEN(10,100)/10,5)</f>
        <v>7.9799999999999992E-3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30720000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3709</v>
      </c>
      <c r="F13">
        <f ca="1">ROUND(1/table_Transfers[[#This Row],[investcost]]*RANDBETWEEN(10,100)/10,5)</f>
        <v>3.29E-3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37888000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1367</v>
      </c>
      <c r="F14">
        <f ca="1">ROUND(1/table_Transfers[[#This Row],[investcost]]*RANDBETWEEN(10,100)/10,5)</f>
        <v>3.48E-3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45056000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5092</v>
      </c>
      <c r="F15">
        <f ca="1">ROUND(1/table_Transfers[[#This Row],[investcost]]*RANDBETWEEN(10,100)/10,5)</f>
        <v>1.1000000000000001E-3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2496000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923</v>
      </c>
      <c r="F16">
        <f ca="1">ROUND(1/table_Transfers[[#This Row],[investcost]]*RANDBETWEEN(10,100)/10,5)</f>
        <v>1.92E-3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3136000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290</v>
      </c>
      <c r="F17">
        <f ca="1">ROUND(1/table_Transfers[[#This Row],[investcost]]*RANDBETWEEN(10,100)/10,5)</f>
        <v>3.143E-2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24832000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3907</v>
      </c>
      <c r="F18">
        <f ca="1">ROUND(1/table_Transfers[[#This Row],[investcost]]*RANDBETWEEN(10,100)/10,5)</f>
        <v>1.8000000000000001E-4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405504000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1398</v>
      </c>
      <c r="F19">
        <f ca="1">ROUND(1/table_Transfers[[#This Row],[investcost]]*RANDBETWEEN(10,100)/10,5)</f>
        <v>4.4799999999999996E-3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182272000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159</v>
      </c>
      <c r="F20">
        <f ca="1">ROUND(1/table_Transfers[[#This Row],[investcost]]*RANDBETWEEN(10,100)/10,5)</f>
        <v>6.6699999999999997E-3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1984000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</v>
      </c>
      <c r="F21">
        <f ca="1">ROUND(1/table_Transfers[[#This Row],[investcost]]*RANDBETWEEN(10,100)/10,5)</f>
        <v>5.2080000000000001E-2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8064000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532</v>
      </c>
      <c r="F22">
        <f ca="1">ROUND(1/table_Transfers[[#This Row],[investcost]]*RANDBETWEEN(10,100)/10,5)</f>
        <v>7.5199999999999998E-3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9216000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135</v>
      </c>
      <c r="F23">
        <f ca="1">ROUND(1/table_Transfers[[#This Row],[investcost]]*RANDBETWEEN(10,100)/10,5)</f>
        <v>1.176E-2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25600000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270</v>
      </c>
      <c r="F24">
        <f ca="1">ROUND(1/table_Transfers[[#This Row],[investcost]]*RANDBETWEEN(10,100)/10,5)</f>
        <v>3.4979999999999997E-2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1424000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841</v>
      </c>
      <c r="F25">
        <f ca="1">ROUND(1/table_Transfers[[#This Row],[investcost]]*RANDBETWEEN(10,100)/10,5)</f>
        <v>4.1000000000000003E-3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8832000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485</v>
      </c>
      <c r="F26">
        <f ca="1">ROUND(1/table_Transfers[[#This Row],[investcost]]*RANDBETWEEN(10,100)/10,5)</f>
        <v>2.5000000000000001E-2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1088000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329</v>
      </c>
      <c r="F27">
        <f ca="1">ROUND(1/table_Transfers[[#This Row],[investcost]]*RANDBETWEEN(10,100)/10,5)</f>
        <v>2.5600000000000002E-3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416000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337</v>
      </c>
      <c r="F28">
        <f ca="1">ROUND(1/table_Transfers[[#This Row],[investcost]]*RANDBETWEEN(10,100)/10,5)</f>
        <v>1.609E-2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6080000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928</v>
      </c>
      <c r="F29">
        <f ca="1">ROUND(1/table_Transfers[[#This Row],[investcost]]*RANDBETWEEN(10,100)/10,5)</f>
        <v>4.9800000000000001E-3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344064000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1238</v>
      </c>
      <c r="F30">
        <f ca="1">ROUND(1/table_Transfers[[#This Row],[investcost]]*RANDBETWEEN(10,100)/10,5)</f>
        <v>7.1000000000000004E-3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3584000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699</v>
      </c>
      <c r="F31">
        <f ca="1">ROUND(1/table_Transfers[[#This Row],[investcost]]*RANDBETWEEN(10,100)/10,5)</f>
        <v>6.3600000000000002E-3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5632000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856</v>
      </c>
      <c r="F32">
        <f ca="1">ROUND(1/table_Transfers[[#This Row],[investcost]]*RANDBETWEEN(10,100)/10,5)</f>
        <v>3.2200000000000002E-3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896000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</v>
      </c>
      <c r="F33">
        <f ca="1">ROUND(1/table_Transfers[[#This Row],[investcost]]*RANDBETWEEN(10,100)/10,5)</f>
        <v>1.2789999999999999E-2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2432000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6306</v>
      </c>
      <c r="F34">
        <f ca="1">ROUND(1/table_Transfers[[#This Row],[investcost]]*RANDBETWEEN(10,100)/10,5)</f>
        <v>1.91E-3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33280000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</v>
      </c>
      <c r="F35">
        <f ca="1">ROUND(1/table_Transfers[[#This Row],[investcost]]*RANDBETWEEN(10,100)/10,5)</f>
        <v>0.11429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9472000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168</v>
      </c>
      <c r="F36">
        <f ca="1">ROUND(1/table_Transfers[[#This Row],[investcost]]*RANDBETWEEN(10,100)/10,5)</f>
        <v>1.0489999999999999E-2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221184000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591</v>
      </c>
      <c r="F37">
        <f ca="1">ROUND(1/table_Transfers[[#This Row],[investcost]]*RANDBETWEEN(10,100)/10,5)</f>
        <v>7.3899999999999999E-3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1280000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138</v>
      </c>
      <c r="F38">
        <f ca="1">ROUND(1/table_Transfers[[#This Row],[investcost]]*RANDBETWEEN(10,100)/10,5)</f>
        <v>2.5669999999999998E-2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3776000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116</v>
      </c>
      <c r="F39">
        <f ca="1">ROUND(1/table_Transfers[[#This Row],[investcost]]*RANDBETWEEN(10,100)/10,5)</f>
        <v>6.1539999999999997E-2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41472000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254</v>
      </c>
      <c r="F40">
        <f ca="1">ROUND(1/table_Transfers[[#This Row],[investcost]]*RANDBETWEEN(10,100)/10,5)</f>
        <v>1.8599999999999998E-2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43008000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2111</v>
      </c>
      <c r="F41">
        <f ca="1">ROUND(1/table_Transfers[[#This Row],[investcost]]*RANDBETWEEN(10,100)/10,5)</f>
        <v>2.65E-3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8704000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1569</v>
      </c>
      <c r="F42">
        <f ca="1">ROUND(1/table_Transfers[[#This Row],[investcost]]*RANDBETWEEN(10,100)/10,5)</f>
        <v>4.6499999999999996E-3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106496000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43">
        <f ca="1">ROUND(1/table_Transfers[[#This Row],[investcost]]*RANDBETWEEN(10,100)/10,5)</f>
        <v>0.3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126976000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1735</v>
      </c>
      <c r="F44">
        <f ca="1">ROUND(1/table_Transfers[[#This Row],[investcost]]*RANDBETWEEN(10,100)/10,5)</f>
        <v>5.6600000000000001E-3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143360000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1317</v>
      </c>
      <c r="F45">
        <f ca="1">ROUND(1/table_Transfers[[#This Row],[investcost]]*RANDBETWEEN(10,100)/10,5)</f>
        <v>5.0499999999999998E-3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28672000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99</v>
      </c>
      <c r="F46">
        <f ca="1">ROUND(1/table_Transfers[[#This Row],[investcost]]*RANDBETWEEN(10,100)/10,5)</f>
        <v>2.597E-2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3584000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1307</v>
      </c>
      <c r="F47">
        <f ca="1">ROUND(1/table_Transfers[[#This Row],[investcost]]*RANDBETWEEN(10,100)/10,5)</f>
        <v>6.3899999999999998E-3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1600000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1064</v>
      </c>
      <c r="F48">
        <f ca="1">ROUND(1/table_Transfers[[#This Row],[investcost]]*RANDBETWEEN(10,100)/10,5)</f>
        <v>5.0600000000000003E-3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143360000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</v>
      </c>
      <c r="F49">
        <f ca="1">ROUND(1/table_Transfers[[#This Row],[investcost]]*RANDBETWEEN(10,100)/10,5)</f>
        <v>5.4550000000000001E-2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40960000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147</v>
      </c>
      <c r="F50">
        <f ca="1">ROUND(1/table_Transfers[[#This Row],[investcost]]*RANDBETWEEN(10,100)/10,5)</f>
        <v>8.6099999999999996E-3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25088000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125</v>
      </c>
      <c r="F51">
        <f ca="1">ROUND(1/table_Transfers[[#This Row],[investcost]]*RANDBETWEEN(10,100)/10,5)</f>
        <v>3.9780000000000003E-2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9856000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118</v>
      </c>
      <c r="F52">
        <f ca="1">ROUND(1/table_Transfers[[#This Row],[investcost]]*RANDBETWEEN(10,100)/10,5)</f>
        <v>2.7969999999999998E-2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88064000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403</v>
      </c>
      <c r="F53">
        <f ca="1">ROUND(1/table_Transfers[[#This Row],[investcost]]*RANDBETWEEN(10,100)/10,5)</f>
        <v>1.3679999999999999E-2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56320000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586</v>
      </c>
      <c r="F54">
        <f ca="1">ROUND(1/table_Transfers[[#This Row],[investcost]]*RANDBETWEEN(10,100)/10,5)</f>
        <v>1.005E-2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81920000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3617</v>
      </c>
      <c r="F55">
        <f ca="1">ROUND(1/table_Transfers[[#This Row],[investcost]]*RANDBETWEEN(10,100)/10,5)</f>
        <v>3.0599999999999998E-3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4096000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1371</v>
      </c>
      <c r="F56">
        <f ca="1">ROUND(1/table_Transfers[[#This Row],[investcost]]*RANDBETWEEN(10,100)/10,5)</f>
        <v>6.4999999999999997E-3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172032000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211</v>
      </c>
      <c r="F57">
        <f ca="1">ROUND(1/table_Transfers[[#This Row],[investcost]]*RANDBETWEEN(10,100)/10,5)</f>
        <v>5.7400000000000003E-3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33792000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226</v>
      </c>
      <c r="F58">
        <f ca="1">ROUND(1/table_Transfers[[#This Row],[investcost]]*RANDBETWEEN(10,100)/10,5)</f>
        <v>5.9100000000000003E-3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224000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59">
        <f ca="1">ROUND(1/table_Transfers[[#This Row],[investcost]]*RANDBETWEEN(10,100)/10,5)</f>
        <v>1.719E-2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21504000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1196</v>
      </c>
      <c r="F60">
        <f ca="1">ROUND(1/table_Transfers[[#This Row],[investcost]]*RANDBETWEEN(10,100)/10,5)</f>
        <v>9.3200000000000002E-3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736000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768</v>
      </c>
      <c r="F61">
        <f ca="1">ROUND(1/table_Transfers[[#This Row],[investcost]]*RANDBETWEEN(10,100)/10,5)</f>
        <v>7.1700000000000002E-3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2432000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62</v>
      </c>
      <c r="F62">
        <f ca="1">ROUND(1/table_Transfers[[#This Row],[investcost]]*RANDBETWEEN(10,100)/10,5)</f>
        <v>7.4399999999999994E-2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352000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651</v>
      </c>
      <c r="F63">
        <f ca="1">ROUND(1/table_Transfers[[#This Row],[investcost]]*RANDBETWEEN(10,100)/10,5)</f>
        <v>9.9600000000000001E-3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7680000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97</v>
      </c>
      <c r="F64">
        <f ca="1">ROUND(1/table_Transfers[[#This Row],[investcost]]*RANDBETWEEN(10,100)/10,5)</f>
        <v>0.15439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3072000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</v>
      </c>
      <c r="F65">
        <f ca="1">ROUND(1/table_Transfers[[#This Row],[investcost]]*RANDBETWEEN(10,100)/10,5)</f>
        <v>2.214E-2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304000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282</v>
      </c>
      <c r="F66">
        <f ca="1">ROUND(1/table_Transfers[[#This Row],[investcost]]*RANDBETWEEN(10,100)/10,5)</f>
        <v>5.3400000000000001E-3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24576000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</v>
      </c>
      <c r="F67">
        <f ca="1">ROUND(1/table_Transfers[[#This Row],[investcost]]*RANDBETWEEN(10,100)/10,5)</f>
        <v>3.1940000000000003E-2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9728000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</v>
      </c>
      <c r="F68">
        <f ca="1">ROUND(1/table_Transfers[[#This Row],[investcost]]*RANDBETWEEN(10,100)/10,5)</f>
        <v>0.23415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20480000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805</v>
      </c>
      <c r="F69">
        <f ca="1">ROUND(1/table_Transfers[[#This Row],[investcost]]*RANDBETWEEN(10,100)/10,5)</f>
        <v>7.0000000000000001E-3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1440000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</v>
      </c>
      <c r="F70">
        <f ca="1">ROUND(1/table_Transfers[[#This Row],[investcost]]*RANDBETWEEN(10,100)/10,5)</f>
        <v>6.694E-2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272000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395</v>
      </c>
      <c r="F71">
        <f ca="1">ROUND(1/table_Transfers[[#This Row],[investcost]]*RANDBETWEEN(10,100)/10,5)</f>
        <v>1.7680000000000001E-2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768000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</v>
      </c>
      <c r="F72">
        <f ca="1">ROUND(1/table_Transfers[[#This Row],[investcost]]*RANDBETWEEN(10,100)/10,5)</f>
        <v>0.18809999999999999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97280000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228</v>
      </c>
      <c r="F73">
        <f ca="1">ROUND(1/table_Transfers[[#This Row],[investcost]]*RANDBETWEEN(10,100)/10,5)</f>
        <v>2.9760000000000002E-2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1632000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396</v>
      </c>
      <c r="F74">
        <f ca="1">ROUND(1/table_Transfers[[#This Row],[investcost]]*RANDBETWEEN(10,100)/10,5)</f>
        <v>4.5100000000000001E-3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97280000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257</v>
      </c>
      <c r="F75">
        <f ca="1">ROUND(1/table_Transfers[[#This Row],[investcost]]*RANDBETWEEN(10,100)/10,5)</f>
        <v>4.7120000000000002E-2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143360000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2247</v>
      </c>
      <c r="F76">
        <f ca="1">ROUND(1/table_Transfers[[#This Row],[investcost]]*RANDBETWEEN(10,100)/10,5)</f>
        <v>3.2000000000000002E-3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26624000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251</v>
      </c>
      <c r="F77">
        <f ca="1">ROUND(1/table_Transfers[[#This Row],[investcost]]*RANDBETWEEN(10,100)/10,5)</f>
        <v>4.3240000000000001E-2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126976000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243</v>
      </c>
      <c r="F78">
        <f ca="1">ROUND(1/table_Transfers[[#This Row],[investcost]]*RANDBETWEEN(10,100)/10,5)</f>
        <v>2.819E-2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1184000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1110</v>
      </c>
      <c r="F79">
        <f ca="1">ROUND(1/table_Transfers[[#This Row],[investcost]]*RANDBETWEEN(10,100)/10,5)</f>
        <v>1.0970000000000001E-2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27648000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2060</v>
      </c>
      <c r="F80">
        <f ca="1">ROUND(1/table_Transfers[[#This Row],[investcost]]*RANDBETWEEN(10,100)/10,5)</f>
        <v>2.8400000000000001E-3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3712000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6345</v>
      </c>
      <c r="F81">
        <f ca="1">ROUND(1/table_Transfers[[#This Row],[investcost]]*RANDBETWEEN(10,100)/10,5)</f>
        <v>2.4199999999999998E-3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2816000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747</v>
      </c>
      <c r="F82">
        <f ca="1">ROUND(1/table_Transfers[[#This Row],[investcost]]*RANDBETWEEN(10,100)/10,5)</f>
        <v>7.8200000000000006E-3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17920000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151</v>
      </c>
      <c r="F83">
        <f ca="1">ROUND(1/table_Transfers[[#This Row],[investcost]]*RANDBETWEEN(10,100)/10,5)</f>
        <v>2.9569999999999999E-2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319488000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</v>
      </c>
      <c r="F84">
        <f ca="1">ROUND(1/table_Transfers[[#This Row],[investcost]]*RANDBETWEEN(10,100)/10,5)</f>
        <v>8.1479999999999997E-2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80896000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</v>
      </c>
      <c r="F85">
        <f ca="1">ROUND(1/table_Transfers[[#This Row],[investcost]]*RANDBETWEEN(10,100)/10,5)</f>
        <v>8.14E-2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4992000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1542</v>
      </c>
      <c r="F86">
        <f ca="1">ROUND(1/table_Transfers[[#This Row],[investcost]]*RANDBETWEEN(10,100)/10,5)</f>
        <v>4.1700000000000001E-3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1536000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1063</v>
      </c>
      <c r="F87">
        <f ca="1">ROUND(1/table_Transfers[[#This Row],[investcost]]*RANDBETWEEN(10,100)/10,5)</f>
        <v>4.1900000000000001E-3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139264000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1455</v>
      </c>
      <c r="F88">
        <f ca="1">ROUND(1/table_Transfers[[#This Row],[investcost]]*RANDBETWEEN(10,100)/10,5)</f>
        <v>1.07E-3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1824000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618</v>
      </c>
      <c r="F89">
        <f ca="1">ROUND(1/table_Transfers[[#This Row],[investcost]]*RANDBETWEEN(10,100)/10,5)</f>
        <v>5.7200000000000003E-3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1088000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206</v>
      </c>
      <c r="F90">
        <f ca="1">ROUND(1/table_Transfers[[#This Row],[investcost]]*RANDBETWEEN(10,100)/10,5)</f>
        <v>2.2380000000000001E-2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1504000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233</v>
      </c>
      <c r="F91">
        <f ca="1">ROUND(1/table_Transfers[[#This Row],[investcost]]*RANDBETWEEN(10,100)/10,5)</f>
        <v>6.1999999999999998E-3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40960000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74</v>
      </c>
      <c r="F92">
        <f ca="1">ROUND(1/table_Transfers[[#This Row],[investcost]]*RANDBETWEEN(10,100)/10,5)</f>
        <v>0.19736999999999999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32768000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4060</v>
      </c>
      <c r="F93">
        <f ca="1">ROUND(1/table_Transfers[[#This Row],[investcost]]*RANDBETWEEN(10,100)/10,5)</f>
        <v>2.0400000000000001E-3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37888000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172</v>
      </c>
      <c r="F94">
        <f ca="1">ROUND(1/table_Transfers[[#This Row],[investcost]]*RANDBETWEEN(10,100)/10,5)</f>
        <v>1.2200000000000001E-2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20480000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</v>
      </c>
      <c r="F95">
        <f ca="1">ROUND(1/table_Transfers[[#This Row],[investcost]]*RANDBETWEEN(10,100)/10,5)</f>
        <v>1.9859999999999999E-2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190464000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188</v>
      </c>
      <c r="F96">
        <f ca="1">ROUND(1/table_Transfers[[#This Row],[investcost]]*RANDBETWEEN(10,100)/10,5)</f>
        <v>0.01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1600000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560</v>
      </c>
      <c r="F97">
        <f ca="1">ROUND(1/table_Transfers[[#This Row],[investcost]]*RANDBETWEEN(10,100)/10,5)</f>
        <v>1.3650000000000001E-2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2816000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945</v>
      </c>
      <c r="F98">
        <f ca="1">ROUND(1/table_Transfers[[#This Row],[investcost]]*RANDBETWEEN(10,100)/10,5)</f>
        <v>2.65E-3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81920000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3667</v>
      </c>
      <c r="F99">
        <f ca="1">ROUND(1/table_Transfers[[#This Row],[investcost]]*RANDBETWEEN(10,100)/10,5)</f>
        <v>4.8999999999999998E-4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11392000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130</v>
      </c>
      <c r="F100">
        <f ca="1">ROUND(1/table_Transfers[[#This Row],[investcost]]*RANDBETWEEN(10,100)/10,5)</f>
        <v>2.5680000000000001E-2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37376000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99</v>
      </c>
      <c r="F101">
        <f ca="1">ROUND(1/table_Transfers[[#This Row],[investcost]]*RANDBETWEEN(10,100)/10,5)</f>
        <v>6.3560000000000005E-2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3328000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637</v>
      </c>
      <c r="F102">
        <f ca="1">ROUND(1/table_Transfers[[#This Row],[investcost]]*RANDBETWEEN(10,100)/10,5)</f>
        <v>1.542E-2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21"/>
  <sheetViews>
    <sheetView tabSelected="1" workbookViewId="0">
      <selection activeCell="L12" sqref="L12"/>
    </sheetView>
    <sheetView workbookViewId="1">
      <selection activeCell="C2" sqref="C2:C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6" width="10.73046875" style="8" bestFit="1" customWidth="1"/>
    <col min="7" max="7" width="11.39843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651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2250.8572999999997</v>
      </c>
      <c r="G2" s="12">
        <f ca="1">(RANDBETWEEN(50,100)/100)*(dict_DQ_Meth_max[[#This Row],[Vergleich_ub]]-dict_DQ_Meth_max[[#This Row],[Vergleich_lb]])+dict_DQ_Meth_max[[#This Row],[Vergleich_lb]]</f>
        <v>6825.8945100000001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0.83899999999999997</v>
      </c>
      <c r="M2" s="10">
        <f ca="1">VLOOKUP(dict_DQ_Meth_max[[#This Row],[ID_DataQualities]],table_DataQualities[],9,FALSE)</f>
        <v>7500.9</v>
      </c>
    </row>
    <row r="3" spans="1:13" x14ac:dyDescent="0.45">
      <c r="A3" s="10">
        <v>0</v>
      </c>
      <c r="B3" s="10">
        <v>300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2925.8627900000001</v>
      </c>
      <c r="G3" s="12">
        <f ca="1">(RANDBETWEEN(50,100)/100)*(dict_DQ_Meth_max[[#This Row],[Vergleich_ub]]-dict_DQ_Meth_max[[#This Row],[Vergleich_lb]])+dict_DQ_Meth_max[[#This Row],[Vergleich_lb]]</f>
        <v>4725.8774299999995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0.83899999999999997</v>
      </c>
      <c r="M3" s="10">
        <f ca="1">VLOOKUP(dict_DQ_Meth_max[[#This Row],[ID_DataQualities]],table_DataQualities[],9,FALSE)</f>
        <v>7500.9</v>
      </c>
    </row>
    <row r="4" spans="1:13" x14ac:dyDescent="0.45">
      <c r="A4" s="10">
        <v>0</v>
      </c>
      <c r="B4" s="10">
        <v>166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2325.8579099999997</v>
      </c>
      <c r="G4" s="12">
        <f ca="1">(RANDBETWEEN(50,100)/100)*(dict_DQ_Meth_max[[#This Row],[Vergleich_ub]]-dict_DQ_Meth_max[[#This Row],[Vergleich_lb]])+dict_DQ_Meth_max[[#This Row],[Vergleich_lb]]</f>
        <v>5100.8804799999998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0.83899999999999997</v>
      </c>
      <c r="M4" s="10">
        <f ca="1">VLOOKUP(dict_DQ_Meth_max[[#This Row],[ID_DataQualities]],table_DataQualities[],9,FALSE)</f>
        <v>7500.9</v>
      </c>
    </row>
    <row r="5" spans="1:13" x14ac:dyDescent="0.45">
      <c r="A5" s="10">
        <v>1</v>
      </c>
      <c r="B5" s="10">
        <v>300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1244.08</v>
      </c>
      <c r="G5" s="12">
        <f ca="1">(RANDBETWEEN(50,100)/100)*(dict_DQ_Meth_max[[#This Row],[Vergleich_ub]]-dict_DQ_Meth_max[[#This Row],[Vergleich_lb]])+dict_DQ_Meth_max[[#This Row],[Vergleich_lb]]</f>
        <v>5601.8799999999992</v>
      </c>
      <c r="H5" s="11" t="str">
        <f ca="1">VLOOKUP(VLOOKUP(dict_DQ_Meth_max[[#This Row],[ID_DataQualities]],table_DataQualities[],3),table_Units[],2)</f>
        <v>bit</v>
      </c>
      <c r="I5" s="10"/>
      <c r="J5" s="10"/>
      <c r="K5" s="10"/>
      <c r="L5" s="10">
        <f ca="1">VLOOKUP(dict_DQ_Meth_max[[#This Row],[ID_DataQualities]],table_DataQualities[],8,FALSE)</f>
        <v>82</v>
      </c>
      <c r="M5" s="10">
        <f ca="1">VLOOKUP(dict_DQ_Meth_max[[#This Row],[ID_DataQualities]],table_DataQualities[],9,FALSE)</f>
        <v>9766</v>
      </c>
    </row>
    <row r="6" spans="1:13" x14ac:dyDescent="0.45">
      <c r="A6" s="10">
        <v>1</v>
      </c>
      <c r="B6" s="10">
        <v>651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2890.3599999999997</v>
      </c>
      <c r="G6" s="12">
        <f ca="1">(RANDBETWEEN(50,100)/100)*(dict_DQ_Meth_max[[#This Row],[Vergleich_ub]]-dict_DQ_Meth_max[[#This Row],[Vergleich_lb]])+dict_DQ_Meth_max[[#This Row],[Vergleich_lb]]</f>
        <v>9281.7999999999993</v>
      </c>
      <c r="H6" s="11" t="str">
        <f ca="1">VLOOKUP(VLOOKUP(dict_DQ_Meth_max[[#This Row],[ID_DataQualities]],table_DataQualities[],3),table_Units[],2)</f>
        <v>bit</v>
      </c>
      <c r="I6" s="10"/>
      <c r="J6" s="10"/>
      <c r="K6" s="10"/>
      <c r="L6" s="10">
        <f ca="1">VLOOKUP(dict_DQ_Meth_max[[#This Row],[ID_DataQualities]],table_DataQualities[],8,FALSE)</f>
        <v>82</v>
      </c>
      <c r="M6" s="10">
        <f ca="1">VLOOKUP(dict_DQ_Meth_max[[#This Row],[ID_DataQualities]],table_DataQualities[],9,FALSE)</f>
        <v>9766</v>
      </c>
    </row>
    <row r="7" spans="1:13" x14ac:dyDescent="0.45">
      <c r="A7" s="10">
        <v>1</v>
      </c>
      <c r="B7" s="10">
        <v>166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178.84</v>
      </c>
      <c r="G7" s="12">
        <f ca="1">(RANDBETWEEN(50,100)/100)*(dict_DQ_Meth_max[[#This Row],[Vergleich_ub]]-dict_DQ_Meth_max[[#This Row],[Vergleich_lb]])+dict_DQ_Meth_max[[#This Row],[Vergleich_lb]]</f>
        <v>4924</v>
      </c>
      <c r="H7" s="11" t="str">
        <f ca="1">VLOOKUP(VLOOKUP(dict_DQ_Meth_max[[#This Row],[ID_DataQualities]],table_DataQualities[],3),table_Units[],2)</f>
        <v>bit</v>
      </c>
      <c r="I7" s="10"/>
      <c r="J7" s="10"/>
      <c r="K7" s="10"/>
      <c r="L7" s="10">
        <f ca="1">VLOOKUP(dict_DQ_Meth_max[[#This Row],[ID_DataQualities]],table_DataQualities[],8,FALSE)</f>
        <v>82</v>
      </c>
      <c r="M7" s="10">
        <f ca="1">VLOOKUP(dict_DQ_Meth_max[[#This Row],[ID_DataQualities]],table_DataQualities[],9,FALSE)</f>
        <v>9766</v>
      </c>
    </row>
    <row r="8" spans="1:13" x14ac:dyDescent="0.45">
      <c r="A8" s="10">
        <v>2</v>
      </c>
      <c r="B8" s="10">
        <v>228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99.011759999999995</v>
      </c>
      <c r="G8" s="12">
        <f ca="1">(RANDBETWEEN(50,100)/100)*(dict_DQ_Meth_max[[#This Row],[Vergleich_ub]]-dict_DQ_Meth_max[[#This Row],[Vergleich_lb]])+dict_DQ_Meth_max[[#This Row],[Vergleich_lb]]</f>
        <v>3146.42832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0.70799999999999996</v>
      </c>
      <c r="M8" s="10">
        <f ca="1">VLOOKUP(dict_DQ_Meth_max[[#This Row],[ID_DataQualities]],table_DataQualities[],9,FALSE)</f>
        <v>3277.5</v>
      </c>
    </row>
    <row r="9" spans="1:13" x14ac:dyDescent="0.45">
      <c r="A9" s="10">
        <v>2</v>
      </c>
      <c r="B9" s="10">
        <v>50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1376.96064</v>
      </c>
      <c r="G9" s="12">
        <f ca="1">(RANDBETWEEN(50,100)/100)*(dict_DQ_Meth_max[[#This Row],[Vergleich_ub]]-dict_DQ_Meth_max[[#This Row],[Vergleich_lb]])+dict_DQ_Meth_max[[#This Row],[Vergleich_lb]]</f>
        <v>2392.7661600000001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0.70799999999999996</v>
      </c>
      <c r="M9" s="10">
        <f ca="1">VLOOKUP(dict_DQ_Meth_max[[#This Row],[ID_DataQualities]],table_DataQualities[],9,FALSE)</f>
        <v>3277.5</v>
      </c>
    </row>
    <row r="10" spans="1:13" x14ac:dyDescent="0.45">
      <c r="A10" s="10">
        <v>2</v>
      </c>
      <c r="B10" s="10">
        <v>178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492.22679999999997</v>
      </c>
      <c r="G10" s="12">
        <f ca="1">(RANDBETWEEN(50,100)/100)*(dict_DQ_Meth_max[[#This Row],[Vergleich_ub]]-dict_DQ_Meth_max[[#This Row],[Vergleich_lb]])+dict_DQ_Meth_max[[#This Row],[Vergleich_lb]]</f>
        <v>2392.7661600000001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0.70799999999999996</v>
      </c>
      <c r="M10" s="10">
        <f ca="1">VLOOKUP(dict_DQ_Meth_max[[#This Row],[ID_DataQualities]],table_DataQualities[],9,FALSE)</f>
        <v>3277.5</v>
      </c>
    </row>
    <row r="11" spans="1:13" x14ac:dyDescent="0.45">
      <c r="A11" s="10">
        <v>2</v>
      </c>
      <c r="B11" s="10">
        <v>349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492.22679999999997</v>
      </c>
      <c r="G11" s="12">
        <f ca="1">(RANDBETWEEN(50,100)/100)*(dict_DQ_Meth_max[[#This Row],[Vergleich_ub]]-dict_DQ_Meth_max[[#This Row],[Vergleich_lb]])+dict_DQ_Meth_max[[#This Row],[Vergleich_lb]]</f>
        <v>2228.9265600000003</v>
      </c>
      <c r="H11" s="11" t="str">
        <f ca="1">VLOOKUP(VLOOKUP(dict_DQ_Meth_max[[#This Row],[ID_DataQualities]],table_DataQualities[],3),table_Units[],2)</f>
        <v>Hz</v>
      </c>
      <c r="I11" s="10"/>
      <c r="J11" s="10"/>
      <c r="K11" s="10"/>
      <c r="L11" s="10">
        <f ca="1">VLOOKUP(dict_DQ_Meth_max[[#This Row],[ID_DataQualities]],table_DataQualities[],8,FALSE)</f>
        <v>0.70799999999999996</v>
      </c>
      <c r="M11" s="10">
        <f ca="1">VLOOKUP(dict_DQ_Meth_max[[#This Row],[ID_DataQualities]],table_DataQualities[],9,FALSE)</f>
        <v>3277.5</v>
      </c>
    </row>
    <row r="12" spans="1:13" x14ac:dyDescent="0.45">
      <c r="A12" s="10">
        <v>3</v>
      </c>
      <c r="B12" s="10">
        <v>50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1.31168</v>
      </c>
      <c r="G12" s="12">
        <f ca="1">(RANDBETWEEN(50,100)/100)*(dict_DQ_Meth_max[[#This Row],[Vergleich_ub]]-dict_DQ_Meth_max[[#This Row],[Vergleich_lb]])+dict_DQ_Meth_max[[#This Row],[Vergleich_lb]]</f>
        <v>1.9215200000000001</v>
      </c>
      <c r="H12" s="11" t="str">
        <f ca="1">VLOOKUP(VLOOKUP(dict_DQ_Meth_max[[#This Row],[ID_DataQualities]],table_DataQualities[],3),table_Units[],2)</f>
        <v>+/- W</v>
      </c>
      <c r="I12" s="10"/>
      <c r="J12" s="10"/>
      <c r="K12" s="10"/>
      <c r="L12" s="10">
        <f ca="1">VLOOKUP(dict_DQ_Meth_max[[#This Row],[ID_DataQualities]],table_DataQualities[],8,FALSE)</f>
        <v>9.1999999999999998E-2</v>
      </c>
      <c r="M12" s="10">
        <f ca="1">VLOOKUP(dict_DQ_Meth_max[[#This Row],[ID_DataQualities]],table_DataQualities[],9,FALSE)</f>
        <v>3.48</v>
      </c>
    </row>
    <row r="13" spans="1:13" x14ac:dyDescent="0.45">
      <c r="A13" s="10">
        <v>3</v>
      </c>
      <c r="B13" s="10">
        <v>349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0.97287999999999997</v>
      </c>
      <c r="G13" s="12">
        <f ca="1">(RANDBETWEEN(50,100)/100)*(dict_DQ_Meth_max[[#This Row],[Vergleich_ub]]-dict_DQ_Meth_max[[#This Row],[Vergleich_lb]])+dict_DQ_Meth_max[[#This Row],[Vergleich_lb]]</f>
        <v>3.3783599999999998</v>
      </c>
      <c r="H13" s="11" t="str">
        <f ca="1">VLOOKUP(VLOOKUP(dict_DQ_Meth_max[[#This Row],[ID_DataQualities]],table_DataQualities[],3),table_Units[],2)</f>
        <v>+/- W</v>
      </c>
      <c r="I13" s="10"/>
      <c r="J13" s="10"/>
      <c r="K13" s="10"/>
      <c r="L13" s="10">
        <f ca="1">VLOOKUP(dict_DQ_Meth_max[[#This Row],[ID_DataQualities]],table_DataQualities[],8,FALSE)</f>
        <v>9.1999999999999998E-2</v>
      </c>
      <c r="M13" s="10">
        <f ca="1">VLOOKUP(dict_DQ_Meth_max[[#This Row],[ID_DataQualities]],table_DataQualities[],9,FALSE)</f>
        <v>3.48</v>
      </c>
    </row>
    <row r="14" spans="1:13" x14ac:dyDescent="0.45">
      <c r="A14" s="10">
        <v>3</v>
      </c>
      <c r="B14" s="10">
        <v>178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1.2778</v>
      </c>
      <c r="G14" s="12">
        <f ca="1">(RANDBETWEEN(50,100)/100)*(dict_DQ_Meth_max[[#This Row],[Vergleich_ub]]-dict_DQ_Meth_max[[#This Row],[Vergleich_lb]])+dict_DQ_Meth_max[[#This Row],[Vergleich_lb]]</f>
        <v>1.9215200000000001</v>
      </c>
      <c r="H14" s="11" t="str">
        <f ca="1">VLOOKUP(VLOOKUP(dict_DQ_Meth_max[[#This Row],[ID_DataQualities]],table_DataQualities[],3),table_Units[],2)</f>
        <v>+/- W</v>
      </c>
      <c r="I14" s="10"/>
      <c r="J14" s="10"/>
      <c r="K14" s="10"/>
      <c r="L14" s="10">
        <f ca="1">VLOOKUP(dict_DQ_Meth_max[[#This Row],[ID_DataQualities]],table_DataQualities[],8,FALSE)</f>
        <v>9.1999999999999998E-2</v>
      </c>
      <c r="M14" s="10">
        <f ca="1">VLOOKUP(dict_DQ_Meth_max[[#This Row],[ID_DataQualities]],table_DataQualities[],9,FALSE)</f>
        <v>3.48</v>
      </c>
    </row>
    <row r="15" spans="1:13" x14ac:dyDescent="0.45">
      <c r="A15" s="10">
        <v>3</v>
      </c>
      <c r="B15" s="10">
        <v>228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1.6843599999999999</v>
      </c>
      <c r="G15" s="12">
        <f ca="1">(RANDBETWEEN(50,100)/100)*(dict_DQ_Meth_max[[#This Row],[Vergleich_ub]]-dict_DQ_Meth_max[[#This Row],[Vergleich_lb]])+dict_DQ_Meth_max[[#This Row],[Vergleich_lb]]</f>
        <v>3.4122399999999997</v>
      </c>
      <c r="H15" s="11" t="str">
        <f ca="1">VLOOKUP(VLOOKUP(dict_DQ_Meth_max[[#This Row],[ID_DataQualities]],table_DataQualities[],3),table_Units[],2)</f>
        <v>+/- W</v>
      </c>
      <c r="I15" s="10"/>
      <c r="J15" s="10"/>
      <c r="K15" s="10"/>
      <c r="L15" s="10">
        <f ca="1">VLOOKUP(dict_DQ_Meth_max[[#This Row],[ID_DataQualities]],table_DataQualities[],8,FALSE)</f>
        <v>9.1999999999999998E-2</v>
      </c>
      <c r="M15" s="10">
        <f ca="1">VLOOKUP(dict_DQ_Meth_max[[#This Row],[ID_DataQualities]],table_DataQualities[],9,FALSE)</f>
        <v>3.48</v>
      </c>
    </row>
    <row r="16" spans="1:13" x14ac:dyDescent="0.45">
      <c r="A16" s="10">
        <v>4</v>
      </c>
      <c r="B16" s="10">
        <v>84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3261.8211599999995</v>
      </c>
      <c r="G16" s="12">
        <f ca="1">(RANDBETWEEN(50,100)/100)*(dict_DQ_Meth_max[[#This Row],[Vergleich_ub]]-dict_DQ_Meth_max[[#This Row],[Vergleich_lb]])+dict_DQ_Meth_max[[#This Row],[Vergleich_lb]]</f>
        <v>4927.1398799999997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0.57199999999999995</v>
      </c>
      <c r="M16" s="10">
        <f ca="1">VLOOKUP(dict_DQ_Meth_max[[#This Row],[ID_DataQualities]],table_DataQualities[],9,FALSE)</f>
        <v>6939.4</v>
      </c>
    </row>
    <row r="17" spans="1:13" x14ac:dyDescent="0.45">
      <c r="A17" s="10">
        <v>4</v>
      </c>
      <c r="B17" s="10">
        <v>696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1874.0555599999998</v>
      </c>
      <c r="G17" s="12">
        <f ca="1">(RANDBETWEEN(50,100)/100)*(dict_DQ_Meth_max[[#This Row],[Vergleich_ub]]-dict_DQ_Meth_max[[#This Row],[Vergleich_lb]])+dict_DQ_Meth_max[[#This Row],[Vergleich_lb]]</f>
        <v>4372.0336399999997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0.57199999999999995</v>
      </c>
      <c r="M17" s="10">
        <f ca="1">VLOOKUP(dict_DQ_Meth_max[[#This Row],[ID_DataQualities]],table_DataQualities[],9,FALSE)</f>
        <v>6939.4</v>
      </c>
    </row>
    <row r="18" spans="1:13" x14ac:dyDescent="0.45">
      <c r="A18" s="10">
        <v>4</v>
      </c>
      <c r="B18" s="10">
        <v>252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763.84307999999999</v>
      </c>
      <c r="G18" s="12">
        <f ca="1">(RANDBETWEEN(50,100)/100)*(dict_DQ_Meth_max[[#This Row],[Vergleich_ub]]-dict_DQ_Meth_max[[#This Row],[Vergleich_lb]])+dict_DQ_Meth_max[[#This Row],[Vergleich_lb]]</f>
        <v>6453.6820399999997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0.57199999999999995</v>
      </c>
      <c r="M18" s="10">
        <f ca="1">VLOOKUP(dict_DQ_Meth_max[[#This Row],[ID_DataQualities]],table_DataQualities[],9,FALSE)</f>
        <v>6939.4</v>
      </c>
    </row>
    <row r="19" spans="1:13" x14ac:dyDescent="0.45">
      <c r="A19" s="10">
        <v>4</v>
      </c>
      <c r="B19" s="10">
        <v>361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3261.8211599999995</v>
      </c>
      <c r="G19" s="12">
        <f ca="1">(RANDBETWEEN(50,100)/100)*(dict_DQ_Meth_max[[#This Row],[Vergleich_ub]]-dict_DQ_Meth_max[[#This Row],[Vergleich_lb]])+dict_DQ_Meth_max[[#This Row],[Vergleich_lb]]</f>
        <v>4857.7515999999996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0.57199999999999995</v>
      </c>
      <c r="M19" s="10">
        <f ca="1">VLOOKUP(dict_DQ_Meth_max[[#This Row],[ID_DataQualities]],table_DataQualities[],9,FALSE)</f>
        <v>6939.4</v>
      </c>
    </row>
    <row r="20" spans="1:13" x14ac:dyDescent="0.45">
      <c r="A20" s="10">
        <v>4</v>
      </c>
      <c r="B20" s="10">
        <v>662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1943.4438399999999</v>
      </c>
      <c r="G20" s="12">
        <f ca="1">(RANDBETWEEN(50,100)/100)*(dict_DQ_Meth_max[[#This Row],[Vergleich_ub]]-dict_DQ_Meth_max[[#This Row],[Vergleich_lb]])+dict_DQ_Meth_max[[#This Row],[Vergleich_lb]]</f>
        <v>5065.91644</v>
      </c>
      <c r="H20" s="11" t="str">
        <f ca="1">VLOOKUP(VLOOKUP(dict_DQ_Meth_max[[#This Row],[ID_DataQualities]],table_DataQualities[],3),table_Units[],2)</f>
        <v>Hz</v>
      </c>
      <c r="I20" s="10"/>
      <c r="J20" s="10"/>
      <c r="K20" s="10"/>
      <c r="L20" s="10">
        <f ca="1">VLOOKUP(dict_DQ_Meth_max[[#This Row],[ID_DataQualities]],table_DataQualities[],8,FALSE)</f>
        <v>0.57199999999999995</v>
      </c>
      <c r="M20" s="10">
        <f ca="1">VLOOKUP(dict_DQ_Meth_max[[#This Row],[ID_DataQualities]],table_DataQualities[],9,FALSE)</f>
        <v>6939.4</v>
      </c>
    </row>
    <row r="21" spans="1:13" x14ac:dyDescent="0.45">
      <c r="A21" s="10">
        <v>5</v>
      </c>
      <c r="B21" s="10">
        <v>361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972.68</v>
      </c>
      <c r="G21" s="12">
        <f ca="1">(RANDBETWEEN(50,100)/100)*(dict_DQ_Meth_max[[#This Row],[Vergleich_ub]]-dict_DQ_Meth_max[[#This Row],[Vergleich_lb]])+dict_DQ_Meth_max[[#This Row],[Vergleich_lb]]</f>
        <v>6626.32</v>
      </c>
      <c r="H21" s="11" t="str">
        <f ca="1">VLOOKUP(VLOOKUP(dict_DQ_Meth_max[[#This Row],[ID_DataQualities]],table_DataQualities[],3),table_Units[],2)</f>
        <v>bit</v>
      </c>
      <c r="I21" s="10"/>
      <c r="J21" s="10"/>
      <c r="K21" s="10"/>
      <c r="L21" s="10">
        <f ca="1">VLOOKUP(dict_DQ_Meth_max[[#This Row],[ID_DataQualities]],table_DataQualities[],8,FALSE)</f>
        <v>80</v>
      </c>
      <c r="M21" s="10">
        <f ca="1">VLOOKUP(dict_DQ_Meth_max[[#This Row],[ID_DataQualities]],table_DataQualities[],9,FALSE)</f>
        <v>7519</v>
      </c>
    </row>
    <row r="22" spans="1:13" x14ac:dyDescent="0.45">
      <c r="A22" s="10">
        <v>5</v>
      </c>
      <c r="B22" s="10">
        <v>252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2162.92</v>
      </c>
      <c r="G22" s="12">
        <f ca="1">(RANDBETWEEN(50,100)/100)*(dict_DQ_Meth_max[[#This Row],[Vergleich_ub]]-dict_DQ_Meth_max[[#This Row],[Vergleich_lb]])+dict_DQ_Meth_max[[#This Row],[Vergleich_lb]]</f>
        <v>7519</v>
      </c>
      <c r="H22" s="11" t="str">
        <f ca="1">VLOOKUP(VLOOKUP(dict_DQ_Meth_max[[#This Row],[ID_DataQualities]],table_DataQualities[],3),table_Units[],2)</f>
        <v>bit</v>
      </c>
      <c r="I22" s="10"/>
      <c r="J22" s="10"/>
      <c r="K22" s="10"/>
      <c r="L22" s="10">
        <f ca="1">VLOOKUP(dict_DQ_Meth_max[[#This Row],[ID_DataQualities]],table_DataQualities[],8,FALSE)</f>
        <v>80</v>
      </c>
      <c r="M22" s="10">
        <f ca="1">VLOOKUP(dict_DQ_Meth_max[[#This Row],[ID_DataQualities]],table_DataQualities[],9,FALSE)</f>
        <v>7519</v>
      </c>
    </row>
    <row r="23" spans="1:13" x14ac:dyDescent="0.45">
      <c r="A23" s="10">
        <v>5</v>
      </c>
      <c r="B23" s="10">
        <v>84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2981.21</v>
      </c>
      <c r="G23" s="12">
        <f ca="1">(RANDBETWEEN(50,100)/100)*(dict_DQ_Meth_max[[#This Row],[Vergleich_ub]]-dict_DQ_Meth_max[[#This Row],[Vergleich_lb]])+dict_DQ_Meth_max[[#This Row],[Vergleich_lb]]</f>
        <v>7072.66</v>
      </c>
      <c r="H23" s="11" t="str">
        <f ca="1">VLOOKUP(VLOOKUP(dict_DQ_Meth_max[[#This Row],[ID_DataQualities]],table_DataQualities[],3),table_Units[],2)</f>
        <v>bit</v>
      </c>
      <c r="I23" s="10"/>
      <c r="J23" s="10"/>
      <c r="K23" s="10"/>
      <c r="L23" s="10">
        <f ca="1">VLOOKUP(dict_DQ_Meth_max[[#This Row],[ID_DataQualities]],table_DataQualities[],8,FALSE)</f>
        <v>80</v>
      </c>
      <c r="M23" s="10">
        <f ca="1">VLOOKUP(dict_DQ_Meth_max[[#This Row],[ID_DataQualities]],table_DataQualities[],9,FALSE)</f>
        <v>7519</v>
      </c>
    </row>
    <row r="24" spans="1:13" x14ac:dyDescent="0.45">
      <c r="A24" s="10">
        <v>5</v>
      </c>
      <c r="B24" s="10">
        <v>696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1493.41</v>
      </c>
      <c r="G24" s="12">
        <f ca="1">(RANDBETWEEN(50,100)/100)*(dict_DQ_Meth_max[[#This Row],[Vergleich_ub]]-dict_DQ_Meth_max[[#This Row],[Vergleich_lb]])+dict_DQ_Meth_max[[#This Row],[Vergleich_lb]]</f>
        <v>5659.25</v>
      </c>
      <c r="H24" s="11" t="str">
        <f ca="1">VLOOKUP(VLOOKUP(dict_DQ_Meth_max[[#This Row],[ID_DataQualities]],table_DataQualities[],3),table_Units[],2)</f>
        <v>bit</v>
      </c>
      <c r="I24" s="10"/>
      <c r="J24" s="10"/>
      <c r="K24" s="10"/>
      <c r="L24" s="10">
        <f ca="1">VLOOKUP(dict_DQ_Meth_max[[#This Row],[ID_DataQualities]],table_DataQualities[],8,FALSE)</f>
        <v>80</v>
      </c>
      <c r="M24" s="10">
        <f ca="1">VLOOKUP(dict_DQ_Meth_max[[#This Row],[ID_DataQualities]],table_DataQualities[],9,FALSE)</f>
        <v>7519</v>
      </c>
    </row>
    <row r="25" spans="1:13" x14ac:dyDescent="0.45">
      <c r="A25" s="10">
        <v>5</v>
      </c>
      <c r="B25" s="10">
        <v>662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1716.58</v>
      </c>
      <c r="G25" s="12">
        <f ca="1">(RANDBETWEEN(50,100)/100)*(dict_DQ_Meth_max[[#This Row],[Vergleich_ub]]-dict_DQ_Meth_max[[#This Row],[Vergleich_lb]])+dict_DQ_Meth_max[[#This Row],[Vergleich_lb]]</f>
        <v>6775.1</v>
      </c>
      <c r="H25" s="11" t="str">
        <f ca="1">VLOOKUP(VLOOKUP(dict_DQ_Meth_max[[#This Row],[ID_DataQualities]],table_DataQualities[],3),table_Units[],2)</f>
        <v>bit</v>
      </c>
      <c r="I25" s="10"/>
      <c r="J25" s="10"/>
      <c r="K25" s="10"/>
      <c r="L25" s="10">
        <f ca="1">VLOOKUP(dict_DQ_Meth_max[[#This Row],[ID_DataQualities]],table_DataQualities[],8,FALSE)</f>
        <v>80</v>
      </c>
      <c r="M25" s="10">
        <f ca="1">VLOOKUP(dict_DQ_Meth_max[[#This Row],[ID_DataQualities]],table_DataQualities[],9,FALSE)</f>
        <v>7519</v>
      </c>
    </row>
    <row r="26" spans="1:13" x14ac:dyDescent="0.45">
      <c r="A26" s="10">
        <v>6</v>
      </c>
      <c r="B26" s="10">
        <v>270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911.00163999999995</v>
      </c>
      <c r="G26" s="12">
        <f ca="1">(RANDBETWEEN(50,100)/100)*(dict_DQ_Meth_max[[#This Row],[Vergleich_ub]]-dict_DQ_Meth_max[[#This Row],[Vergleich_lb]])+dict_DQ_Meth_max[[#This Row],[Vergleich_lb]]</f>
        <v>2960.4425800000004</v>
      </c>
      <c r="H26" s="11" t="str">
        <f ca="1">VLOOKUP(VLOOKUP(dict_DQ_Meth_max[[#This Row],[ID_DataQualities]],table_DataQualities[],3),table_Units[],2)</f>
        <v>Hz</v>
      </c>
      <c r="I26" s="10"/>
      <c r="J26" s="10"/>
      <c r="K26" s="10"/>
      <c r="L26" s="10">
        <f ca="1">VLOOKUP(dict_DQ_Meth_max[[#This Row],[ID_DataQualities]],table_DataQualities[],8,FALSE)</f>
        <v>0.13900000000000001</v>
      </c>
      <c r="M26" s="10">
        <f ca="1">VLOOKUP(dict_DQ_Meth_max[[#This Row],[ID_DataQualities]],table_DataQualities[],9,FALSE)</f>
        <v>3795.4</v>
      </c>
    </row>
    <row r="27" spans="1:13" x14ac:dyDescent="0.45">
      <c r="A27" s="10">
        <v>6</v>
      </c>
      <c r="B27" s="10">
        <v>354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1518.2434000000001</v>
      </c>
      <c r="G27" s="12">
        <f ca="1">(RANDBETWEEN(50,100)/100)*(dict_DQ_Meth_max[[#This Row],[Vergleich_ub]]-dict_DQ_Meth_max[[#This Row],[Vergleich_lb]])+dict_DQ_Meth_max[[#This Row],[Vergleich_lb]]</f>
        <v>2125.4851600000002</v>
      </c>
      <c r="H27" s="11" t="str">
        <f ca="1">VLOOKUP(VLOOKUP(dict_DQ_Meth_max[[#This Row],[ID_DataQualities]],table_DataQualities[],3),table_Units[],2)</f>
        <v>Hz</v>
      </c>
      <c r="I27" s="10"/>
      <c r="J27" s="10"/>
      <c r="K27" s="10"/>
      <c r="L27" s="10">
        <f ca="1">VLOOKUP(dict_DQ_Meth_max[[#This Row],[ID_DataQualities]],table_DataQualities[],8,FALSE)</f>
        <v>0.13900000000000001</v>
      </c>
      <c r="M27" s="10">
        <f ca="1">VLOOKUP(dict_DQ_Meth_max[[#This Row],[ID_DataQualities]],table_DataQualities[],9,FALSE)</f>
        <v>3795.4</v>
      </c>
    </row>
    <row r="28" spans="1:13" x14ac:dyDescent="0.45">
      <c r="A28" s="10">
        <v>7</v>
      </c>
      <c r="B28" s="10">
        <v>270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841.05</v>
      </c>
      <c r="G28" s="12">
        <f ca="1">(RANDBETWEEN(50,100)/100)*(dict_DQ_Meth_max[[#This Row],[Vergleich_ub]]-dict_DQ_Meth_max[[#This Row],[Vergleich_lb]])+dict_DQ_Meth_max[[#This Row],[Vergleich_lb]]</f>
        <v>871.95</v>
      </c>
      <c r="H28" s="11" t="str">
        <f ca="1">VLOOKUP(VLOOKUP(dict_DQ_Meth_max[[#This Row],[ID_DataQualities]],table_DataQualities[],3),table_Units[],2)</f>
        <v>bit</v>
      </c>
      <c r="I28" s="10"/>
      <c r="J28" s="10"/>
      <c r="K28" s="10"/>
      <c r="L28" s="10">
        <f ca="1">VLOOKUP(dict_DQ_Meth_max[[#This Row],[ID_DataQualities]],table_DataQualities[],8,FALSE)</f>
        <v>84</v>
      </c>
      <c r="M28" s="10">
        <f ca="1">VLOOKUP(dict_DQ_Meth_max[[#This Row],[ID_DataQualities]],table_DataQualities[],9,FALSE)</f>
        <v>1629</v>
      </c>
    </row>
    <row r="29" spans="1:13" x14ac:dyDescent="0.45">
      <c r="A29" s="10">
        <v>7</v>
      </c>
      <c r="B29" s="10">
        <v>354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315.75</v>
      </c>
      <c r="G29" s="12">
        <f ca="1">(RANDBETWEEN(50,100)/100)*(dict_DQ_Meth_max[[#This Row],[Vergleich_ub]]-dict_DQ_Meth_max[[#This Row],[Vergleich_lb]])+dict_DQ_Meth_max[[#This Row],[Vergleich_lb]]</f>
        <v>1088.25</v>
      </c>
      <c r="H29" s="11" t="str">
        <f ca="1">VLOOKUP(VLOOKUP(dict_DQ_Meth_max[[#This Row],[ID_DataQualities]],table_DataQualities[],3),table_Units[],2)</f>
        <v>bit</v>
      </c>
      <c r="I29" s="10"/>
      <c r="J29" s="10"/>
      <c r="K29" s="10"/>
      <c r="L29" s="10">
        <f ca="1">VLOOKUP(dict_DQ_Meth_max[[#This Row],[ID_DataQualities]],table_DataQualities[],8,FALSE)</f>
        <v>84</v>
      </c>
      <c r="M29" s="10">
        <f ca="1">VLOOKUP(dict_DQ_Meth_max[[#This Row],[ID_DataQualities]],table_DataQualities[],9,FALSE)</f>
        <v>1629</v>
      </c>
    </row>
    <row r="30" spans="1:13" x14ac:dyDescent="0.45">
      <c r="A30" s="10">
        <v>8</v>
      </c>
      <c r="B30" s="10">
        <v>288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828.73120000000006</v>
      </c>
      <c r="G30" s="12">
        <f ca="1">(RANDBETWEEN(50,100)/100)*(dict_DQ_Meth_max[[#This Row],[Vergleich_ub]]-dict_DQ_Meth_max[[#This Row],[Vergleich_lb]])+dict_DQ_Meth_max[[#This Row],[Vergleich_lb]]</f>
        <v>3147.3893600000001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0.63900000000000001</v>
      </c>
      <c r="M30" s="10">
        <f ca="1">VLOOKUP(dict_DQ_Meth_max[[#This Row],[ID_DataQualities]],table_DataQualities[],9,FALSE)</f>
        <v>4141.1000000000004</v>
      </c>
    </row>
    <row r="31" spans="1:13" x14ac:dyDescent="0.45">
      <c r="A31" s="10">
        <v>8</v>
      </c>
      <c r="B31" s="10">
        <v>397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580.30354000000011</v>
      </c>
      <c r="G31" s="12">
        <f ca="1">(RANDBETWEEN(50,100)/100)*(dict_DQ_Meth_max[[#This Row],[Vergleich_ub]]-dict_DQ_Meth_max[[#This Row],[Vergleich_lb]])+dict_DQ_Meth_max[[#This Row],[Vergleich_lb]]</f>
        <v>2609.1294300000004</v>
      </c>
      <c r="H31" s="11" t="str">
        <f ca="1">VLOOKUP(VLOOKUP(dict_DQ_Meth_max[[#This Row],[ID_DataQualities]],table_DataQualities[],3),table_Units[],2)</f>
        <v>Hz</v>
      </c>
      <c r="I31" s="10"/>
      <c r="J31" s="10"/>
      <c r="K31" s="10"/>
      <c r="L31" s="10">
        <f ca="1">VLOOKUP(dict_DQ_Meth_max[[#This Row],[ID_DataQualities]],table_DataQualities[],8,FALSE)</f>
        <v>0.63900000000000001</v>
      </c>
      <c r="M31" s="10">
        <f ca="1">VLOOKUP(dict_DQ_Meth_max[[#This Row],[ID_DataQualities]],table_DataQualities[],9,FALSE)</f>
        <v>4141.1000000000004</v>
      </c>
    </row>
    <row r="32" spans="1:13" x14ac:dyDescent="0.45">
      <c r="A32" s="10">
        <v>8</v>
      </c>
      <c r="B32" s="10">
        <v>594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994.34964000000002</v>
      </c>
      <c r="G32" s="12">
        <f ca="1">(RANDBETWEEN(50,100)/100)*(dict_DQ_Meth_max[[#This Row],[Vergleich_ub]]-dict_DQ_Meth_max[[#This Row],[Vergleich_lb]])+dict_DQ_Meth_max[[#This Row],[Vergleich_lb]]</f>
        <v>4016.8861700000002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0.63900000000000001</v>
      </c>
      <c r="M32" s="10">
        <f ca="1">VLOOKUP(dict_DQ_Meth_max[[#This Row],[ID_DataQualities]],table_DataQualities[],9,FALSE)</f>
        <v>4141.1000000000004</v>
      </c>
    </row>
    <row r="33" spans="1:13" x14ac:dyDescent="0.45">
      <c r="A33" s="10">
        <v>9</v>
      </c>
      <c r="B33" s="10">
        <v>397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1.258</v>
      </c>
      <c r="G33" s="12">
        <f ca="1">(RANDBETWEEN(50,100)/100)*(dict_DQ_Meth_max[[#This Row],[Vergleich_ub]]-dict_DQ_Meth_max[[#This Row],[Vergleich_lb]])+dict_DQ_Meth_max[[#This Row],[Vergleich_lb]]</f>
        <v>7.6750000000000007</v>
      </c>
      <c r="H33" s="11" t="str">
        <f ca="1">VLOOKUP(VLOOKUP(dict_DQ_Meth_max[[#This Row],[ID_DataQualities]],table_DataQualities[],3),table_Units[],2)</f>
        <v>+/- °C</v>
      </c>
      <c r="I33" s="10"/>
      <c r="J33" s="10"/>
      <c r="K33" s="10"/>
      <c r="L33" s="10">
        <f ca="1">VLOOKUP(dict_DQ_Meth_max[[#This Row],[ID_DataQualities]],table_DataQualities[],8,FALSE)</f>
        <v>0.7</v>
      </c>
      <c r="M33" s="10">
        <f ca="1">VLOOKUP(dict_DQ_Meth_max[[#This Row],[ID_DataQualities]],table_DataQualities[],9,FALSE)</f>
        <v>10</v>
      </c>
    </row>
    <row r="34" spans="1:13" x14ac:dyDescent="0.45">
      <c r="A34" s="10">
        <v>9</v>
      </c>
      <c r="B34" s="10">
        <v>594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0.97899999999999998</v>
      </c>
      <c r="G34" s="12">
        <f ca="1">(RANDBETWEEN(50,100)/100)*(dict_DQ_Meth_max[[#This Row],[Vergleich_ub]]-dict_DQ_Meth_max[[#This Row],[Vergleich_lb]])+dict_DQ_Meth_max[[#This Row],[Vergleich_lb]]</f>
        <v>8.2330000000000005</v>
      </c>
      <c r="H34" s="11" t="str">
        <f ca="1">VLOOKUP(VLOOKUP(dict_DQ_Meth_max[[#This Row],[ID_DataQualities]],table_DataQualities[],3),table_Units[],2)</f>
        <v>+/- °C</v>
      </c>
      <c r="I34" s="10"/>
      <c r="J34" s="10"/>
      <c r="K34" s="10"/>
      <c r="L34" s="10">
        <f ca="1">VLOOKUP(dict_DQ_Meth_max[[#This Row],[ID_DataQualities]],table_DataQualities[],8,FALSE)</f>
        <v>0.7</v>
      </c>
      <c r="M34" s="10">
        <f ca="1">VLOOKUP(dict_DQ_Meth_max[[#This Row],[ID_DataQualities]],table_DataQualities[],9,FALSE)</f>
        <v>10</v>
      </c>
    </row>
    <row r="35" spans="1:13" x14ac:dyDescent="0.45">
      <c r="A35" s="10">
        <v>9</v>
      </c>
      <c r="B35" s="10">
        <v>288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1.0720000000000001</v>
      </c>
      <c r="G35" s="12">
        <f ca="1">(RANDBETWEEN(50,100)/100)*(dict_DQ_Meth_max[[#This Row],[Vergleich_ub]]-dict_DQ_Meth_max[[#This Row],[Vergleich_lb]])+dict_DQ_Meth_max[[#This Row],[Vergleich_lb]]</f>
        <v>9.3490000000000002</v>
      </c>
      <c r="H35" s="11" t="str">
        <f ca="1">VLOOKUP(VLOOKUP(dict_DQ_Meth_max[[#This Row],[ID_DataQualities]],table_DataQualities[],3),table_Units[],2)</f>
        <v>+/- °C</v>
      </c>
      <c r="I35" s="10"/>
      <c r="J35" s="10"/>
      <c r="K35" s="10"/>
      <c r="L35" s="10">
        <f ca="1">VLOOKUP(dict_DQ_Meth_max[[#This Row],[ID_DataQualities]],table_DataQualities[],8,FALSE)</f>
        <v>0.7</v>
      </c>
      <c r="M35" s="10">
        <f ca="1">VLOOKUP(dict_DQ_Meth_max[[#This Row],[ID_DataQualities]],table_DataQualities[],9,FALSE)</f>
        <v>10</v>
      </c>
    </row>
    <row r="36" spans="1:13" x14ac:dyDescent="0.45">
      <c r="A36" s="10">
        <v>10</v>
      </c>
      <c r="B36" s="10">
        <v>111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162.08061000000001</v>
      </c>
      <c r="G36" s="12">
        <f ca="1">(RANDBETWEEN(50,100)/100)*(dict_DQ_Meth_max[[#This Row],[Vergleich_ub]]-dict_DQ_Meth_max[[#This Row],[Vergleich_lb]])+dict_DQ_Meth_max[[#This Row],[Vergleich_lb]]</f>
        <v>856.81492999999989</v>
      </c>
      <c r="H36" s="11" t="str">
        <f ca="1">VLOOKUP(VLOOKUP(dict_DQ_Meth_max[[#This Row],[ID_DataQualities]],table_DataQualities[],3),table_Units[],2)</f>
        <v>Hz</v>
      </c>
      <c r="I36" s="10"/>
      <c r="J36" s="10"/>
      <c r="K36" s="10"/>
      <c r="L36" s="10">
        <f ca="1">VLOOKUP(dict_DQ_Meth_max[[#This Row],[ID_DataQualities]],table_DataQualities[],8,FALSE)</f>
        <v>0.80300000000000005</v>
      </c>
      <c r="M36" s="10">
        <f ca="1">VLOOKUP(dict_DQ_Meth_max[[#This Row],[ID_DataQualities]],table_DataQualities[],9,FALSE)</f>
        <v>1241.4000000000001</v>
      </c>
    </row>
    <row r="37" spans="1:13" x14ac:dyDescent="0.45">
      <c r="A37" s="10">
        <v>10</v>
      </c>
      <c r="B37" s="10">
        <v>418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248.92240000000001</v>
      </c>
      <c r="G37" s="12">
        <f ca="1">(RANDBETWEEN(50,100)/100)*(dict_DQ_Meth_max[[#This Row],[Vergleich_ub]]-dict_DQ_Meth_max[[#This Row],[Vergleich_lb]])+dict_DQ_Meth_max[[#This Row],[Vergleich_lb]]</f>
        <v>894.03283999999996</v>
      </c>
      <c r="H37" s="11" t="str">
        <f ca="1">VLOOKUP(VLOOKUP(dict_DQ_Meth_max[[#This Row],[ID_DataQualities]],table_DataQualities[],3),table_Units[],2)</f>
        <v>Hz</v>
      </c>
      <c r="I37" s="10"/>
      <c r="J37" s="10"/>
      <c r="K37" s="10"/>
      <c r="L37" s="10">
        <f ca="1">VLOOKUP(dict_DQ_Meth_max[[#This Row],[ID_DataQualities]],table_DataQualities[],8,FALSE)</f>
        <v>0.80300000000000005</v>
      </c>
      <c r="M37" s="10">
        <f ca="1">VLOOKUP(dict_DQ_Meth_max[[#This Row],[ID_DataQualities]],table_DataQualities[],9,FALSE)</f>
        <v>1241.4000000000001</v>
      </c>
    </row>
    <row r="38" spans="1:13" x14ac:dyDescent="0.45">
      <c r="A38" s="10">
        <v>10</v>
      </c>
      <c r="B38" s="10">
        <v>99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335.76419000000004</v>
      </c>
      <c r="G38" s="12">
        <f ca="1">(RANDBETWEEN(50,100)/100)*(dict_DQ_Meth_max[[#This Row],[Vergleich_ub]]-dict_DQ_Meth_max[[#This Row],[Vergleich_lb]])+dict_DQ_Meth_max[[#This Row],[Vergleich_lb]]</f>
        <v>1104.93433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0.80300000000000005</v>
      </c>
      <c r="M38" s="10">
        <f ca="1">VLOOKUP(dict_DQ_Meth_max[[#This Row],[ID_DataQualities]],table_DataQualities[],9,FALSE)</f>
        <v>1241.4000000000001</v>
      </c>
    </row>
    <row r="39" spans="1:13" x14ac:dyDescent="0.45">
      <c r="A39" s="10">
        <v>10</v>
      </c>
      <c r="B39" s="10">
        <v>645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211.70449000000002</v>
      </c>
      <c r="G39" s="12">
        <f ca="1">(RANDBETWEEN(50,100)/100)*(dict_DQ_Meth_max[[#This Row],[Vergleich_ub]]-dict_DQ_Meth_max[[#This Row],[Vergleich_lb]])+dict_DQ_Meth_max[[#This Row],[Vergleich_lb]]</f>
        <v>844.40896000000009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0.80300000000000005</v>
      </c>
      <c r="M39" s="10">
        <f ca="1">VLOOKUP(dict_DQ_Meth_max[[#This Row],[ID_DataQualities]],table_DataQualities[],9,FALSE)</f>
        <v>1241.4000000000001</v>
      </c>
    </row>
    <row r="40" spans="1:13" x14ac:dyDescent="0.45">
      <c r="A40" s="10">
        <v>10</v>
      </c>
      <c r="B40" s="10">
        <v>77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310.95224999999999</v>
      </c>
      <c r="G40" s="12">
        <f ca="1">(RANDBETWEEN(50,100)/100)*(dict_DQ_Meth_max[[#This Row],[Vergleich_ub]]-dict_DQ_Meth_max[[#This Row],[Vergleich_lb]])+dict_DQ_Meth_max[[#This Row],[Vergleich_lb]]</f>
        <v>968.46866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0.80300000000000005</v>
      </c>
      <c r="M40" s="10">
        <f ca="1">VLOOKUP(dict_DQ_Meth_max[[#This Row],[ID_DataQualities]],table_DataQualities[],9,FALSE)</f>
        <v>1241.4000000000001</v>
      </c>
    </row>
    <row r="41" spans="1:13" x14ac:dyDescent="0.45">
      <c r="A41" s="10">
        <v>10</v>
      </c>
      <c r="B41" s="10">
        <v>520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397.79404</v>
      </c>
      <c r="G41" s="12">
        <f ca="1">(RANDBETWEEN(50,100)/100)*(dict_DQ_Meth_max[[#This Row],[Vergleich_ub]]-dict_DQ_Meth_max[[#This Row],[Vergleich_lb]])+dict_DQ_Meth_max[[#This Row],[Vergleich_lb]]</f>
        <v>1204.18209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0.80300000000000005</v>
      </c>
      <c r="M41" s="10">
        <f ca="1">VLOOKUP(dict_DQ_Meth_max[[#This Row],[ID_DataQualities]],table_DataQualities[],9,FALSE)</f>
        <v>1241.4000000000001</v>
      </c>
    </row>
    <row r="42" spans="1:13" x14ac:dyDescent="0.45">
      <c r="A42" s="10">
        <v>11</v>
      </c>
      <c r="B42" s="10">
        <v>418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0.34888000000000002</v>
      </c>
      <c r="G42" s="12">
        <f ca="1">(RANDBETWEEN(50,100)/100)*(dict_DQ_Meth_max[[#This Row],[Vergleich_ub]]-dict_DQ_Meth_max[[#This Row],[Vergleich_lb]])+dict_DQ_Meth_max[[#This Row],[Vergleich_lb]]</f>
        <v>7.0017700000000005</v>
      </c>
      <c r="H42" s="11" t="str">
        <f ca="1">VLOOKUP(VLOOKUP(dict_DQ_Meth_max[[#This Row],[ID_DataQualities]],table_DataQualities[],3),table_Units[],2)</f>
        <v>+/- mm</v>
      </c>
      <c r="I42" s="10"/>
      <c r="J42" s="10"/>
      <c r="K42" s="10"/>
      <c r="L42" s="10">
        <f ca="1">VLOOKUP(dict_DQ_Meth_max[[#This Row],[ID_DataQualities]],table_DataQualities[],8,FALSE)</f>
        <v>4.2999999999999997E-2</v>
      </c>
      <c r="M42" s="10">
        <f ca="1">VLOOKUP(dict_DQ_Meth_max[[#This Row],[ID_DataQualities]],table_DataQualities[],9,FALSE)</f>
        <v>7.69</v>
      </c>
    </row>
    <row r="43" spans="1:13" x14ac:dyDescent="0.45">
      <c r="A43" s="10">
        <v>11</v>
      </c>
      <c r="B43" s="10">
        <v>77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3.1018000000000003</v>
      </c>
      <c r="G43" s="12">
        <f ca="1">(RANDBETWEEN(50,100)/100)*(dict_DQ_Meth_max[[#This Row],[Vergleich_ub]]-dict_DQ_Meth_max[[#This Row],[Vergleich_lb]])+dict_DQ_Meth_max[[#This Row],[Vergleich_lb]]</f>
        <v>4.7841399999999998</v>
      </c>
      <c r="H43" s="11" t="str">
        <f ca="1">VLOOKUP(VLOOKUP(dict_DQ_Meth_max[[#This Row],[ID_DataQualities]],table_DataQualities[],3),table_Units[],2)</f>
        <v>+/- mm</v>
      </c>
      <c r="I43" s="10"/>
      <c r="J43" s="10"/>
      <c r="K43" s="10"/>
      <c r="L43" s="10">
        <f ca="1">VLOOKUP(dict_DQ_Meth_max[[#This Row],[ID_DataQualities]],table_DataQualities[],8,FALSE)</f>
        <v>4.2999999999999997E-2</v>
      </c>
      <c r="M43" s="10">
        <f ca="1">VLOOKUP(dict_DQ_Meth_max[[#This Row],[ID_DataQualities]],table_DataQualities[],9,FALSE)</f>
        <v>7.69</v>
      </c>
    </row>
    <row r="44" spans="1:13" x14ac:dyDescent="0.45">
      <c r="A44" s="10">
        <v>11</v>
      </c>
      <c r="B44" s="10">
        <v>645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0.73123000000000005</v>
      </c>
      <c r="G44" s="12">
        <f ca="1">(RANDBETWEEN(50,100)/100)*(dict_DQ_Meth_max[[#This Row],[Vergleich_ub]]-dict_DQ_Meth_max[[#This Row],[Vergleich_lb]])+dict_DQ_Meth_max[[#This Row],[Vergleich_lb]]</f>
        <v>7.3076499999999998</v>
      </c>
      <c r="H44" s="11" t="str">
        <f ca="1">VLOOKUP(VLOOKUP(dict_DQ_Meth_max[[#This Row],[ID_DataQualities]],table_DataQualities[],3),table_Units[],2)</f>
        <v>+/- mm</v>
      </c>
      <c r="I44" s="10"/>
      <c r="J44" s="10"/>
      <c r="K44" s="10"/>
      <c r="L44" s="10">
        <f ca="1">VLOOKUP(dict_DQ_Meth_max[[#This Row],[ID_DataQualities]],table_DataQualities[],8,FALSE)</f>
        <v>4.2999999999999997E-2</v>
      </c>
      <c r="M44" s="10">
        <f ca="1">VLOOKUP(dict_DQ_Meth_max[[#This Row],[ID_DataQualities]],table_DataQualities[],9,FALSE)</f>
        <v>7.69</v>
      </c>
    </row>
    <row r="45" spans="1:13" x14ac:dyDescent="0.45">
      <c r="A45" s="10">
        <v>11</v>
      </c>
      <c r="B45" s="10">
        <v>99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3.33121</v>
      </c>
      <c r="G45" s="12">
        <f ca="1">(RANDBETWEEN(50,100)/100)*(dict_DQ_Meth_max[[#This Row],[Vergleich_ub]]-dict_DQ_Meth_max[[#This Row],[Vergleich_lb]])+dict_DQ_Meth_max[[#This Row],[Vergleich_lb]]</f>
        <v>7.078240000000001</v>
      </c>
      <c r="H45" s="11" t="str">
        <f ca="1">VLOOKUP(VLOOKUP(dict_DQ_Meth_max[[#This Row],[ID_DataQualities]],table_DataQualities[],3),table_Units[],2)</f>
        <v>+/- mm</v>
      </c>
      <c r="I45" s="10"/>
      <c r="J45" s="10"/>
      <c r="K45" s="10"/>
      <c r="L45" s="10">
        <f ca="1">VLOOKUP(dict_DQ_Meth_max[[#This Row],[ID_DataQualities]],table_DataQualities[],8,FALSE)</f>
        <v>4.2999999999999997E-2</v>
      </c>
      <c r="M45" s="10">
        <f ca="1">VLOOKUP(dict_DQ_Meth_max[[#This Row],[ID_DataQualities]],table_DataQualities[],9,FALSE)</f>
        <v>7.69</v>
      </c>
    </row>
    <row r="46" spans="1:13" x14ac:dyDescent="0.45">
      <c r="A46" s="10">
        <v>11</v>
      </c>
      <c r="B46" s="10">
        <v>111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3.6370900000000002</v>
      </c>
      <c r="G46" s="12">
        <f ca="1">(RANDBETWEEN(50,100)/100)*(dict_DQ_Meth_max[[#This Row],[Vergleich_ub]]-dict_DQ_Meth_max[[#This Row],[Vergleich_lb]])+dict_DQ_Meth_max[[#This Row],[Vergleich_lb]]</f>
        <v>4.5547300000000002</v>
      </c>
      <c r="H46" s="11" t="str">
        <f ca="1">VLOOKUP(VLOOKUP(dict_DQ_Meth_max[[#This Row],[ID_DataQualities]],table_DataQualities[],3),table_Units[],2)</f>
        <v>+/- mm</v>
      </c>
      <c r="I46" s="10"/>
      <c r="J46" s="10"/>
      <c r="K46" s="10"/>
      <c r="L46" s="10">
        <f ca="1">VLOOKUP(dict_DQ_Meth_max[[#This Row],[ID_DataQualities]],table_DataQualities[],8,FALSE)</f>
        <v>4.2999999999999997E-2</v>
      </c>
      <c r="M46" s="10">
        <f ca="1">VLOOKUP(dict_DQ_Meth_max[[#This Row],[ID_DataQualities]],table_DataQualities[],9,FALSE)</f>
        <v>7.69</v>
      </c>
    </row>
    <row r="47" spans="1:13" x14ac:dyDescent="0.45">
      <c r="A47" s="10">
        <v>11</v>
      </c>
      <c r="B47" s="10">
        <v>520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3.1782699999999999</v>
      </c>
      <c r="G47" s="12">
        <f ca="1">(RANDBETWEEN(50,100)/100)*(dict_DQ_Meth_max[[#This Row],[Vergleich_ub]]-dict_DQ_Meth_max[[#This Row],[Vergleich_lb]])+dict_DQ_Meth_max[[#This Row],[Vergleich_lb]]</f>
        <v>6.237070000000001</v>
      </c>
      <c r="H47" s="11" t="str">
        <f ca="1">VLOOKUP(VLOOKUP(dict_DQ_Meth_max[[#This Row],[ID_DataQualities]],table_DataQualities[],3),table_Units[],2)</f>
        <v>+/- mm</v>
      </c>
      <c r="I47" s="10"/>
      <c r="J47" s="10"/>
      <c r="K47" s="10"/>
      <c r="L47" s="10">
        <f ca="1">VLOOKUP(dict_DQ_Meth_max[[#This Row],[ID_DataQualities]],table_DataQualities[],8,FALSE)</f>
        <v>4.2999999999999997E-2</v>
      </c>
      <c r="M47" s="10">
        <f ca="1">VLOOKUP(dict_DQ_Meth_max[[#This Row],[ID_DataQualities]],table_DataQualities[],9,FALSE)</f>
        <v>7.69</v>
      </c>
    </row>
    <row r="48" spans="1:13" x14ac:dyDescent="0.45">
      <c r="A48" s="10">
        <v>12</v>
      </c>
      <c r="B48" s="10">
        <v>387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1726.9373199999998</v>
      </c>
      <c r="G48" s="12">
        <f ca="1">(RANDBETWEEN(50,100)/100)*(dict_DQ_Meth_max[[#This Row],[Vergleich_ub]]-dict_DQ_Meth_max[[#This Row],[Vergleich_lb]])+dict_DQ_Meth_max[[#This Row],[Vergleich_lb]]</f>
        <v>5754.3414000000002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0.90700000000000003</v>
      </c>
      <c r="M48" s="10">
        <f ca="1">VLOOKUP(dict_DQ_Meth_max[[#This Row],[ID_DataQualities]],table_DataQualities[],9,FALSE)</f>
        <v>7192.7</v>
      </c>
    </row>
    <row r="49" spans="1:13" x14ac:dyDescent="0.45">
      <c r="A49" s="10">
        <v>12</v>
      </c>
      <c r="B49" s="10">
        <v>54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360.49664999999999</v>
      </c>
      <c r="G49" s="12">
        <f ca="1">(RANDBETWEEN(50,100)/100)*(dict_DQ_Meth_max[[#This Row],[Vergleich_ub]]-dict_DQ_Meth_max[[#This Row],[Vergleich_lb]])+dict_DQ_Meth_max[[#This Row],[Vergleich_lb]]</f>
        <v>5538.5876099999996</v>
      </c>
      <c r="H49" s="11" t="str">
        <f ca="1">VLOOKUP(VLOOKUP(dict_DQ_Meth_max[[#This Row],[ID_DataQualities]],table_DataQualities[],3),table_Units[],2)</f>
        <v>Hz</v>
      </c>
      <c r="I49" s="10"/>
      <c r="J49" s="10"/>
      <c r="K49" s="10"/>
      <c r="L49" s="10">
        <f ca="1">VLOOKUP(dict_DQ_Meth_max[[#This Row],[ID_DataQualities]],table_DataQualities[],8,FALSE)</f>
        <v>0.90700000000000003</v>
      </c>
      <c r="M49" s="10">
        <f ca="1">VLOOKUP(dict_DQ_Meth_max[[#This Row],[ID_DataQualities]],table_DataQualities[],9,FALSE)</f>
        <v>7192.7</v>
      </c>
    </row>
    <row r="50" spans="1:13" x14ac:dyDescent="0.45">
      <c r="A50" s="10">
        <v>12</v>
      </c>
      <c r="B50" s="10">
        <v>79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144.74286000000001</v>
      </c>
      <c r="G50" s="12">
        <f ca="1">(RANDBETWEEN(50,100)/100)*(dict_DQ_Meth_max[[#This Row],[Vergleich_ub]]-dict_DQ_Meth_max[[#This Row],[Vergleich_lb]])+dict_DQ_Meth_max[[#This Row],[Vergleich_lb]]</f>
        <v>4891.3262400000003</v>
      </c>
      <c r="H50" s="11" t="str">
        <f ca="1">VLOOKUP(VLOOKUP(dict_DQ_Meth_max[[#This Row],[ID_DataQualities]],table_DataQualities[],3),table_Units[],2)</f>
        <v>Hz</v>
      </c>
      <c r="I50" s="10"/>
      <c r="J50" s="10"/>
      <c r="K50" s="10"/>
      <c r="L50" s="10">
        <f ca="1">VLOOKUP(dict_DQ_Meth_max[[#This Row],[ID_DataQualities]],table_DataQualities[],8,FALSE)</f>
        <v>0.90700000000000003</v>
      </c>
      <c r="M50" s="10">
        <f ca="1">VLOOKUP(dict_DQ_Meth_max[[#This Row],[ID_DataQualities]],table_DataQualities[],9,FALSE)</f>
        <v>7192.7</v>
      </c>
    </row>
    <row r="51" spans="1:13" x14ac:dyDescent="0.45">
      <c r="A51" s="10">
        <v>13</v>
      </c>
      <c r="B51" s="10">
        <v>79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476.25</v>
      </c>
      <c r="G51" s="12">
        <f ca="1">(RANDBETWEEN(50,100)/100)*(dict_DQ_Meth_max[[#This Row],[Vergleich_ub]]-dict_DQ_Meth_max[[#This Row],[Vergleich_lb]])+dict_DQ_Meth_max[[#This Row],[Vergleich_lb]]</f>
        <v>3886.25</v>
      </c>
      <c r="H51" s="11" t="str">
        <f ca="1">VLOOKUP(VLOOKUP(dict_DQ_Meth_max[[#This Row],[ID_DataQualities]],table_DataQualities[],3),table_Units[],2)</f>
        <v>bit</v>
      </c>
      <c r="I51" s="10"/>
      <c r="J51" s="10"/>
      <c r="K51" s="10"/>
      <c r="L51" s="10">
        <f ca="1">VLOOKUP(dict_DQ_Meth_max[[#This Row],[ID_DataQualities]],table_DataQualities[],8,FALSE)</f>
        <v>50</v>
      </c>
      <c r="M51" s="10">
        <f ca="1">VLOOKUP(dict_DQ_Meth_max[[#This Row],[ID_DataQualities]],table_DataQualities[],9,FALSE)</f>
        <v>3925</v>
      </c>
    </row>
    <row r="52" spans="1:13" x14ac:dyDescent="0.45">
      <c r="A52" s="10">
        <v>13</v>
      </c>
      <c r="B52" s="10">
        <v>387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1367.5</v>
      </c>
      <c r="G52" s="12">
        <f ca="1">(RANDBETWEEN(50,100)/100)*(dict_DQ_Meth_max[[#This Row],[Vergleich_ub]]-dict_DQ_Meth_max[[#This Row],[Vergleich_lb]])+dict_DQ_Meth_max[[#This Row],[Vergleich_lb]]</f>
        <v>3808.75</v>
      </c>
      <c r="H52" s="11" t="str">
        <f ca="1">VLOOKUP(VLOOKUP(dict_DQ_Meth_max[[#This Row],[ID_DataQualities]],table_DataQualities[],3),table_Units[],2)</f>
        <v>bit</v>
      </c>
      <c r="I52" s="10"/>
      <c r="J52" s="10"/>
      <c r="K52" s="10"/>
      <c r="L52" s="10">
        <f ca="1">VLOOKUP(dict_DQ_Meth_max[[#This Row],[ID_DataQualities]],table_DataQualities[],8,FALSE)</f>
        <v>50</v>
      </c>
      <c r="M52" s="10">
        <f ca="1">VLOOKUP(dict_DQ_Meth_max[[#This Row],[ID_DataQualities]],table_DataQualities[],9,FALSE)</f>
        <v>3925</v>
      </c>
    </row>
    <row r="53" spans="1:13" x14ac:dyDescent="0.45">
      <c r="A53" s="10">
        <v>13</v>
      </c>
      <c r="B53" s="10">
        <v>54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1561.25</v>
      </c>
      <c r="G53" s="12">
        <f ca="1">(RANDBETWEEN(50,100)/100)*(dict_DQ_Meth_max[[#This Row],[Vergleich_ub]]-dict_DQ_Meth_max[[#This Row],[Vergleich_lb]])+dict_DQ_Meth_max[[#This Row],[Vergleich_lb]]</f>
        <v>2491.25</v>
      </c>
      <c r="H53" s="11" t="str">
        <f ca="1">VLOOKUP(VLOOKUP(dict_DQ_Meth_max[[#This Row],[ID_DataQualities]],table_DataQualities[],3),table_Units[],2)</f>
        <v>bit</v>
      </c>
      <c r="I53" s="10"/>
      <c r="J53" s="10"/>
      <c r="K53" s="10"/>
      <c r="L53" s="10">
        <f ca="1">VLOOKUP(dict_DQ_Meth_max[[#This Row],[ID_DataQualities]],table_DataQualities[],8,FALSE)</f>
        <v>50</v>
      </c>
      <c r="M53" s="10">
        <f ca="1">VLOOKUP(dict_DQ_Meth_max[[#This Row],[ID_DataQualities]],table_DataQualities[],9,FALSE)</f>
        <v>3925</v>
      </c>
    </row>
    <row r="54" spans="1:13" x14ac:dyDescent="0.45">
      <c r="A54" s="10">
        <v>14</v>
      </c>
      <c r="B54" s="10">
        <v>451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1336.4398400000002</v>
      </c>
      <c r="G54" s="12">
        <f ca="1">(RANDBETWEEN(50,100)/100)*(dict_DQ_Meth_max[[#This Row],[Vergleich_ub]]-dict_DQ_Meth_max[[#This Row],[Vergleich_lb]])+dict_DQ_Meth_max[[#This Row],[Vergleich_lb]]</f>
        <v>5066.5415600000006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0.28399999999999997</v>
      </c>
      <c r="M54" s="10">
        <f ca="1">VLOOKUP(dict_DQ_Meth_max[[#This Row],[ID_DataQualities]],table_DataQualities[],9,FALSE)</f>
        <v>5567.6</v>
      </c>
    </row>
    <row r="55" spans="1:13" x14ac:dyDescent="0.45">
      <c r="A55" s="10">
        <v>14</v>
      </c>
      <c r="B55" s="10">
        <v>38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2672.5956800000004</v>
      </c>
      <c r="G55" s="12">
        <f ca="1">(RANDBETWEEN(50,100)/100)*(dict_DQ_Meth_max[[#This Row],[Vergleich_ub]]-dict_DQ_Meth_max[[#This Row],[Vergleich_lb]])+dict_DQ_Meth_max[[#This Row],[Vergleich_lb]]</f>
        <v>3117.9809600000008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0.28399999999999997</v>
      </c>
      <c r="M55" s="10">
        <f ca="1">VLOOKUP(dict_DQ_Meth_max[[#This Row],[ID_DataQualities]],table_DataQualities[],9,FALSE)</f>
        <v>5567.6</v>
      </c>
    </row>
    <row r="56" spans="1:13" x14ac:dyDescent="0.45">
      <c r="A56" s="10">
        <v>14</v>
      </c>
      <c r="B56" s="10">
        <v>589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2115.8640800000003</v>
      </c>
      <c r="G56" s="12">
        <f ca="1">(RANDBETWEEN(50,100)/100)*(dict_DQ_Meth_max[[#This Row],[Vergleich_ub]]-dict_DQ_Meth_max[[#This Row],[Vergleich_lb]])+dict_DQ_Meth_max[[#This Row],[Vergleich_lb]]</f>
        <v>4231.44416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0.28399999999999997</v>
      </c>
      <c r="M56" s="10">
        <f ca="1">VLOOKUP(dict_DQ_Meth_max[[#This Row],[ID_DataQualities]],table_DataQualities[],9,FALSE)</f>
        <v>5567.6</v>
      </c>
    </row>
    <row r="57" spans="1:13" x14ac:dyDescent="0.45">
      <c r="A57" s="10">
        <v>14</v>
      </c>
      <c r="B57" s="10">
        <v>514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2561.2493600000007</v>
      </c>
      <c r="G57" s="12">
        <f ca="1">(RANDBETWEEN(50,100)/100)*(dict_DQ_Meth_max[[#This Row],[Vergleich_ub]]-dict_DQ_Meth_max[[#This Row],[Vergleich_lb]])+dict_DQ_Meth_max[[#This Row],[Vergleich_lb]]</f>
        <v>2783.9420000000005</v>
      </c>
      <c r="H57" s="11" t="str">
        <f ca="1">VLOOKUP(VLOOKUP(dict_DQ_Meth_max[[#This Row],[ID_DataQualities]],table_DataQualities[],3),table_Units[],2)</f>
        <v>Hz</v>
      </c>
      <c r="I57" s="10"/>
      <c r="J57" s="10"/>
      <c r="K57" s="10"/>
      <c r="L57" s="10">
        <f ca="1">VLOOKUP(dict_DQ_Meth_max[[#This Row],[ID_DataQualities]],table_DataQualities[],8,FALSE)</f>
        <v>0.28399999999999997</v>
      </c>
      <c r="M57" s="10">
        <f ca="1">VLOOKUP(dict_DQ_Meth_max[[#This Row],[ID_DataQualities]],table_DataQualities[],9,FALSE)</f>
        <v>5567.6</v>
      </c>
    </row>
    <row r="58" spans="1:13" x14ac:dyDescent="0.45">
      <c r="A58" s="10">
        <v>15</v>
      </c>
      <c r="B58" s="10">
        <v>38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3.3621999999999999E-2</v>
      </c>
      <c r="G58" s="12">
        <f ca="1">(RANDBETWEEN(50,100)/100)*(dict_DQ_Meth_max[[#This Row],[Vergleich_ub]]-dict_DQ_Meth_max[[#This Row],[Vergleich_lb]])+dict_DQ_Meth_max[[#This Row],[Vergleich_lb]]</f>
        <v>0.52803999999999995</v>
      </c>
      <c r="H58" s="11" t="str">
        <f ca="1">VLOOKUP(VLOOKUP(dict_DQ_Meth_max[[#This Row],[ID_DataQualities]],table_DataQualities[],3),table_Units[],2)</f>
        <v>+/- cm³/s</v>
      </c>
      <c r="I58" s="10"/>
      <c r="J58" s="10"/>
      <c r="K58" s="10"/>
      <c r="L58" s="10">
        <f ca="1">VLOOKUP(dict_DQ_Meth_max[[#This Row],[ID_DataQualities]],table_DataQualities[],8,FALSE)</f>
        <v>7.6E-3</v>
      </c>
      <c r="M58" s="10">
        <f ca="1">VLOOKUP(dict_DQ_Meth_max[[#This Row],[ID_DataQualities]],table_DataQualities[],9,FALSE)</f>
        <v>0.875</v>
      </c>
    </row>
    <row r="59" spans="1:13" x14ac:dyDescent="0.45">
      <c r="A59" s="10">
        <v>15</v>
      </c>
      <c r="B59" s="10">
        <v>514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0.24179799999999999</v>
      </c>
      <c r="G59" s="12">
        <f ca="1">(RANDBETWEEN(50,100)/100)*(dict_DQ_Meth_max[[#This Row],[Vergleich_ub]]-dict_DQ_Meth_max[[#This Row],[Vergleich_lb]])+dict_DQ_Meth_max[[#This Row],[Vergleich_lb]]</f>
        <v>0.493344</v>
      </c>
      <c r="H59" s="11" t="str">
        <f ca="1">VLOOKUP(VLOOKUP(dict_DQ_Meth_max[[#This Row],[ID_DataQualities]],table_DataQualities[],3),table_Units[],2)</f>
        <v>+/- cm³/s</v>
      </c>
      <c r="I59" s="10"/>
      <c r="J59" s="10"/>
      <c r="K59" s="10"/>
      <c r="L59" s="10">
        <f ca="1">VLOOKUP(dict_DQ_Meth_max[[#This Row],[ID_DataQualities]],table_DataQualities[],8,FALSE)</f>
        <v>7.6E-3</v>
      </c>
      <c r="M59" s="10">
        <f ca="1">VLOOKUP(dict_DQ_Meth_max[[#This Row],[ID_DataQualities]],table_DataQualities[],9,FALSE)</f>
        <v>0.875</v>
      </c>
    </row>
    <row r="60" spans="1:13" x14ac:dyDescent="0.45">
      <c r="A60" s="10">
        <v>15</v>
      </c>
      <c r="B60" s="10">
        <v>589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0.21577599999999997</v>
      </c>
      <c r="G60" s="12">
        <f ca="1">(RANDBETWEEN(50,100)/100)*(dict_DQ_Meth_max[[#This Row],[Vergleich_ub]]-dict_DQ_Meth_max[[#This Row],[Vergleich_lb]])+dict_DQ_Meth_max[[#This Row],[Vergleich_lb]]</f>
        <v>0.875</v>
      </c>
      <c r="H60" s="11" t="str">
        <f ca="1">VLOOKUP(VLOOKUP(dict_DQ_Meth_max[[#This Row],[ID_DataQualities]],table_DataQualities[],3),table_Units[],2)</f>
        <v>+/- cm³/s</v>
      </c>
      <c r="I60" s="10"/>
      <c r="J60" s="10"/>
      <c r="K60" s="10"/>
      <c r="L60" s="10">
        <f ca="1">VLOOKUP(dict_DQ_Meth_max[[#This Row],[ID_DataQualities]],table_DataQualities[],8,FALSE)</f>
        <v>7.6E-3</v>
      </c>
      <c r="M60" s="10">
        <f ca="1">VLOOKUP(dict_DQ_Meth_max[[#This Row],[ID_DataQualities]],table_DataQualities[],9,FALSE)</f>
        <v>0.875</v>
      </c>
    </row>
    <row r="61" spans="1:13" x14ac:dyDescent="0.45">
      <c r="A61" s="10">
        <v>15</v>
      </c>
      <c r="B61" s="10">
        <v>451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0.37190799999999996</v>
      </c>
      <c r="G61" s="12">
        <f ca="1">(RANDBETWEEN(50,100)/100)*(dict_DQ_Meth_max[[#This Row],[Vergleich_ub]]-dict_DQ_Meth_max[[#This Row],[Vergleich_lb]])+dict_DQ_Meth_max[[#This Row],[Vergleich_lb]]</f>
        <v>0.50201799999999996</v>
      </c>
      <c r="H61" s="11" t="str">
        <f ca="1">VLOOKUP(VLOOKUP(dict_DQ_Meth_max[[#This Row],[ID_DataQualities]],table_DataQualities[],3),table_Units[],2)</f>
        <v>+/- cm³/s</v>
      </c>
      <c r="I61" s="10"/>
      <c r="J61" s="10"/>
      <c r="K61" s="10"/>
      <c r="L61" s="10">
        <f ca="1">VLOOKUP(dict_DQ_Meth_max[[#This Row],[ID_DataQualities]],table_DataQualities[],8,FALSE)</f>
        <v>7.6E-3</v>
      </c>
      <c r="M61" s="10">
        <f ca="1">VLOOKUP(dict_DQ_Meth_max[[#This Row],[ID_DataQualities]],table_DataQualities[],9,FALSE)</f>
        <v>0.875</v>
      </c>
    </row>
    <row r="62" spans="1:13" x14ac:dyDescent="0.45">
      <c r="A62" s="10">
        <v>16</v>
      </c>
      <c r="B62" s="10">
        <v>194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2700.5183800000004</v>
      </c>
      <c r="G62" s="12">
        <f ca="1">(RANDBETWEEN(50,100)/100)*(dict_DQ_Meth_max[[#This Row],[Vergleich_ub]]-dict_DQ_Meth_max[[#This Row],[Vergleich_lb]])+dict_DQ_Meth_max[[#This Row],[Vergleich_lb]]</f>
        <v>7230.0813399999997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0.20200000000000001</v>
      </c>
      <c r="M62" s="10">
        <f ca="1">VLOOKUP(dict_DQ_Meth_max[[#This Row],[ID_DataQualities]],table_DataQualities[],9,FALSE)</f>
        <v>8710.9</v>
      </c>
    </row>
    <row r="63" spans="1:13" x14ac:dyDescent="0.45">
      <c r="A63" s="10">
        <v>16</v>
      </c>
      <c r="B63" s="10">
        <v>219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3745.8021400000002</v>
      </c>
      <c r="G63" s="12">
        <f ca="1">(RANDBETWEEN(50,100)/100)*(dict_DQ_Meth_max[[#This Row],[Vergleich_ub]]-dict_DQ_Meth_max[[#This Row],[Vergleich_lb]])+dict_DQ_Meth_max[[#This Row],[Vergleich_lb]]</f>
        <v>8014.0441600000013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0.20200000000000001</v>
      </c>
      <c r="M63" s="10">
        <f ca="1">VLOOKUP(dict_DQ_Meth_max[[#This Row],[ID_DataQualities]],table_DataQualities[],9,FALSE)</f>
        <v>8710.9</v>
      </c>
    </row>
    <row r="64" spans="1:13" x14ac:dyDescent="0.45">
      <c r="A64" s="10">
        <v>16</v>
      </c>
      <c r="B64" s="10">
        <v>554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2787.6253600000005</v>
      </c>
      <c r="G64" s="12">
        <f ca="1">(RANDBETWEEN(50,100)/100)*(dict_DQ_Meth_max[[#This Row],[Vergleich_ub]]-dict_DQ_Meth_max[[#This Row],[Vergleich_lb]])+dict_DQ_Meth_max[[#This Row],[Vergleich_lb]]</f>
        <v>6097.6905999999999</v>
      </c>
      <c r="H64" s="11" t="str">
        <f ca="1">VLOOKUP(VLOOKUP(dict_DQ_Meth_max[[#This Row],[ID_DataQualities]],table_DataQualities[],3),table_Units[],2)</f>
        <v>Hz</v>
      </c>
      <c r="I64" s="10"/>
      <c r="J64" s="10"/>
      <c r="K64" s="10"/>
      <c r="L64" s="10">
        <f ca="1">VLOOKUP(dict_DQ_Meth_max[[#This Row],[ID_DataQualities]],table_DataQualities[],8,FALSE)</f>
        <v>0.20200000000000001</v>
      </c>
      <c r="M64" s="10">
        <f ca="1">VLOOKUP(dict_DQ_Meth_max[[#This Row],[ID_DataQualities]],table_DataQualities[],9,FALSE)</f>
        <v>8710.9</v>
      </c>
    </row>
    <row r="65" spans="1:13" x14ac:dyDescent="0.45">
      <c r="A65" s="10">
        <v>17</v>
      </c>
      <c r="B65" s="10">
        <v>219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2.0402</v>
      </c>
      <c r="G65" s="12">
        <f ca="1">(RANDBETWEEN(50,100)/100)*(dict_DQ_Meth_max[[#This Row],[Vergleich_ub]]-dict_DQ_Meth_max[[#This Row],[Vergleich_lb]])+dict_DQ_Meth_max[[#This Row],[Vergleich_lb]]</f>
        <v>3.1763999999999997</v>
      </c>
      <c r="H65" s="11" t="str">
        <f ca="1">VLOOKUP(VLOOKUP(dict_DQ_Meth_max[[#This Row],[ID_DataQualities]],table_DataQualities[],3),table_Units[],2)</f>
        <v>+/- mm/s</v>
      </c>
      <c r="I65" s="10"/>
      <c r="J65" s="10"/>
      <c r="K65" s="10"/>
      <c r="L65" s="10">
        <f ca="1">VLOOKUP(dict_DQ_Meth_max[[#This Row],[ID_DataQualities]],table_DataQualities[],8,FALSE)</f>
        <v>0.03</v>
      </c>
      <c r="M65" s="10">
        <f ca="1">VLOOKUP(dict_DQ_Meth_max[[#This Row],[ID_DataQualities]],table_DataQualities[],9,FALSE)</f>
        <v>4.4000000000000004</v>
      </c>
    </row>
    <row r="66" spans="1:13" x14ac:dyDescent="0.45">
      <c r="A66" s="10">
        <v>17</v>
      </c>
      <c r="B66" s="10">
        <v>554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1.6469</v>
      </c>
      <c r="G66" s="12">
        <f ca="1">(RANDBETWEEN(50,100)/100)*(dict_DQ_Meth_max[[#This Row],[Vergleich_ub]]-dict_DQ_Meth_max[[#This Row],[Vergleich_lb]])+dict_DQ_Meth_max[[#This Row],[Vergleich_lb]]</f>
        <v>3.5697000000000001</v>
      </c>
      <c r="H66" s="11" t="str">
        <f ca="1">VLOOKUP(VLOOKUP(dict_DQ_Meth_max[[#This Row],[ID_DataQualities]],table_DataQualities[],3),table_Units[],2)</f>
        <v>+/- mm/s</v>
      </c>
      <c r="I66" s="10"/>
      <c r="J66" s="10"/>
      <c r="K66" s="10"/>
      <c r="L66" s="10">
        <f ca="1">VLOOKUP(dict_DQ_Meth_max[[#This Row],[ID_DataQualities]],table_DataQualities[],8,FALSE)</f>
        <v>0.03</v>
      </c>
      <c r="M66" s="10">
        <f ca="1">VLOOKUP(dict_DQ_Meth_max[[#This Row],[ID_DataQualities]],table_DataQualities[],9,FALSE)</f>
        <v>4.4000000000000004</v>
      </c>
    </row>
    <row r="67" spans="1:13" x14ac:dyDescent="0.45">
      <c r="A67" s="10">
        <v>17</v>
      </c>
      <c r="B67" s="10">
        <v>194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0.33590000000000009</v>
      </c>
      <c r="G67" s="12">
        <f ca="1">(RANDBETWEEN(50,100)/100)*(dict_DQ_Meth_max[[#This Row],[Vergleich_ub]]-dict_DQ_Meth_max[[#This Row],[Vergleich_lb]])+dict_DQ_Meth_max[[#This Row],[Vergleich_lb]]</f>
        <v>2.3460999999999999</v>
      </c>
      <c r="H67" s="11" t="str">
        <f ca="1">VLOOKUP(VLOOKUP(dict_DQ_Meth_max[[#This Row],[ID_DataQualities]],table_DataQualities[],3),table_Units[],2)</f>
        <v>+/- mm/s</v>
      </c>
      <c r="I67" s="10"/>
      <c r="J67" s="10"/>
      <c r="K67" s="10"/>
      <c r="L67" s="10">
        <f ca="1">VLOOKUP(dict_DQ_Meth_max[[#This Row],[ID_DataQualities]],table_DataQualities[],8,FALSE)</f>
        <v>0.03</v>
      </c>
      <c r="M67" s="10">
        <f ca="1">VLOOKUP(dict_DQ_Meth_max[[#This Row],[ID_DataQualities]],table_DataQualities[],9,FALSE)</f>
        <v>4.4000000000000004</v>
      </c>
    </row>
    <row r="68" spans="1:13" x14ac:dyDescent="0.45">
      <c r="A68" s="10">
        <v>18</v>
      </c>
      <c r="B68" s="10">
        <v>415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287.20170000000002</v>
      </c>
      <c r="G68" s="12">
        <f ca="1">(RANDBETWEEN(50,100)/100)*(dict_DQ_Meth_max[[#This Row],[Vergleich_ub]]-dict_DQ_Meth_max[[#This Row],[Vergleich_lb]])+dict_DQ_Meth_max[[#This Row],[Vergleich_lb]]</f>
        <v>888.49720000000002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0.43</v>
      </c>
      <c r="M68" s="10">
        <f ca="1">VLOOKUP(dict_DQ_Meth_max[[#This Row],[ID_DataQualities]],table_DataQualities[],9,FALSE)</f>
        <v>925.5</v>
      </c>
    </row>
    <row r="69" spans="1:13" x14ac:dyDescent="0.45">
      <c r="A69" s="10">
        <v>18</v>
      </c>
      <c r="B69" s="10">
        <v>549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102.18770000000001</v>
      </c>
      <c r="G69" s="12">
        <f ca="1">(RANDBETWEEN(50,100)/100)*(dict_DQ_Meth_max[[#This Row],[Vergleich_ub]]-dict_DQ_Meth_max[[#This Row],[Vergleich_lb]])+dict_DQ_Meth_max[[#This Row],[Vergleich_lb]]</f>
        <v>666.48039999999992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0.43</v>
      </c>
      <c r="M69" s="10">
        <f ca="1">VLOOKUP(dict_DQ_Meth_max[[#This Row],[ID_DataQualities]],table_DataQualities[],9,FALSE)</f>
        <v>925.5</v>
      </c>
    </row>
    <row r="70" spans="1:13" x14ac:dyDescent="0.45">
      <c r="A70" s="10">
        <v>18</v>
      </c>
      <c r="B70" s="10">
        <v>618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444.46360000000004</v>
      </c>
      <c r="G70" s="12">
        <f ca="1">(RANDBETWEEN(50,100)/100)*(dict_DQ_Meth_max[[#This Row],[Vergleich_ub]]-dict_DQ_Meth_max[[#This Row],[Vergleich_lb]])+dict_DQ_Meth_max[[#This Row],[Vergleich_lb]]</f>
        <v>823.7423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0.43</v>
      </c>
      <c r="M70" s="10">
        <f ca="1">VLOOKUP(dict_DQ_Meth_max[[#This Row],[ID_DataQualities]],table_DataQualities[],9,FALSE)</f>
        <v>925.5</v>
      </c>
    </row>
    <row r="71" spans="1:13" x14ac:dyDescent="0.45">
      <c r="A71" s="10">
        <v>18</v>
      </c>
      <c r="B71" s="10">
        <v>256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83.686300000000003</v>
      </c>
      <c r="G71" s="12">
        <f ca="1">(RANDBETWEEN(50,100)/100)*(dict_DQ_Meth_max[[#This Row],[Vergleich_ub]]-dict_DQ_Meth_max[[#This Row],[Vergleich_lb]])+dict_DQ_Meth_max[[#This Row],[Vergleich_lb]]</f>
        <v>462.96500000000003</v>
      </c>
      <c r="H71" s="11" t="str">
        <f ca="1">VLOOKUP(VLOOKUP(dict_DQ_Meth_max[[#This Row],[ID_DataQualities]],table_DataQualities[],3),table_Units[],2)</f>
        <v>Hz</v>
      </c>
      <c r="I71" s="10"/>
      <c r="J71" s="10"/>
      <c r="K71" s="10"/>
      <c r="L71" s="10">
        <f ca="1">VLOOKUP(dict_DQ_Meth_max[[#This Row],[ID_DataQualities]],table_DataQualities[],8,FALSE)</f>
        <v>0.43</v>
      </c>
      <c r="M71" s="10">
        <f ca="1">VLOOKUP(dict_DQ_Meth_max[[#This Row],[ID_DataQualities]],table_DataQualities[],9,FALSE)</f>
        <v>925.5</v>
      </c>
    </row>
    <row r="72" spans="1:13" x14ac:dyDescent="0.45">
      <c r="A72" s="10">
        <v>19</v>
      </c>
      <c r="B72" s="10">
        <v>415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1.92</v>
      </c>
      <c r="G72" s="12">
        <f ca="1">(RANDBETWEEN(50,100)/100)*(dict_DQ_Meth_max[[#This Row],[Vergleich_ub]]-dict_DQ_Meth_max[[#This Row],[Vergleich_lb]])+dict_DQ_Meth_max[[#This Row],[Vergleich_lb]]</f>
        <v>5.0819999999999999</v>
      </c>
      <c r="H72" s="11" t="str">
        <f ca="1">VLOOKUP(VLOOKUP(dict_DQ_Meth_max[[#This Row],[ID_DataQualities]],table_DataQualities[],3),table_Units[],2)</f>
        <v>+/- °C</v>
      </c>
      <c r="I72" s="10"/>
      <c r="J72" s="10"/>
      <c r="K72" s="10"/>
      <c r="L72" s="10">
        <f ca="1">VLOOKUP(dict_DQ_Meth_max[[#This Row],[ID_DataQualities]],table_DataQualities[],8,FALSE)</f>
        <v>0.9</v>
      </c>
      <c r="M72" s="10">
        <f ca="1">VLOOKUP(dict_DQ_Meth_max[[#This Row],[ID_DataQualities]],table_DataQualities[],9,FALSE)</f>
        <v>6</v>
      </c>
    </row>
    <row r="73" spans="1:13" x14ac:dyDescent="0.45">
      <c r="A73" s="10">
        <v>19</v>
      </c>
      <c r="B73" s="10">
        <v>549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1.155</v>
      </c>
      <c r="G73" s="12">
        <f ca="1">(RANDBETWEEN(50,100)/100)*(dict_DQ_Meth_max[[#This Row],[Vergleich_ub]]-dict_DQ_Meth_max[[#This Row],[Vergleich_lb]])+dict_DQ_Meth_max[[#This Row],[Vergleich_lb]]</f>
        <v>3.6029999999999998</v>
      </c>
      <c r="H73" s="11" t="str">
        <f ca="1">VLOOKUP(VLOOKUP(dict_DQ_Meth_max[[#This Row],[ID_DataQualities]],table_DataQualities[],3),table_Units[],2)</f>
        <v>+/- °C</v>
      </c>
      <c r="I73" s="10"/>
      <c r="J73" s="10"/>
      <c r="K73" s="10"/>
      <c r="L73" s="10">
        <f ca="1">VLOOKUP(dict_DQ_Meth_max[[#This Row],[ID_DataQualities]],table_DataQualities[],8,FALSE)</f>
        <v>0.9</v>
      </c>
      <c r="M73" s="10">
        <f ca="1">VLOOKUP(dict_DQ_Meth_max[[#This Row],[ID_DataQualities]],table_DataQualities[],9,FALSE)</f>
        <v>6</v>
      </c>
    </row>
    <row r="74" spans="1:13" x14ac:dyDescent="0.45">
      <c r="A74" s="10">
        <v>19</v>
      </c>
      <c r="B74" s="10">
        <v>618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2.5830000000000002</v>
      </c>
      <c r="G74" s="12">
        <f ca="1">(RANDBETWEEN(50,100)/100)*(dict_DQ_Meth_max[[#This Row],[Vergleich_ub]]-dict_DQ_Meth_max[[#This Row],[Vergleich_lb]])+dict_DQ_Meth_max[[#This Row],[Vergleich_lb]]</f>
        <v>3.9599999999999995</v>
      </c>
      <c r="H74" s="11" t="str">
        <f ca="1">VLOOKUP(VLOOKUP(dict_DQ_Meth_max[[#This Row],[ID_DataQualities]],table_DataQualities[],3),table_Units[],2)</f>
        <v>+/- °C</v>
      </c>
      <c r="I74" s="10"/>
      <c r="J74" s="10"/>
      <c r="K74" s="10"/>
      <c r="L74" s="10">
        <f ca="1">VLOOKUP(dict_DQ_Meth_max[[#This Row],[ID_DataQualities]],table_DataQualities[],8,FALSE)</f>
        <v>0.9</v>
      </c>
      <c r="M74" s="10">
        <f ca="1">VLOOKUP(dict_DQ_Meth_max[[#This Row],[ID_DataQualities]],table_DataQualities[],9,FALSE)</f>
        <v>6</v>
      </c>
    </row>
    <row r="75" spans="1:13" x14ac:dyDescent="0.45">
      <c r="A75" s="10">
        <v>19</v>
      </c>
      <c r="B75" s="10">
        <v>256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1.4100000000000001</v>
      </c>
      <c r="G75" s="12">
        <f ca="1">(RANDBETWEEN(50,100)/100)*(dict_DQ_Meth_max[[#This Row],[Vergleich_ub]]-dict_DQ_Meth_max[[#This Row],[Vergleich_lb]])+dict_DQ_Meth_max[[#This Row],[Vergleich_lb]]</f>
        <v>5.49</v>
      </c>
      <c r="H75" s="11" t="str">
        <f ca="1">VLOOKUP(VLOOKUP(dict_DQ_Meth_max[[#This Row],[ID_DataQualities]],table_DataQualities[],3),table_Units[],2)</f>
        <v>+/- °C</v>
      </c>
      <c r="I75" s="10"/>
      <c r="J75" s="10"/>
      <c r="K75" s="10"/>
      <c r="L75" s="10">
        <f ca="1">VLOOKUP(dict_DQ_Meth_max[[#This Row],[ID_DataQualities]],table_DataQualities[],8,FALSE)</f>
        <v>0.9</v>
      </c>
      <c r="M75" s="10">
        <f ca="1">VLOOKUP(dict_DQ_Meth_max[[#This Row],[ID_DataQualities]],table_DataQualities[],9,FALSE)</f>
        <v>6</v>
      </c>
    </row>
    <row r="76" spans="1:13" x14ac:dyDescent="0.45">
      <c r="A76" s="10">
        <v>20</v>
      </c>
      <c r="B76" s="10">
        <v>269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4516.5455699999993</v>
      </c>
      <c r="G76" s="12">
        <f ca="1">(RANDBETWEEN(50,100)/100)*(dict_DQ_Meth_max[[#This Row],[Vergleich_ub]]-dict_DQ_Meth_max[[#This Row],[Vergleich_lb]])+dict_DQ_Meth_max[[#This Row],[Vergleich_lb]]</f>
        <v>5438.1248699999996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0.80700000000000005</v>
      </c>
      <c r="M76" s="10">
        <f ca="1">VLOOKUP(dict_DQ_Meth_max[[#This Row],[ID_DataQualities]],table_DataQualities[],9,FALSE)</f>
        <v>9216.6</v>
      </c>
    </row>
    <row r="77" spans="1:13" x14ac:dyDescent="0.45">
      <c r="A77" s="10">
        <v>20</v>
      </c>
      <c r="B77" s="10">
        <v>42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2212.5973199999999</v>
      </c>
      <c r="G77" s="12">
        <f ca="1">(RANDBETWEEN(50,100)/100)*(dict_DQ_Meth_max[[#This Row],[Vergleich_ub]]-dict_DQ_Meth_max[[#This Row],[Vergleich_lb]])+dict_DQ_Meth_max[[#This Row],[Vergleich_lb]]</f>
        <v>7742.0731199999991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0.80700000000000005</v>
      </c>
      <c r="M77" s="10">
        <f ca="1">VLOOKUP(dict_DQ_Meth_max[[#This Row],[ID_DataQualities]],table_DataQualities[],9,FALSE)</f>
        <v>9216.6</v>
      </c>
    </row>
    <row r="78" spans="1:13" x14ac:dyDescent="0.45">
      <c r="A78" s="10">
        <v>20</v>
      </c>
      <c r="B78" s="10">
        <v>628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3502.8083399999996</v>
      </c>
      <c r="G78" s="12">
        <f ca="1">(RANDBETWEEN(50,100)/100)*(dict_DQ_Meth_max[[#This Row],[Vergleich_ub]]-dict_DQ_Meth_max[[#This Row],[Vergleich_lb]])+dict_DQ_Meth_max[[#This Row],[Vergleich_lb]]</f>
        <v>5714.5986599999997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0.80700000000000005</v>
      </c>
      <c r="M78" s="10">
        <f ca="1">VLOOKUP(dict_DQ_Meth_max[[#This Row],[ID_DataQualities]],table_DataQualities[],9,FALSE)</f>
        <v>9216.6</v>
      </c>
    </row>
    <row r="79" spans="1:13" x14ac:dyDescent="0.45">
      <c r="A79" s="10">
        <v>20</v>
      </c>
      <c r="B79" s="10">
        <v>552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1567.49181</v>
      </c>
      <c r="G79" s="12">
        <f ca="1">(RANDBETWEEN(50,100)/100)*(dict_DQ_Meth_max[[#This Row],[Vergleich_ub]]-dict_DQ_Meth_max[[#This Row],[Vergleich_lb]])+dict_DQ_Meth_max[[#This Row],[Vergleich_lb]]</f>
        <v>7926.3889799999997</v>
      </c>
      <c r="H79" s="11" t="str">
        <f ca="1">VLOOKUP(VLOOKUP(dict_DQ_Meth_max[[#This Row],[ID_DataQualities]],table_DataQualities[],3),table_Units[],2)</f>
        <v>Hz</v>
      </c>
      <c r="I79" s="10"/>
      <c r="J79" s="10"/>
      <c r="K79" s="10"/>
      <c r="L79" s="10">
        <f ca="1">VLOOKUP(dict_DQ_Meth_max[[#This Row],[ID_DataQualities]],table_DataQualities[],8,FALSE)</f>
        <v>0.80700000000000005</v>
      </c>
      <c r="M79" s="10">
        <f ca="1">VLOOKUP(dict_DQ_Meth_max[[#This Row],[ID_DataQualities]],table_DataQualities[],9,FALSE)</f>
        <v>9216.6</v>
      </c>
    </row>
    <row r="80" spans="1:13" x14ac:dyDescent="0.45">
      <c r="A80" s="10">
        <v>21</v>
      </c>
      <c r="B80" s="10">
        <v>628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1.8405</v>
      </c>
      <c r="G80" s="12">
        <f ca="1">(RANDBETWEEN(50,100)/100)*(dict_DQ_Meth_max[[#This Row],[Vergleich_ub]]-dict_DQ_Meth_max[[#This Row],[Vergleich_lb]])+dict_DQ_Meth_max[[#This Row],[Vergleich_lb]]</f>
        <v>5.4218000000000002</v>
      </c>
      <c r="H80" s="11" t="str">
        <f ca="1">VLOOKUP(VLOOKUP(dict_DQ_Meth_max[[#This Row],[ID_DataQualities]],table_DataQualities[],3),table_Units[],2)</f>
        <v>+/- mm/s</v>
      </c>
      <c r="I80" s="10"/>
      <c r="J80" s="10"/>
      <c r="K80" s="10"/>
      <c r="L80" s="10">
        <f ca="1">VLOOKUP(dict_DQ_Meth_max[[#This Row],[ID_DataQualities]],table_DataQualities[],8,FALSE)</f>
        <v>0.93</v>
      </c>
      <c r="M80" s="10">
        <f ca="1">VLOOKUP(dict_DQ_Meth_max[[#This Row],[ID_DataQualities]],table_DataQualities[],9,FALSE)</f>
        <v>7</v>
      </c>
    </row>
    <row r="81" spans="1:13" x14ac:dyDescent="0.45">
      <c r="A81" s="10">
        <v>21</v>
      </c>
      <c r="B81" s="10">
        <v>42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1.1728000000000001</v>
      </c>
      <c r="G81" s="12">
        <f ca="1">(RANDBETWEEN(50,100)/100)*(dict_DQ_Meth_max[[#This Row],[Vergleich_ub]]-dict_DQ_Meth_max[[#This Row],[Vergleich_lb]])+dict_DQ_Meth_max[[#This Row],[Vergleich_lb]]</f>
        <v>4.3898999999999999</v>
      </c>
      <c r="H81" s="11" t="str">
        <f ca="1">VLOOKUP(VLOOKUP(dict_DQ_Meth_max[[#This Row],[ID_DataQualities]],table_DataQualities[],3),table_Units[],2)</f>
        <v>+/- mm/s</v>
      </c>
      <c r="I81" s="10"/>
      <c r="J81" s="10"/>
      <c r="K81" s="10"/>
      <c r="L81" s="10">
        <f ca="1">VLOOKUP(dict_DQ_Meth_max[[#This Row],[ID_DataQualities]],table_DataQualities[],8,FALSE)</f>
        <v>0.93</v>
      </c>
      <c r="M81" s="10">
        <f ca="1">VLOOKUP(dict_DQ_Meth_max[[#This Row],[ID_DataQualities]],table_DataQualities[],9,FALSE)</f>
        <v>7</v>
      </c>
    </row>
    <row r="82" spans="1:13" x14ac:dyDescent="0.45">
      <c r="A82" s="10">
        <v>21</v>
      </c>
      <c r="B82" s="10">
        <v>552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2.3261000000000003</v>
      </c>
      <c r="G82" s="12">
        <f ca="1">(RANDBETWEEN(50,100)/100)*(dict_DQ_Meth_max[[#This Row],[Vergleich_ub]]-dict_DQ_Meth_max[[#This Row],[Vergleich_lb]])+dict_DQ_Meth_max[[#This Row],[Vergleich_lb]]</f>
        <v>5.1182999999999996</v>
      </c>
      <c r="H82" s="11" t="str">
        <f ca="1">VLOOKUP(VLOOKUP(dict_DQ_Meth_max[[#This Row],[ID_DataQualities]],table_DataQualities[],3),table_Units[],2)</f>
        <v>+/- mm/s</v>
      </c>
      <c r="I82" s="10"/>
      <c r="J82" s="10"/>
      <c r="K82" s="10"/>
      <c r="L82" s="10">
        <f ca="1">VLOOKUP(dict_DQ_Meth_max[[#This Row],[ID_DataQualities]],table_DataQualities[],8,FALSE)</f>
        <v>0.93</v>
      </c>
      <c r="M82" s="10">
        <f ca="1">VLOOKUP(dict_DQ_Meth_max[[#This Row],[ID_DataQualities]],table_DataQualities[],9,FALSE)</f>
        <v>7</v>
      </c>
    </row>
    <row r="83" spans="1:13" x14ac:dyDescent="0.45">
      <c r="A83" s="10">
        <v>21</v>
      </c>
      <c r="B83" s="10">
        <v>269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3.7222000000000004</v>
      </c>
      <c r="G83" s="12">
        <f ca="1">(RANDBETWEEN(50,100)/100)*(dict_DQ_Meth_max[[#This Row],[Vergleich_ub]]-dict_DQ_Meth_max[[#This Row],[Vergleich_lb]])+dict_DQ_Meth_max[[#This Row],[Vergleich_lb]]</f>
        <v>3.9650000000000003</v>
      </c>
      <c r="H83" s="11" t="str">
        <f ca="1">VLOOKUP(VLOOKUP(dict_DQ_Meth_max[[#This Row],[ID_DataQualities]],table_DataQualities[],3),table_Units[],2)</f>
        <v>+/- mm/s</v>
      </c>
      <c r="I83" s="10"/>
      <c r="J83" s="10"/>
      <c r="K83" s="10"/>
      <c r="L83" s="10">
        <f ca="1">VLOOKUP(dict_DQ_Meth_max[[#This Row],[ID_DataQualities]],table_DataQualities[],8,FALSE)</f>
        <v>0.93</v>
      </c>
      <c r="M83" s="10">
        <f ca="1">VLOOKUP(dict_DQ_Meth_max[[#This Row],[ID_DataQualities]],table_DataQualities[],9,FALSE)</f>
        <v>7</v>
      </c>
    </row>
    <row r="84" spans="1:13" x14ac:dyDescent="0.45">
      <c r="A84" s="10">
        <v>22</v>
      </c>
      <c r="B84" s="10">
        <v>212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991.53791999999987</v>
      </c>
      <c r="G84" s="12">
        <f ca="1">(RANDBETWEEN(50,100)/100)*(dict_DQ_Meth_max[[#This Row],[Vergleich_ub]]-dict_DQ_Meth_max[[#This Row],[Vergleich_lb]])+dict_DQ_Meth_max[[#This Row],[Vergleich_lb]]</f>
        <v>1363.32864</v>
      </c>
      <c r="H84" s="11" t="str">
        <f ca="1">VLOOKUP(VLOOKUP(dict_DQ_Meth_max[[#This Row],[ID_DataQualities]],table_DataQualities[],3),table_Units[],2)</f>
        <v>Hz</v>
      </c>
      <c r="I84" s="10"/>
      <c r="J84" s="10"/>
      <c r="K84" s="10"/>
      <c r="L84" s="10">
        <f ca="1">VLOOKUP(dict_DQ_Meth_max[[#This Row],[ID_DataQualities]],table_DataQualities[],8,FALSE)</f>
        <v>9.6000000000000002E-2</v>
      </c>
      <c r="M84" s="10">
        <f ca="1">VLOOKUP(dict_DQ_Meth_max[[#This Row],[ID_DataQualities]],table_DataQualities[],9,FALSE)</f>
        <v>2065.6</v>
      </c>
    </row>
    <row r="85" spans="1:13" x14ac:dyDescent="0.45">
      <c r="A85" s="10">
        <v>22</v>
      </c>
      <c r="B85" s="10">
        <v>255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557.78208000000006</v>
      </c>
      <c r="G85" s="12">
        <f ca="1">(RANDBETWEEN(50,100)/100)*(dict_DQ_Meth_max[[#This Row],[Vergleich_ub]]-dict_DQ_Meth_max[[#This Row],[Vergleich_lb]])+dict_DQ_Meth_max[[#This Row],[Vergleich_lb]]</f>
        <v>1094.81312</v>
      </c>
      <c r="H85" s="11" t="str">
        <f ca="1">VLOOKUP(VLOOKUP(dict_DQ_Meth_max[[#This Row],[ID_DataQualities]],table_DataQualities[],3),table_Units[],2)</f>
        <v>Hz</v>
      </c>
      <c r="I85" s="10"/>
      <c r="J85" s="10"/>
      <c r="K85" s="10"/>
      <c r="L85" s="10">
        <f ca="1">VLOOKUP(dict_DQ_Meth_max[[#This Row],[ID_DataQualities]],table_DataQualities[],8,FALSE)</f>
        <v>9.6000000000000002E-2</v>
      </c>
      <c r="M85" s="10">
        <f ca="1">VLOOKUP(dict_DQ_Meth_max[[#This Row],[ID_DataQualities]],table_DataQualities[],9,FALSE)</f>
        <v>2065.6</v>
      </c>
    </row>
    <row r="86" spans="1:13" x14ac:dyDescent="0.45">
      <c r="A86" s="10">
        <v>23</v>
      </c>
      <c r="B86" s="10">
        <v>255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4.1909499999999991</v>
      </c>
      <c r="G86" s="12">
        <f ca="1">(RANDBETWEEN(50,100)/100)*(dict_DQ_Meth_max[[#This Row],[Vergleich_ub]]-dict_DQ_Meth_max[[#This Row],[Vergleich_lb]])+dict_DQ_Meth_max[[#This Row],[Vergleich_lb]]</f>
        <v>7.5672499999999996</v>
      </c>
      <c r="H86" s="11" t="str">
        <f ca="1">VLOOKUP(VLOOKUP(dict_DQ_Meth_max[[#This Row],[ID_DataQualities]],table_DataQualities[],3),table_Units[],2)</f>
        <v>+/- mm</v>
      </c>
      <c r="I86" s="10"/>
      <c r="J86" s="10"/>
      <c r="K86" s="10"/>
      <c r="L86" s="10">
        <f ca="1">VLOOKUP(dict_DQ_Meth_max[[#This Row],[ID_DataQualities]],table_DataQualities[],8,FALSE)</f>
        <v>1.4999999999999999E-2</v>
      </c>
      <c r="M86" s="10">
        <f ca="1">VLOOKUP(dict_DQ_Meth_max[[#This Row],[ID_DataQualities]],table_DataQualities[],9,FALSE)</f>
        <v>8.9</v>
      </c>
    </row>
    <row r="87" spans="1:13" x14ac:dyDescent="0.45">
      <c r="A87" s="10">
        <v>23</v>
      </c>
      <c r="B87" s="10">
        <v>212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1.9696999999999998</v>
      </c>
      <c r="G87" s="12">
        <f ca="1">(RANDBETWEEN(50,100)/100)*(dict_DQ_Meth_max[[#This Row],[Vergleich_ub]]-dict_DQ_Meth_max[[#This Row],[Vergleich_lb]])+dict_DQ_Meth_max[[#This Row],[Vergleich_lb]]</f>
        <v>6.5898999999999992</v>
      </c>
      <c r="H87" s="11" t="str">
        <f ca="1">VLOOKUP(VLOOKUP(dict_DQ_Meth_max[[#This Row],[ID_DataQualities]],table_DataQualities[],3),table_Units[],2)</f>
        <v>+/- mm</v>
      </c>
      <c r="I87" s="10"/>
      <c r="J87" s="10"/>
      <c r="K87" s="10"/>
      <c r="L87" s="10">
        <f ca="1">VLOOKUP(dict_DQ_Meth_max[[#This Row],[ID_DataQualities]],table_DataQualities[],8,FALSE)</f>
        <v>1.4999999999999999E-2</v>
      </c>
      <c r="M87" s="10">
        <f ca="1">VLOOKUP(dict_DQ_Meth_max[[#This Row],[ID_DataQualities]],table_DataQualities[],9,FALSE)</f>
        <v>8.9</v>
      </c>
    </row>
    <row r="88" spans="1:13" x14ac:dyDescent="0.45">
      <c r="A88" s="10">
        <v>24</v>
      </c>
      <c r="B88" s="10">
        <v>461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2593.1706899999999</v>
      </c>
      <c r="G88" s="12">
        <f ca="1">(RANDBETWEEN(50,100)/100)*(dict_DQ_Meth_max[[#This Row],[Vergleich_ub]]-dict_DQ_Meth_max[[#This Row],[Vergleich_lb]])+dict_DQ_Meth_max[[#This Row],[Vergleich_lb]]</f>
        <v>8738.1607700000004</v>
      </c>
      <c r="H88" s="11" t="str">
        <f ca="1">VLOOKUP(VLOOKUP(dict_DQ_Meth_max[[#This Row],[ID_DataQualities]],table_DataQualities[],3),table_Units[],2)</f>
        <v>Hz</v>
      </c>
      <c r="I88" s="10"/>
      <c r="J88" s="10"/>
      <c r="K88" s="10"/>
      <c r="L88" s="10">
        <f ca="1">VLOOKUP(dict_DQ_Meth_max[[#This Row],[ID_DataQualities]],table_DataQualities[],8,FALSE)</f>
        <v>0.753</v>
      </c>
      <c r="M88" s="10">
        <f ca="1">VLOOKUP(dict_DQ_Meth_max[[#This Row],[ID_DataQualities]],table_DataQualities[],9,FALSE)</f>
        <v>9602.2999999999993</v>
      </c>
    </row>
    <row r="89" spans="1:13" x14ac:dyDescent="0.45">
      <c r="A89" s="10">
        <v>24</v>
      </c>
      <c r="B89" s="10">
        <v>343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2401.1397499999998</v>
      </c>
      <c r="G89" s="12">
        <f ca="1">(RANDBETWEEN(50,100)/100)*(dict_DQ_Meth_max[[#This Row],[Vergleich_ub]]-dict_DQ_Meth_max[[#This Row],[Vergleich_lb]])+dict_DQ_Meth_max[[#This Row],[Vergleich_lb]]</f>
        <v>6241.7585499999986</v>
      </c>
      <c r="H89" s="11" t="str">
        <f ca="1">VLOOKUP(VLOOKUP(dict_DQ_Meth_max[[#This Row],[ID_DataQualities]],table_DataQualities[],3),table_Units[],2)</f>
        <v>Hz</v>
      </c>
      <c r="I89" s="10"/>
      <c r="J89" s="10"/>
      <c r="K89" s="10"/>
      <c r="L89" s="10">
        <f ca="1">VLOOKUP(dict_DQ_Meth_max[[#This Row],[ID_DataQualities]],table_DataQualities[],8,FALSE)</f>
        <v>0.753</v>
      </c>
      <c r="M89" s="10">
        <f ca="1">VLOOKUP(dict_DQ_Meth_max[[#This Row],[ID_DataQualities]],table_DataQualities[],9,FALSE)</f>
        <v>9602.2999999999993</v>
      </c>
    </row>
    <row r="90" spans="1:13" x14ac:dyDescent="0.45">
      <c r="A90" s="10">
        <v>24</v>
      </c>
      <c r="B90" s="10">
        <v>161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1056.9231699999998</v>
      </c>
      <c r="G90" s="12">
        <f ca="1">(RANDBETWEEN(50,100)/100)*(dict_DQ_Meth_max[[#This Row],[Vergleich_ub]]-dict_DQ_Meth_max[[#This Row],[Vergleich_lb]])+dict_DQ_Meth_max[[#This Row],[Vergleich_lb]]</f>
        <v>5185.5883799999992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0.753</v>
      </c>
      <c r="M90" s="10">
        <f ca="1">VLOOKUP(dict_DQ_Meth_max[[#This Row],[ID_DataQualities]],table_DataQualities[],9,FALSE)</f>
        <v>9602.2999999999993</v>
      </c>
    </row>
    <row r="91" spans="1:13" x14ac:dyDescent="0.45">
      <c r="A91" s="10">
        <v>24</v>
      </c>
      <c r="B91" s="10">
        <v>513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3361.2944499999994</v>
      </c>
      <c r="G91" s="12">
        <f ca="1">(RANDBETWEEN(50,100)/100)*(dict_DQ_Meth_max[[#This Row],[Vergleich_ub]]-dict_DQ_Meth_max[[#This Row],[Vergleich_lb]])+dict_DQ_Meth_max[[#This Row],[Vergleich_lb]]</f>
        <v>8642.1453000000001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0.753</v>
      </c>
      <c r="M91" s="10">
        <f ca="1">VLOOKUP(dict_DQ_Meth_max[[#This Row],[ID_DataQualities]],table_DataQualities[],9,FALSE)</f>
        <v>9602.2999999999993</v>
      </c>
    </row>
    <row r="92" spans="1:13" x14ac:dyDescent="0.45">
      <c r="A92" s="10">
        <v>24</v>
      </c>
      <c r="B92" s="10">
        <v>654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3553.3253899999995</v>
      </c>
      <c r="G92" s="12">
        <f ca="1">(RANDBETWEEN(50,100)/100)*(dict_DQ_Meth_max[[#This Row],[Vergleich_ub]]-dict_DQ_Meth_max[[#This Row],[Vergleich_lb]])+dict_DQ_Meth_max[[#This Row],[Vergleich_lb]]</f>
        <v>5953.7121399999987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0.753</v>
      </c>
      <c r="M92" s="10">
        <f ca="1">VLOOKUP(dict_DQ_Meth_max[[#This Row],[ID_DataQualities]],table_DataQualities[],9,FALSE)</f>
        <v>9602.2999999999993</v>
      </c>
    </row>
    <row r="93" spans="1:13" x14ac:dyDescent="0.45">
      <c r="A93" s="10">
        <v>25</v>
      </c>
      <c r="B93" s="10">
        <v>343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4.4624999999999998E-2</v>
      </c>
      <c r="G93" s="12">
        <f ca="1">(RANDBETWEEN(50,100)/100)*(dict_DQ_Meth_max[[#This Row],[Vergleich_ub]]-dict_DQ_Meth_max[[#This Row],[Vergleich_lb]])+dict_DQ_Meth_max[[#This Row],[Vergleich_lb]]</f>
        <v>0.226525</v>
      </c>
      <c r="H93" s="11" t="str">
        <f ca="1">VLOOKUP(VLOOKUP(dict_DQ_Meth_max[[#This Row],[ID_DataQualities]],table_DataQualities[],3),table_Units[],2)</f>
        <v>+/- cm³/s</v>
      </c>
      <c r="I93" s="10"/>
      <c r="J93" s="10"/>
      <c r="K93" s="10"/>
      <c r="L93" s="10">
        <f ca="1">VLOOKUP(dict_DQ_Meth_max[[#This Row],[ID_DataQualities]],table_DataQualities[],8,FALSE)</f>
        <v>4.4999999999999997E-3</v>
      </c>
      <c r="M93" s="10">
        <f ca="1">VLOOKUP(dict_DQ_Meth_max[[#This Row],[ID_DataQualities]],table_DataQualities[],9,FALSE)</f>
        <v>0.27200000000000002</v>
      </c>
    </row>
    <row r="94" spans="1:13" x14ac:dyDescent="0.45">
      <c r="A94" s="10">
        <v>25</v>
      </c>
      <c r="B94" s="10">
        <v>161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2.8575E-2</v>
      </c>
      <c r="G94" s="12">
        <f ca="1">(RANDBETWEEN(50,100)/100)*(dict_DQ_Meth_max[[#This Row],[Vergleich_ub]]-dict_DQ_Meth_max[[#This Row],[Vergleich_lb]])+dict_DQ_Meth_max[[#This Row],[Vergleich_lb]]</f>
        <v>0.21582500000000002</v>
      </c>
      <c r="H94" s="11" t="str">
        <f ca="1">VLOOKUP(VLOOKUP(dict_DQ_Meth_max[[#This Row],[ID_DataQualities]],table_DataQualities[],3),table_Units[],2)</f>
        <v>+/- cm³/s</v>
      </c>
      <c r="I94" s="10"/>
      <c r="J94" s="10"/>
      <c r="K94" s="10"/>
      <c r="L94" s="10">
        <f ca="1">VLOOKUP(dict_DQ_Meth_max[[#This Row],[ID_DataQualities]],table_DataQualities[],8,FALSE)</f>
        <v>4.4999999999999997E-3</v>
      </c>
      <c r="M94" s="10">
        <f ca="1">VLOOKUP(dict_DQ_Meth_max[[#This Row],[ID_DataQualities]],table_DataQualities[],9,FALSE)</f>
        <v>0.27200000000000002</v>
      </c>
    </row>
    <row r="95" spans="1:13" x14ac:dyDescent="0.45">
      <c r="A95" s="10">
        <v>25</v>
      </c>
      <c r="B95" s="10">
        <v>461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9.277500000000001E-2</v>
      </c>
      <c r="G95" s="12">
        <f ca="1">(RANDBETWEEN(50,100)/100)*(dict_DQ_Meth_max[[#This Row],[Vergleich_ub]]-dict_DQ_Meth_max[[#This Row],[Vergleich_lb]])+dict_DQ_Meth_max[[#This Row],[Vergleich_lb]]</f>
        <v>0.26397500000000002</v>
      </c>
      <c r="H95" s="11" t="str">
        <f ca="1">VLOOKUP(VLOOKUP(dict_DQ_Meth_max[[#This Row],[ID_DataQualities]],table_DataQualities[],3),table_Units[],2)</f>
        <v>+/- cm³/s</v>
      </c>
      <c r="I95" s="10"/>
      <c r="J95" s="10"/>
      <c r="K95" s="10"/>
      <c r="L95" s="10">
        <f ca="1">VLOOKUP(dict_DQ_Meth_max[[#This Row],[ID_DataQualities]],table_DataQualities[],8,FALSE)</f>
        <v>4.4999999999999997E-3</v>
      </c>
      <c r="M95" s="10">
        <f ca="1">VLOOKUP(dict_DQ_Meth_max[[#This Row],[ID_DataQualities]],table_DataQualities[],9,FALSE)</f>
        <v>0.27200000000000002</v>
      </c>
    </row>
    <row r="96" spans="1:13" x14ac:dyDescent="0.45">
      <c r="A96" s="10">
        <v>25</v>
      </c>
      <c r="B96" s="10">
        <v>654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6.8700000000000011E-2</v>
      </c>
      <c r="G96" s="12">
        <f ca="1">(RANDBETWEEN(50,100)/100)*(dict_DQ_Meth_max[[#This Row],[Vergleich_ub]]-dict_DQ_Meth_max[[#This Row],[Vergleich_lb]])+dict_DQ_Meth_max[[#This Row],[Vergleich_lb]]</f>
        <v>0.17837500000000003</v>
      </c>
      <c r="H96" s="11" t="str">
        <f ca="1">VLOOKUP(VLOOKUP(dict_DQ_Meth_max[[#This Row],[ID_DataQualities]],table_DataQualities[],3),table_Units[],2)</f>
        <v>+/- cm³/s</v>
      </c>
      <c r="I96" s="10"/>
      <c r="J96" s="10"/>
      <c r="K96" s="10"/>
      <c r="L96" s="10">
        <f ca="1">VLOOKUP(dict_DQ_Meth_max[[#This Row],[ID_DataQualities]],table_DataQualities[],8,FALSE)</f>
        <v>4.4999999999999997E-3</v>
      </c>
      <c r="M96" s="10">
        <f ca="1">VLOOKUP(dict_DQ_Meth_max[[#This Row],[ID_DataQualities]],table_DataQualities[],9,FALSE)</f>
        <v>0.27200000000000002</v>
      </c>
    </row>
    <row r="97" spans="1:13" x14ac:dyDescent="0.45">
      <c r="A97" s="10">
        <v>25</v>
      </c>
      <c r="B97" s="10">
        <v>513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2.3225000000000003E-2</v>
      </c>
      <c r="G97" s="12">
        <f ca="1">(RANDBETWEEN(50,100)/100)*(dict_DQ_Meth_max[[#This Row],[Vergleich_ub]]-dict_DQ_Meth_max[[#This Row],[Vergleich_lb]])+dict_DQ_Meth_max[[#This Row],[Vergleich_lb]]</f>
        <v>0.18640000000000004</v>
      </c>
      <c r="H97" s="11" t="str">
        <f ca="1">VLOOKUP(VLOOKUP(dict_DQ_Meth_max[[#This Row],[ID_DataQualities]],table_DataQualities[],3),table_Units[],2)</f>
        <v>+/- cm³/s</v>
      </c>
      <c r="I97" s="10"/>
      <c r="J97" s="10"/>
      <c r="K97" s="10"/>
      <c r="L97" s="10">
        <f ca="1">VLOOKUP(dict_DQ_Meth_max[[#This Row],[ID_DataQualities]],table_DataQualities[],8,FALSE)</f>
        <v>4.4999999999999997E-3</v>
      </c>
      <c r="M97" s="10">
        <f ca="1">VLOOKUP(dict_DQ_Meth_max[[#This Row],[ID_DataQualities]],table_DataQualities[],9,FALSE)</f>
        <v>0.27200000000000002</v>
      </c>
    </row>
    <row r="98" spans="1:13" x14ac:dyDescent="0.45">
      <c r="A98" s="10">
        <v>26</v>
      </c>
      <c r="B98" s="10">
        <v>41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923.52839999999992</v>
      </c>
      <c r="G98" s="12">
        <f ca="1">(RANDBETWEEN(50,100)/100)*(dict_DQ_Meth_max[[#This Row],[Vergleich_ub]]-dict_DQ_Meth_max[[#This Row],[Vergleich_lb]])+dict_DQ_Meth_max[[#This Row],[Vergleich_lb]]</f>
        <v>4564.6782000000003</v>
      </c>
      <c r="H98" s="11" t="str">
        <f ca="1">VLOOKUP(VLOOKUP(dict_DQ_Meth_max[[#This Row],[ID_DataQualities]],table_DataQualities[],3),table_Units[],2)</f>
        <v>Hz</v>
      </c>
      <c r="I98" s="10"/>
      <c r="J98" s="10"/>
      <c r="K98" s="10"/>
      <c r="L98" s="10">
        <f ca="1">VLOOKUP(dict_DQ_Meth_max[[#This Row],[ID_DataQualities]],table_DataQualities[],8,FALSE)</f>
        <v>0.42</v>
      </c>
      <c r="M98" s="10">
        <f ca="1">VLOOKUP(dict_DQ_Meth_max[[#This Row],[ID_DataQualities]],table_DataQualities[],9,FALSE)</f>
        <v>5128.8</v>
      </c>
    </row>
    <row r="99" spans="1:13" x14ac:dyDescent="0.45">
      <c r="A99" s="10">
        <v>26</v>
      </c>
      <c r="B99" s="10">
        <v>92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615.82559999999989</v>
      </c>
      <c r="G99" s="12">
        <f ca="1">(RANDBETWEEN(50,100)/100)*(dict_DQ_Meth_max[[#This Row],[Vergleich_ub]]-dict_DQ_Meth_max[[#This Row],[Vergleich_lb]])+dict_DQ_Meth_max[[#This Row],[Vergleich_lb]]</f>
        <v>3692.8535999999999</v>
      </c>
      <c r="H99" s="11" t="str">
        <f ca="1">VLOOKUP(VLOOKUP(dict_DQ_Meth_max[[#This Row],[ID_DataQualities]],table_DataQualities[],3),table_Units[],2)</f>
        <v>Hz</v>
      </c>
      <c r="I99" s="10"/>
      <c r="J99" s="10"/>
      <c r="K99" s="10"/>
      <c r="L99" s="10">
        <f ca="1">VLOOKUP(dict_DQ_Meth_max[[#This Row],[ID_DataQualities]],table_DataQualities[],8,FALSE)</f>
        <v>0.42</v>
      </c>
      <c r="M99" s="10">
        <f ca="1">VLOOKUP(dict_DQ_Meth_max[[#This Row],[ID_DataQualities]],table_DataQualities[],9,FALSE)</f>
        <v>5128.8</v>
      </c>
    </row>
    <row r="100" spans="1:13" x14ac:dyDescent="0.45">
      <c r="A100" s="10">
        <v>26</v>
      </c>
      <c r="B100" s="10">
        <v>353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51.703800000000001</v>
      </c>
      <c r="G100" s="12">
        <f ca="1">(RANDBETWEEN(50,100)/100)*(dict_DQ_Meth_max[[#This Row],[Vergleich_ub]]-dict_DQ_Meth_max[[#This Row],[Vergleich_lb]])+dict_DQ_Meth_max[[#This Row],[Vergleich_lb]]</f>
        <v>3231.2994000000003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0.42</v>
      </c>
      <c r="M100" s="10">
        <f ca="1">VLOOKUP(dict_DQ_Meth_max[[#This Row],[ID_DataQualities]],table_DataQualities[],9,FALSE)</f>
        <v>5128.8</v>
      </c>
    </row>
    <row r="101" spans="1:13" x14ac:dyDescent="0.45">
      <c r="A101" s="10">
        <v>26</v>
      </c>
      <c r="B101" s="10">
        <v>379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2359.4748000000004</v>
      </c>
      <c r="G101" s="12">
        <f ca="1">(RANDBETWEEN(50,100)/100)*(dict_DQ_Meth_max[[#This Row],[Vergleich_ub]]-dict_DQ_Meth_max[[#This Row],[Vergleich_lb]])+dict_DQ_Meth_max[[#This Row],[Vergleich_lb]]</f>
        <v>3590.2860000000001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0.42</v>
      </c>
      <c r="M101" s="10">
        <f ca="1">VLOOKUP(dict_DQ_Meth_max[[#This Row],[ID_DataQualities]],table_DataQualities[],9,FALSE)</f>
        <v>5128.8</v>
      </c>
    </row>
    <row r="102" spans="1:13" x14ac:dyDescent="0.45">
      <c r="A102" s="10">
        <v>27</v>
      </c>
      <c r="B102" s="10">
        <v>353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0.17324000000000001</v>
      </c>
      <c r="G102" s="12">
        <f ca="1">(RANDBETWEEN(50,100)/100)*(dict_DQ_Meth_max[[#This Row],[Vergleich_ub]]-dict_DQ_Meth_max[[#This Row],[Vergleich_lb]])+dict_DQ_Meth_max[[#This Row],[Vergleich_lb]]</f>
        <v>0.29353600000000002</v>
      </c>
      <c r="H102" s="11" t="str">
        <f ca="1">VLOOKUP(VLOOKUP(dict_DQ_Meth_max[[#This Row],[ID_DataQualities]],table_DataQualities[],3),table_Units[],2)</f>
        <v>+/- cm³/s</v>
      </c>
      <c r="I102" s="10"/>
      <c r="J102" s="10"/>
      <c r="K102" s="10"/>
      <c r="L102" s="10">
        <f ca="1">VLOOKUP(dict_DQ_Meth_max[[#This Row],[ID_DataQualities]],table_DataQualities[],8,FALSE)</f>
        <v>9.1999999999999998E-3</v>
      </c>
      <c r="M102" s="10">
        <f ca="1">VLOOKUP(dict_DQ_Meth_max[[#This Row],[ID_DataQualities]],table_DataQualities[],9,FALSE)</f>
        <v>0.55600000000000005</v>
      </c>
    </row>
    <row r="103" spans="1:13" x14ac:dyDescent="0.45">
      <c r="A103" s="10">
        <v>27</v>
      </c>
      <c r="B103" s="10">
        <v>92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0.16230400000000006</v>
      </c>
      <c r="G103" s="12">
        <f ca="1">(RANDBETWEEN(50,100)/100)*(dict_DQ_Meth_max[[#This Row],[Vergleich_ub]]-dict_DQ_Meth_max[[#This Row],[Vergleich_lb]])+dict_DQ_Meth_max[[#This Row],[Vergleich_lb]]</f>
        <v>0.55600000000000005</v>
      </c>
      <c r="H103" s="11" t="str">
        <f ca="1">VLOOKUP(VLOOKUP(dict_DQ_Meth_max[[#This Row],[ID_DataQualities]],table_DataQualities[],3),table_Units[],2)</f>
        <v>+/- cm³/s</v>
      </c>
      <c r="I103" s="10"/>
      <c r="J103" s="10"/>
      <c r="K103" s="10"/>
      <c r="L103" s="10">
        <f ca="1">VLOOKUP(dict_DQ_Meth_max[[#This Row],[ID_DataQualities]],table_DataQualities[],8,FALSE)</f>
        <v>9.1999999999999998E-3</v>
      </c>
      <c r="M103" s="10">
        <f ca="1">VLOOKUP(dict_DQ_Meth_max[[#This Row],[ID_DataQualities]],table_DataQualities[],9,FALSE)</f>
        <v>0.55600000000000005</v>
      </c>
    </row>
    <row r="104" spans="1:13" x14ac:dyDescent="0.45">
      <c r="A104" s="10">
        <v>27</v>
      </c>
      <c r="B104" s="10">
        <v>41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0.23885600000000001</v>
      </c>
      <c r="G104" s="12">
        <f ca="1">(RANDBETWEEN(50,100)/100)*(dict_DQ_Meth_max[[#This Row],[Vergleich_ub]]-dict_DQ_Meth_max[[#This Row],[Vergleich_lb]])+dict_DQ_Meth_max[[#This Row],[Vergleich_lb]]</f>
        <v>0.38102400000000003</v>
      </c>
      <c r="H104" s="11" t="str">
        <f ca="1">VLOOKUP(VLOOKUP(dict_DQ_Meth_max[[#This Row],[ID_DataQualities]],table_DataQualities[],3),table_Units[],2)</f>
        <v>+/- cm³/s</v>
      </c>
      <c r="I104" s="10"/>
      <c r="J104" s="10"/>
      <c r="K104" s="10"/>
      <c r="L104" s="10">
        <f ca="1">VLOOKUP(dict_DQ_Meth_max[[#This Row],[ID_DataQualities]],table_DataQualities[],8,FALSE)</f>
        <v>9.1999999999999998E-3</v>
      </c>
      <c r="M104" s="10">
        <f ca="1">VLOOKUP(dict_DQ_Meth_max[[#This Row],[ID_DataQualities]],table_DataQualities[],9,FALSE)</f>
        <v>0.55600000000000005</v>
      </c>
    </row>
    <row r="105" spans="1:13" x14ac:dyDescent="0.45">
      <c r="A105" s="10">
        <v>27</v>
      </c>
      <c r="B105" s="10">
        <v>379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8.0284000000000008E-2</v>
      </c>
      <c r="G105" s="12">
        <f ca="1">(RANDBETWEEN(50,100)/100)*(dict_DQ_Meth_max[[#This Row],[Vergleich_ub]]-dict_DQ_Meth_max[[#This Row],[Vergleich_lb]])+dict_DQ_Meth_max[[#This Row],[Vergleich_lb]]</f>
        <v>0.46851200000000004</v>
      </c>
      <c r="H105" s="11" t="str">
        <f ca="1">VLOOKUP(VLOOKUP(dict_DQ_Meth_max[[#This Row],[ID_DataQualities]],table_DataQualities[],3),table_Units[],2)</f>
        <v>+/- cm³/s</v>
      </c>
      <c r="I105" s="10"/>
      <c r="J105" s="10"/>
      <c r="K105" s="10"/>
      <c r="L105" s="10">
        <f ca="1">VLOOKUP(dict_DQ_Meth_max[[#This Row],[ID_DataQualities]],table_DataQualities[],8,FALSE)</f>
        <v>9.1999999999999998E-3</v>
      </c>
      <c r="M105" s="10">
        <f ca="1">VLOOKUP(dict_DQ_Meth_max[[#This Row],[ID_DataQualities]],table_DataQualities[],9,FALSE)</f>
        <v>0.55600000000000005</v>
      </c>
    </row>
    <row r="106" spans="1:13" x14ac:dyDescent="0.45">
      <c r="A106" s="10">
        <v>28</v>
      </c>
      <c r="B106" s="10">
        <v>649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4588.1443399999998</v>
      </c>
      <c r="G106" s="12">
        <f ca="1">(RANDBETWEEN(50,100)/100)*(dict_DQ_Meth_max[[#This Row],[Vergleich_ub]]-dict_DQ_Meth_max[[#This Row],[Vergleich_lb]])+dict_DQ_Meth_max[[#This Row],[Vergleich_lb]]</f>
        <v>7209.5788199999997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0.63400000000000001</v>
      </c>
      <c r="M106" s="10">
        <f ca="1">VLOOKUP(dict_DQ_Meth_max[[#This Row],[ID_DataQualities]],table_DataQualities[],9,FALSE)</f>
        <v>9362.9</v>
      </c>
    </row>
    <row r="107" spans="1:13" x14ac:dyDescent="0.45">
      <c r="A107" s="10">
        <v>28</v>
      </c>
      <c r="B107" s="10">
        <v>218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2341.2004999999999</v>
      </c>
      <c r="G107" s="12">
        <f ca="1">(RANDBETWEEN(50,100)/100)*(dict_DQ_Meth_max[[#This Row],[Vergleich_ub]]-dict_DQ_Meth_max[[#This Row],[Vergleich_lb]])+dict_DQ_Meth_max[[#This Row],[Vergleich_lb]]</f>
        <v>7958.5600999999997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0.63400000000000001</v>
      </c>
      <c r="M107" s="10">
        <f ca="1">VLOOKUP(dict_DQ_Meth_max[[#This Row],[ID_DataQualities]],table_DataQualities[],9,FALSE)</f>
        <v>9362.9</v>
      </c>
    </row>
    <row r="108" spans="1:13" x14ac:dyDescent="0.45">
      <c r="A108" s="10">
        <v>28</v>
      </c>
      <c r="B108" s="10">
        <v>215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2902.9364599999999</v>
      </c>
      <c r="G108" s="12">
        <f ca="1">(RANDBETWEEN(50,100)/100)*(dict_DQ_Meth_max[[#This Row],[Vergleich_ub]]-dict_DQ_Meth_max[[#This Row],[Vergleich_lb]])+dict_DQ_Meth_max[[#This Row],[Vergleich_lb]]</f>
        <v>5992.4842399999998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0.63400000000000001</v>
      </c>
      <c r="M108" s="10">
        <f ca="1">VLOOKUP(dict_DQ_Meth_max[[#This Row],[ID_DataQualities]],table_DataQualities[],9,FALSE)</f>
        <v>9362.9</v>
      </c>
    </row>
    <row r="109" spans="1:13" x14ac:dyDescent="0.45">
      <c r="A109" s="10">
        <v>28</v>
      </c>
      <c r="B109" s="10">
        <v>124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1124.10592</v>
      </c>
      <c r="G109" s="12">
        <f ca="1">(RANDBETWEEN(50,100)/100)*(dict_DQ_Meth_max[[#This Row],[Vergleich_ub]]-dict_DQ_Meth_max[[#This Row],[Vergleich_lb]])+dict_DQ_Meth_max[[#This Row],[Vergleich_lb]]</f>
        <v>9082.0320199999987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0.63400000000000001</v>
      </c>
      <c r="M109" s="10">
        <f ca="1">VLOOKUP(dict_DQ_Meth_max[[#This Row],[ID_DataQualities]],table_DataQualities[],9,FALSE)</f>
        <v>9362.9</v>
      </c>
    </row>
    <row r="110" spans="1:13" x14ac:dyDescent="0.45">
      <c r="A110" s="10">
        <v>29</v>
      </c>
      <c r="B110" s="10">
        <v>218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4.4000000000000003E-3</v>
      </c>
      <c r="G110" s="12">
        <f ca="1">(RANDBETWEEN(50,100)/100)*(dict_DQ_Meth_max[[#This Row],[Vergleich_ub]]-dict_DQ_Meth_max[[#This Row],[Vergleich_lb]])+dict_DQ_Meth_max[[#This Row],[Vergleich_lb]]</f>
        <v>9.0415999999999996E-2</v>
      </c>
      <c r="H110" s="11" t="str">
        <f ca="1">VLOOKUP(VLOOKUP(dict_DQ_Meth_max[[#This Row],[ID_DataQualities]],table_DataQualities[],3),table_Units[],2)</f>
        <v>+/- cm³/s</v>
      </c>
      <c r="I110" s="10"/>
      <c r="J110" s="10"/>
      <c r="K110" s="10"/>
      <c r="L110" s="10">
        <f ca="1">VLOOKUP(dict_DQ_Meth_max[[#This Row],[ID_DataQualities]],table_DataQualities[],8,FALSE)</f>
        <v>4.4000000000000003E-3</v>
      </c>
      <c r="M110" s="10">
        <f ca="1">VLOOKUP(dict_DQ_Meth_max[[#This Row],[ID_DataQualities]],table_DataQualities[],9,FALSE)</f>
        <v>9.4E-2</v>
      </c>
    </row>
    <row r="111" spans="1:13" x14ac:dyDescent="0.45">
      <c r="A111" s="10">
        <v>29</v>
      </c>
      <c r="B111" s="10">
        <v>215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3.576E-2</v>
      </c>
      <c r="G111" s="12">
        <f ca="1">(RANDBETWEEN(50,100)/100)*(dict_DQ_Meth_max[[#This Row],[Vergleich_ub]]-dict_DQ_Meth_max[[#This Row],[Vergleich_lb]])+dict_DQ_Meth_max[[#This Row],[Vergleich_lb]]</f>
        <v>9.2207999999999998E-2</v>
      </c>
      <c r="H111" s="11" t="str">
        <f ca="1">VLOOKUP(VLOOKUP(dict_DQ_Meth_max[[#This Row],[ID_DataQualities]],table_DataQualities[],3),table_Units[],2)</f>
        <v>+/- cm³/s</v>
      </c>
      <c r="I111" s="10"/>
      <c r="J111" s="10"/>
      <c r="K111" s="10"/>
      <c r="L111" s="10">
        <f ca="1">VLOOKUP(dict_DQ_Meth_max[[#This Row],[ID_DataQualities]],table_DataQualities[],8,FALSE)</f>
        <v>4.4000000000000003E-3</v>
      </c>
      <c r="M111" s="10">
        <f ca="1">VLOOKUP(dict_DQ_Meth_max[[#This Row],[ID_DataQualities]],table_DataQualities[],9,FALSE)</f>
        <v>9.4E-2</v>
      </c>
    </row>
    <row r="112" spans="1:13" x14ac:dyDescent="0.45">
      <c r="A112" s="10">
        <v>29</v>
      </c>
      <c r="B112" s="10">
        <v>124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7.9839999999999998E-3</v>
      </c>
      <c r="G112" s="12">
        <f ca="1">(RANDBETWEEN(50,100)/100)*(dict_DQ_Meth_max[[#This Row],[Vergleich_ub]]-dict_DQ_Meth_max[[#This Row],[Vergleich_lb]])+dict_DQ_Meth_max[[#This Row],[Vergleich_lb]]</f>
        <v>7.4288000000000007E-2</v>
      </c>
      <c r="H112" s="11" t="str">
        <f ca="1">VLOOKUP(VLOOKUP(dict_DQ_Meth_max[[#This Row],[ID_DataQualities]],table_DataQualities[],3),table_Units[],2)</f>
        <v>+/- cm³/s</v>
      </c>
      <c r="I112" s="10"/>
      <c r="J112" s="10"/>
      <c r="K112" s="10"/>
      <c r="L112" s="10">
        <f ca="1">VLOOKUP(dict_DQ_Meth_max[[#This Row],[ID_DataQualities]],table_DataQualities[],8,FALSE)</f>
        <v>4.4000000000000003E-3</v>
      </c>
      <c r="M112" s="10">
        <f ca="1">VLOOKUP(dict_DQ_Meth_max[[#This Row],[ID_DataQualities]],table_DataQualities[],9,FALSE)</f>
        <v>9.4E-2</v>
      </c>
    </row>
    <row r="113" spans="1:13" x14ac:dyDescent="0.45">
      <c r="A113" s="10">
        <v>29</v>
      </c>
      <c r="B113" s="10">
        <v>649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3.4863999999999999E-2</v>
      </c>
      <c r="G113" s="12">
        <f ca="1">(RANDBETWEEN(50,100)/100)*(dict_DQ_Meth_max[[#This Row],[Vergleich_ub]]-dict_DQ_Meth_max[[#This Row],[Vergleich_lb]])+dict_DQ_Meth_max[[#This Row],[Vergleich_lb]]</f>
        <v>7.8767999999999991E-2</v>
      </c>
      <c r="H113" s="11" t="str">
        <f ca="1">VLOOKUP(VLOOKUP(dict_DQ_Meth_max[[#This Row],[ID_DataQualities]],table_DataQualities[],3),table_Units[],2)</f>
        <v>+/- cm³/s</v>
      </c>
      <c r="I113" s="10"/>
      <c r="J113" s="10"/>
      <c r="K113" s="10"/>
      <c r="L113" s="10">
        <f ca="1">VLOOKUP(dict_DQ_Meth_max[[#This Row],[ID_DataQualities]],table_DataQualities[],8,FALSE)</f>
        <v>4.4000000000000003E-3</v>
      </c>
      <c r="M113" s="10">
        <f ca="1">VLOOKUP(dict_DQ_Meth_max[[#This Row],[ID_DataQualities]],table_DataQualities[],9,FALSE)</f>
        <v>9.4E-2</v>
      </c>
    </row>
    <row r="114" spans="1:13" x14ac:dyDescent="0.45">
      <c r="A114" s="10">
        <v>30</v>
      </c>
      <c r="B114" s="10">
        <v>237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206.65214999999998</v>
      </c>
      <c r="G114" s="12">
        <f ca="1">(RANDBETWEEN(50,100)/100)*(dict_DQ_Meth_max[[#This Row],[Vergleich_ub]]-dict_DQ_Meth_max[[#This Row],[Vergleich_lb]])+dict_DQ_Meth_max[[#This Row],[Vergleich_lb]]</f>
        <v>583.41310999999996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0.61099999999999999</v>
      </c>
      <c r="M114" s="10">
        <f ca="1">VLOOKUP(dict_DQ_Meth_max[[#This Row],[ID_DataQualities]],table_DataQualities[],9,FALSE)</f>
        <v>589.29999999999995</v>
      </c>
    </row>
    <row r="115" spans="1:13" x14ac:dyDescent="0.45">
      <c r="A115" s="10">
        <v>30</v>
      </c>
      <c r="B115" s="10">
        <v>366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218.42592999999997</v>
      </c>
      <c r="G115" s="12">
        <f ca="1">(RANDBETWEEN(50,100)/100)*(dict_DQ_Meth_max[[#This Row],[Vergleich_ub]]-dict_DQ_Meth_max[[#This Row],[Vergleich_lb]])+dict_DQ_Meth_max[[#This Row],[Vergleich_lb]]</f>
        <v>548.09177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0.61099999999999999</v>
      </c>
      <c r="M115" s="10">
        <f ca="1">VLOOKUP(dict_DQ_Meth_max[[#This Row],[ID_DataQualities]],table_DataQualities[],9,FALSE)</f>
        <v>589.29999999999995</v>
      </c>
    </row>
    <row r="116" spans="1:13" x14ac:dyDescent="0.45">
      <c r="A116" s="10">
        <v>31</v>
      </c>
      <c r="B116" s="10">
        <v>237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3.36185</v>
      </c>
      <c r="G116" s="12">
        <f ca="1">(RANDBETWEEN(50,100)/100)*(dict_DQ_Meth_max[[#This Row],[Vergleich_ub]]-dict_DQ_Meth_max[[#This Row],[Vergleich_lb]])+dict_DQ_Meth_max[[#This Row],[Vergleich_lb]]</f>
        <v>5.7404100000000007</v>
      </c>
      <c r="H116" s="11" t="str">
        <f ca="1">VLOOKUP(VLOOKUP(dict_DQ_Meth_max[[#This Row],[ID_DataQualities]],table_DataQualities[],3),table_Units[],2)</f>
        <v>+/- W</v>
      </c>
      <c r="I116" s="10"/>
      <c r="J116" s="10"/>
      <c r="K116" s="10"/>
      <c r="L116" s="10">
        <f ca="1">VLOOKUP(dict_DQ_Meth_max[[#This Row],[ID_DataQualities]],table_DataQualities[],8,FALSE)</f>
        <v>1.7000000000000001E-2</v>
      </c>
      <c r="M116" s="10">
        <f ca="1">VLOOKUP(dict_DQ_Meth_max[[#This Row],[ID_DataQualities]],table_DataQualities[],9,FALSE)</f>
        <v>7.45</v>
      </c>
    </row>
    <row r="117" spans="1:13" x14ac:dyDescent="0.45">
      <c r="A117" s="10">
        <v>31</v>
      </c>
      <c r="B117" s="10">
        <v>366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0.53731000000000007</v>
      </c>
      <c r="G117" s="12">
        <f ca="1">(RANDBETWEEN(50,100)/100)*(dict_DQ_Meth_max[[#This Row],[Vergleich_ub]]-dict_DQ_Meth_max[[#This Row],[Vergleich_lb]])+dict_DQ_Meth_max[[#This Row],[Vergleich_lb]]</f>
        <v>6.6323699999999999</v>
      </c>
      <c r="H117" s="11" t="str">
        <f ca="1">VLOOKUP(VLOOKUP(dict_DQ_Meth_max[[#This Row],[ID_DataQualities]],table_DataQualities[],3),table_Units[],2)</f>
        <v>+/- W</v>
      </c>
      <c r="I117" s="10"/>
      <c r="J117" s="10"/>
      <c r="K117" s="10"/>
      <c r="L117" s="10">
        <f ca="1">VLOOKUP(dict_DQ_Meth_max[[#This Row],[ID_DataQualities]],table_DataQualities[],8,FALSE)</f>
        <v>1.7000000000000001E-2</v>
      </c>
      <c r="M117" s="10">
        <f ca="1">VLOOKUP(dict_DQ_Meth_max[[#This Row],[ID_DataQualities]],table_DataQualities[],9,FALSE)</f>
        <v>7.45</v>
      </c>
    </row>
    <row r="118" spans="1:13" x14ac:dyDescent="0.45">
      <c r="A118" s="10">
        <v>32</v>
      </c>
      <c r="B118" s="10">
        <v>643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3155.3652399999996</v>
      </c>
      <c r="G118" s="12">
        <f ca="1">(RANDBETWEEN(50,100)/100)*(dict_DQ_Meth_max[[#This Row],[Vergleich_ub]]-dict_DQ_Meth_max[[#This Row],[Vergleich_lb]])+dict_DQ_Meth_max[[#This Row],[Vergleich_lb]]</f>
        <v>6084.62482</v>
      </c>
      <c r="H118" s="11" t="str">
        <f ca="1">VLOOKUP(VLOOKUP(dict_DQ_Meth_max[[#This Row],[ID_DataQualities]],table_DataQualities[],3),table_Units[],2)</f>
        <v>Hz</v>
      </c>
      <c r="I118" s="10"/>
      <c r="J118" s="10"/>
      <c r="K118" s="10"/>
      <c r="L118" s="10">
        <f ca="1">VLOOKUP(dict_DQ_Meth_max[[#This Row],[ID_DataQualities]],table_DataQualities[],8,FALSE)</f>
        <v>0.77800000000000002</v>
      </c>
      <c r="M118" s="10">
        <f ca="1">VLOOKUP(dict_DQ_Meth_max[[#This Row],[ID_DataQualities]],table_DataQualities[],9,FALSE)</f>
        <v>7511.7</v>
      </c>
    </row>
    <row r="119" spans="1:13" x14ac:dyDescent="0.45">
      <c r="A119" s="10">
        <v>32</v>
      </c>
      <c r="B119" s="10">
        <v>369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2329.1638199999998</v>
      </c>
      <c r="G119" s="12">
        <f ca="1">(RANDBETWEEN(50,100)/100)*(dict_DQ_Meth_max[[#This Row],[Vergleich_ub]]-dict_DQ_Meth_max[[#This Row],[Vergleich_lb]])+dict_DQ_Meth_max[[#This Row],[Vergleich_lb]]</f>
        <v>5934.4063800000004</v>
      </c>
      <c r="H119" s="11" t="str">
        <f ca="1">VLOOKUP(VLOOKUP(dict_DQ_Meth_max[[#This Row],[ID_DataQualities]],table_DataQualities[],3),table_Units[],2)</f>
        <v>Hz</v>
      </c>
      <c r="I119" s="10"/>
      <c r="J119" s="10"/>
      <c r="K119" s="10"/>
      <c r="L119" s="10">
        <f ca="1">VLOOKUP(dict_DQ_Meth_max[[#This Row],[ID_DataQualities]],table_DataQualities[],8,FALSE)</f>
        <v>0.77800000000000002</v>
      </c>
      <c r="M119" s="10">
        <f ca="1">VLOOKUP(dict_DQ_Meth_max[[#This Row],[ID_DataQualities]],table_DataQualities[],9,FALSE)</f>
        <v>7511.7</v>
      </c>
    </row>
    <row r="120" spans="1:13" x14ac:dyDescent="0.45">
      <c r="A120" s="10">
        <v>32</v>
      </c>
      <c r="B120" s="10">
        <v>180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3155.3652399999996</v>
      </c>
      <c r="G120" s="12">
        <f ca="1">(RANDBETWEEN(50,100)/100)*(dict_DQ_Meth_max[[#This Row],[Vergleich_ub]]-dict_DQ_Meth_max[[#This Row],[Vergleich_lb]])+dict_DQ_Meth_max[[#This Row],[Vergleich_lb]]</f>
        <v>7211.2631199999996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0.77800000000000002</v>
      </c>
      <c r="M120" s="10">
        <f ca="1">VLOOKUP(dict_DQ_Meth_max[[#This Row],[ID_DataQualities]],table_DataQualities[],9,FALSE)</f>
        <v>7511.7</v>
      </c>
    </row>
    <row r="121" spans="1:13" x14ac:dyDescent="0.45">
      <c r="A121" s="10">
        <v>32</v>
      </c>
      <c r="B121" s="10">
        <v>49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1803.3992799999999</v>
      </c>
      <c r="G121" s="12">
        <f ca="1">(RANDBETWEEN(50,100)/100)*(dict_DQ_Meth_max[[#This Row],[Vergleich_ub]]-dict_DQ_Meth_max[[#This Row],[Vergleich_lb]])+dict_DQ_Meth_max[[#This Row],[Vergleich_lb]]</f>
        <v>3831.3482199999999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0.77800000000000002</v>
      </c>
      <c r="M121" s="10">
        <f ca="1">VLOOKUP(dict_DQ_Meth_max[[#This Row],[ID_DataQualities]],table_DataQualities[],9,FALSE)</f>
        <v>7511.7</v>
      </c>
    </row>
    <row r="122" spans="1:13" x14ac:dyDescent="0.45">
      <c r="A122" s="10">
        <v>32</v>
      </c>
      <c r="B122" s="10">
        <v>480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2254.0545999999995</v>
      </c>
      <c r="G122" s="12">
        <f ca="1">(RANDBETWEEN(50,100)/100)*(dict_DQ_Meth_max[[#This Row],[Vergleich_ub]]-dict_DQ_Meth_max[[#This Row],[Vergleich_lb]])+dict_DQ_Meth_max[[#This Row],[Vergleich_lb]]</f>
        <v>5108.20496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0.77800000000000002</v>
      </c>
      <c r="M122" s="10">
        <f ca="1">VLOOKUP(dict_DQ_Meth_max[[#This Row],[ID_DataQualities]],table_DataQualities[],9,FALSE)</f>
        <v>7511.7</v>
      </c>
    </row>
    <row r="123" spans="1:13" x14ac:dyDescent="0.45">
      <c r="A123" s="10">
        <v>33</v>
      </c>
      <c r="B123" s="10">
        <v>480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0.209925</v>
      </c>
      <c r="G123" s="12">
        <f ca="1">(RANDBETWEEN(50,100)/100)*(dict_DQ_Meth_max[[#This Row],[Vergleich_ub]]-dict_DQ_Meth_max[[#This Row],[Vergleich_lb]])+dict_DQ_Meth_max[[#This Row],[Vergleich_lb]]</f>
        <v>0.49283899999999997</v>
      </c>
      <c r="H123" s="11" t="str">
        <f ca="1">VLOOKUP(VLOOKUP(dict_DQ_Meth_max[[#This Row],[ID_DataQualities]],table_DataQualities[],3),table_Units[],2)</f>
        <v>+/- cm³/s</v>
      </c>
      <c r="I123" s="10"/>
      <c r="J123" s="10"/>
      <c r="K123" s="10"/>
      <c r="L123" s="10">
        <f ca="1">VLOOKUP(dict_DQ_Meth_max[[#This Row],[ID_DataQualities]],table_DataQualities[],8,FALSE)</f>
        <v>1.9E-3</v>
      </c>
      <c r="M123" s="10">
        <f ca="1">VLOOKUP(dict_DQ_Meth_max[[#This Row],[ID_DataQualities]],table_DataQualities[],9,FALSE)</f>
        <v>0.83399999999999996</v>
      </c>
    </row>
    <row r="124" spans="1:13" x14ac:dyDescent="0.45">
      <c r="A124" s="10">
        <v>33</v>
      </c>
      <c r="B124" s="10">
        <v>369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8.5110000000000005E-2</v>
      </c>
      <c r="G124" s="12">
        <f ca="1">(RANDBETWEEN(50,100)/100)*(dict_DQ_Meth_max[[#This Row],[Vergleich_ub]]-dict_DQ_Meth_max[[#This Row],[Vergleich_lb]])+dict_DQ_Meth_max[[#This Row],[Vergleich_lb]]</f>
        <v>0.78407399999999994</v>
      </c>
      <c r="H124" s="11" t="str">
        <f ca="1">VLOOKUP(VLOOKUP(dict_DQ_Meth_max[[#This Row],[ID_DataQualities]],table_DataQualities[],3),table_Units[],2)</f>
        <v>+/- cm³/s</v>
      </c>
      <c r="I124" s="10"/>
      <c r="J124" s="10"/>
      <c r="K124" s="10"/>
      <c r="L124" s="10">
        <f ca="1">VLOOKUP(dict_DQ_Meth_max[[#This Row],[ID_DataQualities]],table_DataQualities[],8,FALSE)</f>
        <v>1.9E-3</v>
      </c>
      <c r="M124" s="10">
        <f ca="1">VLOOKUP(dict_DQ_Meth_max[[#This Row],[ID_DataQualities]],table_DataQualities[],9,FALSE)</f>
        <v>0.83399999999999996</v>
      </c>
    </row>
    <row r="125" spans="1:13" x14ac:dyDescent="0.45">
      <c r="A125" s="10">
        <v>33</v>
      </c>
      <c r="B125" s="10">
        <v>643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0.27649299999999999</v>
      </c>
      <c r="G125" s="12">
        <f ca="1">(RANDBETWEEN(50,100)/100)*(dict_DQ_Meth_max[[#This Row],[Vergleich_ub]]-dict_DQ_Meth_max[[#This Row],[Vergleich_lb]])+dict_DQ_Meth_max[[#This Row],[Vergleich_lb]]</f>
        <v>0.71750599999999998</v>
      </c>
      <c r="H125" s="11" t="str">
        <f ca="1">VLOOKUP(VLOOKUP(dict_DQ_Meth_max[[#This Row],[ID_DataQualities]],table_DataQualities[],3),table_Units[],2)</f>
        <v>+/- cm³/s</v>
      </c>
      <c r="I125" s="10"/>
      <c r="J125" s="10"/>
      <c r="K125" s="10"/>
      <c r="L125" s="10">
        <f ca="1">VLOOKUP(dict_DQ_Meth_max[[#This Row],[ID_DataQualities]],table_DataQualities[],8,FALSE)</f>
        <v>1.9E-3</v>
      </c>
      <c r="M125" s="10">
        <f ca="1">VLOOKUP(dict_DQ_Meth_max[[#This Row],[ID_DataQualities]],table_DataQualities[],9,FALSE)</f>
        <v>0.83399999999999996</v>
      </c>
    </row>
    <row r="126" spans="1:13" x14ac:dyDescent="0.45">
      <c r="A126" s="10">
        <v>33</v>
      </c>
      <c r="B126" s="10">
        <v>49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0.401308</v>
      </c>
      <c r="G126" s="12">
        <f ca="1">(RANDBETWEEN(50,100)/100)*(dict_DQ_Meth_max[[#This Row],[Vergleich_ub]]-dict_DQ_Meth_max[[#This Row],[Vergleich_lb]])+dict_DQ_Meth_max[[#This Row],[Vergleich_lb]]</f>
        <v>0.59269099999999997</v>
      </c>
      <c r="H126" s="11" t="str">
        <f ca="1">VLOOKUP(VLOOKUP(dict_DQ_Meth_max[[#This Row],[ID_DataQualities]],table_DataQualities[],3),table_Units[],2)</f>
        <v>+/- cm³/s</v>
      </c>
      <c r="I126" s="10"/>
      <c r="J126" s="10"/>
      <c r="K126" s="10"/>
      <c r="L126" s="10">
        <f ca="1">VLOOKUP(dict_DQ_Meth_max[[#This Row],[ID_DataQualities]],table_DataQualities[],8,FALSE)</f>
        <v>1.9E-3</v>
      </c>
      <c r="M126" s="10">
        <f ca="1">VLOOKUP(dict_DQ_Meth_max[[#This Row],[ID_DataQualities]],table_DataQualities[],9,FALSE)</f>
        <v>0.83399999999999996</v>
      </c>
    </row>
    <row r="127" spans="1:13" x14ac:dyDescent="0.45">
      <c r="A127" s="10">
        <v>33</v>
      </c>
      <c r="B127" s="10">
        <v>180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0.401308</v>
      </c>
      <c r="G127" s="12">
        <f ca="1">(RANDBETWEEN(50,100)/100)*(dict_DQ_Meth_max[[#This Row],[Vergleich_ub]]-dict_DQ_Meth_max[[#This Row],[Vergleich_lb]])+dict_DQ_Meth_max[[#This Row],[Vergleich_lb]]</f>
        <v>0.81735799999999992</v>
      </c>
      <c r="H127" s="11" t="str">
        <f ca="1">VLOOKUP(VLOOKUP(dict_DQ_Meth_max[[#This Row],[ID_DataQualities]],table_DataQualities[],3),table_Units[],2)</f>
        <v>+/- cm³/s</v>
      </c>
      <c r="I127" s="10"/>
      <c r="J127" s="10"/>
      <c r="K127" s="10"/>
      <c r="L127" s="10">
        <f ca="1">VLOOKUP(dict_DQ_Meth_max[[#This Row],[ID_DataQualities]],table_DataQualities[],8,FALSE)</f>
        <v>1.9E-3</v>
      </c>
      <c r="M127" s="10">
        <f ca="1">VLOOKUP(dict_DQ_Meth_max[[#This Row],[ID_DataQualities]],table_DataQualities[],9,FALSE)</f>
        <v>0.83399999999999996</v>
      </c>
    </row>
    <row r="128" spans="1:13" x14ac:dyDescent="0.45">
      <c r="A128" s="10">
        <v>34</v>
      </c>
      <c r="B128" s="10">
        <v>616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2908.5508100000002</v>
      </c>
      <c r="G128" s="12">
        <f ca="1">(RANDBETWEEN(50,100)/100)*(dict_DQ_Meth_max[[#This Row],[Vergleich_ub]]-dict_DQ_Meth_max[[#This Row],[Vergleich_lb]])+dict_DQ_Meth_max[[#This Row],[Vergleich_lb]]</f>
        <v>6345.7600400000001</v>
      </c>
      <c r="H128" s="11" t="str">
        <f ca="1">VLOOKUP(VLOOKUP(dict_DQ_Meth_max[[#This Row],[ID_DataQualities]],table_DataQualities[],3),table_Units[],2)</f>
        <v>Hz</v>
      </c>
      <c r="I128" s="10"/>
      <c r="J128" s="10"/>
      <c r="K128" s="10"/>
      <c r="L128" s="10">
        <f ca="1">VLOOKUP(dict_DQ_Meth_max[[#This Row],[ID_DataQualities]],table_DataQualities[],8,FALSE)</f>
        <v>0.14299999999999999</v>
      </c>
      <c r="M128" s="10">
        <f ca="1">VLOOKUP(dict_DQ_Meth_max[[#This Row],[ID_DataQualities]],table_DataQualities[],9,FALSE)</f>
        <v>8813.5</v>
      </c>
    </row>
    <row r="129" spans="1:13" x14ac:dyDescent="0.45">
      <c r="A129" s="10">
        <v>34</v>
      </c>
      <c r="B129" s="10">
        <v>625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1674.68083</v>
      </c>
      <c r="G129" s="12">
        <f ca="1">(RANDBETWEEN(50,100)/100)*(dict_DQ_Meth_max[[#This Row],[Vergleich_ub]]-dict_DQ_Meth_max[[#This Row],[Vergleich_lb]])+dict_DQ_Meth_max[[#This Row],[Vergleich_lb]]</f>
        <v>5993.2257600000003</v>
      </c>
      <c r="H129" s="11" t="str">
        <f ca="1">VLOOKUP(VLOOKUP(dict_DQ_Meth_max[[#This Row],[ID_DataQualities]],table_DataQualities[],3),table_Units[],2)</f>
        <v>Hz</v>
      </c>
      <c r="I129" s="10"/>
      <c r="J129" s="10"/>
      <c r="K129" s="10"/>
      <c r="L129" s="10">
        <f ca="1">VLOOKUP(dict_DQ_Meth_max[[#This Row],[ID_DataQualities]],table_DataQualities[],8,FALSE)</f>
        <v>0.14299999999999999</v>
      </c>
      <c r="M129" s="10">
        <f ca="1">VLOOKUP(dict_DQ_Meth_max[[#This Row],[ID_DataQualities]],table_DataQualities[],9,FALSE)</f>
        <v>8813.5</v>
      </c>
    </row>
    <row r="130" spans="1:13" x14ac:dyDescent="0.45">
      <c r="A130" s="10">
        <v>34</v>
      </c>
      <c r="B130" s="10">
        <v>561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4406.8215</v>
      </c>
      <c r="G130" s="12">
        <f ca="1">(RANDBETWEEN(50,100)/100)*(dict_DQ_Meth_max[[#This Row],[Vergleich_ub]]-dict_DQ_Meth_max[[#This Row],[Vergleich_lb]])+dict_DQ_Meth_max[[#This Row],[Vergleich_lb]]</f>
        <v>6081.3593299999993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0.14299999999999999</v>
      </c>
      <c r="M130" s="10">
        <f ca="1">VLOOKUP(dict_DQ_Meth_max[[#This Row],[ID_DataQualities]],table_DataQualities[],9,FALSE)</f>
        <v>8813.5</v>
      </c>
    </row>
    <row r="131" spans="1:13" x14ac:dyDescent="0.45">
      <c r="A131" s="10">
        <v>34</v>
      </c>
      <c r="B131" s="10">
        <v>403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3349.21866</v>
      </c>
      <c r="G131" s="12">
        <f ca="1">(RANDBETWEEN(50,100)/100)*(dict_DQ_Meth_max[[#This Row],[Vergleich_ub]]-dict_DQ_Meth_max[[#This Row],[Vergleich_lb]])+dict_DQ_Meth_max[[#This Row],[Vergleich_lb]]</f>
        <v>8725.36643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0.14299999999999999</v>
      </c>
      <c r="M131" s="10">
        <f ca="1">VLOOKUP(dict_DQ_Meth_max[[#This Row],[ID_DataQualities]],table_DataQualities[],9,FALSE)</f>
        <v>8813.5</v>
      </c>
    </row>
    <row r="132" spans="1:13" x14ac:dyDescent="0.45">
      <c r="A132" s="10">
        <v>35</v>
      </c>
      <c r="B132" s="10">
        <v>616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1.6695800000000001</v>
      </c>
      <c r="G132" s="12">
        <f ca="1">(RANDBETWEEN(50,100)/100)*(dict_DQ_Meth_max[[#This Row],[Vergleich_ub]]-dict_DQ_Meth_max[[#This Row],[Vergleich_lb]])+dict_DQ_Meth_max[[#This Row],[Vergleich_lb]]</f>
        <v>4.6960199999999999</v>
      </c>
      <c r="H132" s="11" t="str">
        <f ca="1">VLOOKUP(VLOOKUP(dict_DQ_Meth_max[[#This Row],[ID_DataQualities]],table_DataQualities[],3),table_Units[],2)</f>
        <v>+/- W</v>
      </c>
      <c r="I132" s="10"/>
      <c r="J132" s="10"/>
      <c r="K132" s="10"/>
      <c r="L132" s="10">
        <f ca="1">VLOOKUP(dict_DQ_Meth_max[[#This Row],[ID_DataQualities]],table_DataQualities[],8,FALSE)</f>
        <v>5.1999999999999998E-2</v>
      </c>
      <c r="M132" s="10">
        <f ca="1">VLOOKUP(dict_DQ_Meth_max[[#This Row],[ID_DataQualities]],table_DataQualities[],9,FALSE)</f>
        <v>5.27</v>
      </c>
    </row>
    <row r="133" spans="1:13" x14ac:dyDescent="0.45">
      <c r="A133" s="10">
        <v>35</v>
      </c>
      <c r="B133" s="10">
        <v>561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2.2957399999999999</v>
      </c>
      <c r="G133" s="12">
        <f ca="1">(RANDBETWEEN(50,100)/100)*(dict_DQ_Meth_max[[#This Row],[Vergleich_ub]]-dict_DQ_Meth_max[[#This Row],[Vergleich_lb]])+dict_DQ_Meth_max[[#This Row],[Vergleich_lb]]</f>
        <v>3.9133200000000001</v>
      </c>
      <c r="H133" s="11" t="str">
        <f ca="1">VLOOKUP(VLOOKUP(dict_DQ_Meth_max[[#This Row],[ID_DataQualities]],table_DataQualities[],3),table_Units[],2)</f>
        <v>+/- W</v>
      </c>
      <c r="I133" s="10"/>
      <c r="J133" s="10"/>
      <c r="K133" s="10"/>
      <c r="L133" s="10">
        <f ca="1">VLOOKUP(dict_DQ_Meth_max[[#This Row],[ID_DataQualities]],table_DataQualities[],8,FALSE)</f>
        <v>5.1999999999999998E-2</v>
      </c>
      <c r="M133" s="10">
        <f ca="1">VLOOKUP(dict_DQ_Meth_max[[#This Row],[ID_DataQualities]],table_DataQualities[],9,FALSE)</f>
        <v>5.27</v>
      </c>
    </row>
    <row r="134" spans="1:13" x14ac:dyDescent="0.45">
      <c r="A134" s="10">
        <v>35</v>
      </c>
      <c r="B134" s="10">
        <v>625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1.4086800000000002</v>
      </c>
      <c r="G134" s="12">
        <f ca="1">(RANDBETWEEN(50,100)/100)*(dict_DQ_Meth_max[[#This Row],[Vergleich_ub]]-dict_DQ_Meth_max[[#This Row],[Vergleich_lb]])+dict_DQ_Meth_max[[#This Row],[Vergleich_lb]]</f>
        <v>3.7045999999999997</v>
      </c>
      <c r="H134" s="11" t="str">
        <f ca="1">VLOOKUP(VLOOKUP(dict_DQ_Meth_max[[#This Row],[ID_DataQualities]],table_DataQualities[],3),table_Units[],2)</f>
        <v>+/- W</v>
      </c>
      <c r="I134" s="10"/>
      <c r="J134" s="10"/>
      <c r="K134" s="10"/>
      <c r="L134" s="10">
        <f ca="1">VLOOKUP(dict_DQ_Meth_max[[#This Row],[ID_DataQualities]],table_DataQualities[],8,FALSE)</f>
        <v>5.1999999999999998E-2</v>
      </c>
      <c r="M134" s="10">
        <f ca="1">VLOOKUP(dict_DQ_Meth_max[[#This Row],[ID_DataQualities]],table_DataQualities[],9,FALSE)</f>
        <v>5.27</v>
      </c>
    </row>
    <row r="135" spans="1:13" x14ac:dyDescent="0.45">
      <c r="A135" s="10">
        <v>35</v>
      </c>
      <c r="B135" s="10">
        <v>403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1.93048</v>
      </c>
      <c r="G135" s="12">
        <f ca="1">(RANDBETWEEN(50,100)/100)*(dict_DQ_Meth_max[[#This Row],[Vergleich_ub]]-dict_DQ_Meth_max[[#This Row],[Vergleich_lb]])+dict_DQ_Meth_max[[#This Row],[Vergleich_lb]]</f>
        <v>3.8611399999999998</v>
      </c>
      <c r="H135" s="11" t="str">
        <f ca="1">VLOOKUP(VLOOKUP(dict_DQ_Meth_max[[#This Row],[ID_DataQualities]],table_DataQualities[],3),table_Units[],2)</f>
        <v>+/- W</v>
      </c>
      <c r="I135" s="10"/>
      <c r="J135" s="10"/>
      <c r="K135" s="10"/>
      <c r="L135" s="10">
        <f ca="1">VLOOKUP(dict_DQ_Meth_max[[#This Row],[ID_DataQualities]],table_DataQualities[],8,FALSE)</f>
        <v>5.1999999999999998E-2</v>
      </c>
      <c r="M135" s="10">
        <f ca="1">VLOOKUP(dict_DQ_Meth_max[[#This Row],[ID_DataQualities]],table_DataQualities[],9,FALSE)</f>
        <v>5.27</v>
      </c>
    </row>
    <row r="136" spans="1:13" x14ac:dyDescent="0.45">
      <c r="A136" s="10">
        <v>36</v>
      </c>
      <c r="B136" s="10">
        <v>422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677.8000199999999</v>
      </c>
      <c r="G136" s="12">
        <f ca="1">(RANDBETWEEN(50,100)/100)*(dict_DQ_Meth_max[[#This Row],[Vergleich_ub]]-dict_DQ_Meth_max[[#This Row],[Vergleich_lb]])+dict_DQ_Meth_max[[#This Row],[Vergleich_lb]]</f>
        <v>1944.5688399999999</v>
      </c>
      <c r="H136" s="11" t="str">
        <f ca="1">VLOOKUP(VLOOKUP(dict_DQ_Meth_max[[#This Row],[ID_DataQualities]],table_DataQualities[],3),table_Units[],2)</f>
        <v>Hz</v>
      </c>
      <c r="I136" s="10"/>
      <c r="J136" s="10"/>
      <c r="K136" s="10"/>
      <c r="L136" s="10">
        <f ca="1">VLOOKUP(dict_DQ_Meth_max[[#This Row],[ID_DataQualities]],table_DataQualities[],8,FALSE)</f>
        <v>0.22600000000000001</v>
      </c>
      <c r="M136" s="10">
        <f ca="1">VLOOKUP(dict_DQ_Meth_max[[#This Row],[ID_DataQualities]],table_DataQualities[],9,FALSE)</f>
        <v>2946.2</v>
      </c>
    </row>
    <row r="137" spans="1:13" x14ac:dyDescent="0.45">
      <c r="A137" s="10">
        <v>36</v>
      </c>
      <c r="B137" s="10">
        <v>678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29.685739999999996</v>
      </c>
      <c r="G137" s="12">
        <f ca="1">(RANDBETWEEN(50,100)/100)*(dict_DQ_Meth_max[[#This Row],[Vergleich_ub]]-dict_DQ_Meth_max[[#This Row],[Vergleich_lb]])+dict_DQ_Meth_max[[#This Row],[Vergleich_lb]]</f>
        <v>2622.1428599999999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0.22600000000000001</v>
      </c>
      <c r="M137" s="10">
        <f ca="1">VLOOKUP(dict_DQ_Meth_max[[#This Row],[ID_DataQualities]],table_DataQualities[],9,FALSE)</f>
        <v>2946.2</v>
      </c>
    </row>
    <row r="138" spans="1:13" x14ac:dyDescent="0.45">
      <c r="A138" s="10">
        <v>36</v>
      </c>
      <c r="B138" s="10">
        <v>687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618.88053999999988</v>
      </c>
      <c r="G138" s="12">
        <f ca="1">(RANDBETWEEN(50,100)/100)*(dict_DQ_Meth_max[[#This Row],[Vergleich_ub]]-dict_DQ_Meth_max[[#This Row],[Vergleich_lb]])+dict_DQ_Meth_max[[#This Row],[Vergleich_lb]]</f>
        <v>2769.4415599999998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0.22600000000000001</v>
      </c>
      <c r="M138" s="10">
        <f ca="1">VLOOKUP(dict_DQ_Meth_max[[#This Row],[ID_DataQualities]],table_DataQualities[],9,FALSE)</f>
        <v>2946.2</v>
      </c>
    </row>
    <row r="139" spans="1:13" x14ac:dyDescent="0.45">
      <c r="A139" s="10">
        <v>36</v>
      </c>
      <c r="B139" s="10">
        <v>187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707.25975999999991</v>
      </c>
      <c r="G139" s="12">
        <f ca="1">(RANDBETWEEN(50,100)/100)*(dict_DQ_Meth_max[[#This Row],[Vergleich_ub]]-dict_DQ_Meth_max[[#This Row],[Vergleich_lb]])+dict_DQ_Meth_max[[#This Row],[Vergleich_lb]]</f>
        <v>2239.16624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0.22600000000000001</v>
      </c>
      <c r="M139" s="10">
        <f ca="1">VLOOKUP(dict_DQ_Meth_max[[#This Row],[ID_DataQualities]],table_DataQualities[],9,FALSE)</f>
        <v>2946.2</v>
      </c>
    </row>
    <row r="140" spans="1:13" x14ac:dyDescent="0.45">
      <c r="A140" s="10">
        <v>37</v>
      </c>
      <c r="B140" s="10">
        <v>422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0.38884000000000007</v>
      </c>
      <c r="G140" s="12">
        <f ca="1">(RANDBETWEEN(50,100)/100)*(dict_DQ_Meth_max[[#This Row],[Vergleich_ub]]-dict_DQ_Meth_max[[#This Row],[Vergleich_lb]])+dict_DQ_Meth_max[[#This Row],[Vergleich_lb]]</f>
        <v>0.87247000000000008</v>
      </c>
      <c r="H140" s="11" t="str">
        <f ca="1">VLOOKUP(VLOOKUP(dict_DQ_Meth_max[[#This Row],[ID_DataQualities]],table_DataQualities[],3),table_Units[],2)</f>
        <v>+/- mm</v>
      </c>
      <c r="I140" s="10"/>
      <c r="J140" s="10"/>
      <c r="K140" s="10"/>
      <c r="L140" s="10">
        <f ca="1">VLOOKUP(dict_DQ_Meth_max[[#This Row],[ID_DataQualities]],table_DataQualities[],8,FALSE)</f>
        <v>7.2999999999999995E-2</v>
      </c>
      <c r="M140" s="10">
        <f ca="1">VLOOKUP(dict_DQ_Meth_max[[#This Row],[ID_DataQualities]],table_DataQualities[],9,FALSE)</f>
        <v>1.06</v>
      </c>
    </row>
    <row r="141" spans="1:13" x14ac:dyDescent="0.45">
      <c r="A141" s="10">
        <v>37</v>
      </c>
      <c r="B141" s="10">
        <v>187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0.11248</v>
      </c>
      <c r="G141" s="12">
        <f ca="1">(RANDBETWEEN(50,100)/100)*(dict_DQ_Meth_max[[#This Row],[Vergleich_ub]]-dict_DQ_Meth_max[[#This Row],[Vergleich_lb]])+dict_DQ_Meth_max[[#This Row],[Vergleich_lb]]</f>
        <v>0.94156000000000006</v>
      </c>
      <c r="H141" s="11" t="str">
        <f ca="1">VLOOKUP(VLOOKUP(dict_DQ_Meth_max[[#This Row],[ID_DataQualities]],table_DataQualities[],3),table_Units[],2)</f>
        <v>+/- mm</v>
      </c>
      <c r="I141" s="10"/>
      <c r="J141" s="10"/>
      <c r="K141" s="10"/>
      <c r="L141" s="10">
        <f ca="1">VLOOKUP(dict_DQ_Meth_max[[#This Row],[ID_DataQualities]],table_DataQualities[],8,FALSE)</f>
        <v>7.2999999999999995E-2</v>
      </c>
      <c r="M141" s="10">
        <f ca="1">VLOOKUP(dict_DQ_Meth_max[[#This Row],[ID_DataQualities]],table_DataQualities[],9,FALSE)</f>
        <v>1.06</v>
      </c>
    </row>
    <row r="142" spans="1:13" x14ac:dyDescent="0.45">
      <c r="A142" s="10">
        <v>37</v>
      </c>
      <c r="B142" s="10">
        <v>678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0.54676000000000002</v>
      </c>
      <c r="G142" s="12">
        <f ca="1">(RANDBETWEEN(50,100)/100)*(dict_DQ_Meth_max[[#This Row],[Vergleich_ub]]-dict_DQ_Meth_max[[#This Row],[Vergleich_lb]])+dict_DQ_Meth_max[[#This Row],[Vergleich_lb]]</f>
        <v>0.79351000000000005</v>
      </c>
      <c r="H142" s="11" t="str">
        <f ca="1">VLOOKUP(VLOOKUP(dict_DQ_Meth_max[[#This Row],[ID_DataQualities]],table_DataQualities[],3),table_Units[],2)</f>
        <v>+/- mm</v>
      </c>
      <c r="I142" s="10"/>
      <c r="J142" s="10"/>
      <c r="K142" s="10"/>
      <c r="L142" s="10">
        <f ca="1">VLOOKUP(dict_DQ_Meth_max[[#This Row],[ID_DataQualities]],table_DataQualities[],8,FALSE)</f>
        <v>7.2999999999999995E-2</v>
      </c>
      <c r="M142" s="10">
        <f ca="1">VLOOKUP(dict_DQ_Meth_max[[#This Row],[ID_DataQualities]],table_DataQualities[],9,FALSE)</f>
        <v>1.06</v>
      </c>
    </row>
    <row r="143" spans="1:13" x14ac:dyDescent="0.45">
      <c r="A143" s="10">
        <v>37</v>
      </c>
      <c r="B143" s="10">
        <v>687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0.30987999999999999</v>
      </c>
      <c r="G143" s="12">
        <f ca="1">(RANDBETWEEN(50,100)/100)*(dict_DQ_Meth_max[[#This Row],[Vergleich_ub]]-dict_DQ_Meth_max[[#This Row],[Vergleich_lb]])+dict_DQ_Meth_max[[#This Row],[Vergleich_lb]]</f>
        <v>0.98104000000000013</v>
      </c>
      <c r="H143" s="11" t="str">
        <f ca="1">VLOOKUP(VLOOKUP(dict_DQ_Meth_max[[#This Row],[ID_DataQualities]],table_DataQualities[],3),table_Units[],2)</f>
        <v>+/- mm</v>
      </c>
      <c r="I143" s="10"/>
      <c r="J143" s="10"/>
      <c r="K143" s="10"/>
      <c r="L143" s="10">
        <f ca="1">VLOOKUP(dict_DQ_Meth_max[[#This Row],[ID_DataQualities]],table_DataQualities[],8,FALSE)</f>
        <v>7.2999999999999995E-2</v>
      </c>
      <c r="M143" s="10">
        <f ca="1">VLOOKUP(dict_DQ_Meth_max[[#This Row],[ID_DataQualities]],table_DataQualities[],9,FALSE)</f>
        <v>1.06</v>
      </c>
    </row>
    <row r="144" spans="1:13" x14ac:dyDescent="0.45">
      <c r="A144" s="10">
        <v>38</v>
      </c>
      <c r="B144" s="10">
        <v>575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446.90571999999997</v>
      </c>
      <c r="G144" s="12">
        <f ca="1">(RANDBETWEEN(50,100)/100)*(dict_DQ_Meth_max[[#This Row],[Vergleich_ub]]-dict_DQ_Meth_max[[#This Row],[Vergleich_lb]])+dict_DQ_Meth_max[[#This Row],[Vergleich_lb]]</f>
        <v>2289.6369399999999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0.183</v>
      </c>
      <c r="M144" s="10">
        <f ca="1">VLOOKUP(dict_DQ_Meth_max[[#This Row],[ID_DataQualities]],table_DataQualities[],9,FALSE)</f>
        <v>2792.2</v>
      </c>
    </row>
    <row r="145" spans="1:13" x14ac:dyDescent="0.45">
      <c r="A145" s="10">
        <v>38</v>
      </c>
      <c r="B145" s="10">
        <v>572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1368.2713299999998</v>
      </c>
      <c r="G145" s="12">
        <f ca="1">(RANDBETWEEN(50,100)/100)*(dict_DQ_Meth_max[[#This Row],[Vergleich_ub]]-dict_DQ_Meth_max[[#This Row],[Vergleich_lb]])+dict_DQ_Meth_max[[#This Row],[Vergleich_lb]]</f>
        <v>2205.8764299999998</v>
      </c>
      <c r="H145" s="11" t="str">
        <f ca="1">VLOOKUP(VLOOKUP(dict_DQ_Meth_max[[#This Row],[ID_DataQualities]],table_DataQualities[],3),table_Units[],2)</f>
        <v>Hz</v>
      </c>
      <c r="I145" s="10"/>
      <c r="J145" s="10"/>
      <c r="K145" s="10"/>
      <c r="L145" s="10">
        <f ca="1">VLOOKUP(dict_DQ_Meth_max[[#This Row],[ID_DataQualities]],table_DataQualities[],8,FALSE)</f>
        <v>0.183</v>
      </c>
      <c r="M145" s="10">
        <f ca="1">VLOOKUP(dict_DQ_Meth_max[[#This Row],[ID_DataQualities]],table_DataQualities[],9,FALSE)</f>
        <v>2792.2</v>
      </c>
    </row>
    <row r="146" spans="1:13" x14ac:dyDescent="0.45">
      <c r="A146" s="10">
        <v>39</v>
      </c>
      <c r="B146" s="10">
        <v>575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0.73199999999999998</v>
      </c>
      <c r="G146" s="12">
        <f ca="1">(RANDBETWEEN(50,100)/100)*(dict_DQ_Meth_max[[#This Row],[Vergleich_ub]]-dict_DQ_Meth_max[[#This Row],[Vergleich_lb]])+dict_DQ_Meth_max[[#This Row],[Vergleich_lb]]</f>
        <v>0.94820000000000015</v>
      </c>
      <c r="H146" s="11" t="str">
        <f ca="1">VLOOKUP(VLOOKUP(dict_DQ_Meth_max[[#This Row],[ID_DataQualities]],table_DataQualities[],3),table_Units[],2)</f>
        <v>+/- mm/s</v>
      </c>
      <c r="I146" s="10"/>
      <c r="J146" s="10"/>
      <c r="K146" s="10"/>
      <c r="L146" s="10">
        <f ca="1">VLOOKUP(dict_DQ_Meth_max[[#This Row],[ID_DataQualities]],table_DataQualities[],8,FALSE)</f>
        <v>0.64</v>
      </c>
      <c r="M146" s="10">
        <f ca="1">VLOOKUP(dict_DQ_Meth_max[[#This Row],[ID_DataQualities]],table_DataQualities[],9,FALSE)</f>
        <v>1.1000000000000001</v>
      </c>
    </row>
    <row r="147" spans="1:13" x14ac:dyDescent="0.45">
      <c r="A147" s="10">
        <v>39</v>
      </c>
      <c r="B147" s="10">
        <v>572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0.75960000000000005</v>
      </c>
      <c r="G147" s="12">
        <f ca="1">(RANDBETWEEN(50,100)/100)*(dict_DQ_Meth_max[[#This Row],[Vergleich_ub]]-dict_DQ_Meth_max[[#This Row],[Vergleich_lb]])+dict_DQ_Meth_max[[#This Row],[Vergleich_lb]]</f>
        <v>1.0310000000000001</v>
      </c>
      <c r="H147" s="11" t="str">
        <f ca="1">VLOOKUP(VLOOKUP(dict_DQ_Meth_max[[#This Row],[ID_DataQualities]],table_DataQualities[],3),table_Units[],2)</f>
        <v>+/- mm/s</v>
      </c>
      <c r="I147" s="10"/>
      <c r="J147" s="10"/>
      <c r="K147" s="10"/>
      <c r="L147" s="10">
        <f ca="1">VLOOKUP(dict_DQ_Meth_max[[#This Row],[ID_DataQualities]],table_DataQualities[],8,FALSE)</f>
        <v>0.64</v>
      </c>
      <c r="M147" s="10">
        <f ca="1">VLOOKUP(dict_DQ_Meth_max[[#This Row],[ID_DataQualities]],table_DataQualities[],9,FALSE)</f>
        <v>1.1000000000000001</v>
      </c>
    </row>
    <row r="148" spans="1:13" x14ac:dyDescent="0.45">
      <c r="A148" s="10">
        <v>40</v>
      </c>
      <c r="B148" s="10">
        <v>229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2856.1944399999998</v>
      </c>
      <c r="G148" s="12">
        <f ca="1">(RANDBETWEEN(50,100)/100)*(dict_DQ_Meth_max[[#This Row],[Vergleich_ub]]-dict_DQ_Meth_max[[#This Row],[Vergleich_lb]])+dict_DQ_Meth_max[[#This Row],[Vergleich_lb]]</f>
        <v>5787.4882600000001</v>
      </c>
      <c r="H148" s="11" t="str">
        <f ca="1">VLOOKUP(VLOOKUP(dict_DQ_Meth_max[[#This Row],[ID_DataQualities]],table_DataQualities[],3),table_Units[],2)</f>
        <v>Hz</v>
      </c>
      <c r="I148" s="10"/>
      <c r="J148" s="10"/>
      <c r="K148" s="10"/>
      <c r="L148" s="10">
        <f ca="1">VLOOKUP(dict_DQ_Meth_max[[#This Row],[ID_DataQualities]],table_DataQualities[],8,FALSE)</f>
        <v>6.2E-2</v>
      </c>
      <c r="M148" s="10">
        <f ca="1">VLOOKUP(dict_DQ_Meth_max[[#This Row],[ID_DataQualities]],table_DataQualities[],9,FALSE)</f>
        <v>7516.2</v>
      </c>
    </row>
    <row r="149" spans="1:13" x14ac:dyDescent="0.45">
      <c r="A149" s="10">
        <v>40</v>
      </c>
      <c r="B149" s="10">
        <v>47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225.54614000000001</v>
      </c>
      <c r="G149" s="12">
        <f ca="1">(RANDBETWEEN(50,100)/100)*(dict_DQ_Meth_max[[#This Row],[Vergleich_ub]]-dict_DQ_Meth_max[[#This Row],[Vergleich_lb]])+dict_DQ_Meth_max[[#This Row],[Vergleich_lb]]</f>
        <v>7215.5544799999998</v>
      </c>
      <c r="H149" s="11" t="str">
        <f ca="1">VLOOKUP(VLOOKUP(dict_DQ_Meth_max[[#This Row],[ID_DataQualities]],table_DataQualities[],3),table_Units[],2)</f>
        <v>Hz</v>
      </c>
      <c r="I149" s="10"/>
      <c r="J149" s="10"/>
      <c r="K149" s="10"/>
      <c r="L149" s="10">
        <f ca="1">VLOOKUP(dict_DQ_Meth_max[[#This Row],[ID_DataQualities]],table_DataQualities[],8,FALSE)</f>
        <v>6.2E-2</v>
      </c>
      <c r="M149" s="10">
        <f ca="1">VLOOKUP(dict_DQ_Meth_max[[#This Row],[ID_DataQualities]],table_DataQualities[],9,FALSE)</f>
        <v>7516.2</v>
      </c>
    </row>
    <row r="150" spans="1:13" x14ac:dyDescent="0.45">
      <c r="A150" s="10">
        <v>40</v>
      </c>
      <c r="B150" s="10">
        <v>396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1728.7737399999999</v>
      </c>
      <c r="G150" s="12">
        <f ca="1">(RANDBETWEEN(50,100)/100)*(dict_DQ_Meth_max[[#This Row],[Vergleich_ub]]-dict_DQ_Meth_max[[#This Row],[Vergleich_lb]])+dict_DQ_Meth_max[[#This Row],[Vergleich_lb]]</f>
        <v>4885.5517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6.2E-2</v>
      </c>
      <c r="M150" s="10">
        <f ca="1">VLOOKUP(dict_DQ_Meth_max[[#This Row],[ID_DataQualities]],table_DataQualities[],9,FALSE)</f>
        <v>7516.2</v>
      </c>
    </row>
    <row r="151" spans="1:13" x14ac:dyDescent="0.45">
      <c r="A151" s="10">
        <v>40</v>
      </c>
      <c r="B151" s="10">
        <v>466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3607.8082399999998</v>
      </c>
      <c r="G151" s="12">
        <f ca="1">(RANDBETWEEN(50,100)/100)*(dict_DQ_Meth_max[[#This Row],[Vergleich_ub]]-dict_DQ_Meth_max[[#This Row],[Vergleich_lb]])+dict_DQ_Meth_max[[#This Row],[Vergleich_lb]]</f>
        <v>6238.4565399999992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6.2E-2</v>
      </c>
      <c r="M151" s="10">
        <f ca="1">VLOOKUP(dict_DQ_Meth_max[[#This Row],[ID_DataQualities]],table_DataQualities[],9,FALSE)</f>
        <v>7516.2</v>
      </c>
    </row>
    <row r="152" spans="1:13" x14ac:dyDescent="0.45">
      <c r="A152" s="10">
        <v>40</v>
      </c>
      <c r="B152" s="10">
        <v>684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1728.7737399999999</v>
      </c>
      <c r="G152" s="12">
        <f ca="1">(RANDBETWEEN(50,100)/100)*(dict_DQ_Meth_max[[#This Row],[Vergleich_ub]]-dict_DQ_Meth_max[[#This Row],[Vergleich_lb]])+dict_DQ_Meth_max[[#This Row],[Vergleich_lb]]</f>
        <v>5486.84274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6.2E-2</v>
      </c>
      <c r="M152" s="10">
        <f ca="1">VLOOKUP(dict_DQ_Meth_max[[#This Row],[ID_DataQualities]],table_DataQualities[],9,FALSE)</f>
        <v>7516.2</v>
      </c>
    </row>
    <row r="153" spans="1:13" x14ac:dyDescent="0.45">
      <c r="A153" s="10">
        <v>41</v>
      </c>
      <c r="B153" s="10">
        <v>47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0.38368999999999998</v>
      </c>
      <c r="G153" s="12">
        <f ca="1">(RANDBETWEEN(50,100)/100)*(dict_DQ_Meth_max[[#This Row],[Vergleich_ub]]-dict_DQ_Meth_max[[#This Row],[Vergleich_lb]])+dict_DQ_Meth_max[[#This Row],[Vergleich_lb]]</f>
        <v>1.3637599999999999</v>
      </c>
      <c r="H153" s="11" t="str">
        <f ca="1">VLOOKUP(VLOOKUP(dict_DQ_Meth_max[[#This Row],[ID_DataQualities]],table_DataQualities[],3),table_Units[],2)</f>
        <v>+/- W</v>
      </c>
      <c r="I153" s="10"/>
      <c r="J153" s="10"/>
      <c r="K153" s="10"/>
      <c r="L153" s="10">
        <f ca="1">VLOOKUP(dict_DQ_Meth_max[[#This Row],[ID_DataQualities]],table_DataQualities[],8,FALSE)</f>
        <v>5.7000000000000002E-2</v>
      </c>
      <c r="M153" s="10">
        <f ca="1">VLOOKUP(dict_DQ_Meth_max[[#This Row],[ID_DataQualities]],table_DataQualities[],9,FALSE)</f>
        <v>2.57</v>
      </c>
    </row>
    <row r="154" spans="1:13" x14ac:dyDescent="0.45">
      <c r="A154" s="10">
        <v>41</v>
      </c>
      <c r="B154" s="10">
        <v>466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1.2883699999999998</v>
      </c>
      <c r="G154" s="12">
        <f ca="1">(RANDBETWEEN(50,100)/100)*(dict_DQ_Meth_max[[#This Row],[Vergleich_ub]]-dict_DQ_Meth_max[[#This Row],[Vergleich_lb]])+dict_DQ_Meth_max[[#This Row],[Vergleich_lb]]</f>
        <v>2.26844</v>
      </c>
      <c r="H154" s="11" t="str">
        <f ca="1">VLOOKUP(VLOOKUP(dict_DQ_Meth_max[[#This Row],[ID_DataQualities]],table_DataQualities[],3),table_Units[],2)</f>
        <v>+/- W</v>
      </c>
      <c r="I154" s="10"/>
      <c r="J154" s="10"/>
      <c r="K154" s="10"/>
      <c r="L154" s="10">
        <f ca="1">VLOOKUP(dict_DQ_Meth_max[[#This Row],[ID_DataQualities]],table_DataQualities[],8,FALSE)</f>
        <v>5.7000000000000002E-2</v>
      </c>
      <c r="M154" s="10">
        <f ca="1">VLOOKUP(dict_DQ_Meth_max[[#This Row],[ID_DataQualities]],table_DataQualities[],9,FALSE)</f>
        <v>2.57</v>
      </c>
    </row>
    <row r="155" spans="1:13" x14ac:dyDescent="0.45">
      <c r="A155" s="10">
        <v>41</v>
      </c>
      <c r="B155" s="10">
        <v>396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0.13239000000000001</v>
      </c>
      <c r="G155" s="12">
        <f ca="1">(RANDBETWEEN(50,100)/100)*(dict_DQ_Meth_max[[#This Row],[Vergleich_ub]]-dict_DQ_Meth_max[[#This Row],[Vergleich_lb]])+dict_DQ_Meth_max[[#This Row],[Vergleich_lb]]</f>
        <v>2.09253</v>
      </c>
      <c r="H155" s="11" t="str">
        <f ca="1">VLOOKUP(VLOOKUP(dict_DQ_Meth_max[[#This Row],[ID_DataQualities]],table_DataQualities[],3),table_Units[],2)</f>
        <v>+/- W</v>
      </c>
      <c r="I155" s="10"/>
      <c r="J155" s="10"/>
      <c r="K155" s="10"/>
      <c r="L155" s="10">
        <f ca="1">VLOOKUP(dict_DQ_Meth_max[[#This Row],[ID_DataQualities]],table_DataQualities[],8,FALSE)</f>
        <v>5.7000000000000002E-2</v>
      </c>
      <c r="M155" s="10">
        <f ca="1">VLOOKUP(dict_DQ_Meth_max[[#This Row],[ID_DataQualities]],table_DataQualities[],9,FALSE)</f>
        <v>2.57</v>
      </c>
    </row>
    <row r="156" spans="1:13" x14ac:dyDescent="0.45">
      <c r="A156" s="10">
        <v>41</v>
      </c>
      <c r="B156" s="10">
        <v>684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0.45907999999999999</v>
      </c>
      <c r="G156" s="12">
        <f ca="1">(RANDBETWEEN(50,100)/100)*(dict_DQ_Meth_max[[#This Row],[Vergleich_ub]]-dict_DQ_Meth_max[[#This Row],[Vergleich_lb]])+dict_DQ_Meth_max[[#This Row],[Vergleich_lb]]</f>
        <v>2.4192199999999997</v>
      </c>
      <c r="H156" s="11" t="str">
        <f ca="1">VLOOKUP(VLOOKUP(dict_DQ_Meth_max[[#This Row],[ID_DataQualities]],table_DataQualities[],3),table_Units[],2)</f>
        <v>+/- W</v>
      </c>
      <c r="I156" s="10"/>
      <c r="J156" s="10"/>
      <c r="K156" s="10"/>
      <c r="L156" s="10">
        <f ca="1">VLOOKUP(dict_DQ_Meth_max[[#This Row],[ID_DataQualities]],table_DataQualities[],8,FALSE)</f>
        <v>5.7000000000000002E-2</v>
      </c>
      <c r="M156" s="10">
        <f ca="1">VLOOKUP(dict_DQ_Meth_max[[#This Row],[ID_DataQualities]],table_DataQualities[],9,FALSE)</f>
        <v>2.57</v>
      </c>
    </row>
    <row r="157" spans="1:13" x14ac:dyDescent="0.45">
      <c r="A157" s="10">
        <v>41</v>
      </c>
      <c r="B157" s="10">
        <v>229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0.86116000000000004</v>
      </c>
      <c r="G157" s="12">
        <f ca="1">(RANDBETWEEN(50,100)/100)*(dict_DQ_Meth_max[[#This Row],[Vergleich_ub]]-dict_DQ_Meth_max[[#This Row],[Vergleich_lb]])+dict_DQ_Meth_max[[#This Row],[Vergleich_lb]]</f>
        <v>1.46428</v>
      </c>
      <c r="H157" s="11" t="str">
        <f ca="1">VLOOKUP(VLOOKUP(dict_DQ_Meth_max[[#This Row],[ID_DataQualities]],table_DataQualities[],3),table_Units[],2)</f>
        <v>+/- W</v>
      </c>
      <c r="I157" s="10"/>
      <c r="J157" s="10"/>
      <c r="K157" s="10"/>
      <c r="L157" s="10">
        <f ca="1">VLOOKUP(dict_DQ_Meth_max[[#This Row],[ID_DataQualities]],table_DataQualities[],8,FALSE)</f>
        <v>5.7000000000000002E-2</v>
      </c>
      <c r="M157" s="10">
        <f ca="1">VLOOKUP(dict_DQ_Meth_max[[#This Row],[ID_DataQualities]],table_DataQualities[],9,FALSE)</f>
        <v>2.57</v>
      </c>
    </row>
    <row r="158" spans="1:13" x14ac:dyDescent="0.45">
      <c r="A158" s="10">
        <v>42</v>
      </c>
      <c r="B158" s="10">
        <v>70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1122.22811</v>
      </c>
      <c r="G158" s="12">
        <f ca="1">(RANDBETWEEN(50,100)/100)*(dict_DQ_Meth_max[[#This Row],[Vergleich_ub]]-dict_DQ_Meth_max[[#This Row],[Vergleich_lb]])+dict_DQ_Meth_max[[#This Row],[Vergleich_lb]]</f>
        <v>2651.40326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0.83299999999999996</v>
      </c>
      <c r="M158" s="10">
        <f ca="1">VLOOKUP(dict_DQ_Meth_max[[#This Row],[ID_DataQualities]],table_DataQualities[],9,FALSE)</f>
        <v>3399</v>
      </c>
    </row>
    <row r="159" spans="1:13" x14ac:dyDescent="0.45">
      <c r="A159" s="10">
        <v>42</v>
      </c>
      <c r="B159" s="10">
        <v>357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1020.2830999999999</v>
      </c>
      <c r="G159" s="12">
        <f ca="1">(RANDBETWEEN(50,100)/100)*(dict_DQ_Meth_max[[#This Row],[Vergleich_ub]]-dict_DQ_Meth_max[[#This Row],[Vergleich_lb]])+dict_DQ_Meth_max[[#This Row],[Vergleich_lb]]</f>
        <v>1801.8615100000002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0.83299999999999996</v>
      </c>
      <c r="M159" s="10">
        <f ca="1">VLOOKUP(dict_DQ_Meth_max[[#This Row],[ID_DataQualities]],table_DataQualities[],9,FALSE)</f>
        <v>3399</v>
      </c>
    </row>
    <row r="160" spans="1:13" x14ac:dyDescent="0.45">
      <c r="A160" s="10">
        <v>42</v>
      </c>
      <c r="B160" s="10">
        <v>57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306.66802999999999</v>
      </c>
      <c r="G160" s="12">
        <f ca="1">(RANDBETWEEN(50,100)/100)*(dict_DQ_Meth_max[[#This Row],[Vergleich_ub]]-dict_DQ_Meth_max[[#This Row],[Vergleich_lb]])+dict_DQ_Meth_max[[#This Row],[Vergleich_lb]]</f>
        <v>2039.7331999999999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0.83299999999999996</v>
      </c>
      <c r="M160" s="10">
        <f ca="1">VLOOKUP(dict_DQ_Meth_max[[#This Row],[ID_DataQualities]],table_DataQualities[],9,FALSE)</f>
        <v>3399</v>
      </c>
    </row>
    <row r="161" spans="1:13" x14ac:dyDescent="0.45">
      <c r="A161" s="10">
        <v>43</v>
      </c>
      <c r="B161" s="10">
        <v>70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2.4359999999999999</v>
      </c>
      <c r="G161" s="12">
        <f ca="1">(RANDBETWEEN(50,100)/100)*(dict_DQ_Meth_max[[#This Row],[Vergleich_ub]]-dict_DQ_Meth_max[[#This Row],[Vergleich_lb]])+dict_DQ_Meth_max[[#This Row],[Vergleich_lb]]</f>
        <v>5.8915999999999986</v>
      </c>
      <c r="H161" s="11" t="str">
        <f ca="1">VLOOKUP(VLOOKUP(dict_DQ_Meth_max[[#This Row],[ID_DataQualities]],table_DataQualities[],3),table_Units[],2)</f>
        <v>+/- mm/s</v>
      </c>
      <c r="I161" s="10"/>
      <c r="J161" s="10"/>
      <c r="K161" s="10"/>
      <c r="L161" s="10">
        <f ca="1">VLOOKUP(dict_DQ_Meth_max[[#This Row],[ID_DataQualities]],table_DataQualities[],8,FALSE)</f>
        <v>0.48</v>
      </c>
      <c r="M161" s="10">
        <f ca="1">VLOOKUP(dict_DQ_Meth_max[[#This Row],[ID_DataQualities]],table_DataQualities[],9,FALSE)</f>
        <v>7</v>
      </c>
    </row>
    <row r="162" spans="1:13" x14ac:dyDescent="0.45">
      <c r="A162" s="10">
        <v>43</v>
      </c>
      <c r="B162" s="10">
        <v>357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2.8271999999999999</v>
      </c>
      <c r="G162" s="12">
        <f ca="1">(RANDBETWEEN(50,100)/100)*(dict_DQ_Meth_max[[#This Row],[Vergleich_ub]]-dict_DQ_Meth_max[[#This Row],[Vergleich_lb]])+dict_DQ_Meth_max[[#This Row],[Vergleich_lb]]</f>
        <v>4.9787999999999997</v>
      </c>
      <c r="H162" s="11" t="str">
        <f ca="1">VLOOKUP(VLOOKUP(dict_DQ_Meth_max[[#This Row],[ID_DataQualities]],table_DataQualities[],3),table_Units[],2)</f>
        <v>+/- mm/s</v>
      </c>
      <c r="I162" s="10"/>
      <c r="J162" s="10"/>
      <c r="K162" s="10"/>
      <c r="L162" s="10">
        <f ca="1">VLOOKUP(dict_DQ_Meth_max[[#This Row],[ID_DataQualities]],table_DataQualities[],8,FALSE)</f>
        <v>0.48</v>
      </c>
      <c r="M162" s="10">
        <f ca="1">VLOOKUP(dict_DQ_Meth_max[[#This Row],[ID_DataQualities]],table_DataQualities[],9,FALSE)</f>
        <v>7</v>
      </c>
    </row>
    <row r="163" spans="1:13" x14ac:dyDescent="0.45">
      <c r="A163" s="10">
        <v>43</v>
      </c>
      <c r="B163" s="10">
        <v>57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2.1752000000000002</v>
      </c>
      <c r="G163" s="12">
        <f ca="1">(RANDBETWEEN(50,100)/100)*(dict_DQ_Meth_max[[#This Row],[Vergleich_ub]]-dict_DQ_Meth_max[[#This Row],[Vergleich_lb]])+dict_DQ_Meth_max[[#This Row],[Vergleich_lb]]</f>
        <v>4.9136000000000006</v>
      </c>
      <c r="H163" s="11" t="str">
        <f ca="1">VLOOKUP(VLOOKUP(dict_DQ_Meth_max[[#This Row],[ID_DataQualities]],table_DataQualities[],3),table_Units[],2)</f>
        <v>+/- mm/s</v>
      </c>
      <c r="I163" s="10"/>
      <c r="J163" s="10"/>
      <c r="K163" s="10"/>
      <c r="L163" s="10">
        <f ca="1">VLOOKUP(dict_DQ_Meth_max[[#This Row],[ID_DataQualities]],table_DataQualities[],8,FALSE)</f>
        <v>0.48</v>
      </c>
      <c r="M163" s="10">
        <f ca="1">VLOOKUP(dict_DQ_Meth_max[[#This Row],[ID_DataQualities]],table_DataQualities[],9,FALSE)</f>
        <v>7</v>
      </c>
    </row>
    <row r="164" spans="1:13" x14ac:dyDescent="0.45">
      <c r="A164" s="10">
        <v>44</v>
      </c>
      <c r="B164" s="10">
        <v>47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2517.3716199999999</v>
      </c>
      <c r="G164" s="12">
        <f ca="1">(RANDBETWEEN(50,100)/100)*(dict_DQ_Meth_max[[#This Row],[Vergleich_ub]]-dict_DQ_Meth_max[[#This Row],[Vergleich_lb]])+dict_DQ_Meth_max[[#This Row],[Vergleich_lb]]</f>
        <v>4347.5429800000002</v>
      </c>
      <c r="H164" s="11" t="str">
        <f ca="1">VLOOKUP(VLOOKUP(dict_DQ_Meth_max[[#This Row],[ID_DataQualities]],table_DataQualities[],3),table_Units[],2)</f>
        <v>Hz</v>
      </c>
      <c r="I164" s="10"/>
      <c r="J164" s="10"/>
      <c r="K164" s="10"/>
      <c r="L164" s="10">
        <f ca="1">VLOOKUP(dict_DQ_Meth_max[[#This Row],[ID_DataQualities]],table_DataQualities[],8,FALSE)</f>
        <v>0.88600000000000001</v>
      </c>
      <c r="M164" s="10">
        <f ca="1">VLOOKUP(dict_DQ_Meth_max[[#This Row],[ID_DataQualities]],table_DataQualities[],9,FALSE)</f>
        <v>7626.6</v>
      </c>
    </row>
    <row r="165" spans="1:13" x14ac:dyDescent="0.45">
      <c r="A165" s="10">
        <v>44</v>
      </c>
      <c r="B165" s="10">
        <v>26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153.40028000000001</v>
      </c>
      <c r="G165" s="12">
        <f ca="1">(RANDBETWEEN(50,100)/100)*(dict_DQ_Meth_max[[#This Row],[Vergleich_ub]]-dict_DQ_Meth_max[[#This Row],[Vergleich_lb]])+dict_DQ_Meth_max[[#This Row],[Vergleich_lb]]</f>
        <v>4652.5715399999999</v>
      </c>
      <c r="H165" s="11" t="str">
        <f ca="1">VLOOKUP(VLOOKUP(dict_DQ_Meth_max[[#This Row],[ID_DataQualities]],table_DataQualities[],3),table_Units[],2)</f>
        <v>Hz</v>
      </c>
      <c r="I165" s="10"/>
      <c r="J165" s="10"/>
      <c r="K165" s="10"/>
      <c r="L165" s="10">
        <f ca="1">VLOOKUP(dict_DQ_Meth_max[[#This Row],[ID_DataQualities]],table_DataQualities[],8,FALSE)</f>
        <v>0.88600000000000001</v>
      </c>
      <c r="M165" s="10">
        <f ca="1">VLOOKUP(dict_DQ_Meth_max[[#This Row],[ID_DataQualities]],table_DataQualities[],9,FALSE)</f>
        <v>7626.6</v>
      </c>
    </row>
    <row r="166" spans="1:13" x14ac:dyDescent="0.45">
      <c r="A166" s="10">
        <v>44</v>
      </c>
      <c r="B166" s="10">
        <v>315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610.94312000000002</v>
      </c>
      <c r="G166" s="12">
        <f ca="1">(RANDBETWEEN(50,100)/100)*(dict_DQ_Meth_max[[#This Row],[Vergleich_ub]]-dict_DQ_Meth_max[[#This Row],[Vergleich_lb]])+dict_DQ_Meth_max[[#This Row],[Vergleich_lb]]</f>
        <v>4423.8001199999999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0.88600000000000001</v>
      </c>
      <c r="M166" s="10">
        <f ca="1">VLOOKUP(dict_DQ_Meth_max[[#This Row],[ID_DataQualities]],table_DataQualities[],9,FALSE)</f>
        <v>7626.6</v>
      </c>
    </row>
    <row r="167" spans="1:13" x14ac:dyDescent="0.45">
      <c r="A167" s="10">
        <v>44</v>
      </c>
      <c r="B167" s="10">
        <v>278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382.17170000000004</v>
      </c>
      <c r="G167" s="12">
        <f ca="1">(RANDBETWEEN(50,100)/100)*(dict_DQ_Meth_max[[#This Row],[Vergleich_ub]]-dict_DQ_Meth_max[[#This Row],[Vergleich_lb]])+dict_DQ_Meth_max[[#This Row],[Vergleich_lb]]</f>
        <v>6101.4572000000007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0.88600000000000001</v>
      </c>
      <c r="M167" s="10">
        <f ca="1">VLOOKUP(dict_DQ_Meth_max[[#This Row],[ID_DataQualities]],table_DataQualities[],9,FALSE)</f>
        <v>7626.6</v>
      </c>
    </row>
    <row r="168" spans="1:13" x14ac:dyDescent="0.45">
      <c r="A168" s="10">
        <v>44</v>
      </c>
      <c r="B168" s="10">
        <v>241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2059.8287800000003</v>
      </c>
      <c r="G168" s="12">
        <f ca="1">(RANDBETWEEN(50,100)/100)*(dict_DQ_Meth_max[[#This Row],[Vergleich_ub]]-dict_DQ_Meth_max[[#This Row],[Vergleich_lb]])+dict_DQ_Meth_max[[#This Row],[Vergleich_lb]]</f>
        <v>4652.5715399999999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0.88600000000000001</v>
      </c>
      <c r="M168" s="10">
        <f ca="1">VLOOKUP(dict_DQ_Meth_max[[#This Row],[ID_DataQualities]],table_DataQualities[],9,FALSE)</f>
        <v>7626.6</v>
      </c>
    </row>
    <row r="169" spans="1:13" x14ac:dyDescent="0.45">
      <c r="A169" s="10">
        <v>45</v>
      </c>
      <c r="B169" s="10">
        <v>315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0.91288000000000014</v>
      </c>
      <c r="G169" s="12">
        <f ca="1">(RANDBETWEEN(50,100)/100)*(dict_DQ_Meth_max[[#This Row],[Vergleich_ub]]-dict_DQ_Meth_max[[#This Row],[Vergleich_lb]])+dict_DQ_Meth_max[[#This Row],[Vergleich_lb]]</f>
        <v>1.7551200000000002</v>
      </c>
      <c r="H169" s="11" t="str">
        <f ca="1">VLOOKUP(VLOOKUP(dict_DQ_Meth_max[[#This Row],[ID_DataQualities]],table_DataQualities[],3),table_Units[],2)</f>
        <v>+/- mm</v>
      </c>
      <c r="I169" s="10"/>
      <c r="J169" s="10"/>
      <c r="K169" s="10"/>
      <c r="L169" s="10">
        <f ca="1">VLOOKUP(dict_DQ_Meth_max[[#This Row],[ID_DataQualities]],table_DataQualities[],8,FALSE)</f>
        <v>1.7999999999999999E-2</v>
      </c>
      <c r="M169" s="10">
        <f ca="1">VLOOKUP(dict_DQ_Meth_max[[#This Row],[ID_DataQualities]],table_DataQualities[],9,FALSE)</f>
        <v>2.65</v>
      </c>
    </row>
    <row r="170" spans="1:13" x14ac:dyDescent="0.45">
      <c r="A170" s="10">
        <v>45</v>
      </c>
      <c r="B170" s="10">
        <v>278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0.38648000000000005</v>
      </c>
      <c r="G170" s="12">
        <f ca="1">(RANDBETWEEN(50,100)/100)*(dict_DQ_Meth_max[[#This Row],[Vergleich_ub]]-dict_DQ_Meth_max[[#This Row],[Vergleich_lb]])+dict_DQ_Meth_max[[#This Row],[Vergleich_lb]]</f>
        <v>2.1236000000000002</v>
      </c>
      <c r="H170" s="11" t="str">
        <f ca="1">VLOOKUP(VLOOKUP(dict_DQ_Meth_max[[#This Row],[ID_DataQualities]],table_DataQualities[],3),table_Units[],2)</f>
        <v>+/- mm</v>
      </c>
      <c r="I170" s="10"/>
      <c r="J170" s="10"/>
      <c r="K170" s="10"/>
      <c r="L170" s="10">
        <f ca="1">VLOOKUP(dict_DQ_Meth_max[[#This Row],[ID_DataQualities]],table_DataQualities[],8,FALSE)</f>
        <v>1.7999999999999999E-2</v>
      </c>
      <c r="M170" s="10">
        <f ca="1">VLOOKUP(dict_DQ_Meth_max[[#This Row],[ID_DataQualities]],table_DataQualities[],9,FALSE)</f>
        <v>2.65</v>
      </c>
    </row>
    <row r="171" spans="1:13" x14ac:dyDescent="0.45">
      <c r="A171" s="10">
        <v>45</v>
      </c>
      <c r="B171" s="10">
        <v>241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0.54440000000000011</v>
      </c>
      <c r="G171" s="12">
        <f ca="1">(RANDBETWEEN(50,100)/100)*(dict_DQ_Meth_max[[#This Row],[Vergleich_ub]]-dict_DQ_Meth_max[[#This Row],[Vergleich_lb]])+dict_DQ_Meth_max[[#This Row],[Vergleich_lb]]</f>
        <v>2.09728</v>
      </c>
      <c r="H171" s="11" t="str">
        <f ca="1">VLOOKUP(VLOOKUP(dict_DQ_Meth_max[[#This Row],[ID_DataQualities]],table_DataQualities[],3),table_Units[],2)</f>
        <v>+/- mm</v>
      </c>
      <c r="I171" s="10"/>
      <c r="J171" s="10"/>
      <c r="K171" s="10"/>
      <c r="L171" s="10">
        <f ca="1">VLOOKUP(dict_DQ_Meth_max[[#This Row],[ID_DataQualities]],table_DataQualities[],8,FALSE)</f>
        <v>1.7999999999999999E-2</v>
      </c>
      <c r="M171" s="10">
        <f ca="1">VLOOKUP(dict_DQ_Meth_max[[#This Row],[ID_DataQualities]],table_DataQualities[],9,FALSE)</f>
        <v>2.65</v>
      </c>
    </row>
    <row r="172" spans="1:13" x14ac:dyDescent="0.45">
      <c r="A172" s="10">
        <v>45</v>
      </c>
      <c r="B172" s="10">
        <v>26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0.93920000000000003</v>
      </c>
      <c r="G172" s="12">
        <f ca="1">(RANDBETWEEN(50,100)/100)*(dict_DQ_Meth_max[[#This Row],[Vergleich_ub]]-dict_DQ_Meth_max[[#This Row],[Vergleich_lb]])+dict_DQ_Meth_max[[#This Row],[Vergleich_lb]]</f>
        <v>2.4394399999999998</v>
      </c>
      <c r="H172" s="11" t="str">
        <f ca="1">VLOOKUP(VLOOKUP(dict_DQ_Meth_max[[#This Row],[ID_DataQualities]],table_DataQualities[],3),table_Units[],2)</f>
        <v>+/- mm</v>
      </c>
      <c r="I172" s="10"/>
      <c r="J172" s="10"/>
      <c r="K172" s="10"/>
      <c r="L172" s="10">
        <f ca="1">VLOOKUP(dict_DQ_Meth_max[[#This Row],[ID_DataQualities]],table_DataQualities[],8,FALSE)</f>
        <v>1.7999999999999999E-2</v>
      </c>
      <c r="M172" s="10">
        <f ca="1">VLOOKUP(dict_DQ_Meth_max[[#This Row],[ID_DataQualities]],table_DataQualities[],9,FALSE)</f>
        <v>2.65</v>
      </c>
    </row>
    <row r="173" spans="1:13" x14ac:dyDescent="0.45">
      <c r="A173" s="10">
        <v>45</v>
      </c>
      <c r="B173" s="10">
        <v>47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0.14960000000000001</v>
      </c>
      <c r="G173" s="12">
        <f ca="1">(RANDBETWEEN(50,100)/100)*(dict_DQ_Meth_max[[#This Row],[Vergleich_ub]]-dict_DQ_Meth_max[[#This Row],[Vergleich_lb]])+dict_DQ_Meth_max[[#This Row],[Vergleich_lb]]</f>
        <v>1.5708800000000001</v>
      </c>
      <c r="H173" s="11" t="str">
        <f ca="1">VLOOKUP(VLOOKUP(dict_DQ_Meth_max[[#This Row],[ID_DataQualities]],table_DataQualities[],3),table_Units[],2)</f>
        <v>+/- mm</v>
      </c>
      <c r="I173" s="10"/>
      <c r="J173" s="10"/>
      <c r="K173" s="10"/>
      <c r="L173" s="10">
        <f ca="1">VLOOKUP(dict_DQ_Meth_max[[#This Row],[ID_DataQualities]],table_DataQualities[],8,FALSE)</f>
        <v>1.7999999999999999E-2</v>
      </c>
      <c r="M173" s="10">
        <f ca="1">VLOOKUP(dict_DQ_Meth_max[[#This Row],[ID_DataQualities]],table_DataQualities[],9,FALSE)</f>
        <v>2.65</v>
      </c>
    </row>
    <row r="174" spans="1:13" x14ac:dyDescent="0.45">
      <c r="A174" s="10">
        <v>46</v>
      </c>
      <c r="B174" s="10">
        <v>370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1186.1496000000002</v>
      </c>
      <c r="G174" s="12">
        <f ca="1">(RANDBETWEEN(50,100)/100)*(dict_DQ_Meth_max[[#This Row],[Vergleich_ub]]-dict_DQ_Meth_max[[#This Row],[Vergleich_lb]])+dict_DQ_Meth_max[[#This Row],[Vergleich_lb]]</f>
        <v>4507.2648800000006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3.6999999999999998E-2</v>
      </c>
      <c r="M174" s="10">
        <f ca="1">VLOOKUP(dict_DQ_Meth_max[[#This Row],[ID_DataQualities]],table_DataQualities[],9,FALSE)</f>
        <v>5930.6</v>
      </c>
    </row>
    <row r="175" spans="1:13" x14ac:dyDescent="0.45">
      <c r="A175" s="10">
        <v>46</v>
      </c>
      <c r="B175" s="10">
        <v>566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1779.2058999999999</v>
      </c>
      <c r="G175" s="12">
        <f ca="1">(RANDBETWEEN(50,100)/100)*(dict_DQ_Meth_max[[#This Row],[Vergleich_ub]]-dict_DQ_Meth_max[[#This Row],[Vergleich_lb]])+dict_DQ_Meth_max[[#This Row],[Vergleich_lb]]</f>
        <v>3024.6241299999997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3.6999999999999998E-2</v>
      </c>
      <c r="M175" s="10">
        <f ca="1">VLOOKUP(dict_DQ_Meth_max[[#This Row],[ID_DataQualities]],table_DataQualities[],9,FALSE)</f>
        <v>5930.6</v>
      </c>
    </row>
    <row r="176" spans="1:13" x14ac:dyDescent="0.45">
      <c r="A176" s="10">
        <v>47</v>
      </c>
      <c r="B176" s="10">
        <v>370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1030.8800000000001</v>
      </c>
      <c r="G176" s="12">
        <f ca="1">(RANDBETWEEN(50,100)/100)*(dict_DQ_Meth_max[[#This Row],[Vergleich_ub]]-dict_DQ_Meth_max[[#This Row],[Vergleich_lb]])+dict_DQ_Meth_max[[#This Row],[Vergleich_lb]]</f>
        <v>1860.32</v>
      </c>
      <c r="H176" s="11" t="str">
        <f ca="1">VLOOKUP(VLOOKUP(dict_DQ_Meth_max[[#This Row],[ID_DataQualities]],table_DataQualities[],3),table_Units[],2)</f>
        <v>bit</v>
      </c>
      <c r="I176" s="10"/>
      <c r="J176" s="10"/>
      <c r="K176" s="10"/>
      <c r="L176" s="10">
        <f ca="1">VLOOKUP(dict_DQ_Meth_max[[#This Row],[ID_DataQualities]],table_DataQualities[],8,FALSE)</f>
        <v>20</v>
      </c>
      <c r="M176" s="10">
        <f ca="1">VLOOKUP(dict_DQ_Meth_max[[#This Row],[ID_DataQualities]],table_DataQualities[],9,FALSE)</f>
        <v>2612</v>
      </c>
    </row>
    <row r="177" spans="1:13" x14ac:dyDescent="0.45">
      <c r="A177" s="10">
        <v>47</v>
      </c>
      <c r="B177" s="10">
        <v>566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175.51999999999998</v>
      </c>
      <c r="G177" s="12">
        <f ca="1">(RANDBETWEEN(50,100)/100)*(dict_DQ_Meth_max[[#This Row],[Vergleich_ub]]-dict_DQ_Meth_max[[#This Row],[Vergleich_lb]])+dict_DQ_Meth_max[[#This Row],[Vergleich_lb]]</f>
        <v>1652.96</v>
      </c>
      <c r="H177" s="11" t="str">
        <f ca="1">VLOOKUP(VLOOKUP(dict_DQ_Meth_max[[#This Row],[ID_DataQualities]],table_DataQualities[],3),table_Units[],2)</f>
        <v>bit</v>
      </c>
      <c r="I177" s="10"/>
      <c r="J177" s="10"/>
      <c r="K177" s="10"/>
      <c r="L177" s="10">
        <f ca="1">VLOOKUP(dict_DQ_Meth_max[[#This Row],[ID_DataQualities]],table_DataQualities[],8,FALSE)</f>
        <v>20</v>
      </c>
      <c r="M177" s="10">
        <f ca="1">VLOOKUP(dict_DQ_Meth_max[[#This Row],[ID_DataQualities]],table_DataQualities[],9,FALSE)</f>
        <v>2612</v>
      </c>
    </row>
    <row r="178" spans="1:13" x14ac:dyDescent="0.45">
      <c r="A178" s="10">
        <v>48</v>
      </c>
      <c r="B178" s="10">
        <v>442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2401.3202200000001</v>
      </c>
      <c r="G178" s="12">
        <f ca="1">(RANDBETWEEN(50,100)/100)*(dict_DQ_Meth_max[[#This Row],[Vergleich_ub]]-dict_DQ_Meth_max[[#This Row],[Vergleich_lb]])+dict_DQ_Meth_max[[#This Row],[Vergleich_lb]]</f>
        <v>3549.5897600000003</v>
      </c>
      <c r="H178" s="11" t="str">
        <f ca="1">VLOOKUP(VLOOKUP(dict_DQ_Meth_max[[#This Row],[ID_DataQualities]],table_DataQualities[],3),table_Units[],2)</f>
        <v>Hz</v>
      </c>
      <c r="I178" s="10"/>
      <c r="J178" s="10"/>
      <c r="K178" s="10"/>
      <c r="L178" s="10">
        <f ca="1">VLOOKUP(dict_DQ_Meth_max[[#This Row],[ID_DataQualities]],table_DataQualities[],8,FALSE)</f>
        <v>0.39300000000000002</v>
      </c>
      <c r="M178" s="10">
        <f ca="1">VLOOKUP(dict_DQ_Meth_max[[#This Row],[ID_DataQualities]],table_DataQualities[],9,FALSE)</f>
        <v>5219.8</v>
      </c>
    </row>
    <row r="179" spans="1:13" x14ac:dyDescent="0.45">
      <c r="A179" s="10">
        <v>48</v>
      </c>
      <c r="B179" s="10">
        <v>157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1409.6328900000001</v>
      </c>
      <c r="G179" s="12">
        <f ca="1">(RANDBETWEEN(50,100)/100)*(dict_DQ_Meth_max[[#This Row],[Vergleich_ub]]-dict_DQ_Meth_max[[#This Row],[Vergleich_lb]])+dict_DQ_Meth_max[[#This Row],[Vergleich_lb]]</f>
        <v>4071.5304600000004</v>
      </c>
      <c r="H179" s="11" t="str">
        <f ca="1">VLOOKUP(VLOOKUP(dict_DQ_Meth_max[[#This Row],[ID_DataQualities]],table_DataQualities[],3),table_Units[],2)</f>
        <v>Hz</v>
      </c>
      <c r="I179" s="10"/>
      <c r="J179" s="10"/>
      <c r="K179" s="10"/>
      <c r="L179" s="10">
        <f ca="1">VLOOKUP(dict_DQ_Meth_max[[#This Row],[ID_DataQualities]],table_DataQualities[],8,FALSE)</f>
        <v>0.39300000000000002</v>
      </c>
      <c r="M179" s="10">
        <f ca="1">VLOOKUP(dict_DQ_Meth_max[[#This Row],[ID_DataQualities]],table_DataQualities[],9,FALSE)</f>
        <v>5219.8</v>
      </c>
    </row>
    <row r="180" spans="1:13" x14ac:dyDescent="0.45">
      <c r="A180" s="10">
        <v>48</v>
      </c>
      <c r="B180" s="10">
        <v>28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261.36334999999997</v>
      </c>
      <c r="G180" s="12">
        <f ca="1">(RANDBETWEEN(50,100)/100)*(dict_DQ_Meth_max[[#This Row],[Vergleich_ub]]-dict_DQ_Meth_max[[#This Row],[Vergleich_lb]])+dict_DQ_Meth_max[[#This Row],[Vergleich_lb]]</f>
        <v>3914.9482500000004</v>
      </c>
      <c r="H180" s="11" t="str">
        <f ca="1">VLOOKUP(VLOOKUP(dict_DQ_Meth_max[[#This Row],[ID_DataQualities]],table_DataQualities[],3),table_Units[],2)</f>
        <v>Hz</v>
      </c>
      <c r="I180" s="10"/>
      <c r="J180" s="10"/>
      <c r="K180" s="10"/>
      <c r="L180" s="10">
        <f ca="1">VLOOKUP(dict_DQ_Meth_max[[#This Row],[ID_DataQualities]],table_DataQualities[],8,FALSE)</f>
        <v>0.39300000000000002</v>
      </c>
      <c r="M180" s="10">
        <f ca="1">VLOOKUP(dict_DQ_Meth_max[[#This Row],[ID_DataQualities]],table_DataQualities[],9,FALSE)</f>
        <v>5219.8</v>
      </c>
    </row>
    <row r="181" spans="1:13" x14ac:dyDescent="0.45">
      <c r="A181" s="10">
        <v>48</v>
      </c>
      <c r="B181" s="10">
        <v>40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887.6921900000001</v>
      </c>
      <c r="G181" s="12">
        <f ca="1">(RANDBETWEEN(50,100)/100)*(dict_DQ_Meth_max[[#This Row],[Vergleich_ub]]-dict_DQ_Meth_max[[#This Row],[Vergleich_lb]])+dict_DQ_Meth_max[[#This Row],[Vergleich_lb]]</f>
        <v>3914.9482500000004</v>
      </c>
      <c r="H181" s="11" t="str">
        <f ca="1">VLOOKUP(VLOOKUP(dict_DQ_Meth_max[[#This Row],[ID_DataQualities]],table_DataQualities[],3),table_Units[],2)</f>
        <v>Hz</v>
      </c>
      <c r="I181" s="10"/>
      <c r="J181" s="10"/>
      <c r="K181" s="10"/>
      <c r="L181" s="10">
        <f ca="1">VLOOKUP(dict_DQ_Meth_max[[#This Row],[ID_DataQualities]],table_DataQualities[],8,FALSE)</f>
        <v>0.39300000000000002</v>
      </c>
      <c r="M181" s="10">
        <f ca="1">VLOOKUP(dict_DQ_Meth_max[[#This Row],[ID_DataQualities]],table_DataQualities[],9,FALSE)</f>
        <v>5219.8</v>
      </c>
    </row>
    <row r="182" spans="1:13" x14ac:dyDescent="0.45">
      <c r="A182" s="10">
        <v>49</v>
      </c>
      <c r="B182" s="10">
        <v>28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4037.16</v>
      </c>
      <c r="G182" s="12">
        <f ca="1">(RANDBETWEEN(50,100)/100)*(dict_DQ_Meth_max[[#This Row],[Vergleich_ub]]-dict_DQ_Meth_max[[#This Row],[Vergleich_lb]])+dict_DQ_Meth_max[[#This Row],[Vergleich_lb]]</f>
        <v>7207.12</v>
      </c>
      <c r="H182" s="11" t="str">
        <f ca="1">VLOOKUP(VLOOKUP(dict_DQ_Meth_max[[#This Row],[ID_DataQualities]],table_DataQualities[],3),table_Units[],2)</f>
        <v>bit</v>
      </c>
      <c r="I182" s="10"/>
      <c r="J182" s="10"/>
      <c r="K182" s="10"/>
      <c r="L182" s="10">
        <f ca="1">VLOOKUP(dict_DQ_Meth_max[[#This Row],[ID_DataQualities]],table_DataQualities[],8,FALSE)</f>
        <v>33</v>
      </c>
      <c r="M182" s="10">
        <f ca="1">VLOOKUP(dict_DQ_Meth_max[[#This Row],[ID_DataQualities]],table_DataQualities[],9,FALSE)</f>
        <v>8375</v>
      </c>
    </row>
    <row r="183" spans="1:13" x14ac:dyDescent="0.45">
      <c r="A183" s="10">
        <v>49</v>
      </c>
      <c r="B183" s="10">
        <v>442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2952.7</v>
      </c>
      <c r="G183" s="12">
        <f ca="1">(RANDBETWEEN(50,100)/100)*(dict_DQ_Meth_max[[#This Row],[Vergleich_ub]]-dict_DQ_Meth_max[[#This Row],[Vergleich_lb]])+dict_DQ_Meth_max[[#This Row],[Vergleich_lb]]</f>
        <v>6623.18</v>
      </c>
      <c r="H183" s="11" t="str">
        <f ca="1">VLOOKUP(VLOOKUP(dict_DQ_Meth_max[[#This Row],[ID_DataQualities]],table_DataQualities[],3),table_Units[],2)</f>
        <v>bit</v>
      </c>
      <c r="I183" s="10"/>
      <c r="J183" s="10"/>
      <c r="K183" s="10"/>
      <c r="L183" s="10">
        <f ca="1">VLOOKUP(dict_DQ_Meth_max[[#This Row],[ID_DataQualities]],table_DataQualities[],8,FALSE)</f>
        <v>33</v>
      </c>
      <c r="M183" s="10">
        <f ca="1">VLOOKUP(dict_DQ_Meth_max[[#This Row],[ID_DataQualities]],table_DataQualities[],9,FALSE)</f>
        <v>8375</v>
      </c>
    </row>
    <row r="184" spans="1:13" x14ac:dyDescent="0.45">
      <c r="A184" s="10">
        <v>49</v>
      </c>
      <c r="B184" s="10">
        <v>40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783.78</v>
      </c>
      <c r="G184" s="12">
        <f ca="1">(RANDBETWEEN(50,100)/100)*(dict_DQ_Meth_max[[#This Row],[Vergleich_ub]]-dict_DQ_Meth_max[[#This Row],[Vergleich_lb]])+dict_DQ_Meth_max[[#This Row],[Vergleich_lb]]</f>
        <v>4954.78</v>
      </c>
      <c r="H184" s="11" t="str">
        <f ca="1">VLOOKUP(VLOOKUP(dict_DQ_Meth_max[[#This Row],[ID_DataQualities]],table_DataQualities[],3),table_Units[],2)</f>
        <v>bit</v>
      </c>
      <c r="I184" s="10"/>
      <c r="J184" s="10"/>
      <c r="K184" s="10"/>
      <c r="L184" s="10">
        <f ca="1">VLOOKUP(dict_DQ_Meth_max[[#This Row],[ID_DataQualities]],table_DataQualities[],8,FALSE)</f>
        <v>33</v>
      </c>
      <c r="M184" s="10">
        <f ca="1">VLOOKUP(dict_DQ_Meth_max[[#This Row],[ID_DataQualities]],table_DataQualities[],9,FALSE)</f>
        <v>8375</v>
      </c>
    </row>
    <row r="185" spans="1:13" x14ac:dyDescent="0.45">
      <c r="A185" s="10">
        <v>49</v>
      </c>
      <c r="B185" s="10">
        <v>157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533.52</v>
      </c>
      <c r="G185" s="12">
        <f ca="1">(RANDBETWEEN(50,100)/100)*(dict_DQ_Meth_max[[#This Row],[Vergleich_ub]]-dict_DQ_Meth_max[[#This Row],[Vergleich_lb]])+dict_DQ_Meth_max[[#This Row],[Vergleich_lb]]</f>
        <v>6456.34</v>
      </c>
      <c r="H185" s="11" t="str">
        <f ca="1">VLOOKUP(VLOOKUP(dict_DQ_Meth_max[[#This Row],[ID_DataQualities]],table_DataQualities[],3),table_Units[],2)</f>
        <v>bit</v>
      </c>
      <c r="I185" s="10"/>
      <c r="J185" s="10"/>
      <c r="K185" s="10"/>
      <c r="L185" s="10">
        <f ca="1">VLOOKUP(dict_DQ_Meth_max[[#This Row],[ID_DataQualities]],table_DataQualities[],8,FALSE)</f>
        <v>33</v>
      </c>
      <c r="M185" s="10">
        <f ca="1">VLOOKUP(dict_DQ_Meth_max[[#This Row],[ID_DataQualities]],table_DataQualities[],9,FALSE)</f>
        <v>8375</v>
      </c>
    </row>
    <row r="186" spans="1:13" x14ac:dyDescent="0.45">
      <c r="A186" s="10">
        <v>50</v>
      </c>
      <c r="B186" s="10">
        <v>177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2032.2548400000003</v>
      </c>
      <c r="G186" s="12">
        <f ca="1">(RANDBETWEEN(50,100)/100)*(dict_DQ_Meth_max[[#This Row],[Vergleich_ub]]-dict_DQ_Meth_max[[#This Row],[Vergleich_lb]])+dict_DQ_Meth_max[[#This Row],[Vergleich_lb]]</f>
        <v>5651.2059300000001</v>
      </c>
      <c r="H186" s="11" t="str">
        <f ca="1">VLOOKUP(VLOOKUP(dict_DQ_Meth_max[[#This Row],[ID_DataQualities]],table_DataQualities[],3),table_Units[],2)</f>
        <v>Hz</v>
      </c>
      <c r="I186" s="10"/>
      <c r="J186" s="10"/>
      <c r="K186" s="10"/>
      <c r="L186" s="10">
        <f ca="1">VLOOKUP(dict_DQ_Meth_max[[#This Row],[ID_DataQualities]],table_DataQualities[],8,FALSE)</f>
        <v>0.56299999999999994</v>
      </c>
      <c r="M186" s="10">
        <f ca="1">VLOOKUP(dict_DQ_Meth_max[[#This Row],[ID_DataQualities]],table_DataQualities[],9,FALSE)</f>
        <v>6349.6</v>
      </c>
    </row>
    <row r="187" spans="1:13" x14ac:dyDescent="0.45">
      <c r="A187" s="10">
        <v>50</v>
      </c>
      <c r="B187" s="10">
        <v>4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2286.21632</v>
      </c>
      <c r="G187" s="12">
        <f ca="1">(RANDBETWEEN(50,100)/100)*(dict_DQ_Meth_max[[#This Row],[Vergleich_ub]]-dict_DQ_Meth_max[[#This Row],[Vergleich_lb]])+dict_DQ_Meth_max[[#This Row],[Vergleich_lb]]</f>
        <v>4317.9081600000009</v>
      </c>
      <c r="H187" s="11" t="str">
        <f ca="1">VLOOKUP(VLOOKUP(dict_DQ_Meth_max[[#This Row],[ID_DataQualities]],table_DataQualities[],3),table_Units[],2)</f>
        <v>Hz</v>
      </c>
      <c r="I187" s="10"/>
      <c r="J187" s="10"/>
      <c r="K187" s="10"/>
      <c r="L187" s="10">
        <f ca="1">VLOOKUP(dict_DQ_Meth_max[[#This Row],[ID_DataQualities]],table_DataQualities[],8,FALSE)</f>
        <v>0.56299999999999994</v>
      </c>
      <c r="M187" s="10">
        <f ca="1">VLOOKUP(dict_DQ_Meth_max[[#This Row],[ID_DataQualities]],table_DataQualities[],9,FALSE)</f>
        <v>6349.6</v>
      </c>
    </row>
    <row r="188" spans="1:13" x14ac:dyDescent="0.45">
      <c r="A188" s="10">
        <v>50</v>
      </c>
      <c r="B188" s="10">
        <v>367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1714.8029900000004</v>
      </c>
      <c r="G188" s="12">
        <f ca="1">(RANDBETWEEN(50,100)/100)*(dict_DQ_Meth_max[[#This Row],[Vergleich_ub]]-dict_DQ_Meth_max[[#This Row],[Vergleich_lb]])+dict_DQ_Meth_max[[#This Row],[Vergleich_lb]]</f>
        <v>4762.3407500000003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0.56299999999999994</v>
      </c>
      <c r="M188" s="10">
        <f ca="1">VLOOKUP(dict_DQ_Meth_max[[#This Row],[ID_DataQualities]],table_DataQualities[],9,FALSE)</f>
        <v>6349.6</v>
      </c>
    </row>
    <row r="189" spans="1:13" x14ac:dyDescent="0.45">
      <c r="A189" s="10">
        <v>50</v>
      </c>
      <c r="B189" s="10">
        <v>682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508.48596000000003</v>
      </c>
      <c r="G189" s="12">
        <f ca="1">(RANDBETWEEN(50,100)/100)*(dict_DQ_Meth_max[[#This Row],[Vergleich_ub]]-dict_DQ_Meth_max[[#This Row],[Vergleich_lb]])+dict_DQ_Meth_max[[#This Row],[Vergleich_lb]]</f>
        <v>6286.1096299999999</v>
      </c>
      <c r="H189" s="11" t="str">
        <f ca="1">VLOOKUP(VLOOKUP(dict_DQ_Meth_max[[#This Row],[ID_DataQualities]],table_DataQualities[],3),table_Units[],2)</f>
        <v>Hz</v>
      </c>
      <c r="I189" s="10"/>
      <c r="J189" s="10"/>
      <c r="K189" s="10"/>
      <c r="L189" s="10">
        <f ca="1">VLOOKUP(dict_DQ_Meth_max[[#This Row],[ID_DataQualities]],table_DataQualities[],8,FALSE)</f>
        <v>0.56299999999999994</v>
      </c>
      <c r="M189" s="10">
        <f ca="1">VLOOKUP(dict_DQ_Meth_max[[#This Row],[ID_DataQualities]],table_DataQualities[],9,FALSE)</f>
        <v>6349.6</v>
      </c>
    </row>
    <row r="190" spans="1:13" x14ac:dyDescent="0.45">
      <c r="A190" s="10">
        <v>50</v>
      </c>
      <c r="B190" s="10">
        <v>499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2095.7452100000005</v>
      </c>
      <c r="G190" s="12">
        <f ca="1">(RANDBETWEEN(50,100)/100)*(dict_DQ_Meth_max[[#This Row],[Vergleich_ub]]-dict_DQ_Meth_max[[#This Row],[Vergleich_lb]])+dict_DQ_Meth_max[[#This Row],[Vergleich_lb]]</f>
        <v>5460.7348200000006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0.56299999999999994</v>
      </c>
      <c r="M190" s="10">
        <f ca="1">VLOOKUP(dict_DQ_Meth_max[[#This Row],[ID_DataQualities]],table_DataQualities[],9,FALSE)</f>
        <v>6349.6</v>
      </c>
    </row>
    <row r="191" spans="1:13" x14ac:dyDescent="0.45">
      <c r="A191" s="10">
        <v>51</v>
      </c>
      <c r="B191" s="10">
        <v>682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0.15216000000000002</v>
      </c>
      <c r="G191" s="12">
        <f ca="1">(RANDBETWEEN(50,100)/100)*(dict_DQ_Meth_max[[#This Row],[Vergleich_ub]]-dict_DQ_Meth_max[[#This Row],[Vergleich_lb]])+dict_DQ_Meth_max[[#This Row],[Vergleich_lb]]</f>
        <v>1.1918800000000001</v>
      </c>
      <c r="H191" s="11" t="str">
        <f ca="1">VLOOKUP(VLOOKUP(dict_DQ_Meth_max[[#This Row],[ID_DataQualities]],table_DataQualities[],3),table_Units[],2)</f>
        <v>+/- mm</v>
      </c>
      <c r="I191" s="10"/>
      <c r="J191" s="10"/>
      <c r="K191" s="10"/>
      <c r="L191" s="10">
        <f ca="1">VLOOKUP(dict_DQ_Meth_max[[#This Row],[ID_DataQualities]],table_DataQualities[],8,FALSE)</f>
        <v>9.0999999999999998E-2</v>
      </c>
      <c r="M191" s="10">
        <f ca="1">VLOOKUP(dict_DQ_Meth_max[[#This Row],[ID_DataQualities]],table_DataQualities[],9,FALSE)</f>
        <v>1.62</v>
      </c>
    </row>
    <row r="192" spans="1:13" x14ac:dyDescent="0.45">
      <c r="A192" s="10">
        <v>51</v>
      </c>
      <c r="B192" s="10">
        <v>367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0.41209000000000007</v>
      </c>
      <c r="G192" s="12">
        <f ca="1">(RANDBETWEEN(50,100)/100)*(dict_DQ_Meth_max[[#This Row],[Vergleich_ub]]-dict_DQ_Meth_max[[#This Row],[Vergleich_lb]])+dict_DQ_Meth_max[[#This Row],[Vergleich_lb]]</f>
        <v>1.3753600000000001</v>
      </c>
      <c r="H192" s="11" t="str">
        <f ca="1">VLOOKUP(VLOOKUP(dict_DQ_Meth_max[[#This Row],[ID_DataQualities]],table_DataQualities[],3),table_Units[],2)</f>
        <v>+/- mm</v>
      </c>
      <c r="I192" s="10"/>
      <c r="J192" s="10"/>
      <c r="K192" s="10"/>
      <c r="L192" s="10">
        <f ca="1">VLOOKUP(dict_DQ_Meth_max[[#This Row],[ID_DataQualities]],table_DataQualities[],8,FALSE)</f>
        <v>9.0999999999999998E-2</v>
      </c>
      <c r="M192" s="10">
        <f ca="1">VLOOKUP(dict_DQ_Meth_max[[#This Row],[ID_DataQualities]],table_DataQualities[],9,FALSE)</f>
        <v>1.62</v>
      </c>
    </row>
    <row r="193" spans="1:13" x14ac:dyDescent="0.45">
      <c r="A193" s="10">
        <v>51</v>
      </c>
      <c r="B193" s="10">
        <v>499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0.47325000000000006</v>
      </c>
      <c r="G193" s="12">
        <f ca="1">(RANDBETWEEN(50,100)/100)*(dict_DQ_Meth_max[[#This Row],[Vergleich_ub]]-dict_DQ_Meth_max[[#This Row],[Vergleich_lb]])+dict_DQ_Meth_max[[#This Row],[Vergleich_lb]]</f>
        <v>1.4823900000000001</v>
      </c>
      <c r="H193" s="11" t="str">
        <f ca="1">VLOOKUP(VLOOKUP(dict_DQ_Meth_max[[#This Row],[ID_DataQualities]],table_DataQualities[],3),table_Units[],2)</f>
        <v>+/- mm</v>
      </c>
      <c r="I193" s="10"/>
      <c r="J193" s="10"/>
      <c r="K193" s="10"/>
      <c r="L193" s="10">
        <f ca="1">VLOOKUP(dict_DQ_Meth_max[[#This Row],[ID_DataQualities]],table_DataQualities[],8,FALSE)</f>
        <v>9.0999999999999998E-2</v>
      </c>
      <c r="M193" s="10">
        <f ca="1">VLOOKUP(dict_DQ_Meth_max[[#This Row],[ID_DataQualities]],table_DataQualities[],9,FALSE)</f>
        <v>1.62</v>
      </c>
    </row>
    <row r="194" spans="1:13" x14ac:dyDescent="0.45">
      <c r="A194" s="10">
        <v>51</v>
      </c>
      <c r="B194" s="10">
        <v>4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0.19803000000000001</v>
      </c>
      <c r="G194" s="12">
        <f ca="1">(RANDBETWEEN(50,100)/100)*(dict_DQ_Meth_max[[#This Row],[Vergleich_ub]]-dict_DQ_Meth_max[[#This Row],[Vergleich_lb]])+dict_DQ_Meth_max[[#This Row],[Vergleich_lb]]</f>
        <v>1.2989100000000002</v>
      </c>
      <c r="H194" s="11" t="str">
        <f ca="1">VLOOKUP(VLOOKUP(dict_DQ_Meth_max[[#This Row],[ID_DataQualities]],table_DataQualities[],3),table_Units[],2)</f>
        <v>+/- mm</v>
      </c>
      <c r="I194" s="10"/>
      <c r="J194" s="10"/>
      <c r="K194" s="10"/>
      <c r="L194" s="10">
        <f ca="1">VLOOKUP(dict_DQ_Meth_max[[#This Row],[ID_DataQualities]],table_DataQualities[],8,FALSE)</f>
        <v>9.0999999999999998E-2</v>
      </c>
      <c r="M194" s="10">
        <f ca="1">VLOOKUP(dict_DQ_Meth_max[[#This Row],[ID_DataQualities]],table_DataQualities[],9,FALSE)</f>
        <v>1.62</v>
      </c>
    </row>
    <row r="195" spans="1:13" x14ac:dyDescent="0.45">
      <c r="A195" s="10">
        <v>51</v>
      </c>
      <c r="B195" s="10">
        <v>177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0.51912000000000003</v>
      </c>
      <c r="G195" s="12">
        <f ca="1">(RANDBETWEEN(50,100)/100)*(dict_DQ_Meth_max[[#This Row],[Vergleich_ub]]-dict_DQ_Meth_max[[#This Row],[Vergleich_lb]])+dict_DQ_Meth_max[[#This Row],[Vergleich_lb]]</f>
        <v>0.93195000000000017</v>
      </c>
      <c r="H195" s="11" t="str">
        <f ca="1">VLOOKUP(VLOOKUP(dict_DQ_Meth_max[[#This Row],[ID_DataQualities]],table_DataQualities[],3),table_Units[],2)</f>
        <v>+/- mm</v>
      </c>
      <c r="I195" s="10"/>
      <c r="J195" s="10"/>
      <c r="K195" s="10"/>
      <c r="L195" s="10">
        <f ca="1">VLOOKUP(dict_DQ_Meth_max[[#This Row],[ID_DataQualities]],table_DataQualities[],8,FALSE)</f>
        <v>9.0999999999999998E-2</v>
      </c>
      <c r="M195" s="10">
        <f ca="1">VLOOKUP(dict_DQ_Meth_max[[#This Row],[ID_DataQualities]],table_DataQualities[],9,FALSE)</f>
        <v>1.62</v>
      </c>
    </row>
    <row r="196" spans="1:13" x14ac:dyDescent="0.45">
      <c r="A196" s="10">
        <v>52</v>
      </c>
      <c r="B196" s="10">
        <v>553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860.58866</v>
      </c>
      <c r="G196" s="12">
        <f ca="1">(RANDBETWEEN(50,100)/100)*(dict_DQ_Meth_max[[#This Row],[Vergleich_ub]]-dict_DQ_Meth_max[[#This Row],[Vergleich_lb]])+dict_DQ_Meth_max[[#This Row],[Vergleich_lb]]</f>
        <v>6595.6730600000001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0.32600000000000001</v>
      </c>
      <c r="M196" s="10">
        <f ca="1">VLOOKUP(dict_DQ_Meth_max[[#This Row],[ID_DataQualities]],table_DataQualities[],9,FALSE)</f>
        <v>9558.7999999999993</v>
      </c>
    </row>
    <row r="197" spans="1:13" x14ac:dyDescent="0.45">
      <c r="A197" s="10">
        <v>52</v>
      </c>
      <c r="B197" s="10">
        <v>482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956.17340000000013</v>
      </c>
      <c r="G197" s="12">
        <f ca="1">(RANDBETWEEN(50,100)/100)*(dict_DQ_Meth_max[[#This Row],[Vergleich_ub]]-dict_DQ_Meth_max[[#This Row],[Vergleich_lb]])+dict_DQ_Meth_max[[#This Row],[Vergleich_lb]]</f>
        <v>8507.3678600000003</v>
      </c>
      <c r="H197" s="11" t="str">
        <f ca="1">VLOOKUP(VLOOKUP(dict_DQ_Meth_max[[#This Row],[ID_DataQualities]],table_DataQualities[],3),table_Units[],2)</f>
        <v>Hz</v>
      </c>
      <c r="I197" s="10"/>
      <c r="J197" s="10"/>
      <c r="K197" s="10"/>
      <c r="L197" s="10">
        <f ca="1">VLOOKUP(dict_DQ_Meth_max[[#This Row],[ID_DataQualities]],table_DataQualities[],8,FALSE)</f>
        <v>0.32600000000000001</v>
      </c>
      <c r="M197" s="10">
        <f ca="1">VLOOKUP(dict_DQ_Meth_max[[#This Row],[ID_DataQualities]],table_DataQualities[],9,FALSE)</f>
        <v>9558.7999999999993</v>
      </c>
    </row>
    <row r="198" spans="1:13" x14ac:dyDescent="0.45">
      <c r="A198" s="10">
        <v>52</v>
      </c>
      <c r="B198" s="10">
        <v>36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3345.7918999999997</v>
      </c>
      <c r="G198" s="12">
        <f ca="1">(RANDBETWEEN(50,100)/100)*(dict_DQ_Meth_max[[#This Row],[Vergleich_ub]]-dict_DQ_Meth_max[[#This Row],[Vergleich_lb]])+dict_DQ_Meth_max[[#This Row],[Vergleich_lb]]</f>
        <v>7169.1814999999997</v>
      </c>
      <c r="H198" s="11" t="str">
        <f ca="1">VLOOKUP(VLOOKUP(dict_DQ_Meth_max[[#This Row],[ID_DataQualities]],table_DataQualities[],3),table_Units[],2)</f>
        <v>Hz</v>
      </c>
      <c r="I198" s="10"/>
      <c r="J198" s="10"/>
      <c r="K198" s="10"/>
      <c r="L198" s="10">
        <f ca="1">VLOOKUP(dict_DQ_Meth_max[[#This Row],[ID_DataQualities]],table_DataQualities[],8,FALSE)</f>
        <v>0.32600000000000001</v>
      </c>
      <c r="M198" s="10">
        <f ca="1">VLOOKUP(dict_DQ_Meth_max[[#This Row],[ID_DataQualities]],table_DataQualities[],9,FALSE)</f>
        <v>9558.7999999999993</v>
      </c>
    </row>
    <row r="199" spans="1:13" x14ac:dyDescent="0.45">
      <c r="A199" s="10">
        <v>52</v>
      </c>
      <c r="B199" s="10">
        <v>537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765.00392000000011</v>
      </c>
      <c r="G199" s="12">
        <f ca="1">(RANDBETWEEN(50,100)/100)*(dict_DQ_Meth_max[[#This Row],[Vergleich_ub]]-dict_DQ_Meth_max[[#This Row],[Vergleich_lb]])+dict_DQ_Meth_max[[#This Row],[Vergleich_lb]]</f>
        <v>8316.1983799999998</v>
      </c>
      <c r="H199" s="11" t="str">
        <f ca="1">VLOOKUP(VLOOKUP(dict_DQ_Meth_max[[#This Row],[ID_DataQualities]],table_DataQualities[],3),table_Units[],2)</f>
        <v>Hz</v>
      </c>
      <c r="I199" s="10"/>
      <c r="J199" s="10"/>
      <c r="K199" s="10"/>
      <c r="L199" s="10">
        <f ca="1">VLOOKUP(dict_DQ_Meth_max[[#This Row],[ID_DataQualities]],table_DataQualities[],8,FALSE)</f>
        <v>0.32600000000000001</v>
      </c>
      <c r="M199" s="10">
        <f ca="1">VLOOKUP(dict_DQ_Meth_max[[#This Row],[ID_DataQualities]],table_DataQualities[],9,FALSE)</f>
        <v>9558.7999999999993</v>
      </c>
    </row>
    <row r="200" spans="1:13" x14ac:dyDescent="0.45">
      <c r="A200" s="10">
        <v>53</v>
      </c>
      <c r="B200" s="10">
        <v>553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707.95</v>
      </c>
      <c r="G200" s="12">
        <f ca="1">(RANDBETWEEN(50,100)/100)*(dict_DQ_Meth_max[[#This Row],[Vergleich_ub]]-dict_DQ_Meth_max[[#This Row],[Vergleich_lb]])+dict_DQ_Meth_max[[#This Row],[Vergleich_lb]]</f>
        <v>5439.6</v>
      </c>
      <c r="H200" s="11" t="str">
        <f ca="1">VLOOKUP(VLOOKUP(dict_DQ_Meth_max[[#This Row],[ID_DataQualities]],table_DataQualities[],3),table_Units[],2)</f>
        <v>bit</v>
      </c>
      <c r="I200" s="10"/>
      <c r="J200" s="10"/>
      <c r="K200" s="10"/>
      <c r="L200" s="10">
        <f ca="1">VLOOKUP(dict_DQ_Meth_max[[#This Row],[ID_DataQualities]],table_DataQualities[],8,FALSE)</f>
        <v>32</v>
      </c>
      <c r="M200" s="10">
        <f ca="1">VLOOKUP(dict_DQ_Meth_max[[#This Row],[ID_DataQualities]],table_DataQualities[],9,FALSE)</f>
        <v>6177</v>
      </c>
    </row>
    <row r="201" spans="1:13" x14ac:dyDescent="0.45">
      <c r="A201" s="10">
        <v>53</v>
      </c>
      <c r="B201" s="10">
        <v>36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154.9</v>
      </c>
      <c r="G201" s="12">
        <f ca="1">(RANDBETWEEN(50,100)/100)*(dict_DQ_Meth_max[[#This Row],[Vergleich_ub]]-dict_DQ_Meth_max[[#This Row],[Vergleich_lb]])+dict_DQ_Meth_max[[#This Row],[Vergleich_lb]]</f>
        <v>3596.1</v>
      </c>
      <c r="H201" s="11" t="str">
        <f ca="1">VLOOKUP(VLOOKUP(dict_DQ_Meth_max[[#This Row],[ID_DataQualities]],table_DataQualities[],3),table_Units[],2)</f>
        <v>bit</v>
      </c>
      <c r="I201" s="10"/>
      <c r="J201" s="10"/>
      <c r="K201" s="10"/>
      <c r="L201" s="10">
        <f ca="1">VLOOKUP(dict_DQ_Meth_max[[#This Row],[ID_DataQualities]],table_DataQualities[],8,FALSE)</f>
        <v>32</v>
      </c>
      <c r="M201" s="10">
        <f ca="1">VLOOKUP(dict_DQ_Meth_max[[#This Row],[ID_DataQualities]],table_DataQualities[],9,FALSE)</f>
        <v>6177</v>
      </c>
    </row>
    <row r="202" spans="1:13" x14ac:dyDescent="0.45">
      <c r="A202" s="10">
        <v>53</v>
      </c>
      <c r="B202" s="10">
        <v>482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1199.55</v>
      </c>
      <c r="G202" s="12">
        <f ca="1">(RANDBETWEEN(50,100)/100)*(dict_DQ_Meth_max[[#This Row],[Vergleich_ub]]-dict_DQ_Meth_max[[#This Row],[Vergleich_lb]])+dict_DQ_Meth_max[[#This Row],[Vergleich_lb]]</f>
        <v>6115.55</v>
      </c>
      <c r="H202" s="11" t="str">
        <f ca="1">VLOOKUP(VLOOKUP(dict_DQ_Meth_max[[#This Row],[ID_DataQualities]],table_DataQualities[],3),table_Units[],2)</f>
        <v>bit</v>
      </c>
      <c r="I202" s="10"/>
      <c r="J202" s="10"/>
      <c r="K202" s="10"/>
      <c r="L202" s="10">
        <f ca="1">VLOOKUP(dict_DQ_Meth_max[[#This Row],[ID_DataQualities]],table_DataQualities[],8,FALSE)</f>
        <v>32</v>
      </c>
      <c r="M202" s="10">
        <f ca="1">VLOOKUP(dict_DQ_Meth_max[[#This Row],[ID_DataQualities]],table_DataQualities[],9,FALSE)</f>
        <v>6177</v>
      </c>
    </row>
    <row r="203" spans="1:13" x14ac:dyDescent="0.45">
      <c r="A203" s="10">
        <v>53</v>
      </c>
      <c r="B203" s="10">
        <v>537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2428.5500000000002</v>
      </c>
      <c r="G203" s="12">
        <f ca="1">(RANDBETWEEN(50,100)/100)*(dict_DQ_Meth_max[[#This Row],[Vergleich_ub]]-dict_DQ_Meth_max[[#This Row],[Vergleich_lb]])+dict_DQ_Meth_max[[#This Row],[Vergleich_lb]]</f>
        <v>3350.3</v>
      </c>
      <c r="H203" s="11" t="str">
        <f ca="1">VLOOKUP(VLOOKUP(dict_DQ_Meth_max[[#This Row],[ID_DataQualities]],table_DataQualities[],3),table_Units[],2)</f>
        <v>bit</v>
      </c>
      <c r="I203" s="10"/>
      <c r="J203" s="10"/>
      <c r="K203" s="10"/>
      <c r="L203" s="10">
        <f ca="1">VLOOKUP(dict_DQ_Meth_max[[#This Row],[ID_DataQualities]],table_DataQualities[],8,FALSE)</f>
        <v>32</v>
      </c>
      <c r="M203" s="10">
        <f ca="1">VLOOKUP(dict_DQ_Meth_max[[#This Row],[ID_DataQualities]],table_DataQualities[],9,FALSE)</f>
        <v>6177</v>
      </c>
    </row>
    <row r="204" spans="1:13" x14ac:dyDescent="0.45">
      <c r="A204" s="10">
        <v>54</v>
      </c>
      <c r="B204" s="10">
        <v>460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631.95821000000001</v>
      </c>
      <c r="G204" s="12">
        <f ca="1">(RANDBETWEEN(50,100)/100)*(dict_DQ_Meth_max[[#This Row],[Vergleich_ub]]-dict_DQ_Meth_max[[#This Row],[Vergleich_lb]])+dict_DQ_Meth_max[[#This Row],[Vergleich_lb]]</f>
        <v>1143.9781100000002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0.46700000000000003</v>
      </c>
      <c r="M204" s="10">
        <f ca="1">VLOOKUP(dict_DQ_Meth_max[[#This Row],[ID_DataQualities]],table_DataQualities[],9,FALSE)</f>
        <v>1707.2</v>
      </c>
    </row>
    <row r="205" spans="1:13" x14ac:dyDescent="0.45">
      <c r="A205" s="10">
        <v>54</v>
      </c>
      <c r="B205" s="10">
        <v>133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119.93831</v>
      </c>
      <c r="G205" s="12">
        <f ca="1">(RANDBETWEEN(50,100)/100)*(dict_DQ_Meth_max[[#This Row],[Vergleich_ub]]-dict_DQ_Meth_max[[#This Row],[Vergleich_lb]])+dict_DQ_Meth_max[[#This Row],[Vergleich_lb]]</f>
        <v>1690.13267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0.46700000000000003</v>
      </c>
      <c r="M205" s="10">
        <f ca="1">VLOOKUP(dict_DQ_Meth_max[[#This Row],[ID_DataQualities]],table_DataQualities[],9,FALSE)</f>
        <v>1707.2</v>
      </c>
    </row>
    <row r="206" spans="1:13" x14ac:dyDescent="0.45">
      <c r="A206" s="10">
        <v>55</v>
      </c>
      <c r="B206" s="10">
        <v>460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2859.3700000000003</v>
      </c>
      <c r="G206" s="12">
        <f ca="1">(RANDBETWEEN(50,100)/100)*(dict_DQ_Meth_max[[#This Row],[Vergleich_ub]]-dict_DQ_Meth_max[[#This Row],[Vergleich_lb]])+dict_DQ_Meth_max[[#This Row],[Vergleich_lb]]</f>
        <v>6810.31</v>
      </c>
      <c r="H206" s="11" t="str">
        <f ca="1">VLOOKUP(VLOOKUP(dict_DQ_Meth_max[[#This Row],[ID_DataQualities]],table_DataQualities[],3),table_Units[],2)</f>
        <v>bit</v>
      </c>
      <c r="I206" s="10"/>
      <c r="J206" s="10"/>
      <c r="K206" s="10"/>
      <c r="L206" s="10">
        <f ca="1">VLOOKUP(dict_DQ_Meth_max[[#This Row],[ID_DataQualities]],table_DataQualities[],8,FALSE)</f>
        <v>25</v>
      </c>
      <c r="M206" s="10">
        <f ca="1">VLOOKUP(dict_DQ_Meth_max[[#This Row],[ID_DataQualities]],table_DataQualities[],9,FALSE)</f>
        <v>8614</v>
      </c>
    </row>
    <row r="207" spans="1:13" x14ac:dyDescent="0.45">
      <c r="A207" s="10">
        <v>55</v>
      </c>
      <c r="B207" s="10">
        <v>133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3890.05</v>
      </c>
      <c r="G207" s="12">
        <f ca="1">(RANDBETWEEN(50,100)/100)*(dict_DQ_Meth_max[[#This Row],[Vergleich_ub]]-dict_DQ_Meth_max[[#This Row],[Vergleich_lb]])+dict_DQ_Meth_max[[#This Row],[Vergleich_lb]]</f>
        <v>7669.21</v>
      </c>
      <c r="H207" s="11" t="str">
        <f ca="1">VLOOKUP(VLOOKUP(dict_DQ_Meth_max[[#This Row],[ID_DataQualities]],table_DataQualities[],3),table_Units[],2)</f>
        <v>bit</v>
      </c>
      <c r="I207" s="10"/>
      <c r="J207" s="10"/>
      <c r="K207" s="10"/>
      <c r="L207" s="10">
        <f ca="1">VLOOKUP(dict_DQ_Meth_max[[#This Row],[ID_DataQualities]],table_DataQualities[],8,FALSE)</f>
        <v>25</v>
      </c>
      <c r="M207" s="10">
        <f ca="1">VLOOKUP(dict_DQ_Meth_max[[#This Row],[ID_DataQualities]],table_DataQualities[],9,FALSE)</f>
        <v>8614</v>
      </c>
    </row>
    <row r="208" spans="1:13" x14ac:dyDescent="0.45">
      <c r="A208" s="10">
        <v>56</v>
      </c>
      <c r="B208" s="10">
        <v>189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82.398600000000016</v>
      </c>
      <c r="G208" s="12">
        <f ca="1">(RANDBETWEEN(50,100)/100)*(dict_DQ_Meth_max[[#This Row],[Vergleich_ub]]-dict_DQ_Meth_max[[#This Row],[Vergleich_lb]])+dict_DQ_Meth_max[[#This Row],[Vergleich_lb]]</f>
        <v>3158.4711000000002</v>
      </c>
      <c r="H208" s="11" t="str">
        <f ca="1">VLOOKUP(VLOOKUP(dict_DQ_Meth_max[[#This Row],[ID_DataQualities]],table_DataQualities[],3),table_Units[],2)</f>
        <v>Hz</v>
      </c>
      <c r="I208" s="10"/>
      <c r="J208" s="10"/>
      <c r="K208" s="10"/>
      <c r="L208" s="10">
        <f ca="1">VLOOKUP(dict_DQ_Meth_max[[#This Row],[ID_DataQualities]],table_DataQualities[],8,FALSE)</f>
        <v>0.37</v>
      </c>
      <c r="M208" s="10">
        <f ca="1">VLOOKUP(dict_DQ_Meth_max[[#This Row],[ID_DataQualities]],table_DataQualities[],9,FALSE)</f>
        <v>4101.8</v>
      </c>
    </row>
    <row r="209" spans="1:13" x14ac:dyDescent="0.45">
      <c r="A209" s="10">
        <v>56</v>
      </c>
      <c r="B209" s="10">
        <v>371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369.49870000000004</v>
      </c>
      <c r="G209" s="12">
        <f ca="1">(RANDBETWEEN(50,100)/100)*(dict_DQ_Meth_max[[#This Row],[Vergleich_ub]]-dict_DQ_Meth_max[[#This Row],[Vergleich_lb]])+dict_DQ_Meth_max[[#This Row],[Vergleich_lb]]</f>
        <v>2666.2995000000001</v>
      </c>
      <c r="H209" s="11" t="str">
        <f ca="1">VLOOKUP(VLOOKUP(dict_DQ_Meth_max[[#This Row],[ID_DataQualities]],table_DataQualities[],3),table_Units[],2)</f>
        <v>Hz</v>
      </c>
      <c r="I209" s="10"/>
      <c r="J209" s="10"/>
      <c r="K209" s="10"/>
      <c r="L209" s="10">
        <f ca="1">VLOOKUP(dict_DQ_Meth_max[[#This Row],[ID_DataQualities]],table_DataQualities[],8,FALSE)</f>
        <v>0.37</v>
      </c>
      <c r="M209" s="10">
        <f ca="1">VLOOKUP(dict_DQ_Meth_max[[#This Row],[ID_DataQualities]],table_DataQualities[],9,FALSE)</f>
        <v>4101.8</v>
      </c>
    </row>
    <row r="210" spans="1:13" x14ac:dyDescent="0.45">
      <c r="A210" s="10">
        <v>56</v>
      </c>
      <c r="B210" s="10">
        <v>243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1394.8562000000002</v>
      </c>
      <c r="G210" s="12">
        <f ca="1">(RANDBETWEEN(50,100)/100)*(dict_DQ_Meth_max[[#This Row],[Vergleich_ub]]-dict_DQ_Meth_max[[#This Row],[Vergleich_lb]])+dict_DQ_Meth_max[[#This Row],[Vergleich_lb]]</f>
        <v>3814.6999000000005</v>
      </c>
      <c r="H210" s="11" t="str">
        <f ca="1">VLOOKUP(VLOOKUP(dict_DQ_Meth_max[[#This Row],[ID_DataQualities]],table_DataQualities[],3),table_Units[],2)</f>
        <v>Hz</v>
      </c>
      <c r="I210" s="10"/>
      <c r="J210" s="10"/>
      <c r="K210" s="10"/>
      <c r="L210" s="10">
        <f ca="1">VLOOKUP(dict_DQ_Meth_max[[#This Row],[ID_DataQualities]],table_DataQualities[],8,FALSE)</f>
        <v>0.37</v>
      </c>
      <c r="M210" s="10">
        <f ca="1">VLOOKUP(dict_DQ_Meth_max[[#This Row],[ID_DataQualities]],table_DataQualities[],9,FALSE)</f>
        <v>4101.8</v>
      </c>
    </row>
    <row r="211" spans="1:13" x14ac:dyDescent="0.45">
      <c r="A211" s="10">
        <v>56</v>
      </c>
      <c r="B211" s="10">
        <v>307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205.44150000000002</v>
      </c>
      <c r="G211" s="12">
        <f ca="1">(RANDBETWEEN(50,100)/100)*(dict_DQ_Meth_max[[#This Row],[Vergleich_ub]]-dict_DQ_Meth_max[[#This Row],[Vergleich_lb]])+dict_DQ_Meth_max[[#This Row],[Vergleich_lb]]</f>
        <v>2953.3996000000002</v>
      </c>
      <c r="H211" s="11" t="str">
        <f ca="1">VLOOKUP(VLOOKUP(dict_DQ_Meth_max[[#This Row],[ID_DataQualities]],table_DataQualities[],3),table_Units[],2)</f>
        <v>Hz</v>
      </c>
      <c r="I211" s="10"/>
      <c r="J211" s="10"/>
      <c r="K211" s="10"/>
      <c r="L211" s="10">
        <f ca="1">VLOOKUP(dict_DQ_Meth_max[[#This Row],[ID_DataQualities]],table_DataQualities[],8,FALSE)</f>
        <v>0.37</v>
      </c>
      <c r="M211" s="10">
        <f ca="1">VLOOKUP(dict_DQ_Meth_max[[#This Row],[ID_DataQualities]],table_DataQualities[],9,FALSE)</f>
        <v>4101.8</v>
      </c>
    </row>
    <row r="212" spans="1:13" x14ac:dyDescent="0.45">
      <c r="A212" s="10">
        <v>56</v>
      </c>
      <c r="B212" s="10">
        <v>582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984.71320000000003</v>
      </c>
      <c r="G212" s="12">
        <f ca="1">(RANDBETWEEN(50,100)/100)*(dict_DQ_Meth_max[[#This Row],[Vergleich_ub]]-dict_DQ_Meth_max[[#This Row],[Vergleich_lb]])+dict_DQ_Meth_max[[#This Row],[Vergleich_lb]]</f>
        <v>3732.6713000000004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0.37</v>
      </c>
      <c r="M212" s="10">
        <f ca="1">VLOOKUP(dict_DQ_Meth_max[[#This Row],[ID_DataQualities]],table_DataQualities[],9,FALSE)</f>
        <v>4101.8</v>
      </c>
    </row>
    <row r="213" spans="1:13" x14ac:dyDescent="0.45">
      <c r="A213" s="10">
        <v>57</v>
      </c>
      <c r="B213" s="10">
        <v>582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1.0470000000000002</v>
      </c>
      <c r="G213" s="12">
        <f ca="1">(RANDBETWEEN(50,100)/100)*(dict_DQ_Meth_max[[#This Row],[Vergleich_ub]]-dict_DQ_Meth_max[[#This Row],[Vergleich_lb]])+dict_DQ_Meth_max[[#This Row],[Vergleich_lb]]</f>
        <v>2.097</v>
      </c>
      <c r="H213" s="11" t="str">
        <f ca="1">VLOOKUP(VLOOKUP(dict_DQ_Meth_max[[#This Row],[ID_DataQualities]],table_DataQualities[],3),table_Units[],2)</f>
        <v>+/- °C</v>
      </c>
      <c r="I213" s="10"/>
      <c r="J213" s="10"/>
      <c r="K213" s="10"/>
      <c r="L213" s="10">
        <f ca="1">VLOOKUP(dict_DQ_Meth_max[[#This Row],[ID_DataQualities]],table_DataQualities[],8,FALSE)</f>
        <v>0.9</v>
      </c>
      <c r="M213" s="10">
        <f ca="1">VLOOKUP(dict_DQ_Meth_max[[#This Row],[ID_DataQualities]],table_DataQualities[],9,FALSE)</f>
        <v>3</v>
      </c>
    </row>
    <row r="214" spans="1:13" x14ac:dyDescent="0.45">
      <c r="A214" s="10">
        <v>57</v>
      </c>
      <c r="B214" s="10">
        <v>371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1.635</v>
      </c>
      <c r="G214" s="12">
        <f ca="1">(RANDBETWEEN(50,100)/100)*(dict_DQ_Meth_max[[#This Row],[Vergleich_ub]]-dict_DQ_Meth_max[[#This Row],[Vergleich_lb]])+dict_DQ_Meth_max[[#This Row],[Vergleich_lb]]</f>
        <v>2.9790000000000001</v>
      </c>
      <c r="H214" s="11" t="str">
        <f ca="1">VLOOKUP(VLOOKUP(dict_DQ_Meth_max[[#This Row],[ID_DataQualities]],table_DataQualities[],3),table_Units[],2)</f>
        <v>+/- °C</v>
      </c>
      <c r="I214" s="10"/>
      <c r="J214" s="10"/>
      <c r="K214" s="10"/>
      <c r="L214" s="10">
        <f ca="1">VLOOKUP(dict_DQ_Meth_max[[#This Row],[ID_DataQualities]],table_DataQualities[],8,FALSE)</f>
        <v>0.9</v>
      </c>
      <c r="M214" s="10">
        <f ca="1">VLOOKUP(dict_DQ_Meth_max[[#This Row],[ID_DataQualities]],table_DataQualities[],9,FALSE)</f>
        <v>3</v>
      </c>
    </row>
    <row r="215" spans="1:13" x14ac:dyDescent="0.45">
      <c r="A215" s="10">
        <v>57</v>
      </c>
      <c r="B215" s="10">
        <v>307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1.5510000000000002</v>
      </c>
      <c r="G215" s="12">
        <f ca="1">(RANDBETWEEN(50,100)/100)*(dict_DQ_Meth_max[[#This Row],[Vergleich_ub]]-dict_DQ_Meth_max[[#This Row],[Vergleich_lb]])+dict_DQ_Meth_max[[#This Row],[Vergleich_lb]]</f>
        <v>1.992</v>
      </c>
      <c r="H215" s="11" t="str">
        <f ca="1">VLOOKUP(VLOOKUP(dict_DQ_Meth_max[[#This Row],[ID_DataQualities]],table_DataQualities[],3),table_Units[],2)</f>
        <v>+/- °C</v>
      </c>
      <c r="I215" s="10"/>
      <c r="J215" s="10"/>
      <c r="K215" s="10"/>
      <c r="L215" s="10">
        <f ca="1">VLOOKUP(dict_DQ_Meth_max[[#This Row],[ID_DataQualities]],table_DataQualities[],8,FALSE)</f>
        <v>0.9</v>
      </c>
      <c r="M215" s="10">
        <f ca="1">VLOOKUP(dict_DQ_Meth_max[[#This Row],[ID_DataQualities]],table_DataQualities[],9,FALSE)</f>
        <v>3</v>
      </c>
    </row>
    <row r="216" spans="1:13" x14ac:dyDescent="0.45">
      <c r="A216" s="10">
        <v>57</v>
      </c>
      <c r="B216" s="10">
        <v>189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1.593</v>
      </c>
      <c r="G216" s="12">
        <f ca="1">(RANDBETWEEN(50,100)/100)*(dict_DQ_Meth_max[[#This Row],[Vergleich_ub]]-dict_DQ_Meth_max[[#This Row],[Vergleich_lb]])+dict_DQ_Meth_max[[#This Row],[Vergleich_lb]]</f>
        <v>2.0340000000000003</v>
      </c>
      <c r="H216" s="11" t="str">
        <f ca="1">VLOOKUP(VLOOKUP(dict_DQ_Meth_max[[#This Row],[ID_DataQualities]],table_DataQualities[],3),table_Units[],2)</f>
        <v>+/- °C</v>
      </c>
      <c r="I216" s="10"/>
      <c r="J216" s="10"/>
      <c r="K216" s="10"/>
      <c r="L216" s="10">
        <f ca="1">VLOOKUP(dict_DQ_Meth_max[[#This Row],[ID_DataQualities]],table_DataQualities[],8,FALSE)</f>
        <v>0.9</v>
      </c>
      <c r="M216" s="10">
        <f ca="1">VLOOKUP(dict_DQ_Meth_max[[#This Row],[ID_DataQualities]],table_DataQualities[],9,FALSE)</f>
        <v>3</v>
      </c>
    </row>
    <row r="217" spans="1:13" x14ac:dyDescent="0.45">
      <c r="A217" s="10">
        <v>57</v>
      </c>
      <c r="B217" s="10">
        <v>243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1.425</v>
      </c>
      <c r="G217" s="12">
        <f ca="1">(RANDBETWEEN(50,100)/100)*(dict_DQ_Meth_max[[#This Row],[Vergleich_ub]]-dict_DQ_Meth_max[[#This Row],[Vergleich_lb]])+dict_DQ_Meth_max[[#This Row],[Vergleich_lb]]</f>
        <v>2.9579999999999997</v>
      </c>
      <c r="H217" s="11" t="str">
        <f ca="1">VLOOKUP(VLOOKUP(dict_DQ_Meth_max[[#This Row],[ID_DataQualities]],table_DataQualities[],3),table_Units[],2)</f>
        <v>+/- °C</v>
      </c>
      <c r="I217" s="10"/>
      <c r="J217" s="10"/>
      <c r="K217" s="10"/>
      <c r="L217" s="10">
        <f ca="1">VLOOKUP(dict_DQ_Meth_max[[#This Row],[ID_DataQualities]],table_DataQualities[],8,FALSE)</f>
        <v>0.9</v>
      </c>
      <c r="M217" s="10">
        <f ca="1">VLOOKUP(dict_DQ_Meth_max[[#This Row],[ID_DataQualities]],table_DataQualities[],9,FALSE)</f>
        <v>3</v>
      </c>
    </row>
    <row r="218" spans="1:13" x14ac:dyDescent="0.45">
      <c r="A218" s="10">
        <v>58</v>
      </c>
      <c r="B218" s="10">
        <v>608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1014.35334</v>
      </c>
      <c r="G218" s="12">
        <f ca="1">(RANDBETWEEN(50,100)/100)*(dict_DQ_Meth_max[[#This Row],[Vergleich_ub]]-dict_DQ_Meth_max[[#This Row],[Vergleich_lb]])+dict_DQ_Meth_max[[#This Row],[Vergleich_lb]]</f>
        <v>8203.452659999999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0.50600000000000001</v>
      </c>
      <c r="M218" s="10">
        <f ca="1">VLOOKUP(dict_DQ_Meth_max[[#This Row],[ID_DataQualities]],table_DataQualities[],9,FALSE)</f>
        <v>9217.2999999999993</v>
      </c>
    </row>
    <row r="219" spans="1:13" x14ac:dyDescent="0.45">
      <c r="A219" s="10">
        <v>58</v>
      </c>
      <c r="B219" s="10">
        <v>25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3410.7197799999999</v>
      </c>
      <c r="G219" s="12">
        <f ca="1">(RANDBETWEEN(50,100)/100)*(dict_DQ_Meth_max[[#This Row],[Vergleich_ub]]-dict_DQ_Meth_max[[#This Row],[Vergleich_lb]])+dict_DQ_Meth_max[[#This Row],[Vergleich_lb]]</f>
        <v>6175.7579800000003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0.50600000000000001</v>
      </c>
      <c r="M219" s="10">
        <f ca="1">VLOOKUP(dict_DQ_Meth_max[[#This Row],[ID_DataQualities]],table_DataQualities[],9,FALSE)</f>
        <v>9217.2999999999993</v>
      </c>
    </row>
    <row r="220" spans="1:13" x14ac:dyDescent="0.45">
      <c r="A220" s="10">
        <v>58</v>
      </c>
      <c r="B220" s="10">
        <v>186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830.01745999999991</v>
      </c>
      <c r="G220" s="12">
        <f ca="1">(RANDBETWEEN(50,100)/100)*(dict_DQ_Meth_max[[#This Row],[Vergleich_ub]]-dict_DQ_Meth_max[[#This Row],[Vergleich_lb]])+dict_DQ_Meth_max[[#This Row],[Vergleich_lb]]</f>
        <v>5991.4221000000007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0.50600000000000001</v>
      </c>
      <c r="M220" s="10">
        <f ca="1">VLOOKUP(dict_DQ_Meth_max[[#This Row],[ID_DataQualities]],table_DataQualities[],9,FALSE)</f>
        <v>9217.2999999999993</v>
      </c>
    </row>
    <row r="221" spans="1:13" x14ac:dyDescent="0.45">
      <c r="A221" s="10">
        <v>58</v>
      </c>
      <c r="B221" s="10">
        <v>31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2765.5441999999998</v>
      </c>
      <c r="G221" s="12">
        <f ca="1">(RANDBETWEEN(50,100)/100)*(dict_DQ_Meth_max[[#This Row],[Vergleich_ub]]-dict_DQ_Meth_max[[#This Row],[Vergleich_lb]])+dict_DQ_Meth_max[[#This Row],[Vergleich_lb]]</f>
        <v>8387.7885399999996</v>
      </c>
      <c r="H221" s="11" t="str">
        <f ca="1">VLOOKUP(VLOOKUP(dict_DQ_Meth_max[[#This Row],[ID_DataQualities]],table_DataQualities[],3),table_Units[],2)</f>
        <v>Hz</v>
      </c>
      <c r="I221" s="10"/>
      <c r="J221" s="10"/>
      <c r="K221" s="10"/>
      <c r="L221" s="10">
        <f ca="1">VLOOKUP(dict_DQ_Meth_max[[#This Row],[ID_DataQualities]],table_DataQualities[],8,FALSE)</f>
        <v>0.50600000000000001</v>
      </c>
      <c r="M221" s="10">
        <f ca="1">VLOOKUP(dict_DQ_Meth_max[[#This Row],[ID_DataQualities]],table_DataQualities[],9,FALSE)</f>
        <v>9217.2999999999993</v>
      </c>
    </row>
    <row r="222" spans="1:13" x14ac:dyDescent="0.45">
      <c r="A222" s="10">
        <v>58</v>
      </c>
      <c r="B222" s="10">
        <v>38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4608.9030000000002</v>
      </c>
      <c r="G222" s="12">
        <f ca="1">(RANDBETWEEN(50,100)/100)*(dict_DQ_Meth_max[[#This Row],[Vergleich_ub]]-dict_DQ_Meth_max[[#This Row],[Vergleich_lb]])+dict_DQ_Meth_max[[#This Row],[Vergleich_lb]]</f>
        <v>7466.1091400000005</v>
      </c>
      <c r="H222" s="11" t="str">
        <f ca="1">VLOOKUP(VLOOKUP(dict_DQ_Meth_max[[#This Row],[ID_DataQualities]],table_DataQualities[],3),table_Units[],2)</f>
        <v>Hz</v>
      </c>
      <c r="I222" s="10"/>
      <c r="J222" s="10"/>
      <c r="K222" s="10"/>
      <c r="L222" s="10">
        <f ca="1">VLOOKUP(dict_DQ_Meth_max[[#This Row],[ID_DataQualities]],table_DataQualities[],8,FALSE)</f>
        <v>0.50600000000000001</v>
      </c>
      <c r="M222" s="10">
        <f ca="1">VLOOKUP(dict_DQ_Meth_max[[#This Row],[ID_DataQualities]],table_DataQualities[],9,FALSE)</f>
        <v>9217.2999999999993</v>
      </c>
    </row>
    <row r="223" spans="1:13" x14ac:dyDescent="0.45">
      <c r="A223" s="10">
        <v>59</v>
      </c>
      <c r="B223" s="10">
        <v>608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0.77349999999999997</v>
      </c>
      <c r="G223" s="12">
        <f ca="1">(RANDBETWEEN(50,100)/100)*(dict_DQ_Meth_max[[#This Row],[Vergleich_ub]]-dict_DQ_Meth_max[[#This Row],[Vergleich_lb]])+dict_DQ_Meth_max[[#This Row],[Vergleich_lb]]</f>
        <v>2.9824999999999999</v>
      </c>
      <c r="H223" s="11" t="str">
        <f ca="1">VLOOKUP(VLOOKUP(dict_DQ_Meth_max[[#This Row],[ID_DataQualities]],table_DataQualities[],3),table_Units[],2)</f>
        <v>+/- mm/s</v>
      </c>
      <c r="I223" s="10"/>
      <c r="J223" s="10"/>
      <c r="K223" s="10"/>
      <c r="L223" s="10">
        <f ca="1">VLOOKUP(dict_DQ_Meth_max[[#This Row],[ID_DataQualities]],table_DataQualities[],8,FALSE)</f>
        <v>0.75</v>
      </c>
      <c r="M223" s="10">
        <f ca="1">VLOOKUP(dict_DQ_Meth_max[[#This Row],[ID_DataQualities]],table_DataQualities[],9,FALSE)</f>
        <v>3.1</v>
      </c>
    </row>
    <row r="224" spans="1:13" x14ac:dyDescent="0.45">
      <c r="A224" s="10">
        <v>59</v>
      </c>
      <c r="B224" s="10">
        <v>186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1.925</v>
      </c>
      <c r="G224" s="12">
        <f ca="1">(RANDBETWEEN(50,100)/100)*(dict_DQ_Meth_max[[#This Row],[Vergleich_ub]]-dict_DQ_Meth_max[[#This Row],[Vergleich_lb]])+dict_DQ_Meth_max[[#This Row],[Vergleich_lb]]</f>
        <v>3.0529999999999999</v>
      </c>
      <c r="H224" s="11" t="str">
        <f ca="1">VLOOKUP(VLOOKUP(dict_DQ_Meth_max[[#This Row],[ID_DataQualities]],table_DataQualities[],3),table_Units[],2)</f>
        <v>+/- mm/s</v>
      </c>
      <c r="I224" s="10"/>
      <c r="J224" s="10"/>
      <c r="K224" s="10"/>
      <c r="L224" s="10">
        <f ca="1">VLOOKUP(dict_DQ_Meth_max[[#This Row],[ID_DataQualities]],table_DataQualities[],8,FALSE)</f>
        <v>0.75</v>
      </c>
      <c r="M224" s="10">
        <f ca="1">VLOOKUP(dict_DQ_Meth_max[[#This Row],[ID_DataQualities]],table_DataQualities[],9,FALSE)</f>
        <v>3.1</v>
      </c>
    </row>
    <row r="225" spans="1:13" x14ac:dyDescent="0.45">
      <c r="A225" s="10">
        <v>59</v>
      </c>
      <c r="B225" s="10">
        <v>25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1.5255000000000001</v>
      </c>
      <c r="G225" s="12">
        <f ca="1">(RANDBETWEEN(50,100)/100)*(dict_DQ_Meth_max[[#This Row],[Vergleich_ub]]-dict_DQ_Meth_max[[#This Row],[Vergleich_lb]])+dict_DQ_Meth_max[[#This Row],[Vergleich_lb]]</f>
        <v>2.9824999999999999</v>
      </c>
      <c r="H225" s="11" t="str">
        <f ca="1">VLOOKUP(VLOOKUP(dict_DQ_Meth_max[[#This Row],[ID_DataQualities]],table_DataQualities[],3),table_Units[],2)</f>
        <v>+/- mm/s</v>
      </c>
      <c r="I225" s="10"/>
      <c r="J225" s="10"/>
      <c r="K225" s="10"/>
      <c r="L225" s="10">
        <f ca="1">VLOOKUP(dict_DQ_Meth_max[[#This Row],[ID_DataQualities]],table_DataQualities[],8,FALSE)</f>
        <v>0.75</v>
      </c>
      <c r="M225" s="10">
        <f ca="1">VLOOKUP(dict_DQ_Meth_max[[#This Row],[ID_DataQualities]],table_DataQualities[],9,FALSE)</f>
        <v>3.1</v>
      </c>
    </row>
    <row r="226" spans="1:13" x14ac:dyDescent="0.45">
      <c r="A226" s="10">
        <v>59</v>
      </c>
      <c r="B226" s="10">
        <v>31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0.82050000000000001</v>
      </c>
      <c r="G226" s="12">
        <f ca="1">(RANDBETWEEN(50,100)/100)*(dict_DQ_Meth_max[[#This Row],[Vergleich_ub]]-dict_DQ_Meth_max[[#This Row],[Vergleich_lb]])+dict_DQ_Meth_max[[#This Row],[Vergleich_lb]]</f>
        <v>2.7709999999999999</v>
      </c>
      <c r="H226" s="11" t="str">
        <f ca="1">VLOOKUP(VLOOKUP(dict_DQ_Meth_max[[#This Row],[ID_DataQualities]],table_DataQualities[],3),table_Units[],2)</f>
        <v>+/- mm/s</v>
      </c>
      <c r="I226" s="10"/>
      <c r="J226" s="10"/>
      <c r="K226" s="10"/>
      <c r="L226" s="10">
        <f ca="1">VLOOKUP(dict_DQ_Meth_max[[#This Row],[ID_DataQualities]],table_DataQualities[],8,FALSE)</f>
        <v>0.75</v>
      </c>
      <c r="M226" s="10">
        <f ca="1">VLOOKUP(dict_DQ_Meth_max[[#This Row],[ID_DataQualities]],table_DataQualities[],9,FALSE)</f>
        <v>3.1</v>
      </c>
    </row>
    <row r="227" spans="1:13" x14ac:dyDescent="0.45">
      <c r="A227" s="10">
        <v>59</v>
      </c>
      <c r="B227" s="10">
        <v>38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1.2435</v>
      </c>
      <c r="G227" s="12">
        <f ca="1">(RANDBETWEEN(50,100)/100)*(dict_DQ_Meth_max[[#This Row],[Vergleich_ub]]-dict_DQ_Meth_max[[#This Row],[Vergleich_lb]])+dict_DQ_Meth_max[[#This Row],[Vergleich_lb]]</f>
        <v>2.4889999999999999</v>
      </c>
      <c r="H227" s="11" t="str">
        <f ca="1">VLOOKUP(VLOOKUP(dict_DQ_Meth_max[[#This Row],[ID_DataQualities]],table_DataQualities[],3),table_Units[],2)</f>
        <v>+/- mm/s</v>
      </c>
      <c r="I227" s="10"/>
      <c r="J227" s="10"/>
      <c r="K227" s="10"/>
      <c r="L227" s="10">
        <f ca="1">VLOOKUP(dict_DQ_Meth_max[[#This Row],[ID_DataQualities]],table_DataQualities[],8,FALSE)</f>
        <v>0.75</v>
      </c>
      <c r="M227" s="10">
        <f ca="1">VLOOKUP(dict_DQ_Meth_max[[#This Row],[ID_DataQualities]],table_DataQualities[],9,FALSE)</f>
        <v>3.1</v>
      </c>
    </row>
    <row r="228" spans="1:13" x14ac:dyDescent="0.45">
      <c r="A228" s="10">
        <v>60</v>
      </c>
      <c r="B228" s="10">
        <v>638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223.05830000000003</v>
      </c>
      <c r="G228" s="12">
        <f ca="1">(RANDBETWEEN(50,100)/100)*(dict_DQ_Meth_max[[#This Row],[Vergleich_ub]]-dict_DQ_Meth_max[[#This Row],[Vergleich_lb]])+dict_DQ_Meth_max[[#This Row],[Vergleich_lb]]</f>
        <v>1490.0047100000002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0.78700000000000003</v>
      </c>
      <c r="M228" s="10">
        <f ca="1">VLOOKUP(dict_DQ_Meth_max[[#This Row],[ID_DataQualities]],table_DataQualities[],9,FALSE)</f>
        <v>2223.5</v>
      </c>
    </row>
    <row r="229" spans="1:13" x14ac:dyDescent="0.45">
      <c r="A229" s="10">
        <v>60</v>
      </c>
      <c r="B229" s="10">
        <v>382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423.10247000000004</v>
      </c>
      <c r="G229" s="12">
        <f ca="1">(RANDBETWEEN(50,100)/100)*(dict_DQ_Meth_max[[#This Row],[Vergleich_ub]]-dict_DQ_Meth_max[[#This Row],[Vergleich_lb]])+dict_DQ_Meth_max[[#This Row],[Vergleich_lb]]</f>
        <v>1490.0047100000002</v>
      </c>
      <c r="H229" s="11" t="str">
        <f ca="1">VLOOKUP(VLOOKUP(dict_DQ_Meth_max[[#This Row],[ID_DataQualities]],table_DataQualities[],3),table_Units[],2)</f>
        <v>Hz</v>
      </c>
      <c r="I229" s="10"/>
      <c r="J229" s="10"/>
      <c r="K229" s="10"/>
      <c r="L229" s="10">
        <f ca="1">VLOOKUP(dict_DQ_Meth_max[[#This Row],[ID_DataQualities]],table_DataQualities[],8,FALSE)</f>
        <v>0.78700000000000003</v>
      </c>
      <c r="M229" s="10">
        <f ca="1">VLOOKUP(dict_DQ_Meth_max[[#This Row],[ID_DataQualities]],table_DataQualities[],9,FALSE)</f>
        <v>2223.5</v>
      </c>
    </row>
    <row r="230" spans="1:13" x14ac:dyDescent="0.45">
      <c r="A230" s="10">
        <v>61</v>
      </c>
      <c r="B230" s="10">
        <v>638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4185.04</v>
      </c>
      <c r="G230" s="12">
        <f ca="1">(RANDBETWEEN(50,100)/100)*(dict_DQ_Meth_max[[#This Row],[Vergleich_ub]]-dict_DQ_Meth_max[[#This Row],[Vergleich_lb]])+dict_DQ_Meth_max[[#This Row],[Vergleich_lb]]</f>
        <v>7222.16</v>
      </c>
      <c r="H230" s="11" t="str">
        <f ca="1">VLOOKUP(VLOOKUP(dict_DQ_Meth_max[[#This Row],[ID_DataQualities]],table_DataQualities[],3),table_Units[],2)</f>
        <v>bit</v>
      </c>
      <c r="I230" s="10"/>
      <c r="J230" s="10"/>
      <c r="K230" s="10"/>
      <c r="L230" s="10">
        <f ca="1">VLOOKUP(dict_DQ_Meth_max[[#This Row],[ID_DataQualities]],table_DataQualities[],8,FALSE)</f>
        <v>9</v>
      </c>
      <c r="M230" s="10">
        <f ca="1">VLOOKUP(dict_DQ_Meth_max[[#This Row],[ID_DataQualities]],table_DataQualities[],9,FALSE)</f>
        <v>9500</v>
      </c>
    </row>
    <row r="231" spans="1:13" x14ac:dyDescent="0.45">
      <c r="A231" s="10">
        <v>61</v>
      </c>
      <c r="B231" s="10">
        <v>382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1622.47</v>
      </c>
      <c r="G231" s="12">
        <f ca="1">(RANDBETWEEN(50,100)/100)*(dict_DQ_Meth_max[[#This Row],[Vergleich_ub]]-dict_DQ_Meth_max[[#This Row],[Vergleich_lb]])+dict_DQ_Meth_max[[#This Row],[Vergleich_lb]]</f>
        <v>7127.25</v>
      </c>
      <c r="H231" s="11" t="str">
        <f ca="1">VLOOKUP(VLOOKUP(dict_DQ_Meth_max[[#This Row],[ID_DataQualities]],table_DataQualities[],3),table_Units[],2)</f>
        <v>bit</v>
      </c>
      <c r="I231" s="10"/>
      <c r="J231" s="10"/>
      <c r="K231" s="10"/>
      <c r="L231" s="10">
        <f ca="1">VLOOKUP(dict_DQ_Meth_max[[#This Row],[ID_DataQualities]],table_DataQualities[],8,FALSE)</f>
        <v>9</v>
      </c>
      <c r="M231" s="10">
        <f ca="1">VLOOKUP(dict_DQ_Meth_max[[#This Row],[ID_DataQualities]],table_DataQualities[],9,FALSE)</f>
        <v>9500</v>
      </c>
    </row>
    <row r="232" spans="1:13" x14ac:dyDescent="0.45">
      <c r="A232" s="10">
        <v>62</v>
      </c>
      <c r="B232" s="10">
        <v>511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1721.2539000000002</v>
      </c>
      <c r="G232" s="12">
        <f ca="1">(RANDBETWEEN(50,100)/100)*(dict_DQ_Meth_max[[#This Row],[Vergleich_ub]]-dict_DQ_Meth_max[[#This Row],[Vergleich_lb]])+dict_DQ_Meth_max[[#This Row],[Vergleich_lb]]</f>
        <v>3377.8620999999998</v>
      </c>
      <c r="H232" s="11" t="str">
        <f ca="1">VLOOKUP(VLOOKUP(dict_DQ_Meth_max[[#This Row],[ID_DataQualities]],table_DataQualities[],3),table_Units[],2)</f>
        <v>Hz</v>
      </c>
      <c r="I232" s="10"/>
      <c r="J232" s="10"/>
      <c r="K232" s="10"/>
      <c r="L232" s="10">
        <f ca="1">VLOOKUP(dict_DQ_Meth_max[[#This Row],[ID_DataQualities]],table_DataQualities[],8,FALSE)</f>
        <v>0.93</v>
      </c>
      <c r="M232" s="10">
        <f ca="1">VLOOKUP(dict_DQ_Meth_max[[#This Row],[ID_DataQualities]],table_DataQualities[],9,FALSE)</f>
        <v>6372.5</v>
      </c>
    </row>
    <row r="233" spans="1:13" x14ac:dyDescent="0.45">
      <c r="A233" s="10">
        <v>62</v>
      </c>
      <c r="B233" s="10">
        <v>150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383.2242</v>
      </c>
      <c r="G233" s="12">
        <f ca="1">(RANDBETWEEN(50,100)/100)*(dict_DQ_Meth_max[[#This Row],[Vergleich_ub]]-dict_DQ_Meth_max[[#This Row],[Vergleich_lb]])+dict_DQ_Meth_max[[#This Row],[Vergleich_lb]]</f>
        <v>4333.5976000000001</v>
      </c>
      <c r="H233" s="11" t="str">
        <f ca="1">VLOOKUP(VLOOKUP(dict_DQ_Meth_max[[#This Row],[ID_DataQualities]],table_DataQualities[],3),table_Units[],2)</f>
        <v>Hz</v>
      </c>
      <c r="I233" s="10"/>
      <c r="J233" s="10"/>
      <c r="K233" s="10"/>
      <c r="L233" s="10">
        <f ca="1">VLOOKUP(dict_DQ_Meth_max[[#This Row],[ID_DataQualities]],table_DataQualities[],8,FALSE)</f>
        <v>0.93</v>
      </c>
      <c r="M233" s="10">
        <f ca="1">VLOOKUP(dict_DQ_Meth_max[[#This Row],[ID_DataQualities]],table_DataQualities[],9,FALSE)</f>
        <v>6372.5</v>
      </c>
    </row>
    <row r="234" spans="1:13" x14ac:dyDescent="0.45">
      <c r="A234" s="10">
        <v>62</v>
      </c>
      <c r="B234" s="10">
        <v>202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1784.9696000000001</v>
      </c>
      <c r="G234" s="12">
        <f ca="1">(RANDBETWEEN(50,100)/100)*(dict_DQ_Meth_max[[#This Row],[Vergleich_ub]]-dict_DQ_Meth_max[[#This Row],[Vergleich_lb]])+dict_DQ_Meth_max[[#This Row],[Vergleich_lb]]</f>
        <v>3441.5778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0.93</v>
      </c>
      <c r="M234" s="10">
        <f ca="1">VLOOKUP(dict_DQ_Meth_max[[#This Row],[ID_DataQualities]],table_DataQualities[],9,FALSE)</f>
        <v>6372.5</v>
      </c>
    </row>
    <row r="235" spans="1:13" x14ac:dyDescent="0.45">
      <c r="A235" s="10">
        <v>62</v>
      </c>
      <c r="B235" s="10">
        <v>653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2868.1364999999996</v>
      </c>
      <c r="G235" s="12">
        <f ca="1">(RANDBETWEEN(50,100)/100)*(dict_DQ_Meth_max[[#This Row],[Vergleich_ub]]-dict_DQ_Meth_max[[#This Row],[Vergleich_lb]])+dict_DQ_Meth_max[[#This Row],[Vergleich_lb]]</f>
        <v>4779.6075000000001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0.93</v>
      </c>
      <c r="M235" s="10">
        <f ca="1">VLOOKUP(dict_DQ_Meth_max[[#This Row],[ID_DataQualities]],table_DataQualities[],9,FALSE)</f>
        <v>6372.5</v>
      </c>
    </row>
    <row r="236" spans="1:13" x14ac:dyDescent="0.45">
      <c r="A236" s="10">
        <v>63</v>
      </c>
      <c r="B236" s="10">
        <v>511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0.20600000000000002</v>
      </c>
      <c r="G236" s="12">
        <f ca="1">(RANDBETWEEN(50,100)/100)*(dict_DQ_Meth_max[[#This Row],[Vergleich_ub]]-dict_DQ_Meth_max[[#This Row],[Vergleich_lb]])+dict_DQ_Meth_max[[#This Row],[Vergleich_lb]]</f>
        <v>0.38908000000000004</v>
      </c>
      <c r="H236" s="11" t="str">
        <f ca="1">VLOOKUP(VLOOKUP(dict_DQ_Meth_max[[#This Row],[ID_DataQualities]],table_DataQualities[],3),table_Units[],2)</f>
        <v>+/- cm³/s</v>
      </c>
      <c r="I236" s="10"/>
      <c r="J236" s="10"/>
      <c r="K236" s="10"/>
      <c r="L236" s="10">
        <f ca="1">VLOOKUP(dict_DQ_Meth_max[[#This Row],[ID_DataQualities]],table_DataQualities[],8,FALSE)</f>
        <v>7.0000000000000001E-3</v>
      </c>
      <c r="M236" s="10">
        <f ca="1">VLOOKUP(dict_DQ_Meth_max[[#This Row],[ID_DataQualities]],table_DataQualities[],9,FALSE)</f>
        <v>0.40500000000000003</v>
      </c>
    </row>
    <row r="237" spans="1:13" x14ac:dyDescent="0.45">
      <c r="A237" s="10">
        <v>63</v>
      </c>
      <c r="B237" s="10">
        <v>150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6.6700000000000009E-2</v>
      </c>
      <c r="G237" s="12">
        <f ca="1">(RANDBETWEEN(50,100)/100)*(dict_DQ_Meth_max[[#This Row],[Vergleich_ub]]-dict_DQ_Meth_max[[#This Row],[Vergleich_lb]])+dict_DQ_Meth_max[[#This Row],[Vergleich_lb]]</f>
        <v>0.37316000000000005</v>
      </c>
      <c r="H237" s="11" t="str">
        <f ca="1">VLOOKUP(VLOOKUP(dict_DQ_Meth_max[[#This Row],[ID_DataQualities]],table_DataQualities[],3),table_Units[],2)</f>
        <v>+/- cm³/s</v>
      </c>
      <c r="I237" s="10"/>
      <c r="J237" s="10"/>
      <c r="K237" s="10"/>
      <c r="L237" s="10">
        <f ca="1">VLOOKUP(dict_DQ_Meth_max[[#This Row],[ID_DataQualities]],table_DataQualities[],8,FALSE)</f>
        <v>7.0000000000000001E-3</v>
      </c>
      <c r="M237" s="10">
        <f ca="1">VLOOKUP(dict_DQ_Meth_max[[#This Row],[ID_DataQualities]],table_DataQualities[],9,FALSE)</f>
        <v>0.40500000000000003</v>
      </c>
    </row>
    <row r="238" spans="1:13" x14ac:dyDescent="0.45">
      <c r="A238" s="10">
        <v>63</v>
      </c>
      <c r="B238" s="10">
        <v>653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1.4960000000000001E-2</v>
      </c>
      <c r="G238" s="12">
        <f ca="1">(RANDBETWEEN(50,100)/100)*(dict_DQ_Meth_max[[#This Row],[Vergleich_ub]]-dict_DQ_Meth_max[[#This Row],[Vergleich_lb]])+dict_DQ_Meth_max[[#This Row],[Vergleich_lb]]</f>
        <v>0.26172000000000001</v>
      </c>
      <c r="H238" s="11" t="str">
        <f ca="1">VLOOKUP(VLOOKUP(dict_DQ_Meth_max[[#This Row],[ID_DataQualities]],table_DataQualities[],3),table_Units[],2)</f>
        <v>+/- cm³/s</v>
      </c>
      <c r="I238" s="10"/>
      <c r="J238" s="10"/>
      <c r="K238" s="10"/>
      <c r="L238" s="10">
        <f ca="1">VLOOKUP(dict_DQ_Meth_max[[#This Row],[ID_DataQualities]],table_DataQualities[],8,FALSE)</f>
        <v>7.0000000000000001E-3</v>
      </c>
      <c r="M238" s="10">
        <f ca="1">VLOOKUP(dict_DQ_Meth_max[[#This Row],[ID_DataQualities]],table_DataQualities[],9,FALSE)</f>
        <v>0.40500000000000003</v>
      </c>
    </row>
    <row r="239" spans="1:13" x14ac:dyDescent="0.45">
      <c r="A239" s="10">
        <v>63</v>
      </c>
      <c r="B239" s="10">
        <v>202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0.17814000000000002</v>
      </c>
      <c r="G239" s="12">
        <f ca="1">(RANDBETWEEN(50,100)/100)*(dict_DQ_Meth_max[[#This Row],[Vergleich_ub]]-dict_DQ_Meth_max[[#This Row],[Vergleich_lb]])+dict_DQ_Meth_max[[#This Row],[Vergleich_lb]]</f>
        <v>0.22988000000000003</v>
      </c>
      <c r="H239" s="11" t="str">
        <f ca="1">VLOOKUP(VLOOKUP(dict_DQ_Meth_max[[#This Row],[ID_DataQualities]],table_DataQualities[],3),table_Units[],2)</f>
        <v>+/- cm³/s</v>
      </c>
      <c r="I239" s="10"/>
      <c r="J239" s="10"/>
      <c r="K239" s="10"/>
      <c r="L239" s="10">
        <f ca="1">VLOOKUP(dict_DQ_Meth_max[[#This Row],[ID_DataQualities]],table_DataQualities[],8,FALSE)</f>
        <v>7.0000000000000001E-3</v>
      </c>
      <c r="M239" s="10">
        <f ca="1">VLOOKUP(dict_DQ_Meth_max[[#This Row],[ID_DataQualities]],table_DataQualities[],9,FALSE)</f>
        <v>0.40500000000000003</v>
      </c>
    </row>
    <row r="240" spans="1:13" x14ac:dyDescent="0.45">
      <c r="A240" s="10">
        <v>64</v>
      </c>
      <c r="B240" s="10">
        <v>529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1812.4279999999999</v>
      </c>
      <c r="G240" s="12">
        <f ca="1">(RANDBETWEEN(50,100)/100)*(dict_DQ_Meth_max[[#This Row],[Vergleich_ub]]-dict_DQ_Meth_max[[#This Row],[Vergleich_lb]])+dict_DQ_Meth_max[[#This Row],[Vergleich_lb]]</f>
        <v>2718.4639999999999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0.35599999999999998</v>
      </c>
      <c r="M240" s="10">
        <f ca="1">VLOOKUP(dict_DQ_Meth_max[[#This Row],[ID_DataQualities]],table_DataQualities[],9,FALSE)</f>
        <v>3624.5</v>
      </c>
    </row>
    <row r="241" spans="1:13" x14ac:dyDescent="0.45">
      <c r="A241" s="10">
        <v>64</v>
      </c>
      <c r="B241" s="10">
        <v>508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72.838879999999989</v>
      </c>
      <c r="G241" s="12">
        <f ca="1">(RANDBETWEEN(50,100)/100)*(dict_DQ_Meth_max[[#This Row],[Vergleich_ub]]-dict_DQ_Meth_max[[#This Row],[Vergleich_lb]])+dict_DQ_Meth_max[[#This Row],[Vergleich_lb]]</f>
        <v>2827.1883200000002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0.35599999999999998</v>
      </c>
      <c r="M241" s="10">
        <f ca="1">VLOOKUP(dict_DQ_Meth_max[[#This Row],[ID_DataQualities]],table_DataQualities[],9,FALSE)</f>
        <v>3624.5</v>
      </c>
    </row>
    <row r="242" spans="1:13" x14ac:dyDescent="0.45">
      <c r="A242" s="10">
        <v>64</v>
      </c>
      <c r="B242" s="10">
        <v>567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290.28751999999997</v>
      </c>
      <c r="G242" s="12">
        <f ca="1">(RANDBETWEEN(50,100)/100)*(dict_DQ_Meth_max[[#This Row],[Vergleich_ub]]-dict_DQ_Meth_max[[#This Row],[Vergleich_lb]])+dict_DQ_Meth_max[[#This Row],[Vergleich_lb]]</f>
        <v>2211.0838400000002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0.35599999999999998</v>
      </c>
      <c r="M242" s="10">
        <f ca="1">VLOOKUP(dict_DQ_Meth_max[[#This Row],[ID_DataQualities]],table_DataQualities[],9,FALSE)</f>
        <v>3624.5</v>
      </c>
    </row>
    <row r="243" spans="1:13" x14ac:dyDescent="0.45">
      <c r="A243" s="10">
        <v>65</v>
      </c>
      <c r="B243" s="10">
        <v>529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928.16</v>
      </c>
      <c r="G243" s="12">
        <f ca="1">(RANDBETWEEN(50,100)/100)*(dict_DQ_Meth_max[[#This Row],[Vergleich_ub]]-dict_DQ_Meth_max[[#This Row],[Vergleich_lb]])+dict_DQ_Meth_max[[#This Row],[Vergleich_lb]]</f>
        <v>4913.68</v>
      </c>
      <c r="H243" s="11" t="str">
        <f ca="1">VLOOKUP(VLOOKUP(dict_DQ_Meth_max[[#This Row],[ID_DataQualities]],table_DataQualities[],3),table_Units[],2)</f>
        <v>bit</v>
      </c>
      <c r="I243" s="10"/>
      <c r="J243" s="10"/>
      <c r="K243" s="10"/>
      <c r="L243" s="10">
        <f ca="1">VLOOKUP(dict_DQ_Meth_max[[#This Row],[ID_DataQualities]],table_DataQualities[],8,FALSE)</f>
        <v>100</v>
      </c>
      <c r="M243" s="10">
        <f ca="1">VLOOKUP(dict_DQ_Meth_max[[#This Row],[ID_DataQualities]],table_DataQualities[],9,FALSE)</f>
        <v>5276</v>
      </c>
    </row>
    <row r="244" spans="1:13" x14ac:dyDescent="0.45">
      <c r="A244" s="10">
        <v>65</v>
      </c>
      <c r="B244" s="10">
        <v>567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669.36</v>
      </c>
      <c r="G244" s="12">
        <f ca="1">(RANDBETWEEN(50,100)/100)*(dict_DQ_Meth_max[[#This Row],[Vergleich_ub]]-dict_DQ_Meth_max[[#This Row],[Vergleich_lb]])+dict_DQ_Meth_max[[#This Row],[Vergleich_lb]]</f>
        <v>4033.76</v>
      </c>
      <c r="H244" s="11" t="str">
        <f ca="1">VLOOKUP(VLOOKUP(dict_DQ_Meth_max[[#This Row],[ID_DataQualities]],table_DataQualities[],3),table_Units[],2)</f>
        <v>bit</v>
      </c>
      <c r="I244" s="10"/>
      <c r="J244" s="10"/>
      <c r="K244" s="10"/>
      <c r="L244" s="10">
        <f ca="1">VLOOKUP(dict_DQ_Meth_max[[#This Row],[ID_DataQualities]],table_DataQualities[],8,FALSE)</f>
        <v>100</v>
      </c>
      <c r="M244" s="10">
        <f ca="1">VLOOKUP(dict_DQ_Meth_max[[#This Row],[ID_DataQualities]],table_DataQualities[],9,FALSE)</f>
        <v>5276</v>
      </c>
    </row>
    <row r="245" spans="1:13" x14ac:dyDescent="0.45">
      <c r="A245" s="10">
        <v>65</v>
      </c>
      <c r="B245" s="10">
        <v>508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617.6</v>
      </c>
      <c r="G245" s="12">
        <f ca="1">(RANDBETWEEN(50,100)/100)*(dict_DQ_Meth_max[[#This Row],[Vergleich_ub]]-dict_DQ_Meth_max[[#This Row],[Vergleich_lb]])+dict_DQ_Meth_max[[#This Row],[Vergleich_lb]]</f>
        <v>3930.24</v>
      </c>
      <c r="H245" s="11" t="str">
        <f ca="1">VLOOKUP(VLOOKUP(dict_DQ_Meth_max[[#This Row],[ID_DataQualities]],table_DataQualities[],3),table_Units[],2)</f>
        <v>bit</v>
      </c>
      <c r="I245" s="10"/>
      <c r="J245" s="10"/>
      <c r="K245" s="10"/>
      <c r="L245" s="10">
        <f ca="1">VLOOKUP(dict_DQ_Meth_max[[#This Row],[ID_DataQualities]],table_DataQualities[],8,FALSE)</f>
        <v>100</v>
      </c>
      <c r="M245" s="10">
        <f ca="1">VLOOKUP(dict_DQ_Meth_max[[#This Row],[ID_DataQualities]],table_DataQualities[],9,FALSE)</f>
        <v>5276</v>
      </c>
    </row>
    <row r="246" spans="1:13" x14ac:dyDescent="0.45">
      <c r="A246" s="10">
        <v>66</v>
      </c>
      <c r="B246" s="10">
        <v>11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136.37126000000001</v>
      </c>
      <c r="G246" s="12">
        <f ca="1">(RANDBETWEEN(50,100)/100)*(dict_DQ_Meth_max[[#This Row],[Vergleich_ub]]-dict_DQ_Meth_max[[#This Row],[Vergleich_lb]])+dict_DQ_Meth_max[[#This Row],[Vergleich_lb]]</f>
        <v>1024.17878</v>
      </c>
      <c r="H246" s="11" t="str">
        <f ca="1">VLOOKUP(VLOOKUP(dict_DQ_Meth_max[[#This Row],[ID_DataQualities]],table_DataQualities[],3),table_Units[],2)</f>
        <v>Hz</v>
      </c>
      <c r="I246" s="10"/>
      <c r="J246" s="10"/>
      <c r="K246" s="10"/>
      <c r="L246" s="10">
        <f ca="1">VLOOKUP(dict_DQ_Meth_max[[#This Row],[ID_DataQualities]],table_DataQualities[],8,FALSE)</f>
        <v>0.73399999999999999</v>
      </c>
      <c r="M246" s="10">
        <f ca="1">VLOOKUP(dict_DQ_Meth_max[[#This Row],[ID_DataQualities]],table_DataQualities[],9,FALSE)</f>
        <v>1233.8</v>
      </c>
    </row>
    <row r="247" spans="1:13" x14ac:dyDescent="0.45">
      <c r="A247" s="10">
        <v>66</v>
      </c>
      <c r="B247" s="10">
        <v>351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62.387300000000003</v>
      </c>
      <c r="G247" s="12">
        <f ca="1">(RANDBETWEEN(50,100)/100)*(dict_DQ_Meth_max[[#This Row],[Vergleich_ub]]-dict_DQ_Meth_max[[#This Row],[Vergleich_lb]])+dict_DQ_Meth_max[[#This Row],[Vergleich_lb]]</f>
        <v>715.91228000000001</v>
      </c>
      <c r="H247" s="11" t="str">
        <f ca="1">VLOOKUP(VLOOKUP(dict_DQ_Meth_max[[#This Row],[ID_DataQualities]],table_DataQualities[],3),table_Units[],2)</f>
        <v>Hz</v>
      </c>
      <c r="I247" s="10"/>
      <c r="J247" s="10"/>
      <c r="K247" s="10"/>
      <c r="L247" s="10">
        <f ca="1">VLOOKUP(dict_DQ_Meth_max[[#This Row],[ID_DataQualities]],table_DataQualities[],8,FALSE)</f>
        <v>0.73399999999999999</v>
      </c>
      <c r="M247" s="10">
        <f ca="1">VLOOKUP(dict_DQ_Meth_max[[#This Row],[ID_DataQualities]],table_DataQualities[],9,FALSE)</f>
        <v>1233.8</v>
      </c>
    </row>
    <row r="248" spans="1:13" x14ac:dyDescent="0.45">
      <c r="A248" s="10">
        <v>66</v>
      </c>
      <c r="B248" s="10">
        <v>304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124.0406</v>
      </c>
      <c r="G248" s="12">
        <f ca="1">(RANDBETWEEN(50,100)/100)*(dict_DQ_Meth_max[[#This Row],[Vergleich_ub]]-dict_DQ_Meth_max[[#This Row],[Vergleich_lb]])+dict_DQ_Meth_max[[#This Row],[Vergleich_lb]]</f>
        <v>728.24293999999998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0.73399999999999999</v>
      </c>
      <c r="M248" s="10">
        <f ca="1">VLOOKUP(dict_DQ_Meth_max[[#This Row],[ID_DataQualities]],table_DataQualities[],9,FALSE)</f>
        <v>1233.8</v>
      </c>
    </row>
    <row r="249" spans="1:13" x14ac:dyDescent="0.45">
      <c r="A249" s="10">
        <v>66</v>
      </c>
      <c r="B249" s="10">
        <v>534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518.62171999999998</v>
      </c>
      <c r="G249" s="12">
        <f ca="1">(RANDBETWEEN(50,100)/100)*(dict_DQ_Meth_max[[#This Row],[Vergleich_ub]]-dict_DQ_Meth_max[[#This Row],[Vergleich_lb]])+dict_DQ_Meth_max[[#This Row],[Vergleich_lb]]</f>
        <v>802.22690000000011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0.73399999999999999</v>
      </c>
      <c r="M249" s="10">
        <f ca="1">VLOOKUP(dict_DQ_Meth_max[[#This Row],[ID_DataQualities]],table_DataQualities[],9,FALSE)</f>
        <v>1233.8</v>
      </c>
    </row>
    <row r="250" spans="1:13" x14ac:dyDescent="0.45">
      <c r="A250" s="10">
        <v>67</v>
      </c>
      <c r="B250" s="10">
        <v>304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2.1859999999999999</v>
      </c>
      <c r="G250" s="12">
        <f ca="1">(RANDBETWEEN(50,100)/100)*(dict_DQ_Meth_max[[#This Row],[Vergleich_ub]]-dict_DQ_Meth_max[[#This Row],[Vergleich_lb]])+dict_DQ_Meth_max[[#This Row],[Vergleich_lb]]</f>
        <v>3.6560000000000006</v>
      </c>
      <c r="H250" s="11" t="str">
        <f ca="1">VLOOKUP(VLOOKUP(dict_DQ_Meth_max[[#This Row],[ID_DataQualities]],table_DataQualities[],3),table_Units[],2)</f>
        <v>+/- °C</v>
      </c>
      <c r="I250" s="10"/>
      <c r="J250" s="10"/>
      <c r="K250" s="10"/>
      <c r="L250" s="10">
        <f ca="1">VLOOKUP(dict_DQ_Meth_max[[#This Row],[ID_DataQualities]],table_DataQualities[],8,FALSE)</f>
        <v>0.8</v>
      </c>
      <c r="M250" s="10">
        <f ca="1">VLOOKUP(dict_DQ_Meth_max[[#This Row],[ID_DataQualities]],table_DataQualities[],9,FALSE)</f>
        <v>5</v>
      </c>
    </row>
    <row r="251" spans="1:13" x14ac:dyDescent="0.45">
      <c r="A251" s="10">
        <v>67</v>
      </c>
      <c r="B251" s="10">
        <v>351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2.9000000000000004</v>
      </c>
      <c r="G251" s="12">
        <f ca="1">(RANDBETWEEN(50,100)/100)*(dict_DQ_Meth_max[[#This Row],[Vergleich_ub]]-dict_DQ_Meth_max[[#This Row],[Vergleich_lb]])+dict_DQ_Meth_max[[#This Row],[Vergleich_lb]]</f>
        <v>3.8239999999999998</v>
      </c>
      <c r="H251" s="11" t="str">
        <f ca="1">VLOOKUP(VLOOKUP(dict_DQ_Meth_max[[#This Row],[ID_DataQualities]],table_DataQualities[],3),table_Units[],2)</f>
        <v>+/- °C</v>
      </c>
      <c r="I251" s="10"/>
      <c r="J251" s="10"/>
      <c r="K251" s="10"/>
      <c r="L251" s="10">
        <f ca="1">VLOOKUP(dict_DQ_Meth_max[[#This Row],[ID_DataQualities]],table_DataQualities[],8,FALSE)</f>
        <v>0.8</v>
      </c>
      <c r="M251" s="10">
        <f ca="1">VLOOKUP(dict_DQ_Meth_max[[#This Row],[ID_DataQualities]],table_DataQualities[],9,FALSE)</f>
        <v>5</v>
      </c>
    </row>
    <row r="252" spans="1:13" x14ac:dyDescent="0.45">
      <c r="A252" s="10">
        <v>67</v>
      </c>
      <c r="B252" s="10">
        <v>11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1.556</v>
      </c>
      <c r="G252" s="12">
        <f ca="1">(RANDBETWEEN(50,100)/100)*(dict_DQ_Meth_max[[#This Row],[Vergleich_ub]]-dict_DQ_Meth_max[[#This Row],[Vergleich_lb]])+dict_DQ_Meth_max[[#This Row],[Vergleich_lb]]</f>
        <v>3.194</v>
      </c>
      <c r="H252" s="11" t="str">
        <f ca="1">VLOOKUP(VLOOKUP(dict_DQ_Meth_max[[#This Row],[ID_DataQualities]],table_DataQualities[],3),table_Units[],2)</f>
        <v>+/- °C</v>
      </c>
      <c r="I252" s="10"/>
      <c r="J252" s="10"/>
      <c r="K252" s="10"/>
      <c r="L252" s="10">
        <f ca="1">VLOOKUP(dict_DQ_Meth_max[[#This Row],[ID_DataQualities]],table_DataQualities[],8,FALSE)</f>
        <v>0.8</v>
      </c>
      <c r="M252" s="10">
        <f ca="1">VLOOKUP(dict_DQ_Meth_max[[#This Row],[ID_DataQualities]],table_DataQualities[],9,FALSE)</f>
        <v>5</v>
      </c>
    </row>
    <row r="253" spans="1:13" x14ac:dyDescent="0.45">
      <c r="A253" s="10">
        <v>67</v>
      </c>
      <c r="B253" s="10">
        <v>534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2.7320000000000002</v>
      </c>
      <c r="G253" s="12">
        <f ca="1">(RANDBETWEEN(50,100)/100)*(dict_DQ_Meth_max[[#This Row],[Vergleich_ub]]-dict_DQ_Meth_max[[#This Row],[Vergleich_lb]])+dict_DQ_Meth_max[[#This Row],[Vergleich_lb]]</f>
        <v>4.7480000000000002</v>
      </c>
      <c r="H253" s="11" t="str">
        <f ca="1">VLOOKUP(VLOOKUP(dict_DQ_Meth_max[[#This Row],[ID_DataQualities]],table_DataQualities[],3),table_Units[],2)</f>
        <v>+/- °C</v>
      </c>
      <c r="I253" s="10"/>
      <c r="J253" s="10"/>
      <c r="K253" s="10"/>
      <c r="L253" s="10">
        <f ca="1">VLOOKUP(dict_DQ_Meth_max[[#This Row],[ID_DataQualities]],table_DataQualities[],8,FALSE)</f>
        <v>0.8</v>
      </c>
      <c r="M253" s="10">
        <f ca="1">VLOOKUP(dict_DQ_Meth_max[[#This Row],[ID_DataQualities]],table_DataQualities[],9,FALSE)</f>
        <v>5</v>
      </c>
    </row>
    <row r="254" spans="1:13" x14ac:dyDescent="0.45">
      <c r="A254" s="10">
        <v>68</v>
      </c>
      <c r="B254" s="10">
        <v>322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1938.78289</v>
      </c>
      <c r="G254" s="12">
        <f ca="1">(RANDBETWEEN(50,100)/100)*(dict_DQ_Meth_max[[#This Row],[Vergleich_ub]]-dict_DQ_Meth_max[[#This Row],[Vergleich_lb]])+dict_DQ_Meth_max[[#This Row],[Vergleich_lb]]</f>
        <v>4372.6833099999994</v>
      </c>
      <c r="H254" s="11" t="str">
        <f ca="1">VLOOKUP(VLOOKUP(dict_DQ_Meth_max[[#This Row],[ID_DataQualities]],table_DataQualities[],3),table_Units[],2)</f>
        <v>Hz</v>
      </c>
      <c r="I254" s="10"/>
      <c r="J254" s="10"/>
      <c r="K254" s="10"/>
      <c r="L254" s="10">
        <f ca="1">VLOOKUP(dict_DQ_Meth_max[[#This Row],[ID_DataQualities]],table_DataQualities[],8,FALSE)</f>
        <v>0.67700000000000005</v>
      </c>
      <c r="M254" s="10">
        <f ca="1">VLOOKUP(dict_DQ_Meth_max[[#This Row],[ID_DataQualities]],table_DataQualities[],9,FALSE)</f>
        <v>4507.8999999999996</v>
      </c>
    </row>
    <row r="255" spans="1:13" x14ac:dyDescent="0.45">
      <c r="A255" s="10">
        <v>68</v>
      </c>
      <c r="B255" s="10">
        <v>1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1488.06059</v>
      </c>
      <c r="G255" s="12">
        <f ca="1">(RANDBETWEEN(50,100)/100)*(dict_DQ_Meth_max[[#This Row],[Vergleich_ub]]-dict_DQ_Meth_max[[#This Row],[Vergleich_lb]])+dict_DQ_Meth_max[[#This Row],[Vergleich_lb]]</f>
        <v>3381.0942500000001</v>
      </c>
      <c r="H255" s="11" t="str">
        <f ca="1">VLOOKUP(VLOOKUP(dict_DQ_Meth_max[[#This Row],[ID_DataQualities]],table_DataQualities[],3),table_Units[],2)</f>
        <v>Hz</v>
      </c>
      <c r="I255" s="10"/>
      <c r="J255" s="10"/>
      <c r="K255" s="10"/>
      <c r="L255" s="10">
        <f ca="1">VLOOKUP(dict_DQ_Meth_max[[#This Row],[ID_DataQualities]],table_DataQualities[],8,FALSE)</f>
        <v>0.67700000000000005</v>
      </c>
      <c r="M255" s="10">
        <f ca="1">VLOOKUP(dict_DQ_Meth_max[[#This Row],[ID_DataQualities]],table_DataQualities[],9,FALSE)</f>
        <v>4507.8999999999996</v>
      </c>
    </row>
    <row r="256" spans="1:13" x14ac:dyDescent="0.45">
      <c r="A256" s="10">
        <v>68</v>
      </c>
      <c r="B256" s="10">
        <v>446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1623.2772799999998</v>
      </c>
      <c r="G256" s="12">
        <f ca="1">(RANDBETWEEN(50,100)/100)*(dict_DQ_Meth_max[[#This Row],[Vergleich_ub]]-dict_DQ_Meth_max[[#This Row],[Vergleich_lb]])+dict_DQ_Meth_max[[#This Row],[Vergleich_lb]]</f>
        <v>3471.2387100000001</v>
      </c>
      <c r="H256" s="11" t="str">
        <f ca="1">VLOOKUP(VLOOKUP(dict_DQ_Meth_max[[#This Row],[ID_DataQualities]],table_DataQualities[],3),table_Units[],2)</f>
        <v>Hz</v>
      </c>
      <c r="I256" s="10"/>
      <c r="J256" s="10"/>
      <c r="K256" s="10"/>
      <c r="L256" s="10">
        <f ca="1">VLOOKUP(dict_DQ_Meth_max[[#This Row],[ID_DataQualities]],table_DataQualities[],8,FALSE)</f>
        <v>0.67700000000000005</v>
      </c>
      <c r="M256" s="10">
        <f ca="1">VLOOKUP(dict_DQ_Meth_max[[#This Row],[ID_DataQualities]],table_DataQualities[],9,FALSE)</f>
        <v>4507.8999999999996</v>
      </c>
    </row>
    <row r="257" spans="1:13" x14ac:dyDescent="0.45">
      <c r="A257" s="10">
        <v>68</v>
      </c>
      <c r="B257" s="10">
        <v>694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1533.13282</v>
      </c>
      <c r="G257" s="12">
        <f ca="1">(RANDBETWEEN(50,100)/100)*(dict_DQ_Meth_max[[#This Row],[Vergleich_ub]]-dict_DQ_Meth_max[[#This Row],[Vergleich_lb]])+dict_DQ_Meth_max[[#This Row],[Vergleich_lb]]</f>
        <v>3155.7330999999999</v>
      </c>
      <c r="H257" s="11" t="str">
        <f ca="1">VLOOKUP(VLOOKUP(dict_DQ_Meth_max[[#This Row],[ID_DataQualities]],table_DataQualities[],3),table_Units[],2)</f>
        <v>Hz</v>
      </c>
      <c r="I257" s="10"/>
      <c r="J257" s="10"/>
      <c r="K257" s="10"/>
      <c r="L257" s="10">
        <f ca="1">VLOOKUP(dict_DQ_Meth_max[[#This Row],[ID_DataQualities]],table_DataQualities[],8,FALSE)</f>
        <v>0.67700000000000005</v>
      </c>
      <c r="M257" s="10">
        <f ca="1">VLOOKUP(dict_DQ_Meth_max[[#This Row],[ID_DataQualities]],table_DataQualities[],9,FALSE)</f>
        <v>4507.8999999999996</v>
      </c>
    </row>
    <row r="258" spans="1:13" x14ac:dyDescent="0.45">
      <c r="A258" s="10">
        <v>69</v>
      </c>
      <c r="B258" s="10">
        <v>1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1.2804000000000002</v>
      </c>
      <c r="G258" s="12">
        <f ca="1">(RANDBETWEEN(50,100)/100)*(dict_DQ_Meth_max[[#This Row],[Vergleich_ub]]-dict_DQ_Meth_max[[#This Row],[Vergleich_lb]])+dict_DQ_Meth_max[[#This Row],[Vergleich_lb]]</f>
        <v>4.4363999999999999</v>
      </c>
      <c r="H258" s="11" t="str">
        <f ca="1">VLOOKUP(VLOOKUP(dict_DQ_Meth_max[[#This Row],[ID_DataQualities]],table_DataQualities[],3),table_Units[],2)</f>
        <v>+/- W</v>
      </c>
      <c r="I258" s="10"/>
      <c r="J258" s="10"/>
      <c r="K258" s="10"/>
      <c r="L258" s="10">
        <f ca="1">VLOOKUP(dict_DQ_Meth_max[[#This Row],[ID_DataQualities]],table_DataQualities[],8,FALSE)</f>
        <v>1.7999999999999999E-2</v>
      </c>
      <c r="M258" s="10">
        <f ca="1">VLOOKUP(dict_DQ_Meth_max[[#This Row],[ID_DataQualities]],table_DataQualities[],9,FALSE)</f>
        <v>6.33</v>
      </c>
    </row>
    <row r="259" spans="1:13" x14ac:dyDescent="0.45">
      <c r="A259" s="10">
        <v>69</v>
      </c>
      <c r="B259" s="10">
        <v>322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2.5428000000000002</v>
      </c>
      <c r="G259" s="12">
        <f ca="1">(RANDBETWEEN(50,100)/100)*(dict_DQ_Meth_max[[#This Row],[Vergleich_ub]]-dict_DQ_Meth_max[[#This Row],[Vergleich_lb]])+dict_DQ_Meth_max[[#This Row],[Vergleich_lb]]</f>
        <v>5.7619199999999999</v>
      </c>
      <c r="H259" s="11" t="str">
        <f ca="1">VLOOKUP(VLOOKUP(dict_DQ_Meth_max[[#This Row],[ID_DataQualities]],table_DataQualities[],3),table_Units[],2)</f>
        <v>+/- W</v>
      </c>
      <c r="I259" s="10"/>
      <c r="J259" s="10"/>
      <c r="K259" s="10"/>
      <c r="L259" s="10">
        <f ca="1">VLOOKUP(dict_DQ_Meth_max[[#This Row],[ID_DataQualities]],table_DataQualities[],8,FALSE)</f>
        <v>1.7999999999999999E-2</v>
      </c>
      <c r="M259" s="10">
        <f ca="1">VLOOKUP(dict_DQ_Meth_max[[#This Row],[ID_DataQualities]],table_DataQualities[],9,FALSE)</f>
        <v>6.33</v>
      </c>
    </row>
    <row r="260" spans="1:13" x14ac:dyDescent="0.45">
      <c r="A260" s="10">
        <v>69</v>
      </c>
      <c r="B260" s="10">
        <v>694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1.7853600000000003</v>
      </c>
      <c r="G260" s="12">
        <f ca="1">(RANDBETWEEN(50,100)/100)*(dict_DQ_Meth_max[[#This Row],[Vergleich_ub]]-dict_DQ_Meth_max[[#This Row],[Vergleich_lb]])+dict_DQ_Meth_max[[#This Row],[Vergleich_lb]]</f>
        <v>3.4896000000000003</v>
      </c>
      <c r="H260" s="11" t="str">
        <f ca="1">VLOOKUP(VLOOKUP(dict_DQ_Meth_max[[#This Row],[ID_DataQualities]],table_DataQualities[],3),table_Units[],2)</f>
        <v>+/- W</v>
      </c>
      <c r="I260" s="10"/>
      <c r="J260" s="10"/>
      <c r="K260" s="10"/>
      <c r="L260" s="10">
        <f ca="1">VLOOKUP(dict_DQ_Meth_max[[#This Row],[ID_DataQualities]],table_DataQualities[],8,FALSE)</f>
        <v>1.7999999999999999E-2</v>
      </c>
      <c r="M260" s="10">
        <f ca="1">VLOOKUP(dict_DQ_Meth_max[[#This Row],[ID_DataQualities]],table_DataQualities[],9,FALSE)</f>
        <v>6.33</v>
      </c>
    </row>
    <row r="261" spans="1:13" x14ac:dyDescent="0.45">
      <c r="A261" s="10">
        <v>69</v>
      </c>
      <c r="B261" s="10">
        <v>446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2.0378400000000001</v>
      </c>
      <c r="G261" s="12">
        <f ca="1">(RANDBETWEEN(50,100)/100)*(dict_DQ_Meth_max[[#This Row],[Vergleich_ub]]-dict_DQ_Meth_max[[#This Row],[Vergleich_lb]])+dict_DQ_Meth_max[[#This Row],[Vergleich_lb]]</f>
        <v>3.7420799999999996</v>
      </c>
      <c r="H261" s="11" t="str">
        <f ca="1">VLOOKUP(VLOOKUP(dict_DQ_Meth_max[[#This Row],[ID_DataQualities]],table_DataQualities[],3),table_Units[],2)</f>
        <v>+/- W</v>
      </c>
      <c r="I261" s="10"/>
      <c r="J261" s="10"/>
      <c r="K261" s="10"/>
      <c r="L261" s="10">
        <f ca="1">VLOOKUP(dict_DQ_Meth_max[[#This Row],[ID_DataQualities]],table_DataQualities[],8,FALSE)</f>
        <v>1.7999999999999999E-2</v>
      </c>
      <c r="M261" s="10">
        <f ca="1">VLOOKUP(dict_DQ_Meth_max[[#This Row],[ID_DataQualities]],table_DataQualities[],9,FALSE)</f>
        <v>6.33</v>
      </c>
    </row>
    <row r="262" spans="1:13" x14ac:dyDescent="0.45">
      <c r="A262" s="10">
        <v>70</v>
      </c>
      <c r="B262" s="10">
        <v>481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220.57588000000001</v>
      </c>
      <c r="G262" s="12">
        <f ca="1">(RANDBETWEEN(50,100)/100)*(dict_DQ_Meth_max[[#This Row],[Vergleich_ub]]-dict_DQ_Meth_max[[#This Row],[Vergleich_lb]])+dict_DQ_Meth_max[[#This Row],[Vergleich_lb]]</f>
        <v>911.92414000000008</v>
      </c>
      <c r="H262" s="11" t="str">
        <f ca="1">VLOOKUP(VLOOKUP(dict_DQ_Meth_max[[#This Row],[ID_DataQualities]],table_DataQualities[],3),table_Units[],2)</f>
        <v>Hz</v>
      </c>
      <c r="I262" s="10"/>
      <c r="J262" s="10"/>
      <c r="K262" s="10"/>
      <c r="L262" s="10">
        <f ca="1">VLOOKUP(dict_DQ_Meth_max[[#This Row],[ID_DataQualities]],table_DataQualities[],8,FALSE)</f>
        <v>0.14599999999999999</v>
      </c>
      <c r="M262" s="10">
        <f ca="1">VLOOKUP(dict_DQ_Meth_max[[#This Row],[ID_DataQualities]],table_DataQualities[],9,FALSE)</f>
        <v>1002.1</v>
      </c>
    </row>
    <row r="263" spans="1:13" x14ac:dyDescent="0.45">
      <c r="A263" s="10">
        <v>70</v>
      </c>
      <c r="B263" s="10">
        <v>291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50.243700000000004</v>
      </c>
      <c r="G263" s="12">
        <f ca="1">(RANDBETWEEN(50,100)/100)*(dict_DQ_Meth_max[[#This Row],[Vergleich_ub]]-dict_DQ_Meth_max[[#This Row],[Vergleich_lb]])+dict_DQ_Meth_max[[#This Row],[Vergleich_lb]]</f>
        <v>1002.1</v>
      </c>
      <c r="H263" s="11" t="str">
        <f ca="1">VLOOKUP(VLOOKUP(dict_DQ_Meth_max[[#This Row],[ID_DataQualities]],table_DataQualities[],3),table_Units[],2)</f>
        <v>Hz</v>
      </c>
      <c r="I263" s="10"/>
      <c r="J263" s="10"/>
      <c r="K263" s="10"/>
      <c r="L263" s="10">
        <f ca="1">VLOOKUP(dict_DQ_Meth_max[[#This Row],[ID_DataQualities]],table_DataQualities[],8,FALSE)</f>
        <v>0.14599999999999999</v>
      </c>
      <c r="M263" s="10">
        <f ca="1">VLOOKUP(dict_DQ_Meth_max[[#This Row],[ID_DataQualities]],table_DataQualities[],9,FALSE)</f>
        <v>1002.1</v>
      </c>
    </row>
    <row r="264" spans="1:13" x14ac:dyDescent="0.45">
      <c r="A264" s="10">
        <v>70</v>
      </c>
      <c r="B264" s="10">
        <v>519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430.98622000000006</v>
      </c>
      <c r="G264" s="12">
        <f ca="1">(RANDBETWEEN(50,100)/100)*(dict_DQ_Meth_max[[#This Row],[Vergleich_ub]]-dict_DQ_Meth_max[[#This Row],[Vergleich_lb]])+dict_DQ_Meth_max[[#This Row],[Vergleich_lb]]</f>
        <v>601.3184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0.14599999999999999</v>
      </c>
      <c r="M264" s="10">
        <f ca="1">VLOOKUP(dict_DQ_Meth_max[[#This Row],[ID_DataQualities]],table_DataQualities[],9,FALSE)</f>
        <v>1002.1</v>
      </c>
    </row>
    <row r="265" spans="1:13" x14ac:dyDescent="0.45">
      <c r="A265" s="10">
        <v>71</v>
      </c>
      <c r="B265" s="10">
        <v>519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0.381438</v>
      </c>
      <c r="G265" s="12">
        <f ca="1">(RANDBETWEEN(50,100)/100)*(dict_DQ_Meth_max[[#This Row],[Vergleich_ub]]-dict_DQ_Meth_max[[#This Row],[Vergleich_lb]])+dict_DQ_Meth_max[[#This Row],[Vergleich_lb]]</f>
        <v>0.54051800000000005</v>
      </c>
      <c r="H265" s="11" t="str">
        <f ca="1">VLOOKUP(VLOOKUP(dict_DQ_Meth_max[[#This Row],[ID_DataQualities]],table_DataQualities[],3),table_Units[],2)</f>
        <v>+/- cm³/s</v>
      </c>
      <c r="I265" s="10"/>
      <c r="J265" s="10"/>
      <c r="K265" s="10"/>
      <c r="L265" s="10">
        <f ca="1">VLOOKUP(dict_DQ_Meth_max[[#This Row],[ID_DataQualities]],table_DataQualities[],8,FALSE)</f>
        <v>7.6E-3</v>
      </c>
      <c r="M265" s="10">
        <f ca="1">VLOOKUP(dict_DQ_Meth_max[[#This Row],[ID_DataQualities]],table_DataQualities[],9,FALSE)</f>
        <v>0.80300000000000005</v>
      </c>
    </row>
    <row r="266" spans="1:13" x14ac:dyDescent="0.45">
      <c r="A266" s="10">
        <v>71</v>
      </c>
      <c r="B266" s="10">
        <v>291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9.5093999999999998E-2</v>
      </c>
      <c r="G266" s="12">
        <f ca="1">(RANDBETWEEN(50,100)/100)*(dict_DQ_Meth_max[[#This Row],[Vergleich_ub]]-dict_DQ_Meth_max[[#This Row],[Vergleich_lb]])+dict_DQ_Meth_max[[#This Row],[Vergleich_lb]]</f>
        <v>0.75527600000000006</v>
      </c>
      <c r="H266" s="11" t="str">
        <f ca="1">VLOOKUP(VLOOKUP(dict_DQ_Meth_max[[#This Row],[ID_DataQualities]],table_DataQualities[],3),table_Units[],2)</f>
        <v>+/- cm³/s</v>
      </c>
      <c r="I266" s="10"/>
      <c r="J266" s="10"/>
      <c r="K266" s="10"/>
      <c r="L266" s="10">
        <f ca="1">VLOOKUP(dict_DQ_Meth_max[[#This Row],[ID_DataQualities]],table_DataQualities[],8,FALSE)</f>
        <v>7.6E-3</v>
      </c>
      <c r="M266" s="10">
        <f ca="1">VLOOKUP(dict_DQ_Meth_max[[#This Row],[ID_DataQualities]],table_DataQualities[],9,FALSE)</f>
        <v>0.80300000000000005</v>
      </c>
    </row>
    <row r="267" spans="1:13" x14ac:dyDescent="0.45">
      <c r="A267" s="10">
        <v>71</v>
      </c>
      <c r="B267" s="10">
        <v>481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0.37348399999999998</v>
      </c>
      <c r="G267" s="12">
        <f ca="1">(RANDBETWEEN(50,100)/100)*(dict_DQ_Meth_max[[#This Row],[Vergleich_ub]]-dict_DQ_Meth_max[[#This Row],[Vergleich_lb]])+dict_DQ_Meth_max[[#This Row],[Vergleich_lb]]</f>
        <v>0.46097799999999994</v>
      </c>
      <c r="H267" s="11" t="str">
        <f ca="1">VLOOKUP(VLOOKUP(dict_DQ_Meth_max[[#This Row],[ID_DataQualities]],table_DataQualities[],3),table_Units[],2)</f>
        <v>+/- cm³/s</v>
      </c>
      <c r="I267" s="10"/>
      <c r="J267" s="10"/>
      <c r="K267" s="10"/>
      <c r="L267" s="10">
        <f ca="1">VLOOKUP(dict_DQ_Meth_max[[#This Row],[ID_DataQualities]],table_DataQualities[],8,FALSE)</f>
        <v>7.6E-3</v>
      </c>
      <c r="M267" s="10">
        <f ca="1">VLOOKUP(dict_DQ_Meth_max[[#This Row],[ID_DataQualities]],table_DataQualities[],9,FALSE)</f>
        <v>0.80300000000000005</v>
      </c>
    </row>
    <row r="268" spans="1:13" x14ac:dyDescent="0.45">
      <c r="A268" s="10">
        <v>72</v>
      </c>
      <c r="B268" s="10">
        <v>160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2614.8887</v>
      </c>
      <c r="G268" s="12">
        <f ca="1">(RANDBETWEEN(50,100)/100)*(dict_DQ_Meth_max[[#This Row],[Vergleich_ub]]-dict_DQ_Meth_max[[#This Row],[Vergleich_lb]])+dict_DQ_Meth_max[[#This Row],[Vergleich_lb]]</f>
        <v>3183.2982000000002</v>
      </c>
      <c r="H268" s="11" t="str">
        <f ca="1">VLOOKUP(VLOOKUP(dict_DQ_Meth_max[[#This Row],[ID_DataQualities]],table_DataQualities[],3),table_Units[],2)</f>
        <v>Hz</v>
      </c>
      <c r="I268" s="10"/>
      <c r="J268" s="10"/>
      <c r="K268" s="10"/>
      <c r="L268" s="10">
        <f ca="1">VLOOKUP(dict_DQ_Meth_max[[#This Row],[ID_DataQualities]],table_DataQualities[],8,FALSE)</f>
        <v>0.20499999999999999</v>
      </c>
      <c r="M268" s="10">
        <f ca="1">VLOOKUP(dict_DQ_Meth_max[[#This Row],[ID_DataQualities]],table_DataQualities[],9,FALSE)</f>
        <v>5684.3</v>
      </c>
    </row>
    <row r="269" spans="1:13" x14ac:dyDescent="0.45">
      <c r="A269" s="10">
        <v>72</v>
      </c>
      <c r="B269" s="10">
        <v>538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170.72785000000002</v>
      </c>
      <c r="G269" s="12">
        <f ca="1">(RANDBETWEEN(50,100)/100)*(dict_DQ_Meth_max[[#This Row],[Vergleich_ub]]-dict_DQ_Meth_max[[#This Row],[Vergleich_lb]])+dict_DQ_Meth_max[[#This Row],[Vergleich_lb]]</f>
        <v>5172.7314500000002</v>
      </c>
      <c r="H269" s="11" t="str">
        <f ca="1">VLOOKUP(VLOOKUP(dict_DQ_Meth_max[[#This Row],[ID_DataQualities]],table_DataQualities[],3),table_Units[],2)</f>
        <v>Hz</v>
      </c>
      <c r="I269" s="10"/>
      <c r="J269" s="10"/>
      <c r="K269" s="10"/>
      <c r="L269" s="10">
        <f ca="1">VLOOKUP(dict_DQ_Meth_max[[#This Row],[ID_DataQualities]],table_DataQualities[],8,FALSE)</f>
        <v>0.20499999999999999</v>
      </c>
      <c r="M269" s="10">
        <f ca="1">VLOOKUP(dict_DQ_Meth_max[[#This Row],[ID_DataQualities]],table_DataQualities[],9,FALSE)</f>
        <v>5684.3</v>
      </c>
    </row>
    <row r="270" spans="1:13" x14ac:dyDescent="0.45">
      <c r="A270" s="10">
        <v>72</v>
      </c>
      <c r="B270" s="10">
        <v>375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1875.9563500000002</v>
      </c>
      <c r="G270" s="12">
        <f ca="1">(RANDBETWEEN(50,100)/100)*(dict_DQ_Meth_max[[#This Row],[Vergleich_ub]]-dict_DQ_Meth_max[[#This Row],[Vergleich_lb]])+dict_DQ_Meth_max[[#This Row],[Vergleich_lb]]</f>
        <v>4092.7534000000001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0.20499999999999999</v>
      </c>
      <c r="M270" s="10">
        <f ca="1">VLOOKUP(dict_DQ_Meth_max[[#This Row],[ID_DataQualities]],table_DataQualities[],9,FALSE)</f>
        <v>5684.3</v>
      </c>
    </row>
    <row r="271" spans="1:13" x14ac:dyDescent="0.45">
      <c r="A271" s="10">
        <v>72</v>
      </c>
      <c r="B271" s="10">
        <v>45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1534.91065</v>
      </c>
      <c r="G271" s="12">
        <f ca="1">(RANDBETWEEN(50,100)/100)*(dict_DQ_Meth_max[[#This Row],[Vergleich_ub]]-dict_DQ_Meth_max[[#This Row],[Vergleich_lb]])+dict_DQ_Meth_max[[#This Row],[Vergleich_lb]]</f>
        <v>2842.2525000000001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0.20499999999999999</v>
      </c>
      <c r="M271" s="10">
        <f ca="1">VLOOKUP(dict_DQ_Meth_max[[#This Row],[ID_DataQualities]],table_DataQualities[],9,FALSE)</f>
        <v>5684.3</v>
      </c>
    </row>
    <row r="272" spans="1:13" x14ac:dyDescent="0.45">
      <c r="A272" s="10">
        <v>73</v>
      </c>
      <c r="B272" s="10">
        <v>538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0.78</v>
      </c>
      <c r="G272" s="12">
        <f ca="1">(RANDBETWEEN(50,100)/100)*(dict_DQ_Meth_max[[#This Row],[Vergleich_ub]]-dict_DQ_Meth_max[[#This Row],[Vergleich_lb]])+dict_DQ_Meth_max[[#This Row],[Vergleich_lb]]</f>
        <v>0.83199999999999996</v>
      </c>
      <c r="H272" s="11" t="str">
        <f ca="1">VLOOKUP(VLOOKUP(dict_DQ_Meth_max[[#This Row],[ID_DataQualities]],table_DataQualities[],3),table_Units[],2)</f>
        <v>+/- °C</v>
      </c>
      <c r="I272" s="10"/>
      <c r="J272" s="10"/>
      <c r="K272" s="10"/>
      <c r="L272" s="10">
        <f ca="1">VLOOKUP(dict_DQ_Meth_max[[#This Row],[ID_DataQualities]],table_DataQualities[],8,FALSE)</f>
        <v>0.6</v>
      </c>
      <c r="M272" s="10">
        <f ca="1">VLOOKUP(dict_DQ_Meth_max[[#This Row],[ID_DataQualities]],table_DataQualities[],9,FALSE)</f>
        <v>1</v>
      </c>
    </row>
    <row r="273" spans="1:13" x14ac:dyDescent="0.45">
      <c r="A273" s="10">
        <v>73</v>
      </c>
      <c r="B273" s="10">
        <v>160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0.6</v>
      </c>
      <c r="G273" s="12">
        <f ca="1">(RANDBETWEEN(50,100)/100)*(dict_DQ_Meth_max[[#This Row],[Vergleich_ub]]-dict_DQ_Meth_max[[#This Row],[Vergleich_lb]])+dict_DQ_Meth_max[[#This Row],[Vergleich_lb]]</f>
        <v>0.95599999999999996</v>
      </c>
      <c r="H273" s="11" t="str">
        <f ca="1">VLOOKUP(VLOOKUP(dict_DQ_Meth_max[[#This Row],[ID_DataQualities]],table_DataQualities[],3),table_Units[],2)</f>
        <v>+/- °C</v>
      </c>
      <c r="I273" s="10"/>
      <c r="J273" s="10"/>
      <c r="K273" s="10"/>
      <c r="L273" s="10">
        <f ca="1">VLOOKUP(dict_DQ_Meth_max[[#This Row],[ID_DataQualities]],table_DataQualities[],8,FALSE)</f>
        <v>0.6</v>
      </c>
      <c r="M273" s="10">
        <f ca="1">VLOOKUP(dict_DQ_Meth_max[[#This Row],[ID_DataQualities]],table_DataQualities[],9,FALSE)</f>
        <v>1</v>
      </c>
    </row>
    <row r="274" spans="1:13" x14ac:dyDescent="0.45">
      <c r="A274" s="10">
        <v>73</v>
      </c>
      <c r="B274" s="10">
        <v>45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0.72799999999999998</v>
      </c>
      <c r="G274" s="12">
        <f ca="1">(RANDBETWEEN(50,100)/100)*(dict_DQ_Meth_max[[#This Row],[Vergleich_ub]]-dict_DQ_Meth_max[[#This Row],[Vergleich_lb]])+dict_DQ_Meth_max[[#This Row],[Vergleich_lb]]</f>
        <v>0.98799999999999999</v>
      </c>
      <c r="H274" s="11" t="str">
        <f ca="1">VLOOKUP(VLOOKUP(dict_DQ_Meth_max[[#This Row],[ID_DataQualities]],table_DataQualities[],3),table_Units[],2)</f>
        <v>+/- °C</v>
      </c>
      <c r="I274" s="10"/>
      <c r="J274" s="10"/>
      <c r="K274" s="10"/>
      <c r="L274" s="10">
        <f ca="1">VLOOKUP(dict_DQ_Meth_max[[#This Row],[ID_DataQualities]],table_DataQualities[],8,FALSE)</f>
        <v>0.6</v>
      </c>
      <c r="M274" s="10">
        <f ca="1">VLOOKUP(dict_DQ_Meth_max[[#This Row],[ID_DataQualities]],table_DataQualities[],9,FALSE)</f>
        <v>1</v>
      </c>
    </row>
    <row r="275" spans="1:13" x14ac:dyDescent="0.45">
      <c r="A275" s="10">
        <v>73</v>
      </c>
      <c r="B275" s="10">
        <v>375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0.63600000000000001</v>
      </c>
      <c r="G275" s="12">
        <f ca="1">(RANDBETWEEN(50,100)/100)*(dict_DQ_Meth_max[[#This Row],[Vergleich_ub]]-dict_DQ_Meth_max[[#This Row],[Vergleich_lb]])+dict_DQ_Meth_max[[#This Row],[Vergleich_lb]]</f>
        <v>0.94799999999999995</v>
      </c>
      <c r="H275" s="11" t="str">
        <f ca="1">VLOOKUP(VLOOKUP(dict_DQ_Meth_max[[#This Row],[ID_DataQualities]],table_DataQualities[],3),table_Units[],2)</f>
        <v>+/- °C</v>
      </c>
      <c r="I275" s="10"/>
      <c r="J275" s="10"/>
      <c r="K275" s="10"/>
      <c r="L275" s="10">
        <f ca="1">VLOOKUP(dict_DQ_Meth_max[[#This Row],[ID_DataQualities]],table_DataQualities[],8,FALSE)</f>
        <v>0.6</v>
      </c>
      <c r="M275" s="10">
        <f ca="1">VLOOKUP(dict_DQ_Meth_max[[#This Row],[ID_DataQualities]],table_DataQualities[],9,FALSE)</f>
        <v>1</v>
      </c>
    </row>
    <row r="276" spans="1:13" x14ac:dyDescent="0.45">
      <c r="A276" s="10">
        <v>74</v>
      </c>
      <c r="B276" s="10">
        <v>342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2559.9280399999993</v>
      </c>
      <c r="G276" s="12">
        <f ca="1">(RANDBETWEEN(50,100)/100)*(dict_DQ_Meth_max[[#This Row],[Vergleich_ub]]-dict_DQ_Meth_max[[#This Row],[Vergleich_lb]])+dict_DQ_Meth_max[[#This Row],[Vergleich_lb]]</f>
        <v>8738.0412399999987</v>
      </c>
      <c r="H276" s="11" t="str">
        <f ca="1">VLOOKUP(VLOOKUP(dict_DQ_Meth_max[[#This Row],[ID_DataQualities]],table_DataQualities[],3),table_Units[],2)</f>
        <v>Hz</v>
      </c>
      <c r="I276" s="10"/>
      <c r="J276" s="10"/>
      <c r="K276" s="10"/>
      <c r="L276" s="10">
        <f ca="1">VLOOKUP(dict_DQ_Meth_max[[#This Row],[ID_DataQualities]],table_DataQualities[],8,FALSE)</f>
        <v>0.42399999999999999</v>
      </c>
      <c r="M276" s="10">
        <f ca="1">VLOOKUP(dict_DQ_Meth_max[[#This Row],[ID_DataQualities]],table_DataQualities[],9,FALSE)</f>
        <v>8826.2999999999993</v>
      </c>
    </row>
    <row r="277" spans="1:13" x14ac:dyDescent="0.45">
      <c r="A277" s="10">
        <v>74</v>
      </c>
      <c r="B277" s="10">
        <v>106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3795.5506799999994</v>
      </c>
      <c r="G277" s="12">
        <f ca="1">(RANDBETWEEN(50,100)/100)*(dict_DQ_Meth_max[[#This Row],[Vergleich_ub]]-dict_DQ_Meth_max[[#This Row],[Vergleich_lb]])+dict_DQ_Meth_max[[#This Row],[Vergleich_lb]]</f>
        <v>6708.0897599999989</v>
      </c>
      <c r="H277" s="11" t="str">
        <f ca="1">VLOOKUP(VLOOKUP(dict_DQ_Meth_max[[#This Row],[ID_DataQualities]],table_DataQualities[],3),table_Units[],2)</f>
        <v>Hz</v>
      </c>
      <c r="I277" s="10"/>
      <c r="J277" s="10"/>
      <c r="K277" s="10"/>
      <c r="L277" s="10">
        <f ca="1">VLOOKUP(dict_DQ_Meth_max[[#This Row],[ID_DataQualities]],table_DataQualities[],8,FALSE)</f>
        <v>0.42399999999999999</v>
      </c>
      <c r="M277" s="10">
        <f ca="1">VLOOKUP(dict_DQ_Meth_max[[#This Row],[ID_DataQualities]],table_DataQualities[],9,FALSE)</f>
        <v>8826.2999999999993</v>
      </c>
    </row>
    <row r="278" spans="1:13" x14ac:dyDescent="0.45">
      <c r="A278" s="10">
        <v>74</v>
      </c>
      <c r="B278" s="10">
        <v>31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2118.6342399999994</v>
      </c>
      <c r="G278" s="12">
        <f ca="1">(RANDBETWEEN(50,100)/100)*(dict_DQ_Meth_max[[#This Row],[Vergleich_ub]]-dict_DQ_Meth_max[[#This Row],[Vergleich_lb]])+dict_DQ_Meth_max[[#This Row],[Vergleich_lb]]</f>
        <v>6531.5722399999986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0.42399999999999999</v>
      </c>
      <c r="M278" s="10">
        <f ca="1">VLOOKUP(dict_DQ_Meth_max[[#This Row],[ID_DataQualities]],table_DataQualities[],9,FALSE)</f>
        <v>8826.2999999999993</v>
      </c>
    </row>
    <row r="279" spans="1:13" x14ac:dyDescent="0.45">
      <c r="A279" s="10">
        <v>74</v>
      </c>
      <c r="B279" s="10">
        <v>30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618.23531999999989</v>
      </c>
      <c r="G279" s="12">
        <f ca="1">(RANDBETWEEN(50,100)/100)*(dict_DQ_Meth_max[[#This Row],[Vergleich_ub]]-dict_DQ_Meth_max[[#This Row],[Vergleich_lb]])+dict_DQ_Meth_max[[#This Row],[Vergleich_lb]]</f>
        <v>5913.7609199999988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0.42399999999999999</v>
      </c>
      <c r="M279" s="10">
        <f ca="1">VLOOKUP(dict_DQ_Meth_max[[#This Row],[ID_DataQualities]],table_DataQualities[],9,FALSE)</f>
        <v>8826.2999999999993</v>
      </c>
    </row>
    <row r="280" spans="1:13" x14ac:dyDescent="0.45">
      <c r="A280" s="10">
        <v>74</v>
      </c>
      <c r="B280" s="10">
        <v>27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2824.7043199999994</v>
      </c>
      <c r="G280" s="12">
        <f ca="1">(RANDBETWEEN(50,100)/100)*(dict_DQ_Meth_max[[#This Row],[Vergleich_ub]]-dict_DQ_Meth_max[[#This Row],[Vergleich_lb]])+dict_DQ_Meth_max[[#This Row],[Vergleich_lb]]</f>
        <v>6355.0547199999983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0.42399999999999999</v>
      </c>
      <c r="M280" s="10">
        <f ca="1">VLOOKUP(dict_DQ_Meth_max[[#This Row],[ID_DataQualities]],table_DataQualities[],9,FALSE)</f>
        <v>8826.2999999999993</v>
      </c>
    </row>
    <row r="281" spans="1:13" x14ac:dyDescent="0.45">
      <c r="A281" s="10">
        <v>75</v>
      </c>
      <c r="B281" s="10">
        <v>30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3966.12</v>
      </c>
      <c r="G281" s="12">
        <f ca="1">(RANDBETWEEN(50,100)/100)*(dict_DQ_Meth_max[[#This Row],[Vergleich_ub]]-dict_DQ_Meth_max[[#This Row],[Vergleich_lb]])+dict_DQ_Meth_max[[#This Row],[Vergleich_lb]]</f>
        <v>9250.2800000000007</v>
      </c>
      <c r="H281" s="11" t="str">
        <f ca="1">VLOOKUP(VLOOKUP(dict_DQ_Meth_max[[#This Row],[ID_DataQualities]],table_DataQualities[],3),table_Units[],2)</f>
        <v>bit</v>
      </c>
      <c r="I281" s="10"/>
      <c r="J281" s="10"/>
      <c r="K281" s="10"/>
      <c r="L281" s="10">
        <f ca="1">VLOOKUP(dict_DQ_Meth_max[[#This Row],[ID_DataQualities]],table_DataQualities[],8,FALSE)</f>
        <v>3</v>
      </c>
      <c r="M281" s="10">
        <f ca="1">VLOOKUP(dict_DQ_Meth_max[[#This Row],[ID_DataQualities]],table_DataQualities[],9,FALSE)</f>
        <v>9439</v>
      </c>
    </row>
    <row r="282" spans="1:13" x14ac:dyDescent="0.45">
      <c r="A282" s="10">
        <v>75</v>
      </c>
      <c r="B282" s="10">
        <v>31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2456.36</v>
      </c>
      <c r="G282" s="12">
        <f ca="1">(RANDBETWEEN(50,100)/100)*(dict_DQ_Meth_max[[#This Row],[Vergleich_ub]]-dict_DQ_Meth_max[[#This Row],[Vergleich_lb]])+dict_DQ_Meth_max[[#This Row],[Vergleich_lb]]</f>
        <v>8495.4</v>
      </c>
      <c r="H282" s="11" t="str">
        <f ca="1">VLOOKUP(VLOOKUP(dict_DQ_Meth_max[[#This Row],[ID_DataQualities]],table_DataQualities[],3),table_Units[],2)</f>
        <v>bit</v>
      </c>
      <c r="I282" s="10"/>
      <c r="J282" s="10"/>
      <c r="K282" s="10"/>
      <c r="L282" s="10">
        <f ca="1">VLOOKUP(dict_DQ_Meth_max[[#This Row],[ID_DataQualities]],table_DataQualities[],8,FALSE)</f>
        <v>3</v>
      </c>
      <c r="M282" s="10">
        <f ca="1">VLOOKUP(dict_DQ_Meth_max[[#This Row],[ID_DataQualities]],table_DataQualities[],9,FALSE)</f>
        <v>9439</v>
      </c>
    </row>
    <row r="283" spans="1:13" x14ac:dyDescent="0.45">
      <c r="A283" s="10">
        <v>75</v>
      </c>
      <c r="B283" s="10">
        <v>106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4532.28</v>
      </c>
      <c r="G283" s="12">
        <f ca="1">(RANDBETWEEN(50,100)/100)*(dict_DQ_Meth_max[[#This Row],[Vergleich_ub]]-dict_DQ_Meth_max[[#This Row],[Vergleich_lb]])+dict_DQ_Meth_max[[#This Row],[Vergleich_lb]]</f>
        <v>7457.4400000000005</v>
      </c>
      <c r="H283" s="11" t="str">
        <f ca="1">VLOOKUP(VLOOKUP(dict_DQ_Meth_max[[#This Row],[ID_DataQualities]],table_DataQualities[],3),table_Units[],2)</f>
        <v>bit</v>
      </c>
      <c r="I283" s="10"/>
      <c r="J283" s="10"/>
      <c r="K283" s="10"/>
      <c r="L283" s="10">
        <f ca="1">VLOOKUP(dict_DQ_Meth_max[[#This Row],[ID_DataQualities]],table_DataQualities[],8,FALSE)</f>
        <v>3</v>
      </c>
      <c r="M283" s="10">
        <f ca="1">VLOOKUP(dict_DQ_Meth_max[[#This Row],[ID_DataQualities]],table_DataQualities[],9,FALSE)</f>
        <v>9439</v>
      </c>
    </row>
    <row r="284" spans="1:13" x14ac:dyDescent="0.45">
      <c r="A284" s="10">
        <v>75</v>
      </c>
      <c r="B284" s="10">
        <v>342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3871.7599999999998</v>
      </c>
      <c r="G284" s="12">
        <f ca="1">(RANDBETWEEN(50,100)/100)*(dict_DQ_Meth_max[[#This Row],[Vergleich_ub]]-dict_DQ_Meth_max[[#This Row],[Vergleich_lb]])+dict_DQ_Meth_max[[#This Row],[Vergleich_lb]]</f>
        <v>6419.4800000000005</v>
      </c>
      <c r="H284" s="11" t="str">
        <f ca="1">VLOOKUP(VLOOKUP(dict_DQ_Meth_max[[#This Row],[ID_DataQualities]],table_DataQualities[],3),table_Units[],2)</f>
        <v>bit</v>
      </c>
      <c r="I284" s="10"/>
      <c r="J284" s="10"/>
      <c r="K284" s="10"/>
      <c r="L284" s="10">
        <f ca="1">VLOOKUP(dict_DQ_Meth_max[[#This Row],[ID_DataQualities]],table_DataQualities[],8,FALSE)</f>
        <v>3</v>
      </c>
      <c r="M284" s="10">
        <f ca="1">VLOOKUP(dict_DQ_Meth_max[[#This Row],[ID_DataQualities]],table_DataQualities[],9,FALSE)</f>
        <v>9439</v>
      </c>
    </row>
    <row r="285" spans="1:13" x14ac:dyDescent="0.45">
      <c r="A285" s="10">
        <v>75</v>
      </c>
      <c r="B285" s="10">
        <v>27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1890.2</v>
      </c>
      <c r="G285" s="12">
        <f ca="1">(RANDBETWEEN(50,100)/100)*(dict_DQ_Meth_max[[#This Row],[Vergleich_ub]]-dict_DQ_Meth_max[[#This Row],[Vergleich_lb]])+dict_DQ_Meth_max[[#This Row],[Vergleich_lb]]</f>
        <v>6419.4800000000005</v>
      </c>
      <c r="H285" s="11" t="str">
        <f ca="1">VLOOKUP(VLOOKUP(dict_DQ_Meth_max[[#This Row],[ID_DataQualities]],table_DataQualities[],3),table_Units[],2)</f>
        <v>bit</v>
      </c>
      <c r="I285" s="10"/>
      <c r="J285" s="10"/>
      <c r="K285" s="10"/>
      <c r="L285" s="10">
        <f ca="1">VLOOKUP(dict_DQ_Meth_max[[#This Row],[ID_DataQualities]],table_DataQualities[],8,FALSE)</f>
        <v>3</v>
      </c>
      <c r="M285" s="10">
        <f ca="1">VLOOKUP(dict_DQ_Meth_max[[#This Row],[ID_DataQualities]],table_DataQualities[],9,FALSE)</f>
        <v>9439</v>
      </c>
    </row>
    <row r="286" spans="1:13" x14ac:dyDescent="0.45">
      <c r="A286" s="10">
        <v>76</v>
      </c>
      <c r="B286" s="10">
        <v>639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1426.5054</v>
      </c>
      <c r="G286" s="12">
        <f ca="1">(RANDBETWEEN(50,100)/100)*(dict_DQ_Meth_max[[#This Row],[Vergleich_ub]]-dict_DQ_Meth_max[[#This Row],[Vergleich_lb]])+dict_DQ_Meth_max[[#This Row],[Vergleich_lb]]</f>
        <v>2449.5021000000002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0.51</v>
      </c>
      <c r="M286" s="10">
        <f ca="1">VLOOKUP(dict_DQ_Meth_max[[#This Row],[ID_DataQualities]],table_DataQualities[],9,FALSE)</f>
        <v>3100.5</v>
      </c>
    </row>
    <row r="287" spans="1:13" x14ac:dyDescent="0.45">
      <c r="A287" s="10">
        <v>76</v>
      </c>
      <c r="B287" s="10">
        <v>16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465.50849999999991</v>
      </c>
      <c r="G287" s="12">
        <f ca="1">(RANDBETWEEN(50,100)/100)*(dict_DQ_Meth_max[[#This Row],[Vergleich_ub]]-dict_DQ_Meth_max[[#This Row],[Vergleich_lb]])+dict_DQ_Meth_max[[#This Row],[Vergleich_lb]]</f>
        <v>2356.5024000000003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0.51</v>
      </c>
      <c r="M287" s="10">
        <f ca="1">VLOOKUP(dict_DQ_Meth_max[[#This Row],[ID_DataQualities]],table_DataQualities[],9,FALSE)</f>
        <v>3100.5</v>
      </c>
    </row>
    <row r="288" spans="1:13" x14ac:dyDescent="0.45">
      <c r="A288" s="10">
        <v>76</v>
      </c>
      <c r="B288" s="10">
        <v>117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1240.5060000000001</v>
      </c>
      <c r="G288" s="12">
        <f ca="1">(RANDBETWEEN(50,100)/100)*(dict_DQ_Meth_max[[#This Row],[Vergleich_ub]]-dict_DQ_Meth_max[[#This Row],[Vergleich_lb]])+dict_DQ_Meth_max[[#This Row],[Vergleich_lb]]</f>
        <v>2015.5035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0.51</v>
      </c>
      <c r="M288" s="10">
        <f ca="1">VLOOKUP(dict_DQ_Meth_max[[#This Row],[ID_DataQualities]],table_DataQualities[],9,FALSE)</f>
        <v>3100.5</v>
      </c>
    </row>
    <row r="289" spans="1:13" x14ac:dyDescent="0.45">
      <c r="A289" s="10">
        <v>77</v>
      </c>
      <c r="B289" s="10">
        <v>117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1.8021</v>
      </c>
      <c r="G289" s="12">
        <f ca="1">(RANDBETWEEN(50,100)/100)*(dict_DQ_Meth_max[[#This Row],[Vergleich_ub]]-dict_DQ_Meth_max[[#This Row],[Vergleich_lb]])+dict_DQ_Meth_max[[#This Row],[Vergleich_lb]]</f>
        <v>4.8630000000000004</v>
      </c>
      <c r="H289" s="11" t="str">
        <f ca="1">VLOOKUP(VLOOKUP(dict_DQ_Meth_max[[#This Row],[ID_DataQualities]],table_DataQualities[],3),table_Units[],2)</f>
        <v>+/- mm/s</v>
      </c>
      <c r="I289" s="10"/>
      <c r="J289" s="10"/>
      <c r="K289" s="10"/>
      <c r="L289" s="10">
        <f ca="1">VLOOKUP(dict_DQ_Meth_max[[#This Row],[ID_DataQualities]],table_DataQualities[],8,FALSE)</f>
        <v>0.03</v>
      </c>
      <c r="M289" s="10">
        <f ca="1">VLOOKUP(dict_DQ_Meth_max[[#This Row],[ID_DataQualities]],table_DataQualities[],9,FALSE)</f>
        <v>5.4</v>
      </c>
    </row>
    <row r="290" spans="1:13" x14ac:dyDescent="0.45">
      <c r="A290" s="10">
        <v>77</v>
      </c>
      <c r="B290" s="10">
        <v>16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0.83550000000000002</v>
      </c>
      <c r="G290" s="12">
        <f ca="1">(RANDBETWEEN(50,100)/100)*(dict_DQ_Meth_max[[#This Row],[Vergleich_ub]]-dict_DQ_Meth_max[[#This Row],[Vergleich_lb]])+dict_DQ_Meth_max[[#This Row],[Vergleich_lb]]</f>
        <v>5.0241000000000007</v>
      </c>
      <c r="H290" s="11" t="str">
        <f ca="1">VLOOKUP(VLOOKUP(dict_DQ_Meth_max[[#This Row],[ID_DataQualities]],table_DataQualities[],3),table_Units[],2)</f>
        <v>+/- mm/s</v>
      </c>
      <c r="I290" s="10"/>
      <c r="J290" s="10"/>
      <c r="K290" s="10"/>
      <c r="L290" s="10">
        <f ca="1">VLOOKUP(dict_DQ_Meth_max[[#This Row],[ID_DataQualities]],table_DataQualities[],8,FALSE)</f>
        <v>0.03</v>
      </c>
      <c r="M290" s="10">
        <f ca="1">VLOOKUP(dict_DQ_Meth_max[[#This Row],[ID_DataQualities]],table_DataQualities[],9,FALSE)</f>
        <v>5.4</v>
      </c>
    </row>
    <row r="291" spans="1:13" x14ac:dyDescent="0.45">
      <c r="A291" s="10">
        <v>77</v>
      </c>
      <c r="B291" s="10">
        <v>639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2.7149999999999999</v>
      </c>
      <c r="G291" s="12">
        <f ca="1">(RANDBETWEEN(50,100)/100)*(dict_DQ_Meth_max[[#This Row],[Vergleich_ub]]-dict_DQ_Meth_max[[#This Row],[Vergleich_lb]])+dict_DQ_Meth_max[[#This Row],[Vergleich_lb]]</f>
        <v>3.4668000000000001</v>
      </c>
      <c r="H291" s="11" t="str">
        <f ca="1">VLOOKUP(VLOOKUP(dict_DQ_Meth_max[[#This Row],[ID_DataQualities]],table_DataQualities[],3),table_Units[],2)</f>
        <v>+/- mm/s</v>
      </c>
      <c r="I291" s="10"/>
      <c r="J291" s="10"/>
      <c r="K291" s="10"/>
      <c r="L291" s="10">
        <f ca="1">VLOOKUP(dict_DQ_Meth_max[[#This Row],[ID_DataQualities]],table_DataQualities[],8,FALSE)</f>
        <v>0.03</v>
      </c>
      <c r="M291" s="10">
        <f ca="1">VLOOKUP(dict_DQ_Meth_max[[#This Row],[ID_DataQualities]],table_DataQualities[],9,FALSE)</f>
        <v>5.4</v>
      </c>
    </row>
    <row r="292" spans="1:13" x14ac:dyDescent="0.45">
      <c r="A292" s="10">
        <v>78</v>
      </c>
      <c r="B292" s="10">
        <v>698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286.29442000000006</v>
      </c>
      <c r="G292" s="12">
        <f ca="1">(RANDBETWEEN(50,100)/100)*(dict_DQ_Meth_max[[#This Row],[Vergleich_ub]]-dict_DQ_Meth_max[[#This Row],[Vergleich_lb]])+dict_DQ_Meth_max[[#This Row],[Vergleich_lb]]</f>
        <v>2448.6976</v>
      </c>
      <c r="H292" s="11" t="str">
        <f ca="1">VLOOKUP(VLOOKUP(dict_DQ_Meth_max[[#This Row],[ID_DataQualities]],table_DataQualities[],3),table_Units[],2)</f>
        <v>Hz</v>
      </c>
      <c r="I292" s="10"/>
      <c r="J292" s="10"/>
      <c r="K292" s="10"/>
      <c r="L292" s="10">
        <f ca="1">VLOOKUP(dict_DQ_Meth_max[[#This Row],[ID_DataQualities]],table_DataQualities[],8,FALSE)</f>
        <v>0.69399999999999995</v>
      </c>
      <c r="M292" s="10">
        <f ca="1">VLOOKUP(dict_DQ_Meth_max[[#This Row],[ID_DataQualities]],table_DataQualities[],9,FALSE)</f>
        <v>4080.7</v>
      </c>
    </row>
    <row r="293" spans="1:13" x14ac:dyDescent="0.45">
      <c r="A293" s="10">
        <v>78</v>
      </c>
      <c r="B293" s="10">
        <v>201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1755.0965799999999</v>
      </c>
      <c r="G293" s="12">
        <f ca="1">(RANDBETWEEN(50,100)/100)*(dict_DQ_Meth_max[[#This Row],[Vergleich_ub]]-dict_DQ_Meth_max[[#This Row],[Vergleich_lb]])+dict_DQ_Meth_max[[#This Row],[Vergleich_lb]]</f>
        <v>3223.8987400000001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0.69399999999999995</v>
      </c>
      <c r="M293" s="10">
        <f ca="1">VLOOKUP(dict_DQ_Meth_max[[#This Row],[ID_DataQualities]],table_DataQualities[],9,FALSE)</f>
        <v>4080.7</v>
      </c>
    </row>
    <row r="294" spans="1:13" x14ac:dyDescent="0.45">
      <c r="A294" s="10">
        <v>78</v>
      </c>
      <c r="B294" s="10">
        <v>297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735.09507999999994</v>
      </c>
      <c r="G294" s="12">
        <f ca="1">(RANDBETWEEN(50,100)/100)*(dict_DQ_Meth_max[[#This Row],[Vergleich_ub]]-dict_DQ_Meth_max[[#This Row],[Vergleich_lb]])+dict_DQ_Meth_max[[#This Row],[Vergleich_lb]]</f>
        <v>2040.6969999999999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0.69399999999999995</v>
      </c>
      <c r="M294" s="10">
        <f ca="1">VLOOKUP(dict_DQ_Meth_max[[#This Row],[ID_DataQualities]],table_DataQualities[],9,FALSE)</f>
        <v>4080.7</v>
      </c>
    </row>
    <row r="295" spans="1:13" x14ac:dyDescent="0.45">
      <c r="A295" s="10">
        <v>78</v>
      </c>
      <c r="B295" s="10">
        <v>46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1510.2962199999999</v>
      </c>
      <c r="G295" s="12">
        <f ca="1">(RANDBETWEEN(50,100)/100)*(dict_DQ_Meth_max[[#This Row],[Vergleich_ub]]-dict_DQ_Meth_max[[#This Row],[Vergleich_lb]])+dict_DQ_Meth_max[[#This Row],[Vergleich_lb]]</f>
        <v>4080.7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0.69399999999999995</v>
      </c>
      <c r="M295" s="10">
        <f ca="1">VLOOKUP(dict_DQ_Meth_max[[#This Row],[ID_DataQualities]],table_DataQualities[],9,FALSE)</f>
        <v>4080.7</v>
      </c>
    </row>
    <row r="296" spans="1:13" x14ac:dyDescent="0.45">
      <c r="A296" s="10">
        <v>78</v>
      </c>
      <c r="B296" s="10">
        <v>406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1387.8960400000001</v>
      </c>
      <c r="G296" s="12">
        <f ca="1">(RANDBETWEEN(50,100)/100)*(dict_DQ_Meth_max[[#This Row],[Vergleich_ub]]-dict_DQ_Meth_max[[#This Row],[Vergleich_lb]])+dict_DQ_Meth_max[[#This Row],[Vergleich_lb]]</f>
        <v>2203.8972400000002</v>
      </c>
      <c r="H296" s="11" t="str">
        <f ca="1">VLOOKUP(VLOOKUP(dict_DQ_Meth_max[[#This Row],[ID_DataQualities]],table_DataQualities[],3),table_Units[],2)</f>
        <v>Hz</v>
      </c>
      <c r="I296" s="10"/>
      <c r="J296" s="10"/>
      <c r="K296" s="10"/>
      <c r="L296" s="10">
        <f ca="1">VLOOKUP(dict_DQ_Meth_max[[#This Row],[ID_DataQualities]],table_DataQualities[],8,FALSE)</f>
        <v>0.69399999999999995</v>
      </c>
      <c r="M296" s="10">
        <f ca="1">VLOOKUP(dict_DQ_Meth_max[[#This Row],[ID_DataQualities]],table_DataQualities[],9,FALSE)</f>
        <v>4080.7</v>
      </c>
    </row>
    <row r="297" spans="1:13" x14ac:dyDescent="0.45">
      <c r="A297" s="10">
        <v>79</v>
      </c>
      <c r="B297" s="10">
        <v>698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1.3489999999999998</v>
      </c>
      <c r="G297" s="12">
        <f ca="1">(RANDBETWEEN(50,100)/100)*(dict_DQ_Meth_max[[#This Row],[Vergleich_ub]]-dict_DQ_Meth_max[[#This Row],[Vergleich_lb]])+dict_DQ_Meth_max[[#This Row],[Vergleich_lb]]</f>
        <v>4.51</v>
      </c>
      <c r="H297" s="11" t="str">
        <f ca="1">VLOOKUP(VLOOKUP(dict_DQ_Meth_max[[#This Row],[ID_DataQualities]],table_DataQualities[],3),table_Units[],2)</f>
        <v>+/- mm/s</v>
      </c>
      <c r="I297" s="10"/>
      <c r="J297" s="10"/>
      <c r="K297" s="10"/>
      <c r="L297" s="10">
        <f ca="1">VLOOKUP(dict_DQ_Meth_max[[#This Row],[ID_DataQualities]],table_DataQualities[],8,FALSE)</f>
        <v>0.15</v>
      </c>
      <c r="M297" s="10">
        <f ca="1">VLOOKUP(dict_DQ_Meth_max[[#This Row],[ID_DataQualities]],table_DataQualities[],9,FALSE)</f>
        <v>5.6</v>
      </c>
    </row>
    <row r="298" spans="1:13" x14ac:dyDescent="0.45">
      <c r="A298" s="10">
        <v>79</v>
      </c>
      <c r="B298" s="10">
        <v>406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1.4034999999999997</v>
      </c>
      <c r="G298" s="12">
        <f ca="1">(RANDBETWEEN(50,100)/100)*(dict_DQ_Meth_max[[#This Row],[Vergleich_ub]]-dict_DQ_Meth_max[[#This Row],[Vergleich_lb]])+dict_DQ_Meth_max[[#This Row],[Vergleich_lb]]</f>
        <v>2.9839999999999995</v>
      </c>
      <c r="H298" s="11" t="str">
        <f ca="1">VLOOKUP(VLOOKUP(dict_DQ_Meth_max[[#This Row],[ID_DataQualities]],table_DataQualities[],3),table_Units[],2)</f>
        <v>+/- mm/s</v>
      </c>
      <c r="I298" s="10"/>
      <c r="J298" s="10"/>
      <c r="K298" s="10"/>
      <c r="L298" s="10">
        <f ca="1">VLOOKUP(dict_DQ_Meth_max[[#This Row],[ID_DataQualities]],table_DataQualities[],8,FALSE)</f>
        <v>0.15</v>
      </c>
      <c r="M298" s="10">
        <f ca="1">VLOOKUP(dict_DQ_Meth_max[[#This Row],[ID_DataQualities]],table_DataQualities[],9,FALSE)</f>
        <v>5.6</v>
      </c>
    </row>
    <row r="299" spans="1:13" x14ac:dyDescent="0.45">
      <c r="A299" s="10">
        <v>79</v>
      </c>
      <c r="B299" s="10">
        <v>201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1.5669999999999997</v>
      </c>
      <c r="G299" s="12">
        <f ca="1">(RANDBETWEEN(50,100)/100)*(dict_DQ_Meth_max[[#This Row],[Vergleich_ub]]-dict_DQ_Meth_max[[#This Row],[Vergleich_lb]])+dict_DQ_Meth_max[[#This Row],[Vergleich_lb]]</f>
        <v>5.1639999999999997</v>
      </c>
      <c r="H299" s="11" t="str">
        <f ca="1">VLOOKUP(VLOOKUP(dict_DQ_Meth_max[[#This Row],[ID_DataQualities]],table_DataQualities[],3),table_Units[],2)</f>
        <v>+/- mm/s</v>
      </c>
      <c r="I299" s="10"/>
      <c r="J299" s="10"/>
      <c r="K299" s="10"/>
      <c r="L299" s="10">
        <f ca="1">VLOOKUP(dict_DQ_Meth_max[[#This Row],[ID_DataQualities]],table_DataQualities[],8,FALSE)</f>
        <v>0.15</v>
      </c>
      <c r="M299" s="10">
        <f ca="1">VLOOKUP(dict_DQ_Meth_max[[#This Row],[ID_DataQualities]],table_DataQualities[],9,FALSE)</f>
        <v>5.6</v>
      </c>
    </row>
    <row r="300" spans="1:13" x14ac:dyDescent="0.45">
      <c r="A300" s="10">
        <v>79</v>
      </c>
      <c r="B300" s="10">
        <v>297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2.3299999999999996</v>
      </c>
      <c r="G300" s="12">
        <f ca="1">(RANDBETWEEN(50,100)/100)*(dict_DQ_Meth_max[[#This Row],[Vergleich_ub]]-dict_DQ_Meth_max[[#This Row],[Vergleich_lb]])+dict_DQ_Meth_max[[#This Row],[Vergleich_lb]]</f>
        <v>3.964999999999999</v>
      </c>
      <c r="H300" s="11" t="str">
        <f ca="1">VLOOKUP(VLOOKUP(dict_DQ_Meth_max[[#This Row],[ID_DataQualities]],table_DataQualities[],3),table_Units[],2)</f>
        <v>+/- mm/s</v>
      </c>
      <c r="I300" s="10"/>
      <c r="J300" s="10"/>
      <c r="K300" s="10"/>
      <c r="L300" s="10">
        <f ca="1">VLOOKUP(dict_DQ_Meth_max[[#This Row],[ID_DataQualities]],table_DataQualities[],8,FALSE)</f>
        <v>0.15</v>
      </c>
      <c r="M300" s="10">
        <f ca="1">VLOOKUP(dict_DQ_Meth_max[[#This Row],[ID_DataQualities]],table_DataQualities[],9,FALSE)</f>
        <v>5.6</v>
      </c>
    </row>
    <row r="301" spans="1:13" x14ac:dyDescent="0.45">
      <c r="A301" s="10">
        <v>79</v>
      </c>
      <c r="B301" s="10">
        <v>46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0.96749999999999992</v>
      </c>
      <c r="G301" s="12">
        <f ca="1">(RANDBETWEEN(50,100)/100)*(dict_DQ_Meth_max[[#This Row],[Vergleich_ub]]-dict_DQ_Meth_max[[#This Row],[Vergleich_lb]])+dict_DQ_Meth_max[[#This Row],[Vergleich_lb]]</f>
        <v>3.7469999999999994</v>
      </c>
      <c r="H301" s="11" t="str">
        <f ca="1">VLOOKUP(VLOOKUP(dict_DQ_Meth_max[[#This Row],[ID_DataQualities]],table_DataQualities[],3),table_Units[],2)</f>
        <v>+/- mm/s</v>
      </c>
      <c r="I301" s="10"/>
      <c r="J301" s="10"/>
      <c r="K301" s="10"/>
      <c r="L301" s="10">
        <f ca="1">VLOOKUP(dict_DQ_Meth_max[[#This Row],[ID_DataQualities]],table_DataQualities[],8,FALSE)</f>
        <v>0.15</v>
      </c>
      <c r="M301" s="10">
        <f ca="1">VLOOKUP(dict_DQ_Meth_max[[#This Row],[ID_DataQualities]],table_DataQualities[],9,FALSE)</f>
        <v>5.6</v>
      </c>
    </row>
    <row r="302" spans="1:13" x14ac:dyDescent="0.45">
      <c r="A302" s="10">
        <v>80</v>
      </c>
      <c r="B302" s="10">
        <v>281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1337.0626999999999</v>
      </c>
      <c r="G302" s="12">
        <f ca="1">(RANDBETWEEN(50,100)/100)*(dict_DQ_Meth_max[[#This Row],[Vergleich_ub]]-dict_DQ_Meth_max[[#This Row],[Vergleich_lb]])+dict_DQ_Meth_max[[#This Row],[Vergleich_lb]]</f>
        <v>4277.58644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0.46100000000000002</v>
      </c>
      <c r="M302" s="10">
        <f ca="1">VLOOKUP(dict_DQ_Meth_max[[#This Row],[ID_DataQualities]],table_DataQualities[],9,FALSE)</f>
        <v>4455.8</v>
      </c>
    </row>
    <row r="303" spans="1:13" x14ac:dyDescent="0.45">
      <c r="A303" s="10">
        <v>80</v>
      </c>
      <c r="B303" s="10">
        <v>235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1470.7228700000001</v>
      </c>
      <c r="G303" s="12">
        <f ca="1">(RANDBETWEEN(50,100)/100)*(dict_DQ_Meth_max[[#This Row],[Vergleich_ub]]-dict_DQ_Meth_max[[#This Row],[Vergleich_lb]])+dict_DQ_Meth_max[[#This Row],[Vergleich_lb]]</f>
        <v>4188.47966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0.46100000000000002</v>
      </c>
      <c r="M303" s="10">
        <f ca="1">VLOOKUP(dict_DQ_Meth_max[[#This Row],[ID_DataQualities]],table_DataQualities[],9,FALSE)</f>
        <v>4455.8</v>
      </c>
    </row>
    <row r="304" spans="1:13" x14ac:dyDescent="0.45">
      <c r="A304" s="10">
        <v>80</v>
      </c>
      <c r="B304" s="10">
        <v>501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1515.2762600000001</v>
      </c>
      <c r="G304" s="12">
        <f ca="1">(RANDBETWEEN(50,100)/100)*(dict_DQ_Meth_max[[#This Row],[Vergleich_ub]]-dict_DQ_Meth_max[[#This Row],[Vergleich_lb]])+dict_DQ_Meth_max[[#This Row],[Vergleich_lb]]</f>
        <v>3832.0525399999997</v>
      </c>
      <c r="H304" s="11" t="str">
        <f ca="1">VLOOKUP(VLOOKUP(dict_DQ_Meth_max[[#This Row],[ID_DataQualities]],table_DataQualities[],3),table_Units[],2)</f>
        <v>Hz</v>
      </c>
      <c r="I304" s="10"/>
      <c r="J304" s="10"/>
      <c r="K304" s="10"/>
      <c r="L304" s="10">
        <f ca="1">VLOOKUP(dict_DQ_Meth_max[[#This Row],[ID_DataQualities]],table_DataQualities[],8,FALSE)</f>
        <v>0.46100000000000002</v>
      </c>
      <c r="M304" s="10">
        <f ca="1">VLOOKUP(dict_DQ_Meth_max[[#This Row],[ID_DataQualities]],table_DataQualities[],9,FALSE)</f>
        <v>4455.8</v>
      </c>
    </row>
    <row r="305" spans="1:13" x14ac:dyDescent="0.45">
      <c r="A305" s="10">
        <v>81</v>
      </c>
      <c r="B305" s="10">
        <v>281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1.6099999999999999</v>
      </c>
      <c r="G305" s="12">
        <f ca="1">(RANDBETWEEN(50,100)/100)*(dict_DQ_Meth_max[[#This Row],[Vergleich_ub]]-dict_DQ_Meth_max[[#This Row],[Vergleich_lb]])+dict_DQ_Meth_max[[#This Row],[Vergleich_lb]]</f>
        <v>6.0830000000000002</v>
      </c>
      <c r="H305" s="11" t="str">
        <f ca="1">VLOOKUP(VLOOKUP(dict_DQ_Meth_max[[#This Row],[ID_DataQualities]],table_DataQualities[],3),table_Units[],2)</f>
        <v>+/- °C</v>
      </c>
      <c r="I305" s="10"/>
      <c r="J305" s="10"/>
      <c r="K305" s="10"/>
      <c r="L305" s="10">
        <f ca="1">VLOOKUP(dict_DQ_Meth_max[[#This Row],[ID_DataQualities]],table_DataQualities[],8,FALSE)</f>
        <v>0.9</v>
      </c>
      <c r="M305" s="10">
        <f ca="1">VLOOKUP(dict_DQ_Meth_max[[#This Row],[ID_DataQualities]],table_DataQualities[],9,FALSE)</f>
        <v>8</v>
      </c>
    </row>
    <row r="306" spans="1:13" x14ac:dyDescent="0.45">
      <c r="A306" s="10">
        <v>81</v>
      </c>
      <c r="B306" s="10">
        <v>235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4.3079999999999998</v>
      </c>
      <c r="G306" s="12">
        <f ca="1">(RANDBETWEEN(50,100)/100)*(dict_DQ_Meth_max[[#This Row],[Vergleich_ub]]-dict_DQ_Meth_max[[#This Row],[Vergleich_lb]])+dict_DQ_Meth_max[[#This Row],[Vergleich_lb]]</f>
        <v>6.7930000000000001</v>
      </c>
      <c r="H306" s="11" t="str">
        <f ca="1">VLOOKUP(VLOOKUP(dict_DQ_Meth_max[[#This Row],[ID_DataQualities]],table_DataQualities[],3),table_Units[],2)</f>
        <v>+/- °C</v>
      </c>
      <c r="I306" s="10"/>
      <c r="J306" s="10"/>
      <c r="K306" s="10"/>
      <c r="L306" s="10">
        <f ca="1">VLOOKUP(dict_DQ_Meth_max[[#This Row],[ID_DataQualities]],table_DataQualities[],8,FALSE)</f>
        <v>0.9</v>
      </c>
      <c r="M306" s="10">
        <f ca="1">VLOOKUP(dict_DQ_Meth_max[[#This Row],[ID_DataQualities]],table_DataQualities[],9,FALSE)</f>
        <v>8</v>
      </c>
    </row>
    <row r="307" spans="1:13" x14ac:dyDescent="0.45">
      <c r="A307" s="10">
        <v>81</v>
      </c>
      <c r="B307" s="10">
        <v>501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3.8819999999999997</v>
      </c>
      <c r="G307" s="12">
        <f ca="1">(RANDBETWEEN(50,100)/100)*(dict_DQ_Meth_max[[#This Row],[Vergleich_ub]]-dict_DQ_Meth_max[[#This Row],[Vergleich_lb]])+dict_DQ_Meth_max[[#This Row],[Vergleich_lb]]</f>
        <v>6.2249999999999996</v>
      </c>
      <c r="H307" s="11" t="str">
        <f ca="1">VLOOKUP(VLOOKUP(dict_DQ_Meth_max[[#This Row],[ID_DataQualities]],table_DataQualities[],3),table_Units[],2)</f>
        <v>+/- °C</v>
      </c>
      <c r="I307" s="10"/>
      <c r="J307" s="10"/>
      <c r="K307" s="10"/>
      <c r="L307" s="10">
        <f ca="1">VLOOKUP(dict_DQ_Meth_max[[#This Row],[ID_DataQualities]],table_DataQualities[],8,FALSE)</f>
        <v>0.9</v>
      </c>
      <c r="M307" s="10">
        <f ca="1">VLOOKUP(dict_DQ_Meth_max[[#This Row],[ID_DataQualities]],table_DataQualities[],9,FALSE)</f>
        <v>8</v>
      </c>
    </row>
    <row r="308" spans="1:13" x14ac:dyDescent="0.45">
      <c r="A308" s="10">
        <v>82</v>
      </c>
      <c r="B308" s="10">
        <v>423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350.98079999999999</v>
      </c>
      <c r="G308" s="12">
        <f ca="1">(RANDBETWEEN(50,100)/100)*(dict_DQ_Meth_max[[#This Row],[Vergleich_ub]]-dict_DQ_Meth_max[[#This Row],[Vergleich_lb]])+dict_DQ_Meth_max[[#This Row],[Vergleich_lb]]</f>
        <v>5007.8999999999996</v>
      </c>
      <c r="H308" s="11" t="str">
        <f ca="1">VLOOKUP(VLOOKUP(dict_DQ_Meth_max[[#This Row],[ID_DataQualities]],table_DataQualities[],3),table_Units[],2)</f>
        <v>Hz</v>
      </c>
      <c r="I308" s="10"/>
      <c r="J308" s="10"/>
      <c r="K308" s="10"/>
      <c r="L308" s="10">
        <f ca="1">VLOOKUP(dict_DQ_Meth_max[[#This Row],[ID_DataQualities]],table_DataQualities[],8,FALSE)</f>
        <v>0.46</v>
      </c>
      <c r="M308" s="10">
        <f ca="1">VLOOKUP(dict_DQ_Meth_max[[#This Row],[ID_DataQualities]],table_DataQualities[],9,FALSE)</f>
        <v>5007.8999999999996</v>
      </c>
    </row>
    <row r="309" spans="1:13" x14ac:dyDescent="0.45">
      <c r="A309" s="10">
        <v>82</v>
      </c>
      <c r="B309" s="10">
        <v>400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701.50160000000005</v>
      </c>
      <c r="G309" s="12">
        <f ca="1">(RANDBETWEEN(50,100)/100)*(dict_DQ_Meth_max[[#This Row],[Vergleich_ub]]-dict_DQ_Meth_max[[#This Row],[Vergleich_lb]])+dict_DQ_Meth_max[[#This Row],[Vergleich_lb]]</f>
        <v>4156.6351999999997</v>
      </c>
      <c r="H309" s="11" t="str">
        <f ca="1">VLOOKUP(VLOOKUP(dict_DQ_Meth_max[[#This Row],[ID_DataQualities]],table_DataQualities[],3),table_Units[],2)</f>
        <v>Hz</v>
      </c>
      <c r="I309" s="10"/>
      <c r="J309" s="10"/>
      <c r="K309" s="10"/>
      <c r="L309" s="10">
        <f ca="1">VLOOKUP(dict_DQ_Meth_max[[#This Row],[ID_DataQualities]],table_DataQualities[],8,FALSE)</f>
        <v>0.46</v>
      </c>
      <c r="M309" s="10">
        <f ca="1">VLOOKUP(dict_DQ_Meth_max[[#This Row],[ID_DataQualities]],table_DataQualities[],9,FALSE)</f>
        <v>5007.8999999999996</v>
      </c>
    </row>
    <row r="310" spans="1:13" x14ac:dyDescent="0.45">
      <c r="A310" s="10">
        <v>82</v>
      </c>
      <c r="B310" s="10">
        <v>169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2404.0311999999999</v>
      </c>
      <c r="G310" s="12">
        <f ca="1">(RANDBETWEEN(50,100)/100)*(dict_DQ_Meth_max[[#This Row],[Vergleich_ub]]-dict_DQ_Meth_max[[#This Row],[Vergleich_lb]])+dict_DQ_Meth_max[[#This Row],[Vergleich_lb]]</f>
        <v>4507.1559999999999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0.46</v>
      </c>
      <c r="M310" s="10">
        <f ca="1">VLOOKUP(dict_DQ_Meth_max[[#This Row],[ID_DataQualities]],table_DataQualities[],9,FALSE)</f>
        <v>5007.8999999999996</v>
      </c>
    </row>
    <row r="311" spans="1:13" x14ac:dyDescent="0.45">
      <c r="A311" s="10">
        <v>83</v>
      </c>
      <c r="B311" s="10">
        <v>400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3.8480000000000003</v>
      </c>
      <c r="G311" s="12">
        <f ca="1">(RANDBETWEEN(50,100)/100)*(dict_DQ_Meth_max[[#This Row],[Vergleich_ub]]-dict_DQ_Meth_max[[#This Row],[Vergleich_lb]])+dict_DQ_Meth_max[[#This Row],[Vergleich_lb]]</f>
        <v>9.5440000000000005</v>
      </c>
      <c r="H311" s="11" t="str">
        <f ca="1">VLOOKUP(VLOOKUP(dict_DQ_Meth_max[[#This Row],[ID_DataQualities]],table_DataQualities[],3),table_Units[],2)</f>
        <v>+/- mm/s</v>
      </c>
      <c r="I311" s="10"/>
      <c r="J311" s="10"/>
      <c r="K311" s="10"/>
      <c r="L311" s="10">
        <f ca="1">VLOOKUP(dict_DQ_Meth_max[[#This Row],[ID_DataQualities]],table_DataQualities[],8,FALSE)</f>
        <v>1</v>
      </c>
      <c r="M311" s="10">
        <f ca="1">VLOOKUP(dict_DQ_Meth_max[[#This Row],[ID_DataQualities]],table_DataQualities[],9,FALSE)</f>
        <v>9.9</v>
      </c>
    </row>
    <row r="312" spans="1:13" x14ac:dyDescent="0.45">
      <c r="A312" s="10">
        <v>83</v>
      </c>
      <c r="B312" s="10">
        <v>423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4.5600000000000005</v>
      </c>
      <c r="G312" s="12">
        <f ca="1">(RANDBETWEEN(50,100)/100)*(dict_DQ_Meth_max[[#This Row],[Vergleich_ub]]-dict_DQ_Meth_max[[#This Row],[Vergleich_lb]])+dict_DQ_Meth_max[[#This Row],[Vergleich_lb]]</f>
        <v>7.5860000000000003</v>
      </c>
      <c r="H312" s="11" t="str">
        <f ca="1">VLOOKUP(VLOOKUP(dict_DQ_Meth_max[[#This Row],[ID_DataQualities]],table_DataQualities[],3),table_Units[],2)</f>
        <v>+/- mm/s</v>
      </c>
      <c r="I312" s="10"/>
      <c r="J312" s="10"/>
      <c r="K312" s="10"/>
      <c r="L312" s="10">
        <f ca="1">VLOOKUP(dict_DQ_Meth_max[[#This Row],[ID_DataQualities]],table_DataQualities[],8,FALSE)</f>
        <v>1</v>
      </c>
      <c r="M312" s="10">
        <f ca="1">VLOOKUP(dict_DQ_Meth_max[[#This Row],[ID_DataQualities]],table_DataQualities[],9,FALSE)</f>
        <v>9.9</v>
      </c>
    </row>
    <row r="313" spans="1:13" x14ac:dyDescent="0.45">
      <c r="A313" s="10">
        <v>83</v>
      </c>
      <c r="B313" s="10">
        <v>169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1.3560000000000001</v>
      </c>
      <c r="G313" s="12">
        <f ca="1">(RANDBETWEEN(50,100)/100)*(dict_DQ_Meth_max[[#This Row],[Vergleich_ub]]-dict_DQ_Meth_max[[#This Row],[Vergleich_lb]])+dict_DQ_Meth_max[[#This Row],[Vergleich_lb]]</f>
        <v>8.120000000000001</v>
      </c>
      <c r="H313" s="11" t="str">
        <f ca="1">VLOOKUP(VLOOKUP(dict_DQ_Meth_max[[#This Row],[ID_DataQualities]],table_DataQualities[],3),table_Units[],2)</f>
        <v>+/- mm/s</v>
      </c>
      <c r="I313" s="10"/>
      <c r="J313" s="10"/>
      <c r="K313" s="10"/>
      <c r="L313" s="10">
        <f ca="1">VLOOKUP(dict_DQ_Meth_max[[#This Row],[ID_DataQualities]],table_DataQualities[],8,FALSE)</f>
        <v>1</v>
      </c>
      <c r="M313" s="10">
        <f ca="1">VLOOKUP(dict_DQ_Meth_max[[#This Row],[ID_DataQualities]],table_DataQualities[],9,FALSE)</f>
        <v>9.9</v>
      </c>
    </row>
    <row r="314" spans="1:13" x14ac:dyDescent="0.45">
      <c r="A314" s="10">
        <v>84</v>
      </c>
      <c r="B314" s="10">
        <v>105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2538.8566000000001</v>
      </c>
      <c r="G314" s="12">
        <f ca="1">(RANDBETWEEN(50,100)/100)*(dict_DQ_Meth_max[[#This Row],[Vergleich_ub]]-dict_DQ_Meth_max[[#This Row],[Vergleich_lb]])+dict_DQ_Meth_max[[#This Row],[Vergleich_lb]]</f>
        <v>4696.2378600000002</v>
      </c>
      <c r="H314" s="11" t="str">
        <f ca="1">VLOOKUP(VLOOKUP(dict_DQ_Meth_max[[#This Row],[ID_DataQualities]],table_DataQualities[],3),table_Units[],2)</f>
        <v>Hz</v>
      </c>
      <c r="I314" s="10"/>
      <c r="J314" s="10"/>
      <c r="K314" s="10"/>
      <c r="L314" s="10">
        <f ca="1">VLOOKUP(dict_DQ_Meth_max[[#This Row],[ID_DataQualities]],table_DataQualities[],8,FALSE)</f>
        <v>0.76100000000000001</v>
      </c>
      <c r="M314" s="10">
        <f ca="1">VLOOKUP(dict_DQ_Meth_max[[#This Row],[ID_DataQualities]],table_DataQualities[],9,FALSE)</f>
        <v>6346</v>
      </c>
    </row>
    <row r="315" spans="1:13" x14ac:dyDescent="0.45">
      <c r="A315" s="10">
        <v>84</v>
      </c>
      <c r="B315" s="10">
        <v>10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444.92773000000005</v>
      </c>
      <c r="G315" s="12">
        <f ca="1">(RANDBETWEEN(50,100)/100)*(dict_DQ_Meth_max[[#This Row],[Vergleich_ub]]-dict_DQ_Meth_max[[#This Row],[Vergleich_lb]])+dict_DQ_Meth_max[[#This Row],[Vergleich_lb]]</f>
        <v>4632.7854699999998</v>
      </c>
      <c r="H315" s="11" t="str">
        <f ca="1">VLOOKUP(VLOOKUP(dict_DQ_Meth_max[[#This Row],[ID_DataQualities]],table_DataQualities[],3),table_Units[],2)</f>
        <v>Hz</v>
      </c>
      <c r="I315" s="10"/>
      <c r="J315" s="10"/>
      <c r="K315" s="10"/>
      <c r="L315" s="10">
        <f ca="1">VLOOKUP(dict_DQ_Meth_max[[#This Row],[ID_DataQualities]],table_DataQualities[],8,FALSE)</f>
        <v>0.76100000000000001</v>
      </c>
      <c r="M315" s="10">
        <f ca="1">VLOOKUP(dict_DQ_Meth_max[[#This Row],[ID_DataQualities]],table_DataQualities[],9,FALSE)</f>
        <v>6346</v>
      </c>
    </row>
    <row r="316" spans="1:13" x14ac:dyDescent="0.45">
      <c r="A316" s="10">
        <v>84</v>
      </c>
      <c r="B316" s="10">
        <v>671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3046.4757199999995</v>
      </c>
      <c r="G316" s="12">
        <f ca="1">(RANDBETWEEN(50,100)/100)*(dict_DQ_Meth_max[[#This Row],[Vergleich_ub]]-dict_DQ_Meth_max[[#This Row],[Vergleich_lb]])+dict_DQ_Meth_max[[#This Row],[Vergleich_lb]]</f>
        <v>3871.3567899999998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0.76100000000000001</v>
      </c>
      <c r="M316" s="10">
        <f ca="1">VLOOKUP(dict_DQ_Meth_max[[#This Row],[ID_DataQualities]],table_DataQualities[],9,FALSE)</f>
        <v>6346</v>
      </c>
    </row>
    <row r="317" spans="1:13" x14ac:dyDescent="0.45">
      <c r="A317" s="10">
        <v>85</v>
      </c>
      <c r="B317" s="10">
        <v>10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1.57382</v>
      </c>
      <c r="G317" s="12">
        <f ca="1">(RANDBETWEEN(50,100)/100)*(dict_DQ_Meth_max[[#This Row],[Vergleich_ub]]-dict_DQ_Meth_max[[#This Row],[Vergleich_lb]])+dict_DQ_Meth_max[[#This Row],[Vergleich_lb]]</f>
        <v>4.9007000000000005</v>
      </c>
      <c r="H317" s="11" t="str">
        <f ca="1">VLOOKUP(VLOOKUP(dict_DQ_Meth_max[[#This Row],[ID_DataQualities]],table_DataQualities[],3),table_Units[],2)</f>
        <v>+/- mm</v>
      </c>
      <c r="I317" s="10"/>
      <c r="J317" s="10"/>
      <c r="K317" s="10"/>
      <c r="L317" s="10">
        <f ca="1">VLOOKUP(dict_DQ_Meth_max[[#This Row],[ID_DataQualities]],table_DataQualities[],8,FALSE)</f>
        <v>4.9000000000000002E-2</v>
      </c>
      <c r="M317" s="10">
        <f ca="1">VLOOKUP(dict_DQ_Meth_max[[#This Row],[ID_DataQualities]],table_DataQualities[],9,FALSE)</f>
        <v>6.98</v>
      </c>
    </row>
    <row r="318" spans="1:13" x14ac:dyDescent="0.45">
      <c r="A318" s="10">
        <v>85</v>
      </c>
      <c r="B318" s="10">
        <v>105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1.7817499999999999</v>
      </c>
      <c r="G318" s="12">
        <f ca="1">(RANDBETWEEN(50,100)/100)*(dict_DQ_Meth_max[[#This Row],[Vergleich_ub]]-dict_DQ_Meth_max[[#This Row],[Vergleich_lb]])+dict_DQ_Meth_max[[#This Row],[Vergleich_lb]]</f>
        <v>3.9303600000000003</v>
      </c>
      <c r="H318" s="11" t="str">
        <f ca="1">VLOOKUP(VLOOKUP(dict_DQ_Meth_max[[#This Row],[ID_DataQualities]],table_DataQualities[],3),table_Units[],2)</f>
        <v>+/- mm</v>
      </c>
      <c r="I318" s="10"/>
      <c r="J318" s="10"/>
      <c r="K318" s="10"/>
      <c r="L318" s="10">
        <f ca="1">VLOOKUP(dict_DQ_Meth_max[[#This Row],[ID_DataQualities]],table_DataQualities[],8,FALSE)</f>
        <v>4.9000000000000002E-2</v>
      </c>
      <c r="M318" s="10">
        <f ca="1">VLOOKUP(dict_DQ_Meth_max[[#This Row],[ID_DataQualities]],table_DataQualities[],9,FALSE)</f>
        <v>6.98</v>
      </c>
    </row>
    <row r="319" spans="1:13" x14ac:dyDescent="0.45">
      <c r="A319" s="10">
        <v>85</v>
      </c>
      <c r="B319" s="10">
        <v>671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1.9203700000000001</v>
      </c>
      <c r="G319" s="12">
        <f ca="1">(RANDBETWEEN(50,100)/100)*(dict_DQ_Meth_max[[#This Row],[Vergleich_ub]]-dict_DQ_Meth_max[[#This Row],[Vergleich_lb]])+dict_DQ_Meth_max[[#This Row],[Vergleich_lb]]</f>
        <v>5.4551800000000004</v>
      </c>
      <c r="H319" s="11" t="str">
        <f ca="1">VLOOKUP(VLOOKUP(dict_DQ_Meth_max[[#This Row],[ID_DataQualities]],table_DataQualities[],3),table_Units[],2)</f>
        <v>+/- mm</v>
      </c>
      <c r="I319" s="10"/>
      <c r="J319" s="10"/>
      <c r="K319" s="10"/>
      <c r="L319" s="10">
        <f ca="1">VLOOKUP(dict_DQ_Meth_max[[#This Row],[ID_DataQualities]],table_DataQualities[],8,FALSE)</f>
        <v>4.9000000000000002E-2</v>
      </c>
      <c r="M319" s="10">
        <f ca="1">VLOOKUP(dict_DQ_Meth_max[[#This Row],[ID_DataQualities]],table_DataQualities[],9,FALSE)</f>
        <v>6.98</v>
      </c>
    </row>
    <row r="320" spans="1:13" x14ac:dyDescent="0.45">
      <c r="A320" s="10">
        <v>86</v>
      </c>
      <c r="B320" s="10">
        <v>82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1297.0240999999999</v>
      </c>
      <c r="G320" s="12">
        <f ca="1">(RANDBETWEEN(50,100)/100)*(dict_DQ_Meth_max[[#This Row],[Vergleich_ub]]-dict_DQ_Meth_max[[#This Row],[Vergleich_lb]])+dict_DQ_Meth_max[[#This Row],[Vergleich_lb]]</f>
        <v>7607.0375199999989</v>
      </c>
      <c r="H320" s="11" t="str">
        <f ca="1">VLOOKUP(VLOOKUP(dict_DQ_Meth_max[[#This Row],[ID_DataQualities]],table_DataQualities[],3),table_Units[],2)</f>
        <v>Hz</v>
      </c>
      <c r="I320" s="10"/>
      <c r="J320" s="10"/>
      <c r="K320" s="10"/>
      <c r="L320" s="10">
        <f ca="1">VLOOKUP(dict_DQ_Meth_max[[#This Row],[ID_DataQualities]],table_DataQualities[],8,FALSE)</f>
        <v>0.44600000000000001</v>
      </c>
      <c r="M320" s="10">
        <f ca="1">VLOOKUP(dict_DQ_Meth_max[[#This Row],[ID_DataQualities]],table_DataQualities[],9,FALSE)</f>
        <v>8644.2999999999993</v>
      </c>
    </row>
    <row r="321" spans="1:13" x14ac:dyDescent="0.45">
      <c r="A321" s="10">
        <v>86</v>
      </c>
      <c r="B321" s="10">
        <v>509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1642.7782599999998</v>
      </c>
      <c r="G321" s="12">
        <f ca="1">(RANDBETWEEN(50,100)/100)*(dict_DQ_Meth_max[[#This Row],[Vergleich_ub]]-dict_DQ_Meth_max[[#This Row],[Vergleich_lb]])+dict_DQ_Meth_max[[#This Row],[Vergleich_lb]]</f>
        <v>7434.1604399999997</v>
      </c>
      <c r="H321" s="11" t="str">
        <f ca="1">VLOOKUP(VLOOKUP(dict_DQ_Meth_max[[#This Row],[ID_DataQualities]],table_DataQualities[],3),table_Units[],2)</f>
        <v>Hz</v>
      </c>
      <c r="I321" s="10"/>
      <c r="J321" s="10"/>
      <c r="K321" s="10"/>
      <c r="L321" s="10">
        <f ca="1">VLOOKUP(dict_DQ_Meth_max[[#This Row],[ID_DataQualities]],table_DataQualities[],8,FALSE)</f>
        <v>0.44600000000000001</v>
      </c>
      <c r="M321" s="10">
        <f ca="1">VLOOKUP(dict_DQ_Meth_max[[#This Row],[ID_DataQualities]],table_DataQualities[],9,FALSE)</f>
        <v>8644.2999999999993</v>
      </c>
    </row>
    <row r="322" spans="1:13" x14ac:dyDescent="0.45">
      <c r="A322" s="10">
        <v>86</v>
      </c>
      <c r="B322" s="10">
        <v>555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3890.1802999999995</v>
      </c>
      <c r="G322" s="12">
        <f ca="1">(RANDBETWEEN(50,100)/100)*(dict_DQ_Meth_max[[#This Row],[Vergleich_ub]]-dict_DQ_Meth_max[[#This Row],[Vergleich_lb]])+dict_DQ_Meth_max[[#This Row],[Vergleich_lb]]</f>
        <v>8557.8614600000001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0.44600000000000001</v>
      </c>
      <c r="M322" s="10">
        <f ca="1">VLOOKUP(dict_DQ_Meth_max[[#This Row],[ID_DataQualities]],table_DataQualities[],9,FALSE)</f>
        <v>8644.2999999999993</v>
      </c>
    </row>
    <row r="323" spans="1:13" x14ac:dyDescent="0.45">
      <c r="A323" s="10">
        <v>86</v>
      </c>
      <c r="B323" s="10">
        <v>125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4063.0573799999993</v>
      </c>
      <c r="G323" s="12">
        <f ca="1">(RANDBETWEEN(50,100)/100)*(dict_DQ_Meth_max[[#This Row],[Vergleich_ub]]-dict_DQ_Meth_max[[#This Row],[Vergleich_lb]])+dict_DQ_Meth_max[[#This Row],[Vergleich_lb]]</f>
        <v>6656.2135799999996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0.44600000000000001</v>
      </c>
      <c r="M323" s="10">
        <f ca="1">VLOOKUP(dict_DQ_Meth_max[[#This Row],[ID_DataQualities]],table_DataQualities[],9,FALSE)</f>
        <v>8644.2999999999993</v>
      </c>
    </row>
    <row r="324" spans="1:13" x14ac:dyDescent="0.45">
      <c r="A324" s="10">
        <v>86</v>
      </c>
      <c r="B324" s="10">
        <v>581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1383.4626399999997</v>
      </c>
      <c r="G324" s="12">
        <f ca="1">(RANDBETWEEN(50,100)/100)*(dict_DQ_Meth_max[[#This Row],[Vergleich_ub]]-dict_DQ_Meth_max[[#This Row],[Vergleich_lb]])+dict_DQ_Meth_max[[#This Row],[Vergleich_lb]]</f>
        <v>8212.1072999999997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0.44600000000000001</v>
      </c>
      <c r="M324" s="10">
        <f ca="1">VLOOKUP(dict_DQ_Meth_max[[#This Row],[ID_DataQualities]],table_DataQualities[],9,FALSE)</f>
        <v>8644.2999999999993</v>
      </c>
    </row>
    <row r="325" spans="1:13" x14ac:dyDescent="0.45">
      <c r="A325" s="10">
        <v>87</v>
      </c>
      <c r="B325" s="10">
        <v>509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1.4319999999999999</v>
      </c>
      <c r="G325" s="12">
        <f ca="1">(RANDBETWEEN(50,100)/100)*(dict_DQ_Meth_max[[#This Row],[Vergleich_ub]]-dict_DQ_Meth_max[[#This Row],[Vergleich_lb]])+dict_DQ_Meth_max[[#This Row],[Vergleich_lb]]</f>
        <v>2.6360000000000001</v>
      </c>
      <c r="H325" s="11" t="str">
        <f ca="1">VLOOKUP(VLOOKUP(dict_DQ_Meth_max[[#This Row],[ID_DataQualities]],table_DataQualities[],3),table_Units[],2)</f>
        <v>+/- °C</v>
      </c>
      <c r="I325" s="10"/>
      <c r="J325" s="10"/>
      <c r="K325" s="10"/>
      <c r="L325" s="10">
        <f ca="1">VLOOKUP(dict_DQ_Meth_max[[#This Row],[ID_DataQualities]],table_DataQualities[],8,FALSE)</f>
        <v>0.2</v>
      </c>
      <c r="M325" s="10">
        <f ca="1">VLOOKUP(dict_DQ_Meth_max[[#This Row],[ID_DataQualities]],table_DataQualities[],9,FALSE)</f>
        <v>3</v>
      </c>
    </row>
    <row r="326" spans="1:13" x14ac:dyDescent="0.45">
      <c r="A326" s="10">
        <v>87</v>
      </c>
      <c r="B326" s="10">
        <v>82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1.1519999999999999</v>
      </c>
      <c r="G326" s="12">
        <f ca="1">(RANDBETWEEN(50,100)/100)*(dict_DQ_Meth_max[[#This Row],[Vergleich_ub]]-dict_DQ_Meth_max[[#This Row],[Vergleich_lb]])+dict_DQ_Meth_max[[#This Row],[Vergleich_lb]]</f>
        <v>2.72</v>
      </c>
      <c r="H326" s="11" t="str">
        <f ca="1">VLOOKUP(VLOOKUP(dict_DQ_Meth_max[[#This Row],[ID_DataQualities]],table_DataQualities[],3),table_Units[],2)</f>
        <v>+/- °C</v>
      </c>
      <c r="I326" s="10"/>
      <c r="J326" s="10"/>
      <c r="K326" s="10"/>
      <c r="L326" s="10">
        <f ca="1">VLOOKUP(dict_DQ_Meth_max[[#This Row],[ID_DataQualities]],table_DataQualities[],8,FALSE)</f>
        <v>0.2</v>
      </c>
      <c r="M326" s="10">
        <f ca="1">VLOOKUP(dict_DQ_Meth_max[[#This Row],[ID_DataQualities]],table_DataQualities[],9,FALSE)</f>
        <v>3</v>
      </c>
    </row>
    <row r="327" spans="1:13" x14ac:dyDescent="0.45">
      <c r="A327" s="10">
        <v>87</v>
      </c>
      <c r="B327" s="10">
        <v>555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1.0680000000000001</v>
      </c>
      <c r="G327" s="12">
        <f ca="1">(RANDBETWEEN(50,100)/100)*(dict_DQ_Meth_max[[#This Row],[Vergleich_ub]]-dict_DQ_Meth_max[[#This Row],[Vergleich_lb]])+dict_DQ_Meth_max[[#This Row],[Vergleich_lb]]</f>
        <v>2.1879999999999997</v>
      </c>
      <c r="H327" s="11" t="str">
        <f ca="1">VLOOKUP(VLOOKUP(dict_DQ_Meth_max[[#This Row],[ID_DataQualities]],table_DataQualities[],3),table_Units[],2)</f>
        <v>+/- °C</v>
      </c>
      <c r="I327" s="10"/>
      <c r="J327" s="10"/>
      <c r="K327" s="10"/>
      <c r="L327" s="10">
        <f ca="1">VLOOKUP(dict_DQ_Meth_max[[#This Row],[ID_DataQualities]],table_DataQualities[],8,FALSE)</f>
        <v>0.2</v>
      </c>
      <c r="M327" s="10">
        <f ca="1">VLOOKUP(dict_DQ_Meth_max[[#This Row],[ID_DataQualities]],table_DataQualities[],9,FALSE)</f>
        <v>3</v>
      </c>
    </row>
    <row r="328" spans="1:13" x14ac:dyDescent="0.45">
      <c r="A328" s="10">
        <v>87</v>
      </c>
      <c r="B328" s="10">
        <v>125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0.92799999999999994</v>
      </c>
      <c r="G328" s="12">
        <f ca="1">(RANDBETWEEN(50,100)/100)*(dict_DQ_Meth_max[[#This Row],[Vergleich_ub]]-dict_DQ_Meth_max[[#This Row],[Vergleich_lb]])+dict_DQ_Meth_max[[#This Row],[Vergleich_lb]]</f>
        <v>2.1319999999999997</v>
      </c>
      <c r="H328" s="11" t="str">
        <f ca="1">VLOOKUP(VLOOKUP(dict_DQ_Meth_max[[#This Row],[ID_DataQualities]],table_DataQualities[],3),table_Units[],2)</f>
        <v>+/- °C</v>
      </c>
      <c r="I328" s="10"/>
      <c r="J328" s="10"/>
      <c r="K328" s="10"/>
      <c r="L328" s="10">
        <f ca="1">VLOOKUP(dict_DQ_Meth_max[[#This Row],[ID_DataQualities]],table_DataQualities[],8,FALSE)</f>
        <v>0.2</v>
      </c>
      <c r="M328" s="10">
        <f ca="1">VLOOKUP(dict_DQ_Meth_max[[#This Row],[ID_DataQualities]],table_DataQualities[],9,FALSE)</f>
        <v>3</v>
      </c>
    </row>
    <row r="329" spans="1:13" x14ac:dyDescent="0.45">
      <c r="A329" s="10">
        <v>87</v>
      </c>
      <c r="B329" s="10">
        <v>581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1.4039999999999999</v>
      </c>
      <c r="G329" s="12">
        <f ca="1">(RANDBETWEEN(50,100)/100)*(dict_DQ_Meth_max[[#This Row],[Vergleich_ub]]-dict_DQ_Meth_max[[#This Row],[Vergleich_lb]])+dict_DQ_Meth_max[[#This Row],[Vergleich_lb]]</f>
        <v>1.88</v>
      </c>
      <c r="H329" s="11" t="str">
        <f ca="1">VLOOKUP(VLOOKUP(dict_DQ_Meth_max[[#This Row],[ID_DataQualities]],table_DataQualities[],3),table_Units[],2)</f>
        <v>+/- °C</v>
      </c>
      <c r="I329" s="10"/>
      <c r="J329" s="10"/>
      <c r="K329" s="10"/>
      <c r="L329" s="10">
        <f ca="1">VLOOKUP(dict_DQ_Meth_max[[#This Row],[ID_DataQualities]],table_DataQualities[],8,FALSE)</f>
        <v>0.2</v>
      </c>
      <c r="M329" s="10">
        <f ca="1">VLOOKUP(dict_DQ_Meth_max[[#This Row],[ID_DataQualities]],table_DataQualities[],9,FALSE)</f>
        <v>3</v>
      </c>
    </row>
    <row r="330" spans="1:13" x14ac:dyDescent="0.45">
      <c r="A330" s="10">
        <v>88</v>
      </c>
      <c r="B330" s="10">
        <v>588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1441.7435999999998</v>
      </c>
      <c r="G330" s="12">
        <f ca="1">(RANDBETWEEN(50,100)/100)*(dict_DQ_Meth_max[[#This Row],[Vergleich_ub]]-dict_DQ_Meth_max[[#This Row],[Vergleich_lb]])+dict_DQ_Meth_max[[#This Row],[Vergleich_lb]]</f>
        <v>2102.529</v>
      </c>
      <c r="H330" s="11" t="str">
        <f ca="1">VLOOKUP(VLOOKUP(dict_DQ_Meth_max[[#This Row],[ID_DataQualities]],table_DataQualities[],3),table_Units[],2)</f>
        <v>Hz</v>
      </c>
      <c r="I330" s="10"/>
      <c r="J330" s="10"/>
      <c r="K330" s="10"/>
      <c r="L330" s="10">
        <f ca="1">VLOOKUP(dict_DQ_Meth_max[[#This Row],[ID_DataQualities]],table_DataQualities[],8,FALSE)</f>
        <v>0.03</v>
      </c>
      <c r="M330" s="10">
        <f ca="1">VLOOKUP(dict_DQ_Meth_max[[#This Row],[ID_DataQualities]],table_DataQualities[],9,FALSE)</f>
        <v>3003.6</v>
      </c>
    </row>
    <row r="331" spans="1:13" x14ac:dyDescent="0.45">
      <c r="A331" s="10">
        <v>88</v>
      </c>
      <c r="B331" s="10">
        <v>637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450.56549999999993</v>
      </c>
      <c r="G331" s="12">
        <f ca="1">(RANDBETWEEN(50,100)/100)*(dict_DQ_Meth_max[[#This Row],[Vergleich_ub]]-dict_DQ_Meth_max[[#This Row],[Vergleich_lb]])+dict_DQ_Meth_max[[#This Row],[Vergleich_lb]]</f>
        <v>1682.0291999999999</v>
      </c>
      <c r="H331" s="11" t="str">
        <f ca="1">VLOOKUP(VLOOKUP(dict_DQ_Meth_max[[#This Row],[ID_DataQualities]],table_DataQualities[],3),table_Units[],2)</f>
        <v>Hz</v>
      </c>
      <c r="I331" s="10"/>
      <c r="J331" s="10"/>
      <c r="K331" s="10"/>
      <c r="L331" s="10">
        <f ca="1">VLOOKUP(dict_DQ_Meth_max[[#This Row],[ID_DataQualities]],table_DataQualities[],8,FALSE)</f>
        <v>0.03</v>
      </c>
      <c r="M331" s="10">
        <f ca="1">VLOOKUP(dict_DQ_Meth_max[[#This Row],[ID_DataQualities]],table_DataQualities[],9,FALSE)</f>
        <v>3003.6</v>
      </c>
    </row>
    <row r="332" spans="1:13" x14ac:dyDescent="0.45">
      <c r="A332" s="10">
        <v>88</v>
      </c>
      <c r="B332" s="10">
        <v>612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1351.6364999999998</v>
      </c>
      <c r="G332" s="12">
        <f ca="1">(RANDBETWEEN(50,100)/100)*(dict_DQ_Meth_max[[#This Row],[Vergleich_ub]]-dict_DQ_Meth_max[[#This Row],[Vergleich_lb]])+dict_DQ_Meth_max[[#This Row],[Vergleich_lb]]</f>
        <v>2312.7789000000002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0.03</v>
      </c>
      <c r="M332" s="10">
        <f ca="1">VLOOKUP(dict_DQ_Meth_max[[#This Row],[ID_DataQualities]],table_DataQualities[],9,FALSE)</f>
        <v>3003.6</v>
      </c>
    </row>
    <row r="333" spans="1:13" x14ac:dyDescent="0.45">
      <c r="A333" s="10">
        <v>88</v>
      </c>
      <c r="B333" s="10">
        <v>56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600.74399999999991</v>
      </c>
      <c r="G333" s="12">
        <f ca="1">(RANDBETWEEN(50,100)/100)*(dict_DQ_Meth_max[[#This Row],[Vergleich_ub]]-dict_DQ_Meth_max[[#This Row],[Vergleich_lb]])+dict_DQ_Meth_max[[#This Row],[Vergleich_lb]]</f>
        <v>2462.9573999999998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0.03</v>
      </c>
      <c r="M333" s="10">
        <f ca="1">VLOOKUP(dict_DQ_Meth_max[[#This Row],[ID_DataQualities]],table_DataQualities[],9,FALSE)</f>
        <v>3003.6</v>
      </c>
    </row>
    <row r="334" spans="1:13" x14ac:dyDescent="0.45">
      <c r="A334" s="10">
        <v>88</v>
      </c>
      <c r="B334" s="10">
        <v>55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210.2799</v>
      </c>
      <c r="G334" s="12">
        <f ca="1">(RANDBETWEEN(50,100)/100)*(dict_DQ_Meth_max[[#This Row],[Vergleich_ub]]-dict_DQ_Meth_max[[#This Row],[Vergleich_lb]])+dict_DQ_Meth_max[[#This Row],[Vergleich_lb]]</f>
        <v>2853.4214999999999</v>
      </c>
      <c r="H334" s="11" t="str">
        <f ca="1">VLOOKUP(VLOOKUP(dict_DQ_Meth_max[[#This Row],[ID_DataQualities]],table_DataQualities[],3),table_Units[],2)</f>
        <v>Hz</v>
      </c>
      <c r="I334" s="10"/>
      <c r="J334" s="10"/>
      <c r="K334" s="10"/>
      <c r="L334" s="10">
        <f ca="1">VLOOKUP(dict_DQ_Meth_max[[#This Row],[ID_DataQualities]],table_DataQualities[],8,FALSE)</f>
        <v>0.03</v>
      </c>
      <c r="M334" s="10">
        <f ca="1">VLOOKUP(dict_DQ_Meth_max[[#This Row],[ID_DataQualities]],table_DataQualities[],9,FALSE)</f>
        <v>3003.6</v>
      </c>
    </row>
    <row r="335" spans="1:13" x14ac:dyDescent="0.45">
      <c r="A335" s="10">
        <v>89</v>
      </c>
      <c r="B335" s="10">
        <v>588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1881.44</v>
      </c>
      <c r="G335" s="12">
        <f ca="1">(RANDBETWEEN(50,100)/100)*(dict_DQ_Meth_max[[#This Row],[Vergleich_ub]]-dict_DQ_Meth_max[[#This Row],[Vergleich_lb]])+dict_DQ_Meth_max[[#This Row],[Vergleich_lb]]</f>
        <v>6667.6</v>
      </c>
      <c r="H335" s="11" t="str">
        <f ca="1">VLOOKUP(VLOOKUP(dict_DQ_Meth_max[[#This Row],[ID_DataQualities]],table_DataQualities[],3),table_Units[],2)</f>
        <v>bit</v>
      </c>
      <c r="I335" s="10"/>
      <c r="J335" s="10"/>
      <c r="K335" s="10"/>
      <c r="L335" s="10">
        <f ca="1">VLOOKUP(dict_DQ_Meth_max[[#This Row],[ID_DataQualities]],table_DataQualities[],8,FALSE)</f>
        <v>66</v>
      </c>
      <c r="M335" s="10">
        <f ca="1">VLOOKUP(dict_DQ_Meth_max[[#This Row],[ID_DataQualities]],table_DataQualities[],9,FALSE)</f>
        <v>8318</v>
      </c>
    </row>
    <row r="336" spans="1:13" x14ac:dyDescent="0.45">
      <c r="A336" s="10">
        <v>89</v>
      </c>
      <c r="B336" s="10">
        <v>612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891.2</v>
      </c>
      <c r="G336" s="12">
        <f ca="1">(RANDBETWEEN(50,100)/100)*(dict_DQ_Meth_max[[#This Row],[Vergleich_ub]]-dict_DQ_Meth_max[[#This Row],[Vergleich_lb]])+dict_DQ_Meth_max[[#This Row],[Vergleich_lb]]</f>
        <v>8235.48</v>
      </c>
      <c r="H336" s="11" t="str">
        <f ca="1">VLOOKUP(VLOOKUP(dict_DQ_Meth_max[[#This Row],[ID_DataQualities]],table_DataQualities[],3),table_Units[],2)</f>
        <v>bit</v>
      </c>
      <c r="I336" s="10"/>
      <c r="J336" s="10"/>
      <c r="K336" s="10"/>
      <c r="L336" s="10">
        <f ca="1">VLOOKUP(dict_DQ_Meth_max[[#This Row],[ID_DataQualities]],table_DataQualities[],8,FALSE)</f>
        <v>66</v>
      </c>
      <c r="M336" s="10">
        <f ca="1">VLOOKUP(dict_DQ_Meth_max[[#This Row],[ID_DataQualities]],table_DataQualities[],9,FALSE)</f>
        <v>8318</v>
      </c>
    </row>
    <row r="337" spans="1:13" x14ac:dyDescent="0.45">
      <c r="A337" s="10">
        <v>89</v>
      </c>
      <c r="B337" s="10">
        <v>637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396.08</v>
      </c>
      <c r="G337" s="12">
        <f ca="1">(RANDBETWEEN(50,100)/100)*(dict_DQ_Meth_max[[#This Row],[Vergleich_ub]]-dict_DQ_Meth_max[[#This Row],[Vergleich_lb]])+dict_DQ_Meth_max[[#This Row],[Vergleich_lb]]</f>
        <v>6997.6799999999994</v>
      </c>
      <c r="H337" s="11" t="str">
        <f ca="1">VLOOKUP(VLOOKUP(dict_DQ_Meth_max[[#This Row],[ID_DataQualities]],table_DataQualities[],3),table_Units[],2)</f>
        <v>bit</v>
      </c>
      <c r="I337" s="10"/>
      <c r="J337" s="10"/>
      <c r="K337" s="10"/>
      <c r="L337" s="10">
        <f ca="1">VLOOKUP(dict_DQ_Meth_max[[#This Row],[ID_DataQualities]],table_DataQualities[],8,FALSE)</f>
        <v>66</v>
      </c>
      <c r="M337" s="10">
        <f ca="1">VLOOKUP(dict_DQ_Meth_max[[#This Row],[ID_DataQualities]],table_DataQualities[],9,FALSE)</f>
        <v>8318</v>
      </c>
    </row>
    <row r="338" spans="1:13" x14ac:dyDescent="0.45">
      <c r="A338" s="10">
        <v>89</v>
      </c>
      <c r="B338" s="10">
        <v>55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3779.4</v>
      </c>
      <c r="G338" s="12">
        <f ca="1">(RANDBETWEEN(50,100)/100)*(dict_DQ_Meth_max[[#This Row],[Vergleich_ub]]-dict_DQ_Meth_max[[#This Row],[Vergleich_lb]])+dict_DQ_Meth_max[[#This Row],[Vergleich_lb]]</f>
        <v>5594.84</v>
      </c>
      <c r="H338" s="11" t="str">
        <f ca="1">VLOOKUP(VLOOKUP(dict_DQ_Meth_max[[#This Row],[ID_DataQualities]],table_DataQualities[],3),table_Units[],2)</f>
        <v>bit</v>
      </c>
      <c r="I338" s="10"/>
      <c r="J338" s="10"/>
      <c r="K338" s="10"/>
      <c r="L338" s="10">
        <f ca="1">VLOOKUP(dict_DQ_Meth_max[[#This Row],[ID_DataQualities]],table_DataQualities[],8,FALSE)</f>
        <v>66</v>
      </c>
      <c r="M338" s="10">
        <f ca="1">VLOOKUP(dict_DQ_Meth_max[[#This Row],[ID_DataQualities]],table_DataQualities[],9,FALSE)</f>
        <v>8318</v>
      </c>
    </row>
    <row r="339" spans="1:13" x14ac:dyDescent="0.45">
      <c r="A339" s="10">
        <v>89</v>
      </c>
      <c r="B339" s="10">
        <v>56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1468.8400000000001</v>
      </c>
      <c r="G339" s="12">
        <f ca="1">(RANDBETWEEN(50,100)/100)*(dict_DQ_Meth_max[[#This Row],[Vergleich_ub]]-dict_DQ_Meth_max[[#This Row],[Vergleich_lb]])+dict_DQ_Meth_max[[#This Row],[Vergleich_lb]]</f>
        <v>5677.3600000000006</v>
      </c>
      <c r="H339" s="11" t="str">
        <f ca="1">VLOOKUP(VLOOKUP(dict_DQ_Meth_max[[#This Row],[ID_DataQualities]],table_DataQualities[],3),table_Units[],2)</f>
        <v>bit</v>
      </c>
      <c r="I339" s="10"/>
      <c r="J339" s="10"/>
      <c r="K339" s="10"/>
      <c r="L339" s="10">
        <f ca="1">VLOOKUP(dict_DQ_Meth_max[[#This Row],[ID_DataQualities]],table_DataQualities[],8,FALSE)</f>
        <v>66</v>
      </c>
      <c r="M339" s="10">
        <f ca="1">VLOOKUP(dict_DQ_Meth_max[[#This Row],[ID_DataQualities]],table_DataQualities[],9,FALSE)</f>
        <v>8318</v>
      </c>
    </row>
    <row r="340" spans="1:13" x14ac:dyDescent="0.45">
      <c r="A340" s="10">
        <v>90</v>
      </c>
      <c r="B340" s="10">
        <v>151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3345.3624599999994</v>
      </c>
      <c r="G340" s="12">
        <f ca="1">(RANDBETWEEN(50,100)/100)*(dict_DQ_Meth_max[[#This Row],[Vergleich_ub]]-dict_DQ_Meth_max[[#This Row],[Vergleich_lb]])+dict_DQ_Meth_max[[#This Row],[Vergleich_lb]]</f>
        <v>6334.7620200000001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8.2000000000000003E-2</v>
      </c>
      <c r="M340" s="10">
        <f ca="1">VLOOKUP(dict_DQ_Meth_max[[#This Row],[ID_DataQualities]],table_DataQualities[],9,FALSE)</f>
        <v>7117.7</v>
      </c>
    </row>
    <row r="341" spans="1:13" x14ac:dyDescent="0.45">
      <c r="A341" s="10">
        <v>90</v>
      </c>
      <c r="B341" s="10">
        <v>324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996.54852000000005</v>
      </c>
      <c r="G341" s="12">
        <f ca="1">(RANDBETWEEN(50,100)/100)*(dict_DQ_Meth_max[[#This Row],[Vergleich_ub]]-dict_DQ_Meth_max[[#This Row],[Vergleich_lb]])+dict_DQ_Meth_max[[#This Row],[Vergleich_lb]]</f>
        <v>3985.9480800000001</v>
      </c>
      <c r="H341" s="11" t="str">
        <f ca="1">VLOOKUP(VLOOKUP(dict_DQ_Meth_max[[#This Row],[ID_DataQualities]],table_DataQualities[],3),table_Units[],2)</f>
        <v>Hz</v>
      </c>
      <c r="I341" s="10"/>
      <c r="J341" s="10"/>
      <c r="K341" s="10"/>
      <c r="L341" s="10">
        <f ca="1">VLOOKUP(dict_DQ_Meth_max[[#This Row],[ID_DataQualities]],table_DataQualities[],8,FALSE)</f>
        <v>8.2000000000000003E-2</v>
      </c>
      <c r="M341" s="10">
        <f ca="1">VLOOKUP(dict_DQ_Meth_max[[#This Row],[ID_DataQualities]],table_DataQualities[],9,FALSE)</f>
        <v>7117.7</v>
      </c>
    </row>
    <row r="342" spans="1:13" x14ac:dyDescent="0.45">
      <c r="A342" s="10">
        <v>91</v>
      </c>
      <c r="B342" s="10">
        <v>151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0.93787000000000009</v>
      </c>
      <c r="G342" s="12">
        <f ca="1">(RANDBETWEEN(50,100)/100)*(dict_DQ_Meth_max[[#This Row],[Vergleich_ub]]-dict_DQ_Meth_max[[#This Row],[Vergleich_lb]])+dict_DQ_Meth_max[[#This Row],[Vergleich_lb]]</f>
        <v>1.2027100000000002</v>
      </c>
      <c r="H342" s="11" t="str">
        <f ca="1">VLOOKUP(VLOOKUP(dict_DQ_Meth_max[[#This Row],[ID_DataQualities]],table_DataQualities[],3),table_Units[],2)</f>
        <v>+/- mm</v>
      </c>
      <c r="I342" s="10"/>
      <c r="J342" s="10"/>
      <c r="K342" s="10"/>
      <c r="L342" s="10">
        <f ca="1">VLOOKUP(dict_DQ_Meth_max[[#This Row],[ID_DataQualities]],table_DataQualities[],8,FALSE)</f>
        <v>3.3000000000000002E-2</v>
      </c>
      <c r="M342" s="10">
        <f ca="1">VLOOKUP(dict_DQ_Meth_max[[#This Row],[ID_DataQualities]],table_DataQualities[],9,FALSE)</f>
        <v>2.2400000000000002</v>
      </c>
    </row>
    <row r="343" spans="1:13" x14ac:dyDescent="0.45">
      <c r="A343" s="10">
        <v>91</v>
      </c>
      <c r="B343" s="10">
        <v>324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0.34198000000000006</v>
      </c>
      <c r="G343" s="12">
        <f ca="1">(RANDBETWEEN(50,100)/100)*(dict_DQ_Meth_max[[#This Row],[Vergleich_ub]]-dict_DQ_Meth_max[[#This Row],[Vergleich_lb]])+dict_DQ_Meth_max[[#This Row],[Vergleich_lb]]</f>
        <v>2.0193000000000003</v>
      </c>
      <c r="H343" s="11" t="str">
        <f ca="1">VLOOKUP(VLOOKUP(dict_DQ_Meth_max[[#This Row],[ID_DataQualities]],table_DataQualities[],3),table_Units[],2)</f>
        <v>+/- mm</v>
      </c>
      <c r="I343" s="10"/>
      <c r="J343" s="10"/>
      <c r="K343" s="10"/>
      <c r="L343" s="10">
        <f ca="1">VLOOKUP(dict_DQ_Meth_max[[#This Row],[ID_DataQualities]],table_DataQualities[],8,FALSE)</f>
        <v>3.3000000000000002E-2</v>
      </c>
      <c r="M343" s="10">
        <f ca="1">VLOOKUP(dict_DQ_Meth_max[[#This Row],[ID_DataQualities]],table_DataQualities[],9,FALSE)</f>
        <v>2.2400000000000002</v>
      </c>
    </row>
    <row r="344" spans="1:13" x14ac:dyDescent="0.45">
      <c r="A344" s="10">
        <v>92</v>
      </c>
      <c r="B344" s="10">
        <v>10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3990.6164399999998</v>
      </c>
      <c r="G344" s="12">
        <f ca="1">(RANDBETWEEN(50,100)/100)*(dict_DQ_Meth_max[[#This Row],[Vergleich_ub]]-dict_DQ_Meth_max[[#This Row],[Vergleich_lb]])+dict_DQ_Meth_max[[#This Row],[Vergleich_lb]]</f>
        <v>6853.1730600000001</v>
      </c>
      <c r="H344" s="11" t="str">
        <f ca="1">VLOOKUP(VLOOKUP(dict_DQ_Meth_max[[#This Row],[ID_DataQualities]],table_DataQualities[],3),table_Units[],2)</f>
        <v>Hz</v>
      </c>
      <c r="I344" s="10"/>
      <c r="J344" s="10"/>
      <c r="K344" s="10"/>
      <c r="L344" s="10">
        <f ca="1">VLOOKUP(dict_DQ_Meth_max[[#This Row],[ID_DataQualities]],table_DataQualities[],8,FALSE)</f>
        <v>0.38600000000000001</v>
      </c>
      <c r="M344" s="10">
        <f ca="1">VLOOKUP(dict_DQ_Meth_max[[#This Row],[ID_DataQualities]],table_DataQualities[],9,FALSE)</f>
        <v>8674.7999999999993</v>
      </c>
    </row>
    <row r="345" spans="1:13" x14ac:dyDescent="0.45">
      <c r="A345" s="10">
        <v>92</v>
      </c>
      <c r="B345" s="10">
        <v>558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2949.6867599999996</v>
      </c>
      <c r="G345" s="12">
        <f ca="1">(RANDBETWEEN(50,100)/100)*(dict_DQ_Meth_max[[#This Row],[Vergleich_ub]]-dict_DQ_Meth_max[[#This Row],[Vergleich_lb]])+dict_DQ_Meth_max[[#This Row],[Vergleich_lb]]</f>
        <v>8241.0792999999994</v>
      </c>
      <c r="H345" s="11" t="str">
        <f ca="1">VLOOKUP(VLOOKUP(dict_DQ_Meth_max[[#This Row],[ID_DataQualities]],table_DataQualities[],3),table_Units[],2)</f>
        <v>Hz</v>
      </c>
      <c r="I345" s="10"/>
      <c r="J345" s="10"/>
      <c r="K345" s="10"/>
      <c r="L345" s="10">
        <f ca="1">VLOOKUP(dict_DQ_Meth_max[[#This Row],[ID_DataQualities]],table_DataQualities[],8,FALSE)</f>
        <v>0.38600000000000001</v>
      </c>
      <c r="M345" s="10">
        <f ca="1">VLOOKUP(dict_DQ_Meth_max[[#This Row],[ID_DataQualities]],table_DataQualities[],9,FALSE)</f>
        <v>8674.7999999999993</v>
      </c>
    </row>
    <row r="346" spans="1:13" x14ac:dyDescent="0.45">
      <c r="A346" s="10">
        <v>92</v>
      </c>
      <c r="B346" s="10">
        <v>52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2515.9660599999993</v>
      </c>
      <c r="G346" s="12">
        <f ca="1">(RANDBETWEEN(50,100)/100)*(dict_DQ_Meth_max[[#This Row],[Vergleich_ub]]-dict_DQ_Meth_max[[#This Row],[Vergleich_lb]])+dict_DQ_Meth_max[[#This Row],[Vergleich_lb]]</f>
        <v>7807.3585999999996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0.38600000000000001</v>
      </c>
      <c r="M346" s="10">
        <f ca="1">VLOOKUP(dict_DQ_Meth_max[[#This Row],[ID_DataQualities]],table_DataQualities[],9,FALSE)</f>
        <v>8674.7999999999993</v>
      </c>
    </row>
    <row r="347" spans="1:13" x14ac:dyDescent="0.45">
      <c r="A347" s="10">
        <v>92</v>
      </c>
      <c r="B347" s="10">
        <v>319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2429.22192</v>
      </c>
      <c r="G347" s="12">
        <f ca="1">(RANDBETWEEN(50,100)/100)*(dict_DQ_Meth_max[[#This Row],[Vergleich_ub]]-dict_DQ_Meth_max[[#This Row],[Vergleich_lb]])+dict_DQ_Meth_max[[#This Row],[Vergleich_lb]]</f>
        <v>7200.1496199999992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0.38600000000000001</v>
      </c>
      <c r="M347" s="10">
        <f ca="1">VLOOKUP(dict_DQ_Meth_max[[#This Row],[ID_DataQualities]],table_DataQualities[],9,FALSE)</f>
        <v>8674.7999999999993</v>
      </c>
    </row>
    <row r="348" spans="1:13" x14ac:dyDescent="0.45">
      <c r="A348" s="10">
        <v>93</v>
      </c>
      <c r="B348" s="10">
        <v>10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0.21812000000000001</v>
      </c>
      <c r="G348" s="12">
        <f ca="1">(RANDBETWEEN(50,100)/100)*(dict_DQ_Meth_max[[#This Row],[Vergleich_ub]]-dict_DQ_Meth_max[[#This Row],[Vergleich_lb]])+dict_DQ_Meth_max[[#This Row],[Vergleich_lb]]</f>
        <v>1.1073600000000001</v>
      </c>
      <c r="H348" s="11" t="str">
        <f ca="1">VLOOKUP(VLOOKUP(dict_DQ_Meth_max[[#This Row],[ID_DataQualities]],table_DataQualities[],3),table_Units[],2)</f>
        <v>+/- mm</v>
      </c>
      <c r="I348" s="10"/>
      <c r="J348" s="10"/>
      <c r="K348" s="10"/>
      <c r="L348" s="10">
        <f ca="1">VLOOKUP(dict_DQ_Meth_max[[#This Row],[ID_DataQualities]],table_DataQualities[],8,FALSE)</f>
        <v>3.2000000000000001E-2</v>
      </c>
      <c r="M348" s="10">
        <f ca="1">VLOOKUP(dict_DQ_Meth_max[[#This Row],[ID_DataQualities]],table_DataQualities[],9,FALSE)</f>
        <v>2.1</v>
      </c>
    </row>
    <row r="349" spans="1:13" x14ac:dyDescent="0.45">
      <c r="A349" s="10">
        <v>93</v>
      </c>
      <c r="B349" s="10">
        <v>319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0.59036000000000011</v>
      </c>
      <c r="G349" s="12">
        <f ca="1">(RANDBETWEEN(50,100)/100)*(dict_DQ_Meth_max[[#This Row],[Vergleich_ub]]-dict_DQ_Meth_max[[#This Row],[Vergleich_lb]])+dict_DQ_Meth_max[[#This Row],[Vergleich_lb]]</f>
        <v>1.3968800000000001</v>
      </c>
      <c r="H349" s="11" t="str">
        <f ca="1">VLOOKUP(VLOOKUP(dict_DQ_Meth_max[[#This Row],[ID_DataQualities]],table_DataQualities[],3),table_Units[],2)</f>
        <v>+/- mm</v>
      </c>
      <c r="I349" s="10"/>
      <c r="J349" s="10"/>
      <c r="K349" s="10"/>
      <c r="L349" s="10">
        <f ca="1">VLOOKUP(dict_DQ_Meth_max[[#This Row],[ID_DataQualities]],table_DataQualities[],8,FALSE)</f>
        <v>3.2000000000000001E-2</v>
      </c>
      <c r="M349" s="10">
        <f ca="1">VLOOKUP(dict_DQ_Meth_max[[#This Row],[ID_DataQualities]],table_DataQualities[],9,FALSE)</f>
        <v>2.1</v>
      </c>
    </row>
    <row r="350" spans="1:13" x14ac:dyDescent="0.45">
      <c r="A350" s="10">
        <v>93</v>
      </c>
      <c r="B350" s="10">
        <v>52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0.56968000000000008</v>
      </c>
      <c r="G350" s="12">
        <f ca="1">(RANDBETWEEN(50,100)/100)*(dict_DQ_Meth_max[[#This Row],[Vergleich_ub]]-dict_DQ_Meth_max[[#This Row],[Vergleich_lb]])+dict_DQ_Meth_max[[#This Row],[Vergleich_lb]]</f>
        <v>1.1073600000000001</v>
      </c>
      <c r="H350" s="11" t="str">
        <f ca="1">VLOOKUP(VLOOKUP(dict_DQ_Meth_max[[#This Row],[ID_DataQualities]],table_DataQualities[],3),table_Units[],2)</f>
        <v>+/- mm</v>
      </c>
      <c r="I350" s="10"/>
      <c r="J350" s="10"/>
      <c r="K350" s="10"/>
      <c r="L350" s="10">
        <f ca="1">VLOOKUP(dict_DQ_Meth_max[[#This Row],[ID_DataQualities]],table_DataQualities[],8,FALSE)</f>
        <v>3.2000000000000001E-2</v>
      </c>
      <c r="M350" s="10">
        <f ca="1">VLOOKUP(dict_DQ_Meth_max[[#This Row],[ID_DataQualities]],table_DataQualities[],9,FALSE)</f>
        <v>2.1</v>
      </c>
    </row>
    <row r="351" spans="1:13" x14ac:dyDescent="0.45">
      <c r="A351" s="10">
        <v>93</v>
      </c>
      <c r="B351" s="10">
        <v>558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9.4039999999999999E-2</v>
      </c>
      <c r="G351" s="12">
        <f ca="1">(RANDBETWEEN(50,100)/100)*(dict_DQ_Meth_max[[#This Row],[Vergleich_ub]]-dict_DQ_Meth_max[[#This Row],[Vergleich_lb]])+dict_DQ_Meth_max[[#This Row],[Vergleich_lb]]</f>
        <v>1.4796</v>
      </c>
      <c r="H351" s="11" t="str">
        <f ca="1">VLOOKUP(VLOOKUP(dict_DQ_Meth_max[[#This Row],[ID_DataQualities]],table_DataQualities[],3),table_Units[],2)</f>
        <v>+/- mm</v>
      </c>
      <c r="I351" s="10"/>
      <c r="J351" s="10"/>
      <c r="K351" s="10"/>
      <c r="L351" s="10">
        <f ca="1">VLOOKUP(dict_DQ_Meth_max[[#This Row],[ID_DataQualities]],table_DataQualities[],8,FALSE)</f>
        <v>3.2000000000000001E-2</v>
      </c>
      <c r="M351" s="10">
        <f ca="1">VLOOKUP(dict_DQ_Meth_max[[#This Row],[ID_DataQualities]],table_DataQualities[],9,FALSE)</f>
        <v>2.1</v>
      </c>
    </row>
    <row r="352" spans="1:13" x14ac:dyDescent="0.45">
      <c r="A352" s="10">
        <v>94</v>
      </c>
      <c r="B352" s="10">
        <v>144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296.98874000000001</v>
      </c>
      <c r="G352" s="12">
        <f ca="1">(RANDBETWEEN(50,100)/100)*(dict_DQ_Meth_max[[#This Row],[Vergleich_ub]]-dict_DQ_Meth_max[[#This Row],[Vergleich_lb]])+dict_DQ_Meth_max[[#This Row],[Vergleich_lb]]</f>
        <v>517.57049999999992</v>
      </c>
      <c r="H352" s="11" t="str">
        <f ca="1">VLOOKUP(VLOOKUP(dict_DQ_Meth_max[[#This Row],[ID_DataQualities]],table_DataQualities[],3),table_Units[],2)</f>
        <v>Hz</v>
      </c>
      <c r="I352" s="10"/>
      <c r="J352" s="10"/>
      <c r="K352" s="10"/>
      <c r="L352" s="10">
        <f ca="1">VLOOKUP(dict_DQ_Meth_max[[#This Row],[ID_DataQualities]],table_DataQualities[],8,FALSE)</f>
        <v>0.58199999999999996</v>
      </c>
      <c r="M352" s="10">
        <f ca="1">VLOOKUP(dict_DQ_Meth_max[[#This Row],[ID_DataQualities]],table_DataQualities[],9,FALSE)</f>
        <v>689.9</v>
      </c>
    </row>
    <row r="353" spans="1:13" x14ac:dyDescent="0.45">
      <c r="A353" s="10">
        <v>94</v>
      </c>
      <c r="B353" s="10">
        <v>488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207.37739999999999</v>
      </c>
      <c r="G353" s="12">
        <f ca="1">(RANDBETWEEN(50,100)/100)*(dict_DQ_Meth_max[[#This Row],[Vergleich_ub]]-dict_DQ_Meth_max[[#This Row],[Vergleich_lb]])+dict_DQ_Meth_max[[#This Row],[Vergleich_lb]]</f>
        <v>524.46367999999995</v>
      </c>
      <c r="H353" s="11" t="str">
        <f ca="1">VLOOKUP(VLOOKUP(dict_DQ_Meth_max[[#This Row],[ID_DataQualities]],table_DataQualities[],3),table_Units[],2)</f>
        <v>Hz</v>
      </c>
      <c r="I353" s="10"/>
      <c r="J353" s="10"/>
      <c r="K353" s="10"/>
      <c r="L353" s="10">
        <f ca="1">VLOOKUP(dict_DQ_Meth_max[[#This Row],[ID_DataQualities]],table_DataQualities[],8,FALSE)</f>
        <v>0.58199999999999996</v>
      </c>
      <c r="M353" s="10">
        <f ca="1">VLOOKUP(dict_DQ_Meth_max[[#This Row],[ID_DataQualities]],table_DataQualities[],9,FALSE)</f>
        <v>689.9</v>
      </c>
    </row>
    <row r="354" spans="1:13" x14ac:dyDescent="0.45">
      <c r="A354" s="10">
        <v>94</v>
      </c>
      <c r="B354" s="10">
        <v>303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166.01831999999999</v>
      </c>
      <c r="G354" s="12">
        <f ca="1">(RANDBETWEEN(50,100)/100)*(dict_DQ_Meth_max[[#This Row],[Vergleich_ub]]-dict_DQ_Meth_max[[#This Row],[Vergleich_lb]])+dict_DQ_Meth_max[[#This Row],[Vergleich_lb]]</f>
        <v>427.95916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0.58199999999999996</v>
      </c>
      <c r="M354" s="10">
        <f ca="1">VLOOKUP(dict_DQ_Meth_max[[#This Row],[ID_DataQualities]],table_DataQualities[],9,FALSE)</f>
        <v>689.9</v>
      </c>
    </row>
    <row r="355" spans="1:13" x14ac:dyDescent="0.45">
      <c r="A355" s="10">
        <v>95</v>
      </c>
      <c r="B355" s="10">
        <v>303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0.89300000000000002</v>
      </c>
      <c r="G355" s="12">
        <f ca="1">(RANDBETWEEN(50,100)/100)*(dict_DQ_Meth_max[[#This Row],[Vergleich_ub]]-dict_DQ_Meth_max[[#This Row],[Vergleich_lb]])+dict_DQ_Meth_max[[#This Row],[Vergleich_lb]]</f>
        <v>2.0110000000000001</v>
      </c>
      <c r="H355" s="11" t="str">
        <f ca="1">VLOOKUP(VLOOKUP(dict_DQ_Meth_max[[#This Row],[ID_DataQualities]],table_DataQualities[],3),table_Units[],2)</f>
        <v>+/- mm/s</v>
      </c>
      <c r="I355" s="10"/>
      <c r="J355" s="10"/>
      <c r="K355" s="10"/>
      <c r="L355" s="10">
        <f ca="1">VLOOKUP(dict_DQ_Meth_max[[#This Row],[ID_DataQualities]],table_DataQualities[],8,FALSE)</f>
        <v>0.85</v>
      </c>
      <c r="M355" s="10">
        <f ca="1">VLOOKUP(dict_DQ_Meth_max[[#This Row],[ID_DataQualities]],table_DataQualities[],9,FALSE)</f>
        <v>3</v>
      </c>
    </row>
    <row r="356" spans="1:13" x14ac:dyDescent="0.45">
      <c r="A356" s="10">
        <v>95</v>
      </c>
      <c r="B356" s="10">
        <v>144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1.8605</v>
      </c>
      <c r="G356" s="12">
        <f ca="1">(RANDBETWEEN(50,100)/100)*(dict_DQ_Meth_max[[#This Row],[Vergleich_ub]]-dict_DQ_Meth_max[[#This Row],[Vergleich_lb]])+dict_DQ_Meth_max[[#This Row],[Vergleich_lb]]</f>
        <v>2.8925000000000001</v>
      </c>
      <c r="H356" s="11" t="str">
        <f ca="1">VLOOKUP(VLOOKUP(dict_DQ_Meth_max[[#This Row],[ID_DataQualities]],table_DataQualities[],3),table_Units[],2)</f>
        <v>+/- mm/s</v>
      </c>
      <c r="I356" s="10"/>
      <c r="J356" s="10"/>
      <c r="K356" s="10"/>
      <c r="L356" s="10">
        <f ca="1">VLOOKUP(dict_DQ_Meth_max[[#This Row],[ID_DataQualities]],table_DataQualities[],8,FALSE)</f>
        <v>0.85</v>
      </c>
      <c r="M356" s="10">
        <f ca="1">VLOOKUP(dict_DQ_Meth_max[[#This Row],[ID_DataQualities]],table_DataQualities[],9,FALSE)</f>
        <v>3</v>
      </c>
    </row>
    <row r="357" spans="1:13" x14ac:dyDescent="0.45">
      <c r="A357" s="10">
        <v>95</v>
      </c>
      <c r="B357" s="10">
        <v>488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1.5594999999999999</v>
      </c>
      <c r="G357" s="12">
        <f ca="1">(RANDBETWEEN(50,100)/100)*(dict_DQ_Meth_max[[#This Row],[Vergleich_ub]]-dict_DQ_Meth_max[[#This Row],[Vergleich_lb]])+dict_DQ_Meth_max[[#This Row],[Vergleich_lb]]</f>
        <v>2.6344999999999996</v>
      </c>
      <c r="H357" s="11" t="str">
        <f ca="1">VLOOKUP(VLOOKUP(dict_DQ_Meth_max[[#This Row],[ID_DataQualities]],table_DataQualities[],3),table_Units[],2)</f>
        <v>+/- mm/s</v>
      </c>
      <c r="I357" s="10"/>
      <c r="J357" s="10"/>
      <c r="K357" s="10"/>
      <c r="L357" s="10">
        <f ca="1">VLOOKUP(dict_DQ_Meth_max[[#This Row],[ID_DataQualities]],table_DataQualities[],8,FALSE)</f>
        <v>0.85</v>
      </c>
      <c r="M357" s="10">
        <f ca="1">VLOOKUP(dict_DQ_Meth_max[[#This Row],[ID_DataQualities]],table_DataQualities[],9,FALSE)</f>
        <v>3</v>
      </c>
    </row>
    <row r="358" spans="1:13" x14ac:dyDescent="0.45">
      <c r="A358" s="10">
        <v>96</v>
      </c>
      <c r="B358" s="10">
        <v>485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2735.8610799999997</v>
      </c>
      <c r="G358" s="12">
        <f ca="1">(RANDBETWEEN(50,100)/100)*(dict_DQ_Meth_max[[#This Row],[Vergleich_ub]]-dict_DQ_Meth_max[[#This Row],[Vergleich_lb]])+dict_DQ_Meth_max[[#This Row],[Vergleich_lb]]</f>
        <v>7181.5849599999992</v>
      </c>
      <c r="H358" s="11" t="str">
        <f ca="1">VLOOKUP(VLOOKUP(dict_DQ_Meth_max[[#This Row],[ID_DataQualities]],table_DataQualities[],3),table_Units[],2)</f>
        <v>Hz</v>
      </c>
      <c r="I358" s="10"/>
      <c r="J358" s="10"/>
      <c r="K358" s="10"/>
      <c r="L358" s="10">
        <f ca="1">VLOOKUP(dict_DQ_Meth_max[[#This Row],[ID_DataQualities]],table_DataQualities[],8,FALSE)</f>
        <v>3.1E-2</v>
      </c>
      <c r="M358" s="10">
        <f ca="1">VLOOKUP(dict_DQ_Meth_max[[#This Row],[ID_DataQualities]],table_DataQualities[],9,FALSE)</f>
        <v>8549.5</v>
      </c>
    </row>
    <row r="359" spans="1:13" x14ac:dyDescent="0.45">
      <c r="A359" s="10">
        <v>96</v>
      </c>
      <c r="B359" s="10">
        <v>528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2137.3982499999997</v>
      </c>
      <c r="G359" s="12">
        <f ca="1">(RANDBETWEEN(50,100)/100)*(dict_DQ_Meth_max[[#This Row],[Vergleich_ub]]-dict_DQ_Meth_max[[#This Row],[Vergleich_lb]])+dict_DQ_Meth_max[[#This Row],[Vergleich_lb]]</f>
        <v>7181.5849599999992</v>
      </c>
      <c r="H359" s="11" t="str">
        <f ca="1">VLOOKUP(VLOOKUP(dict_DQ_Meth_max[[#This Row],[ID_DataQualities]],table_DataQualities[],3),table_Units[],2)</f>
        <v>Hz</v>
      </c>
      <c r="I359" s="10"/>
      <c r="J359" s="10"/>
      <c r="K359" s="10"/>
      <c r="L359" s="10">
        <f ca="1">VLOOKUP(dict_DQ_Meth_max[[#This Row],[ID_DataQualities]],table_DataQualities[],8,FALSE)</f>
        <v>3.1E-2</v>
      </c>
      <c r="M359" s="10">
        <f ca="1">VLOOKUP(dict_DQ_Meth_max[[#This Row],[ID_DataQualities]],table_DataQualities[],9,FALSE)</f>
        <v>8549.5</v>
      </c>
    </row>
    <row r="360" spans="1:13" x14ac:dyDescent="0.45">
      <c r="A360" s="10">
        <v>96</v>
      </c>
      <c r="B360" s="10">
        <v>532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2564.8716999999997</v>
      </c>
      <c r="G360" s="12">
        <f ca="1">(RANDBETWEEN(50,100)/100)*(dict_DQ_Meth_max[[#This Row],[Vergleich_ub]]-dict_DQ_Meth_max[[#This Row],[Vergleich_lb]])+dict_DQ_Meth_max[[#This Row],[Vergleich_lb]]</f>
        <v>4958.7230199999995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3.1E-2</v>
      </c>
      <c r="M360" s="10">
        <f ca="1">VLOOKUP(dict_DQ_Meth_max[[#This Row],[ID_DataQualities]],table_DataQualities[],9,FALSE)</f>
        <v>8549.5</v>
      </c>
    </row>
    <row r="361" spans="1:13" x14ac:dyDescent="0.45">
      <c r="A361" s="10">
        <v>96</v>
      </c>
      <c r="B361" s="10">
        <v>30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2735.8610799999997</v>
      </c>
      <c r="G361" s="12">
        <f ca="1">(RANDBETWEEN(50,100)/100)*(dict_DQ_Meth_max[[#This Row],[Vergleich_ub]]-dict_DQ_Meth_max[[#This Row],[Vergleich_lb]])+dict_DQ_Meth_max[[#This Row],[Vergleich_lb]]</f>
        <v>8293.0159299999996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3.1E-2</v>
      </c>
      <c r="M361" s="10">
        <f ca="1">VLOOKUP(dict_DQ_Meth_max[[#This Row],[ID_DataQualities]],table_DataQualities[],9,FALSE)</f>
        <v>8549.5</v>
      </c>
    </row>
    <row r="362" spans="1:13" x14ac:dyDescent="0.45">
      <c r="A362" s="10">
        <v>96</v>
      </c>
      <c r="B362" s="10">
        <v>32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3.1E-2</v>
      </c>
      <c r="G362" s="12">
        <f ca="1">(RANDBETWEEN(50,100)/100)*(dict_DQ_Meth_max[[#This Row],[Vergleich_ub]]-dict_DQ_Meth_max[[#This Row],[Vergleich_lb]])+dict_DQ_Meth_max[[#This Row],[Vergleich_lb]]</f>
        <v>6241.1433699999989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3.1E-2</v>
      </c>
      <c r="M362" s="10">
        <f ca="1">VLOOKUP(dict_DQ_Meth_max[[#This Row],[ID_DataQualities]],table_DataQualities[],9,FALSE)</f>
        <v>8549.5</v>
      </c>
    </row>
    <row r="363" spans="1:13" x14ac:dyDescent="0.45">
      <c r="A363" s="10">
        <v>96</v>
      </c>
      <c r="B363" s="10">
        <v>302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1453.4407299999998</v>
      </c>
      <c r="G363" s="12">
        <f ca="1">(RANDBETWEEN(50,100)/100)*(dict_DQ_Meth_max[[#This Row],[Vergleich_ub]]-dict_DQ_Meth_max[[#This Row],[Vergleich_lb]])+dict_DQ_Meth_max[[#This Row],[Vergleich_lb]]</f>
        <v>4360.26019</v>
      </c>
      <c r="H363" s="11" t="str">
        <f ca="1">VLOOKUP(VLOOKUP(dict_DQ_Meth_max[[#This Row],[ID_DataQualities]],table_DataQualities[],3),table_Units[],2)</f>
        <v>Hz</v>
      </c>
      <c r="I363" s="10"/>
      <c r="J363" s="10"/>
      <c r="K363" s="10"/>
      <c r="L363" s="10">
        <f ca="1">VLOOKUP(dict_DQ_Meth_max[[#This Row],[ID_DataQualities]],table_DataQualities[],8,FALSE)</f>
        <v>3.1E-2</v>
      </c>
      <c r="M363" s="10">
        <f ca="1">VLOOKUP(dict_DQ_Meth_max[[#This Row],[ID_DataQualities]],table_DataQualities[],9,FALSE)</f>
        <v>8549.5</v>
      </c>
    </row>
    <row r="364" spans="1:13" x14ac:dyDescent="0.45">
      <c r="A364" s="10">
        <v>97</v>
      </c>
      <c r="B364" s="10">
        <v>485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905.36000000000013</v>
      </c>
      <c r="G364" s="12">
        <f ca="1">(RANDBETWEEN(50,100)/100)*(dict_DQ_Meth_max[[#This Row],[Vergleich_ub]]-dict_DQ_Meth_max[[#This Row],[Vergleich_lb]])+dict_DQ_Meth_max[[#This Row],[Vergleich_lb]]</f>
        <v>2972.88</v>
      </c>
      <c r="H364" s="11" t="str">
        <f ca="1">VLOOKUP(VLOOKUP(dict_DQ_Meth_max[[#This Row],[ID_DataQualities]],table_DataQualities[],3),table_Units[],2)</f>
        <v>bit</v>
      </c>
      <c r="I364" s="10"/>
      <c r="J364" s="10"/>
      <c r="K364" s="10"/>
      <c r="L364" s="10">
        <f ca="1">VLOOKUP(dict_DQ_Meth_max[[#This Row],[ID_DataQualities]],table_DataQualities[],8,FALSE)</f>
        <v>90</v>
      </c>
      <c r="M364" s="10">
        <f ca="1">VLOOKUP(dict_DQ_Meth_max[[#This Row],[ID_DataQualities]],table_DataQualities[],9,FALSE)</f>
        <v>3002</v>
      </c>
    </row>
    <row r="365" spans="1:13" x14ac:dyDescent="0.45">
      <c r="A365" s="10">
        <v>97</v>
      </c>
      <c r="B365" s="10">
        <v>528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905.36000000000013</v>
      </c>
      <c r="G365" s="12">
        <f ca="1">(RANDBETWEEN(50,100)/100)*(dict_DQ_Meth_max[[#This Row],[Vergleich_ub]]-dict_DQ_Meth_max[[#This Row],[Vergleich_lb]])+dict_DQ_Meth_max[[#This Row],[Vergleich_lb]]</f>
        <v>1662.48</v>
      </c>
      <c r="H365" s="11" t="str">
        <f ca="1">VLOOKUP(VLOOKUP(dict_DQ_Meth_max[[#This Row],[ID_DataQualities]],table_DataQualities[],3),table_Units[],2)</f>
        <v>bit</v>
      </c>
      <c r="I365" s="10"/>
      <c r="J365" s="10"/>
      <c r="K365" s="10"/>
      <c r="L365" s="10">
        <f ca="1">VLOOKUP(dict_DQ_Meth_max[[#This Row],[ID_DataQualities]],table_DataQualities[],8,FALSE)</f>
        <v>90</v>
      </c>
      <c r="M365" s="10">
        <f ca="1">VLOOKUP(dict_DQ_Meth_max[[#This Row],[ID_DataQualities]],table_DataQualities[],9,FALSE)</f>
        <v>3002</v>
      </c>
    </row>
    <row r="366" spans="1:13" x14ac:dyDescent="0.45">
      <c r="A366" s="10">
        <v>97</v>
      </c>
      <c r="B366" s="10">
        <v>532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410.32</v>
      </c>
      <c r="G366" s="12">
        <f ca="1">(RANDBETWEEN(50,100)/100)*(dict_DQ_Meth_max[[#This Row],[Vergleich_ub]]-dict_DQ_Meth_max[[#This Row],[Vergleich_lb]])+dict_DQ_Meth_max[[#This Row],[Vergleich_lb]]</f>
        <v>2594.3200000000002</v>
      </c>
      <c r="H366" s="11" t="str">
        <f ca="1">VLOOKUP(VLOOKUP(dict_DQ_Meth_max[[#This Row],[ID_DataQualities]],table_DataQualities[],3),table_Units[],2)</f>
        <v>bit</v>
      </c>
      <c r="I366" s="10"/>
      <c r="J366" s="10"/>
      <c r="K366" s="10"/>
      <c r="L366" s="10">
        <f ca="1">VLOOKUP(dict_DQ_Meth_max[[#This Row],[ID_DataQualities]],table_DataQualities[],8,FALSE)</f>
        <v>90</v>
      </c>
      <c r="M366" s="10">
        <f ca="1">VLOOKUP(dict_DQ_Meth_max[[#This Row],[ID_DataQualities]],table_DataQualities[],9,FALSE)</f>
        <v>3002</v>
      </c>
    </row>
    <row r="367" spans="1:13" x14ac:dyDescent="0.45">
      <c r="A367" s="10">
        <v>97</v>
      </c>
      <c r="B367" s="10">
        <v>30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148.24</v>
      </c>
      <c r="G367" s="12">
        <f ca="1">(RANDBETWEEN(50,100)/100)*(dict_DQ_Meth_max[[#This Row],[Vergleich_ub]]-dict_DQ_Meth_max[[#This Row],[Vergleich_lb]])+dict_DQ_Meth_max[[#This Row],[Vergleich_lb]]</f>
        <v>2885.52</v>
      </c>
      <c r="H367" s="11" t="str">
        <f ca="1">VLOOKUP(VLOOKUP(dict_DQ_Meth_max[[#This Row],[ID_DataQualities]],table_DataQualities[],3),table_Units[],2)</f>
        <v>bit</v>
      </c>
      <c r="I367" s="10"/>
      <c r="J367" s="10"/>
      <c r="K367" s="10"/>
      <c r="L367" s="10">
        <f ca="1">VLOOKUP(dict_DQ_Meth_max[[#This Row],[ID_DataQualities]],table_DataQualities[],8,FALSE)</f>
        <v>90</v>
      </c>
      <c r="M367" s="10">
        <f ca="1">VLOOKUP(dict_DQ_Meth_max[[#This Row],[ID_DataQualities]],table_DataQualities[],9,FALSE)</f>
        <v>3002</v>
      </c>
    </row>
    <row r="368" spans="1:13" x14ac:dyDescent="0.45">
      <c r="A368" s="10">
        <v>97</v>
      </c>
      <c r="B368" s="10">
        <v>32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1283.9199999999998</v>
      </c>
      <c r="G368" s="12">
        <f ca="1">(RANDBETWEEN(50,100)/100)*(dict_DQ_Meth_max[[#This Row],[Vergleich_ub]]-dict_DQ_Meth_max[[#This Row],[Vergleich_lb]])+dict_DQ_Meth_max[[#This Row],[Vergleich_lb]]</f>
        <v>2652.56</v>
      </c>
      <c r="H368" s="11" t="str">
        <f ca="1">VLOOKUP(VLOOKUP(dict_DQ_Meth_max[[#This Row],[ID_DataQualities]],table_DataQualities[],3),table_Units[],2)</f>
        <v>bit</v>
      </c>
      <c r="I368" s="10"/>
      <c r="J368" s="10"/>
      <c r="K368" s="10"/>
      <c r="L368" s="10">
        <f ca="1">VLOOKUP(dict_DQ_Meth_max[[#This Row],[ID_DataQualities]],table_DataQualities[],8,FALSE)</f>
        <v>90</v>
      </c>
      <c r="M368" s="10">
        <f ca="1">VLOOKUP(dict_DQ_Meth_max[[#This Row],[ID_DataQualities]],table_DataQualities[],9,FALSE)</f>
        <v>3002</v>
      </c>
    </row>
    <row r="369" spans="1:13" x14ac:dyDescent="0.45">
      <c r="A369" s="10">
        <v>97</v>
      </c>
      <c r="B369" s="10">
        <v>302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1167.44</v>
      </c>
      <c r="G369" s="12">
        <f ca="1">(RANDBETWEEN(50,100)/100)*(dict_DQ_Meth_max[[#This Row],[Vergleich_ub]]-dict_DQ_Meth_max[[#This Row],[Vergleich_lb]])+dict_DQ_Meth_max[[#This Row],[Vergleich_lb]]</f>
        <v>1953.68</v>
      </c>
      <c r="H369" s="11" t="str">
        <f ca="1">VLOOKUP(VLOOKUP(dict_DQ_Meth_max[[#This Row],[ID_DataQualities]],table_DataQualities[],3),table_Units[],2)</f>
        <v>bit</v>
      </c>
      <c r="I369" s="10"/>
      <c r="J369" s="10"/>
      <c r="K369" s="10"/>
      <c r="L369" s="10">
        <f ca="1">VLOOKUP(dict_DQ_Meth_max[[#This Row],[ID_DataQualities]],table_DataQualities[],8,FALSE)</f>
        <v>90</v>
      </c>
      <c r="M369" s="10">
        <f ca="1">VLOOKUP(dict_DQ_Meth_max[[#This Row],[ID_DataQualities]],table_DataQualities[],9,FALSE)</f>
        <v>3002</v>
      </c>
    </row>
    <row r="370" spans="1:13" x14ac:dyDescent="0.45">
      <c r="A370" s="10">
        <v>98</v>
      </c>
      <c r="B370" s="10">
        <v>486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1068.4471300000002</v>
      </c>
      <c r="G370" s="12">
        <f ca="1">(RANDBETWEEN(50,100)/100)*(dict_DQ_Meth_max[[#This Row],[Vergleich_ub]]-dict_DQ_Meth_max[[#This Row],[Vergleich_lb]])+dict_DQ_Meth_max[[#This Row],[Vergleich_lb]]</f>
        <v>4711.6527500000002</v>
      </c>
      <c r="H370" s="11" t="str">
        <f ca="1">VLOOKUP(VLOOKUP(dict_DQ_Meth_max[[#This Row],[ID_DataQualities]],table_DataQualities[],3),table_Units[],2)</f>
        <v>Hz</v>
      </c>
      <c r="I370" s="10"/>
      <c r="J370" s="10"/>
      <c r="K370" s="10"/>
      <c r="L370" s="10">
        <f ca="1">VLOOKUP(dict_DQ_Meth_max[[#This Row],[ID_DataQualities]],table_DataQualities[],8,FALSE)</f>
        <v>0.61099999999999999</v>
      </c>
      <c r="M370" s="10">
        <f ca="1">VLOOKUP(dict_DQ_Meth_max[[#This Row],[ID_DataQualities]],table_DataQualities[],9,FALSE)</f>
        <v>6282</v>
      </c>
    </row>
    <row r="371" spans="1:13" x14ac:dyDescent="0.45">
      <c r="A371" s="10">
        <v>98</v>
      </c>
      <c r="B371" s="10">
        <v>484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2073.4693699999998</v>
      </c>
      <c r="G371" s="12">
        <f ca="1">(RANDBETWEEN(50,100)/100)*(dict_DQ_Meth_max[[#This Row],[Vergleich_ub]]-dict_DQ_Meth_max[[#This Row],[Vergleich_lb]])+dict_DQ_Meth_max[[#This Row],[Vergleich_lb]]</f>
        <v>5779.4888799999999</v>
      </c>
      <c r="H371" s="11" t="str">
        <f ca="1">VLOOKUP(VLOOKUP(dict_DQ_Meth_max[[#This Row],[ID_DataQualities]],table_DataQualities[],3),table_Units[],2)</f>
        <v>Hz</v>
      </c>
      <c r="I371" s="10"/>
      <c r="J371" s="10"/>
      <c r="K371" s="10"/>
      <c r="L371" s="10">
        <f ca="1">VLOOKUP(dict_DQ_Meth_max[[#This Row],[ID_DataQualities]],table_DataQualities[],8,FALSE)</f>
        <v>0.61099999999999999</v>
      </c>
      <c r="M371" s="10">
        <f ca="1">VLOOKUP(dict_DQ_Meth_max[[#This Row],[ID_DataQualities]],table_DataQualities[],9,FALSE)</f>
        <v>6282</v>
      </c>
    </row>
    <row r="372" spans="1:13" x14ac:dyDescent="0.45">
      <c r="A372" s="10">
        <v>98</v>
      </c>
      <c r="B372" s="10">
        <v>132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1885.0277000000001</v>
      </c>
      <c r="G372" s="12">
        <f ca="1">(RANDBETWEEN(50,100)/100)*(dict_DQ_Meth_max[[#This Row],[Vergleich_ub]]-dict_DQ_Meth_max[[#This Row],[Vergleich_lb]])+dict_DQ_Meth_max[[#This Row],[Vergleich_lb]]</f>
        <v>3769.4443999999999</v>
      </c>
      <c r="H372" s="11" t="str">
        <f ca="1">VLOOKUP(VLOOKUP(dict_DQ_Meth_max[[#This Row],[ID_DataQualities]],table_DataQualities[],3),table_Units[],2)</f>
        <v>Hz</v>
      </c>
      <c r="I372" s="10"/>
      <c r="J372" s="10"/>
      <c r="K372" s="10"/>
      <c r="L372" s="10">
        <f ca="1">VLOOKUP(dict_DQ_Meth_max[[#This Row],[ID_DataQualities]],table_DataQualities[],8,FALSE)</f>
        <v>0.61099999999999999</v>
      </c>
      <c r="M372" s="10">
        <f ca="1">VLOOKUP(dict_DQ_Meth_max[[#This Row],[ID_DataQualities]],table_DataQualities[],9,FALSE)</f>
        <v>6282</v>
      </c>
    </row>
    <row r="373" spans="1:13" x14ac:dyDescent="0.45">
      <c r="A373" s="10">
        <v>99</v>
      </c>
      <c r="B373" s="10">
        <v>486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0.31074999999999997</v>
      </c>
      <c r="G373" s="12">
        <f ca="1">(RANDBETWEEN(50,100)/100)*(dict_DQ_Meth_max[[#This Row],[Vergleich_ub]]-dict_DQ_Meth_max[[#This Row],[Vergleich_lb]])+dict_DQ_Meth_max[[#This Row],[Vergleich_lb]]</f>
        <v>2.2404999999999999</v>
      </c>
      <c r="H373" s="11" t="str">
        <f ca="1">VLOOKUP(VLOOKUP(dict_DQ_Meth_max[[#This Row],[ID_DataQualities]],table_DataQualities[],3),table_Units[],2)</f>
        <v>+/- mm</v>
      </c>
      <c r="I373" s="10"/>
      <c r="J373" s="10"/>
      <c r="K373" s="10"/>
      <c r="L373" s="10">
        <f ca="1">VLOOKUP(dict_DQ_Meth_max[[#This Row],[ID_DataQualities]],table_DataQualities[],8,FALSE)</f>
        <v>5.5E-2</v>
      </c>
      <c r="M373" s="10">
        <f ca="1">VLOOKUP(dict_DQ_Meth_max[[#This Row],[ID_DataQualities]],table_DataQualities[],9,FALSE)</f>
        <v>2.38</v>
      </c>
    </row>
    <row r="374" spans="1:13" x14ac:dyDescent="0.45">
      <c r="A374" s="10">
        <v>99</v>
      </c>
      <c r="B374" s="10">
        <v>132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0.21775</v>
      </c>
      <c r="G374" s="12">
        <f ca="1">(RANDBETWEEN(50,100)/100)*(dict_DQ_Meth_max[[#This Row],[Vergleich_ub]]-dict_DQ_Meth_max[[#This Row],[Vergleich_lb]])+dict_DQ_Meth_max[[#This Row],[Vergleich_lb]]</f>
        <v>1.8219999999999998</v>
      </c>
      <c r="H374" s="11" t="str">
        <f ca="1">VLOOKUP(VLOOKUP(dict_DQ_Meth_max[[#This Row],[ID_DataQualities]],table_DataQualities[],3),table_Units[],2)</f>
        <v>+/- mm</v>
      </c>
      <c r="I374" s="10"/>
      <c r="J374" s="10"/>
      <c r="K374" s="10"/>
      <c r="L374" s="10">
        <f ca="1">VLOOKUP(dict_DQ_Meth_max[[#This Row],[ID_DataQualities]],table_DataQualities[],8,FALSE)</f>
        <v>5.5E-2</v>
      </c>
      <c r="M374" s="10">
        <f ca="1">VLOOKUP(dict_DQ_Meth_max[[#This Row],[ID_DataQualities]],table_DataQualities[],9,FALSE)</f>
        <v>2.38</v>
      </c>
    </row>
    <row r="375" spans="1:13" x14ac:dyDescent="0.45">
      <c r="A375" s="10">
        <v>99</v>
      </c>
      <c r="B375" s="10">
        <v>484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0.28749999999999998</v>
      </c>
      <c r="G375" s="12">
        <f ca="1">(RANDBETWEEN(50,100)/100)*(dict_DQ_Meth_max[[#This Row],[Vergleich_ub]]-dict_DQ_Meth_max[[#This Row],[Vergleich_lb]])+dict_DQ_Meth_max[[#This Row],[Vergleich_lb]]</f>
        <v>2.38</v>
      </c>
      <c r="H375" s="11" t="str">
        <f ca="1">VLOOKUP(VLOOKUP(dict_DQ_Meth_max[[#This Row],[ID_DataQualities]],table_DataQualities[],3),table_Units[],2)</f>
        <v>+/- mm</v>
      </c>
      <c r="I375" s="10"/>
      <c r="J375" s="10"/>
      <c r="K375" s="10"/>
      <c r="L375" s="10">
        <f ca="1">VLOOKUP(dict_DQ_Meth_max[[#This Row],[ID_DataQualities]],table_DataQualities[],8,FALSE)</f>
        <v>5.5E-2</v>
      </c>
      <c r="M375" s="10">
        <f ca="1">VLOOKUP(dict_DQ_Meth_max[[#This Row],[ID_DataQualities]],table_DataQualities[],9,FALSE)</f>
        <v>2.38</v>
      </c>
    </row>
    <row r="376" spans="1:13" x14ac:dyDescent="0.45">
      <c r="A376" s="10">
        <v>100</v>
      </c>
      <c r="B376" s="10">
        <v>629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351.59375</v>
      </c>
      <c r="G376" s="12">
        <f ca="1">(RANDBETWEEN(50,100)/100)*(dict_DQ_Meth_max[[#This Row],[Vergleich_ub]]-dict_DQ_Meth_max[[#This Row],[Vergleich_lb]])+dict_DQ_Meth_max[[#This Row],[Vergleich_lb]]</f>
        <v>786.79500000000007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0.625</v>
      </c>
      <c r="M376" s="10">
        <f ca="1">VLOOKUP(dict_DQ_Meth_max[[#This Row],[ID_DataQualities]],table_DataQualities[],9,FALSE)</f>
        <v>1404.5</v>
      </c>
    </row>
    <row r="377" spans="1:13" x14ac:dyDescent="0.45">
      <c r="A377" s="10">
        <v>100</v>
      </c>
      <c r="B377" s="10">
        <v>536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646.40750000000003</v>
      </c>
      <c r="G377" s="12">
        <f ca="1">(RANDBETWEEN(50,100)/100)*(dict_DQ_Meth_max[[#This Row],[Vergleich_ub]]-dict_DQ_Meth_max[[#This Row],[Vergleich_lb]])+dict_DQ_Meth_max[[#This Row],[Vergleich_lb]]</f>
        <v>1179.8799999999999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0.625</v>
      </c>
      <c r="M377" s="10">
        <f ca="1">VLOOKUP(dict_DQ_Meth_max[[#This Row],[ID_DataQualities]],table_DataQualities[],9,FALSE)</f>
        <v>1404.5</v>
      </c>
    </row>
    <row r="378" spans="1:13" x14ac:dyDescent="0.45">
      <c r="A378" s="10">
        <v>101</v>
      </c>
      <c r="B378" s="10">
        <v>629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1.0202</v>
      </c>
      <c r="G378" s="12">
        <f ca="1">(RANDBETWEEN(50,100)/100)*(dict_DQ_Meth_max[[#This Row],[Vergleich_ub]]-dict_DQ_Meth_max[[#This Row],[Vergleich_lb]])+dict_DQ_Meth_max[[#This Row],[Vergleich_lb]]</f>
        <v>2.0417000000000001</v>
      </c>
      <c r="H378" s="11" t="str">
        <f ca="1">VLOOKUP(VLOOKUP(dict_DQ_Meth_max[[#This Row],[ID_DataQualities]],table_DataQualities[],3),table_Units[],2)</f>
        <v>+/- mm/s</v>
      </c>
      <c r="I378" s="10"/>
      <c r="J378" s="10"/>
      <c r="K378" s="10"/>
      <c r="L378" s="10">
        <f ca="1">VLOOKUP(dict_DQ_Meth_max[[#This Row],[ID_DataQualities]],table_DataQualities[],8,FALSE)</f>
        <v>0.43</v>
      </c>
      <c r="M378" s="10">
        <f ca="1">VLOOKUP(dict_DQ_Meth_max[[#This Row],[ID_DataQualities]],table_DataQualities[],9,FALSE)</f>
        <v>2.7</v>
      </c>
    </row>
    <row r="379" spans="1:13" x14ac:dyDescent="0.45">
      <c r="A379" s="10">
        <v>101</v>
      </c>
      <c r="B379" s="10">
        <v>536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1.0656000000000001</v>
      </c>
      <c r="G379" s="12">
        <f ca="1">(RANDBETWEEN(50,100)/100)*(dict_DQ_Meth_max[[#This Row],[Vergleich_ub]]-dict_DQ_Meth_max[[#This Row],[Vergleich_lb]])+dict_DQ_Meth_max[[#This Row],[Vergleich_lb]]</f>
        <v>1.7238999999999998</v>
      </c>
      <c r="H379" s="11" t="str">
        <f ca="1">VLOOKUP(VLOOKUP(dict_DQ_Meth_max[[#This Row],[ID_DataQualities]],table_DataQualities[],3),table_Units[],2)</f>
        <v>+/- mm/s</v>
      </c>
      <c r="I379" s="10"/>
      <c r="J379" s="10"/>
      <c r="K379" s="10"/>
      <c r="L379" s="10">
        <f ca="1">VLOOKUP(dict_DQ_Meth_max[[#This Row],[ID_DataQualities]],table_DataQualities[],8,FALSE)</f>
        <v>0.43</v>
      </c>
      <c r="M379" s="10">
        <f ca="1">VLOOKUP(dict_DQ_Meth_max[[#This Row],[ID_DataQualities]],table_DataQualities[],9,FALSE)</f>
        <v>2.7</v>
      </c>
    </row>
    <row r="380" spans="1:13" x14ac:dyDescent="0.45">
      <c r="A380" s="10">
        <v>102</v>
      </c>
      <c r="B380" s="10">
        <v>249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2735.2984999999999</v>
      </c>
      <c r="G380" s="12">
        <f ca="1">(RANDBETWEEN(50,100)/100)*(dict_DQ_Meth_max[[#This Row],[Vergleich_ub]]-dict_DQ_Meth_max[[#This Row],[Vergleich_lb]])+dict_DQ_Meth_max[[#This Row],[Vergleich_lb]]</f>
        <v>5305.8239099999992</v>
      </c>
      <c r="H380" s="11" t="str">
        <f ca="1">VLOOKUP(VLOOKUP(dict_DQ_Meth_max[[#This Row],[ID_DataQualities]],table_DataQualities[],3),table_Units[],2)</f>
        <v>Hz</v>
      </c>
      <c r="I380" s="10"/>
      <c r="J380" s="10"/>
      <c r="K380" s="10"/>
      <c r="L380" s="10">
        <f ca="1">VLOOKUP(dict_DQ_Meth_max[[#This Row],[ID_DataQualities]],table_DataQualities[],8,FALSE)</f>
        <v>0.69699999999999995</v>
      </c>
      <c r="M380" s="10">
        <f ca="1">VLOOKUP(dict_DQ_Meth_max[[#This Row],[ID_DataQualities]],table_DataQualities[],9,FALSE)</f>
        <v>5469.9</v>
      </c>
    </row>
    <row r="381" spans="1:13" x14ac:dyDescent="0.45">
      <c r="A381" s="10">
        <v>102</v>
      </c>
      <c r="B381" s="10">
        <v>380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1422.6897799999997</v>
      </c>
      <c r="G381" s="12">
        <f ca="1">(RANDBETWEEN(50,100)/100)*(dict_DQ_Meth_max[[#This Row],[Vergleich_ub]]-dict_DQ_Meth_max[[#This Row],[Vergleich_lb]])+dict_DQ_Meth_max[[#This Row],[Vergleich_lb]]</f>
        <v>4649.51955</v>
      </c>
      <c r="H381" s="11" t="str">
        <f ca="1">VLOOKUP(VLOOKUP(dict_DQ_Meth_max[[#This Row],[ID_DataQualities]],table_DataQualities[],3),table_Units[],2)</f>
        <v>Hz</v>
      </c>
      <c r="I381" s="10"/>
      <c r="J381" s="10"/>
      <c r="K381" s="10"/>
      <c r="L381" s="10">
        <f ca="1">VLOOKUP(dict_DQ_Meth_max[[#This Row],[ID_DataQualities]],table_DataQualities[],8,FALSE)</f>
        <v>0.69699999999999995</v>
      </c>
      <c r="M381" s="10">
        <f ca="1">VLOOKUP(dict_DQ_Meth_max[[#This Row],[ID_DataQualities]],table_DataQualities[],9,FALSE)</f>
        <v>5469.9</v>
      </c>
    </row>
    <row r="382" spans="1:13" x14ac:dyDescent="0.45">
      <c r="A382" s="10">
        <v>102</v>
      </c>
      <c r="B382" s="10">
        <v>12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985.15353999999991</v>
      </c>
      <c r="G382" s="12">
        <f ca="1">(RANDBETWEEN(50,100)/100)*(dict_DQ_Meth_max[[#This Row],[Vergleich_ub]]-dict_DQ_Meth_max[[#This Row],[Vergleich_lb]])+dict_DQ_Meth_max[[#This Row],[Vergleich_lb]]</f>
        <v>4157.2912799999995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0.69699999999999995</v>
      </c>
      <c r="M382" s="10">
        <f ca="1">VLOOKUP(dict_DQ_Meth_max[[#This Row],[ID_DataQualities]],table_DataQualities[],9,FALSE)</f>
        <v>5469.9</v>
      </c>
    </row>
    <row r="383" spans="1:13" x14ac:dyDescent="0.45">
      <c r="A383" s="10">
        <v>102</v>
      </c>
      <c r="B383" s="10">
        <v>179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2571.2224099999999</v>
      </c>
      <c r="G383" s="12">
        <f ca="1">(RANDBETWEEN(50,100)/100)*(dict_DQ_Meth_max[[#This Row],[Vergleich_ub]]-dict_DQ_Meth_max[[#This Row],[Vergleich_lb]])+dict_DQ_Meth_max[[#This Row],[Vergleich_lb]]</f>
        <v>3008.7586500000002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0.69699999999999995</v>
      </c>
      <c r="M383" s="10">
        <f ca="1">VLOOKUP(dict_DQ_Meth_max[[#This Row],[ID_DataQualities]],table_DataQualities[],9,FALSE)</f>
        <v>5469.9</v>
      </c>
    </row>
    <row r="384" spans="1:13" x14ac:dyDescent="0.45">
      <c r="A384" s="10">
        <v>102</v>
      </c>
      <c r="B384" s="10">
        <v>683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875.76947999999993</v>
      </c>
      <c r="G384" s="12">
        <f ca="1">(RANDBETWEEN(50,100)/100)*(dict_DQ_Meth_max[[#This Row],[Vergleich_ub]]-dict_DQ_Meth_max[[#This Row],[Vergleich_lb]])+dict_DQ_Meth_max[[#This Row],[Vergleich_lb]]</f>
        <v>5360.5159399999993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0.69699999999999995</v>
      </c>
      <c r="M384" s="10">
        <f ca="1">VLOOKUP(dict_DQ_Meth_max[[#This Row],[ID_DataQualities]],table_DataQualities[],9,FALSE)</f>
        <v>5469.9</v>
      </c>
    </row>
    <row r="385" spans="1:13" x14ac:dyDescent="0.45">
      <c r="A385" s="10">
        <v>102</v>
      </c>
      <c r="B385" s="10">
        <v>516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1860.2260199999998</v>
      </c>
      <c r="G385" s="12">
        <f ca="1">(RANDBETWEEN(50,100)/100)*(dict_DQ_Meth_max[[#This Row],[Vergleich_ub]]-dict_DQ_Meth_max[[#This Row],[Vergleich_lb]])+dict_DQ_Meth_max[[#This Row],[Vergleich_lb]]</f>
        <v>5360.5159399999993</v>
      </c>
      <c r="H385" s="11" t="str">
        <f ca="1">VLOOKUP(VLOOKUP(dict_DQ_Meth_max[[#This Row],[ID_DataQualities]],table_DataQualities[],3),table_Units[],2)</f>
        <v>Hz</v>
      </c>
      <c r="I385" s="10"/>
      <c r="J385" s="10"/>
      <c r="K385" s="10"/>
      <c r="L385" s="10">
        <f ca="1">VLOOKUP(dict_DQ_Meth_max[[#This Row],[ID_DataQualities]],table_DataQualities[],8,FALSE)</f>
        <v>0.69699999999999995</v>
      </c>
      <c r="M385" s="10">
        <f ca="1">VLOOKUP(dict_DQ_Meth_max[[#This Row],[ID_DataQualities]],table_DataQualities[],9,FALSE)</f>
        <v>5469.9</v>
      </c>
    </row>
    <row r="386" spans="1:13" x14ac:dyDescent="0.45">
      <c r="A386" s="10">
        <v>103</v>
      </c>
      <c r="B386" s="10">
        <v>12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1.042</v>
      </c>
      <c r="G386" s="12">
        <f ca="1">(RANDBETWEEN(50,100)/100)*(dict_DQ_Meth_max[[#This Row],[Vergleich_ub]]-dict_DQ_Meth_max[[#This Row],[Vergleich_lb]])+dict_DQ_Meth_max[[#This Row],[Vergleich_lb]]</f>
        <v>4.8760000000000003</v>
      </c>
      <c r="H386" s="11" t="str">
        <f ca="1">VLOOKUP(VLOOKUP(dict_DQ_Meth_max[[#This Row],[ID_DataQualities]],table_DataQualities[],3),table_Units[],2)</f>
        <v>+/- °C</v>
      </c>
      <c r="I386" s="10"/>
      <c r="J386" s="10"/>
      <c r="K386" s="10"/>
      <c r="L386" s="10">
        <f ca="1">VLOOKUP(dict_DQ_Meth_max[[#This Row],[ID_DataQualities]],table_DataQualities[],8,FALSE)</f>
        <v>0.9</v>
      </c>
      <c r="M386" s="10">
        <f ca="1">VLOOKUP(dict_DQ_Meth_max[[#This Row],[ID_DataQualities]],table_DataQualities[],9,FALSE)</f>
        <v>8</v>
      </c>
    </row>
    <row r="387" spans="1:13" x14ac:dyDescent="0.45">
      <c r="A387" s="10">
        <v>103</v>
      </c>
      <c r="B387" s="10">
        <v>179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2.6749999999999998</v>
      </c>
      <c r="G387" s="12">
        <f ca="1">(RANDBETWEEN(50,100)/100)*(dict_DQ_Meth_max[[#This Row],[Vergleich_ub]]-dict_DQ_Meth_max[[#This Row],[Vergleich_lb]])+dict_DQ_Meth_max[[#This Row],[Vergleich_lb]]</f>
        <v>7.5739999999999998</v>
      </c>
      <c r="H387" s="11" t="str">
        <f ca="1">VLOOKUP(VLOOKUP(dict_DQ_Meth_max[[#This Row],[ID_DataQualities]],table_DataQualities[],3),table_Units[],2)</f>
        <v>+/- °C</v>
      </c>
      <c r="I387" s="10"/>
      <c r="J387" s="10"/>
      <c r="K387" s="10"/>
      <c r="L387" s="10">
        <f ca="1">VLOOKUP(dict_DQ_Meth_max[[#This Row],[ID_DataQualities]],table_DataQualities[],8,FALSE)</f>
        <v>0.9</v>
      </c>
      <c r="M387" s="10">
        <f ca="1">VLOOKUP(dict_DQ_Meth_max[[#This Row],[ID_DataQualities]],table_DataQualities[],9,FALSE)</f>
        <v>8</v>
      </c>
    </row>
    <row r="388" spans="1:13" x14ac:dyDescent="0.45">
      <c r="A388" s="10">
        <v>103</v>
      </c>
      <c r="B388" s="10">
        <v>516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2.5329999999999999</v>
      </c>
      <c r="G388" s="12">
        <f ca="1">(RANDBETWEEN(50,100)/100)*(dict_DQ_Meth_max[[#This Row],[Vergleich_ub]]-dict_DQ_Meth_max[[#This Row],[Vergleich_lb]])+dict_DQ_Meth_max[[#This Row],[Vergleich_lb]]</f>
        <v>7.4320000000000004</v>
      </c>
      <c r="H388" s="11" t="str">
        <f ca="1">VLOOKUP(VLOOKUP(dict_DQ_Meth_max[[#This Row],[ID_DataQualities]],table_DataQualities[],3),table_Units[],2)</f>
        <v>+/- °C</v>
      </c>
      <c r="I388" s="10"/>
      <c r="J388" s="10"/>
      <c r="K388" s="10"/>
      <c r="L388" s="10">
        <f ca="1">VLOOKUP(dict_DQ_Meth_max[[#This Row],[ID_DataQualities]],table_DataQualities[],8,FALSE)</f>
        <v>0.9</v>
      </c>
      <c r="M388" s="10">
        <f ca="1">VLOOKUP(dict_DQ_Meth_max[[#This Row],[ID_DataQualities]],table_DataQualities[],9,FALSE)</f>
        <v>8</v>
      </c>
    </row>
    <row r="389" spans="1:13" x14ac:dyDescent="0.45">
      <c r="A389" s="10">
        <v>103</v>
      </c>
      <c r="B389" s="10">
        <v>249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2.746</v>
      </c>
      <c r="G389" s="12">
        <f ca="1">(RANDBETWEEN(50,100)/100)*(dict_DQ_Meth_max[[#This Row],[Vergleich_ub]]-dict_DQ_Meth_max[[#This Row],[Vergleich_lb]])+dict_DQ_Meth_max[[#This Row],[Vergleich_lb]]</f>
        <v>6.0119999999999996</v>
      </c>
      <c r="H389" s="11" t="str">
        <f ca="1">VLOOKUP(VLOOKUP(dict_DQ_Meth_max[[#This Row],[ID_DataQualities]],table_DataQualities[],3),table_Units[],2)</f>
        <v>+/- °C</v>
      </c>
      <c r="I389" s="10"/>
      <c r="J389" s="10"/>
      <c r="K389" s="10"/>
      <c r="L389" s="10">
        <f ca="1">VLOOKUP(dict_DQ_Meth_max[[#This Row],[ID_DataQualities]],table_DataQualities[],8,FALSE)</f>
        <v>0.9</v>
      </c>
      <c r="M389" s="10">
        <f ca="1">VLOOKUP(dict_DQ_Meth_max[[#This Row],[ID_DataQualities]],table_DataQualities[],9,FALSE)</f>
        <v>8</v>
      </c>
    </row>
    <row r="390" spans="1:13" x14ac:dyDescent="0.45">
      <c r="A390" s="10">
        <v>103</v>
      </c>
      <c r="B390" s="10">
        <v>380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2.8879999999999999</v>
      </c>
      <c r="G390" s="12">
        <f ca="1">(RANDBETWEEN(50,100)/100)*(dict_DQ_Meth_max[[#This Row],[Vergleich_ub]]-dict_DQ_Meth_max[[#This Row],[Vergleich_lb]])+dict_DQ_Meth_max[[#This Row],[Vergleich_lb]]</f>
        <v>7.29</v>
      </c>
      <c r="H390" s="11" t="str">
        <f ca="1">VLOOKUP(VLOOKUP(dict_DQ_Meth_max[[#This Row],[ID_DataQualities]],table_DataQualities[],3),table_Units[],2)</f>
        <v>+/- °C</v>
      </c>
      <c r="I390" s="10"/>
      <c r="J390" s="10"/>
      <c r="K390" s="10"/>
      <c r="L390" s="10">
        <f ca="1">VLOOKUP(dict_DQ_Meth_max[[#This Row],[ID_DataQualities]],table_DataQualities[],8,FALSE)</f>
        <v>0.9</v>
      </c>
      <c r="M390" s="10">
        <f ca="1">VLOOKUP(dict_DQ_Meth_max[[#This Row],[ID_DataQualities]],table_DataQualities[],9,FALSE)</f>
        <v>8</v>
      </c>
    </row>
    <row r="391" spans="1:13" x14ac:dyDescent="0.45">
      <c r="A391" s="10">
        <v>103</v>
      </c>
      <c r="B391" s="10">
        <v>683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3.5269999999999997</v>
      </c>
      <c r="G391" s="12">
        <f ca="1">(RANDBETWEEN(50,100)/100)*(dict_DQ_Meth_max[[#This Row],[Vergleich_ub]]-dict_DQ_Meth_max[[#This Row],[Vergleich_lb]])+dict_DQ_Meth_max[[#This Row],[Vergleich_lb]]</f>
        <v>7.5739999999999998</v>
      </c>
      <c r="H391" s="11" t="str">
        <f ca="1">VLOOKUP(VLOOKUP(dict_DQ_Meth_max[[#This Row],[ID_DataQualities]],table_DataQualities[],3),table_Units[],2)</f>
        <v>+/- °C</v>
      </c>
      <c r="I391" s="10"/>
      <c r="J391" s="10"/>
      <c r="K391" s="10"/>
      <c r="L391" s="10">
        <f ca="1">VLOOKUP(dict_DQ_Meth_max[[#This Row],[ID_DataQualities]],table_DataQualities[],8,FALSE)</f>
        <v>0.9</v>
      </c>
      <c r="M391" s="10">
        <f ca="1">VLOOKUP(dict_DQ_Meth_max[[#This Row],[ID_DataQualities]],table_DataQualities[],9,FALSE)</f>
        <v>8</v>
      </c>
    </row>
    <row r="392" spans="1:13" x14ac:dyDescent="0.45">
      <c r="A392" s="10">
        <v>104</v>
      </c>
      <c r="B392" s="10">
        <v>246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1474.6914899999999</v>
      </c>
      <c r="G392" s="12">
        <f ca="1">(RANDBETWEEN(50,100)/100)*(dict_DQ_Meth_max[[#This Row],[Vergleich_ub]]-dict_DQ_Meth_max[[#This Row],[Vergleich_lb]])+dict_DQ_Meth_max[[#This Row],[Vergleich_lb]]</f>
        <v>4267.2730499999998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0.82899999999999996</v>
      </c>
      <c r="M392" s="10">
        <f ca="1">VLOOKUP(dict_DQ_Meth_max[[#This Row],[ID_DataQualities]],table_DataQualities[],9,FALSE)</f>
        <v>7758</v>
      </c>
    </row>
    <row r="393" spans="1:13" x14ac:dyDescent="0.45">
      <c r="A393" s="10">
        <v>104</v>
      </c>
      <c r="B393" s="10">
        <v>198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1940.12175</v>
      </c>
      <c r="G393" s="12">
        <f ca="1">(RANDBETWEEN(50,100)/100)*(dict_DQ_Meth_max[[#This Row],[Vergleich_ub]]-dict_DQ_Meth_max[[#This Row],[Vergleich_lb]])+dict_DQ_Meth_max[[#This Row],[Vergleich_lb]]</f>
        <v>5042.9901499999996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0.82899999999999996</v>
      </c>
      <c r="M393" s="10">
        <f ca="1">VLOOKUP(dict_DQ_Meth_max[[#This Row],[ID_DataQualities]],table_DataQualities[],9,FALSE)</f>
        <v>7758</v>
      </c>
    </row>
    <row r="394" spans="1:13" x14ac:dyDescent="0.45">
      <c r="A394" s="10">
        <v>104</v>
      </c>
      <c r="B394" s="10">
        <v>27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3801.8427900000002</v>
      </c>
      <c r="G394" s="12">
        <f ca="1">(RANDBETWEEN(50,100)/100)*(dict_DQ_Meth_max[[#This Row],[Vergleich_ub]]-dict_DQ_Meth_max[[#This Row],[Vergleich_lb]])+dict_DQ_Meth_max[[#This Row],[Vergleich_lb]]</f>
        <v>7525.2848699999995</v>
      </c>
      <c r="H394" s="11" t="str">
        <f ca="1">VLOOKUP(VLOOKUP(dict_DQ_Meth_max[[#This Row],[ID_DataQualities]],table_DataQualities[],3),table_Units[],2)</f>
        <v>Hz</v>
      </c>
      <c r="I394" s="10"/>
      <c r="J394" s="10"/>
      <c r="K394" s="10"/>
      <c r="L394" s="10">
        <f ca="1">VLOOKUP(dict_DQ_Meth_max[[#This Row],[ID_DataQualities]],table_DataQualities[],8,FALSE)</f>
        <v>0.82899999999999996</v>
      </c>
      <c r="M394" s="10">
        <f ca="1">VLOOKUP(dict_DQ_Meth_max[[#This Row],[ID_DataQualities]],table_DataQualities[],9,FALSE)</f>
        <v>7758</v>
      </c>
    </row>
    <row r="395" spans="1:13" x14ac:dyDescent="0.45">
      <c r="A395" s="10">
        <v>104</v>
      </c>
      <c r="B395" s="10">
        <v>614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155.97242000000003</v>
      </c>
      <c r="G395" s="12">
        <f ca="1">(RANDBETWEEN(50,100)/100)*(dict_DQ_Meth_max[[#This Row],[Vergleich_ub]]-dict_DQ_Meth_max[[#This Row],[Vergleich_lb]])+dict_DQ_Meth_max[[#This Row],[Vergleich_lb]]</f>
        <v>7758</v>
      </c>
      <c r="H395" s="11" t="str">
        <f ca="1">VLOOKUP(VLOOKUP(dict_DQ_Meth_max[[#This Row],[ID_DataQualities]],table_DataQualities[],3),table_Units[],2)</f>
        <v>Hz</v>
      </c>
      <c r="I395" s="10"/>
      <c r="J395" s="10"/>
      <c r="K395" s="10"/>
      <c r="L395" s="10">
        <f ca="1">VLOOKUP(dict_DQ_Meth_max[[#This Row],[ID_DataQualities]],table_DataQualities[],8,FALSE)</f>
        <v>0.82899999999999996</v>
      </c>
      <c r="M395" s="10">
        <f ca="1">VLOOKUP(dict_DQ_Meth_max[[#This Row],[ID_DataQualities]],table_DataQualities[],9,FALSE)</f>
        <v>7758</v>
      </c>
    </row>
    <row r="396" spans="1:13" x14ac:dyDescent="0.45">
      <c r="A396" s="10">
        <v>105</v>
      </c>
      <c r="B396" s="10">
        <v>198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1.9568000000000001</v>
      </c>
      <c r="G396" s="12">
        <f ca="1">(RANDBETWEEN(50,100)/100)*(dict_DQ_Meth_max[[#This Row],[Vergleich_ub]]-dict_DQ_Meth_max[[#This Row],[Vergleich_lb]])+dict_DQ_Meth_max[[#This Row],[Vergleich_lb]]</f>
        <v>4.4083999999999994</v>
      </c>
      <c r="H396" s="11" t="str">
        <f ca="1">VLOOKUP(VLOOKUP(dict_DQ_Meth_max[[#This Row],[ID_DataQualities]],table_DataQualities[],3),table_Units[],2)</f>
        <v>+/- mm</v>
      </c>
      <c r="I396" s="10"/>
      <c r="J396" s="10"/>
      <c r="K396" s="10"/>
      <c r="L396" s="10">
        <f ca="1">VLOOKUP(dict_DQ_Meth_max[[#This Row],[ID_DataQualities]],table_DataQualities[],8,FALSE)</f>
        <v>0.05</v>
      </c>
      <c r="M396" s="10">
        <f ca="1">VLOOKUP(dict_DQ_Meth_max[[#This Row],[ID_DataQualities]],table_DataQualities[],9,FALSE)</f>
        <v>4.59</v>
      </c>
    </row>
    <row r="397" spans="1:13" x14ac:dyDescent="0.45">
      <c r="A397" s="10">
        <v>105</v>
      </c>
      <c r="B397" s="10">
        <v>246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1.4574</v>
      </c>
      <c r="G397" s="12">
        <f ca="1">(RANDBETWEEN(50,100)/100)*(dict_DQ_Meth_max[[#This Row],[Vergleich_ub]]-dict_DQ_Meth_max[[#This Row],[Vergleich_lb]])+dict_DQ_Meth_max[[#This Row],[Vergleich_lb]]</f>
        <v>4.4083999999999994</v>
      </c>
      <c r="H397" s="11" t="str">
        <f ca="1">VLOOKUP(VLOOKUP(dict_DQ_Meth_max[[#This Row],[ID_DataQualities]],table_DataQualities[],3),table_Units[],2)</f>
        <v>+/- mm</v>
      </c>
      <c r="I397" s="10"/>
      <c r="J397" s="10"/>
      <c r="K397" s="10"/>
      <c r="L397" s="10">
        <f ca="1">VLOOKUP(dict_DQ_Meth_max[[#This Row],[ID_DataQualities]],table_DataQualities[],8,FALSE)</f>
        <v>0.05</v>
      </c>
      <c r="M397" s="10">
        <f ca="1">VLOOKUP(dict_DQ_Meth_max[[#This Row],[ID_DataQualities]],table_DataQualities[],9,FALSE)</f>
        <v>4.59</v>
      </c>
    </row>
    <row r="398" spans="1:13" x14ac:dyDescent="0.45">
      <c r="A398" s="10">
        <v>105</v>
      </c>
      <c r="B398" s="10">
        <v>27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2.3199999999999998</v>
      </c>
      <c r="G398" s="12">
        <f ca="1">(RANDBETWEEN(50,100)/100)*(dict_DQ_Meth_max[[#This Row],[Vergleich_ub]]-dict_DQ_Meth_max[[#This Row],[Vergleich_lb]])+dict_DQ_Meth_max[[#This Row],[Vergleich_lb]]</f>
        <v>4.4083999999999994</v>
      </c>
      <c r="H398" s="11" t="str">
        <f ca="1">VLOOKUP(VLOOKUP(dict_DQ_Meth_max[[#This Row],[ID_DataQualities]],table_DataQualities[],3),table_Units[],2)</f>
        <v>+/- mm</v>
      </c>
      <c r="I398" s="10"/>
      <c r="J398" s="10"/>
      <c r="K398" s="10"/>
      <c r="L398" s="10">
        <f ca="1">VLOOKUP(dict_DQ_Meth_max[[#This Row],[ID_DataQualities]],table_DataQualities[],8,FALSE)</f>
        <v>0.05</v>
      </c>
      <c r="M398" s="10">
        <f ca="1">VLOOKUP(dict_DQ_Meth_max[[#This Row],[ID_DataQualities]],table_DataQualities[],9,FALSE)</f>
        <v>4.59</v>
      </c>
    </row>
    <row r="399" spans="1:13" x14ac:dyDescent="0.45">
      <c r="A399" s="10">
        <v>105</v>
      </c>
      <c r="B399" s="10">
        <v>614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1.3212000000000002</v>
      </c>
      <c r="G399" s="12">
        <f ca="1">(RANDBETWEEN(50,100)/100)*(dict_DQ_Meth_max[[#This Row],[Vergleich_ub]]-dict_DQ_Meth_max[[#This Row],[Vergleich_lb]])+dict_DQ_Meth_max[[#This Row],[Vergleich_lb]]</f>
        <v>2.5470000000000002</v>
      </c>
      <c r="H399" s="11" t="str">
        <f ca="1">VLOOKUP(VLOOKUP(dict_DQ_Meth_max[[#This Row],[ID_DataQualities]],table_DataQualities[],3),table_Units[],2)</f>
        <v>+/- mm</v>
      </c>
      <c r="I399" s="10"/>
      <c r="J399" s="10"/>
      <c r="K399" s="10"/>
      <c r="L399" s="10">
        <f ca="1">VLOOKUP(dict_DQ_Meth_max[[#This Row],[ID_DataQualities]],table_DataQualities[],8,FALSE)</f>
        <v>0.05</v>
      </c>
      <c r="M399" s="10">
        <f ca="1">VLOOKUP(dict_DQ_Meth_max[[#This Row],[ID_DataQualities]],table_DataQualities[],9,FALSE)</f>
        <v>4.59</v>
      </c>
    </row>
    <row r="400" spans="1:13" x14ac:dyDescent="0.45">
      <c r="A400" s="10">
        <v>106</v>
      </c>
      <c r="B400" s="10">
        <v>68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67.01212000000001</v>
      </c>
      <c r="G400" s="12">
        <f ca="1">(RANDBETWEEN(50,100)/100)*(dict_DQ_Meth_max[[#This Row],[Vergleich_ub]]-dict_DQ_Meth_max[[#This Row],[Vergleich_lb]])+dict_DQ_Meth_max[[#This Row],[Vergleich_lb]]</f>
        <v>3075.3865800000003</v>
      </c>
      <c r="H400" s="11" t="str">
        <f ca="1">VLOOKUP(VLOOKUP(dict_DQ_Meth_max[[#This Row],[ID_DataQualities]],table_DataQualities[],3),table_Units[],2)</f>
        <v>Hz</v>
      </c>
      <c r="I400" s="10"/>
      <c r="J400" s="10"/>
      <c r="K400" s="10"/>
      <c r="L400" s="10">
        <f ca="1">VLOOKUP(dict_DQ_Meth_max[[#This Row],[ID_DataQualities]],table_DataQualities[],8,FALSE)</f>
        <v>0.89400000000000002</v>
      </c>
      <c r="M400" s="10">
        <f ca="1">VLOOKUP(dict_DQ_Meth_max[[#This Row],[ID_DataQualities]],table_DataQualities[],9,FALSE)</f>
        <v>3306.8</v>
      </c>
    </row>
    <row r="401" spans="1:13" x14ac:dyDescent="0.45">
      <c r="A401" s="10">
        <v>106</v>
      </c>
      <c r="B401" s="10">
        <v>174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1224.0792200000001</v>
      </c>
      <c r="G401" s="12">
        <f ca="1">(RANDBETWEEN(50,100)/100)*(dict_DQ_Meth_max[[#This Row],[Vergleich_ub]]-dict_DQ_Meth_max[[#This Row],[Vergleich_lb]])+dict_DQ_Meth_max[[#This Row],[Vergleich_lb]]</f>
        <v>2976.2094000000002</v>
      </c>
      <c r="H401" s="11" t="str">
        <f ca="1">VLOOKUP(VLOOKUP(dict_DQ_Meth_max[[#This Row],[ID_DataQualities]],table_DataQualities[],3),table_Units[],2)</f>
        <v>Hz</v>
      </c>
      <c r="I401" s="10"/>
      <c r="J401" s="10"/>
      <c r="K401" s="10"/>
      <c r="L401" s="10">
        <f ca="1">VLOOKUP(dict_DQ_Meth_max[[#This Row],[ID_DataQualities]],table_DataQualities[],8,FALSE)</f>
        <v>0.89400000000000002</v>
      </c>
      <c r="M401" s="10">
        <f ca="1">VLOOKUP(dict_DQ_Meth_max[[#This Row],[ID_DataQualities]],table_DataQualities[],9,FALSE)</f>
        <v>3306.8</v>
      </c>
    </row>
    <row r="402" spans="1:13" x14ac:dyDescent="0.45">
      <c r="A402" s="10">
        <v>107</v>
      </c>
      <c r="B402" s="10">
        <v>68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6.5104000000000009E-2</v>
      </c>
      <c r="G402" s="12">
        <f ca="1">(RANDBETWEEN(50,100)/100)*(dict_DQ_Meth_max[[#This Row],[Vergleich_ub]]-dict_DQ_Meth_max[[#This Row],[Vergleich_lb]])+dict_DQ_Meth_max[[#This Row],[Vergleich_lb]]</f>
        <v>0.10744000000000001</v>
      </c>
      <c r="H402" s="11" t="str">
        <f ca="1">VLOOKUP(VLOOKUP(dict_DQ_Meth_max[[#This Row],[ID_DataQualities]],table_DataQualities[],3),table_Units[],2)</f>
        <v>+/- cm³/s</v>
      </c>
      <c r="I402" s="10"/>
      <c r="J402" s="10"/>
      <c r="K402" s="10"/>
      <c r="L402" s="10">
        <f ca="1">VLOOKUP(dict_DQ_Meth_max[[#This Row],[ID_DataQualities]],table_DataQualities[],8,FALSE)</f>
        <v>1.6000000000000001E-3</v>
      </c>
      <c r="M402" s="10">
        <f ca="1">VLOOKUP(dict_DQ_Meth_max[[#This Row],[ID_DataQualities]],table_DataQualities[],9,FALSE)</f>
        <v>0.17799999999999999</v>
      </c>
    </row>
    <row r="403" spans="1:13" x14ac:dyDescent="0.45">
      <c r="A403" s="10">
        <v>107</v>
      </c>
      <c r="B403" s="10">
        <v>174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3.5115999999999994E-2</v>
      </c>
      <c r="G403" s="12">
        <f ca="1">(RANDBETWEEN(50,100)/100)*(dict_DQ_Meth_max[[#This Row],[Vergleich_ub]]-dict_DQ_Meth_max[[#This Row],[Vergleich_lb]])+dict_DQ_Meth_max[[#This Row],[Vergleich_lb]]</f>
        <v>0.14271999999999999</v>
      </c>
      <c r="H403" s="11" t="str">
        <f ca="1">VLOOKUP(VLOOKUP(dict_DQ_Meth_max[[#This Row],[ID_DataQualities]],table_DataQualities[],3),table_Units[],2)</f>
        <v>+/- cm³/s</v>
      </c>
      <c r="I403" s="10"/>
      <c r="J403" s="10"/>
      <c r="K403" s="10"/>
      <c r="L403" s="10">
        <f ca="1">VLOOKUP(dict_DQ_Meth_max[[#This Row],[ID_DataQualities]],table_DataQualities[],8,FALSE)</f>
        <v>1.6000000000000001E-3</v>
      </c>
      <c r="M403" s="10">
        <f ca="1">VLOOKUP(dict_DQ_Meth_max[[#This Row],[ID_DataQualities]],table_DataQualities[],9,FALSE)</f>
        <v>0.17799999999999999</v>
      </c>
    </row>
    <row r="404" spans="1:13" x14ac:dyDescent="0.45">
      <c r="A404" s="10">
        <v>108</v>
      </c>
      <c r="B404" s="10">
        <v>599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56.386800000000001</v>
      </c>
      <c r="G404" s="12">
        <f ca="1">(RANDBETWEEN(50,100)/100)*(dict_DQ_Meth_max[[#This Row],[Vergleich_ub]]-dict_DQ_Meth_max[[#This Row],[Vergleich_lb]])+dict_DQ_Meth_max[[#This Row],[Vergleich_lb]]</f>
        <v>457.67735999999991</v>
      </c>
      <c r="H404" s="11" t="str">
        <f ca="1">VLOOKUP(VLOOKUP(dict_DQ_Meth_max[[#This Row],[ID_DataQualities]],table_DataQualities[],3),table_Units[],2)</f>
        <v>Hz</v>
      </c>
      <c r="I404" s="10"/>
      <c r="J404" s="10"/>
      <c r="K404" s="10"/>
      <c r="L404" s="10">
        <f ca="1">VLOOKUP(dict_DQ_Meth_max[[#This Row],[ID_DataQualities]],table_DataQualities[],8,FALSE)</f>
        <v>0.65200000000000002</v>
      </c>
      <c r="M404" s="10">
        <f ca="1">VLOOKUP(dict_DQ_Meth_max[[#This Row],[ID_DataQualities]],table_DataQualities[],9,FALSE)</f>
        <v>558</v>
      </c>
    </row>
    <row r="405" spans="1:13" x14ac:dyDescent="0.45">
      <c r="A405" s="10">
        <v>108</v>
      </c>
      <c r="B405" s="10">
        <v>2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6.2254800000000001</v>
      </c>
      <c r="G405" s="12">
        <f ca="1">(RANDBETWEEN(50,100)/100)*(dict_DQ_Meth_max[[#This Row],[Vergleich_ub]]-dict_DQ_Meth_max[[#This Row],[Vergleich_lb]])+dict_DQ_Meth_max[[#This Row],[Vergleich_lb]]</f>
        <v>440.95691999999997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0.65200000000000002</v>
      </c>
      <c r="M405" s="10">
        <f ca="1">VLOOKUP(dict_DQ_Meth_max[[#This Row],[ID_DataQualities]],table_DataQualities[],9,FALSE)</f>
        <v>558</v>
      </c>
    </row>
    <row r="406" spans="1:13" x14ac:dyDescent="0.45">
      <c r="A406" s="10">
        <v>108</v>
      </c>
      <c r="B406" s="10">
        <v>280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279.32599999999996</v>
      </c>
      <c r="G406" s="12">
        <f ca="1">(RANDBETWEEN(50,100)/100)*(dict_DQ_Meth_max[[#This Row],[Vergleich_ub]]-dict_DQ_Meth_max[[#This Row],[Vergleich_lb]])+dict_DQ_Meth_max[[#This Row],[Vergleich_lb]]</f>
        <v>452.10388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0.65200000000000002</v>
      </c>
      <c r="M406" s="10">
        <f ca="1">VLOOKUP(dict_DQ_Meth_max[[#This Row],[ID_DataQualities]],table_DataQualities[],9,FALSE)</f>
        <v>558</v>
      </c>
    </row>
    <row r="407" spans="1:13" x14ac:dyDescent="0.45">
      <c r="A407" s="10">
        <v>108</v>
      </c>
      <c r="B407" s="10">
        <v>244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78.680720000000008</v>
      </c>
      <c r="G407" s="12">
        <f ca="1">(RANDBETWEEN(50,100)/100)*(dict_DQ_Meth_max[[#This Row],[Vergleich_ub]]-dict_DQ_Meth_max[[#This Row],[Vergleich_lb]])+dict_DQ_Meth_max[[#This Row],[Vergleich_lb]]</f>
        <v>296.04643999999996</v>
      </c>
      <c r="H407" s="11" t="str">
        <f ca="1">VLOOKUP(VLOOKUP(dict_DQ_Meth_max[[#This Row],[ID_DataQualities]],table_DataQualities[],3),table_Units[],2)</f>
        <v>Hz</v>
      </c>
      <c r="I407" s="10"/>
      <c r="J407" s="10"/>
      <c r="K407" s="10"/>
      <c r="L407" s="10">
        <f ca="1">VLOOKUP(dict_DQ_Meth_max[[#This Row],[ID_DataQualities]],table_DataQualities[],8,FALSE)</f>
        <v>0.65200000000000002</v>
      </c>
      <c r="M407" s="10">
        <f ca="1">VLOOKUP(dict_DQ_Meth_max[[#This Row],[ID_DataQualities]],table_DataQualities[],9,FALSE)</f>
        <v>558</v>
      </c>
    </row>
    <row r="408" spans="1:13" x14ac:dyDescent="0.45">
      <c r="A408" s="10">
        <v>108</v>
      </c>
      <c r="B408" s="10">
        <v>14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201.29727999999997</v>
      </c>
      <c r="G408" s="12">
        <f ca="1">(RANDBETWEEN(50,100)/100)*(dict_DQ_Meth_max[[#This Row],[Vergleich_ub]]-dict_DQ_Meth_max[[#This Row],[Vergleich_lb]])+dict_DQ_Meth_max[[#This Row],[Vergleich_lb]]</f>
        <v>558</v>
      </c>
      <c r="H408" s="11" t="str">
        <f ca="1">VLOOKUP(VLOOKUP(dict_DQ_Meth_max[[#This Row],[ID_DataQualities]],table_DataQualities[],3),table_Units[],2)</f>
        <v>Hz</v>
      </c>
      <c r="I408" s="10"/>
      <c r="J408" s="10"/>
      <c r="K408" s="10"/>
      <c r="L408" s="10">
        <f ca="1">VLOOKUP(dict_DQ_Meth_max[[#This Row],[ID_DataQualities]],table_DataQualities[],8,FALSE)</f>
        <v>0.65200000000000002</v>
      </c>
      <c r="M408" s="10">
        <f ca="1">VLOOKUP(dict_DQ_Meth_max[[#This Row],[ID_DataQualities]],table_DataQualities[],9,FALSE)</f>
        <v>558</v>
      </c>
    </row>
    <row r="409" spans="1:13" x14ac:dyDescent="0.45">
      <c r="A409" s="10">
        <v>109</v>
      </c>
      <c r="B409" s="10">
        <v>2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3.5229999999999997</v>
      </c>
      <c r="G409" s="12">
        <f ca="1">(RANDBETWEEN(50,100)/100)*(dict_DQ_Meth_max[[#This Row],[Vergleich_ub]]-dict_DQ_Meth_max[[#This Row],[Vergleich_lb]])+dict_DQ_Meth_max[[#This Row],[Vergleich_lb]]</f>
        <v>4.0720000000000001</v>
      </c>
      <c r="H409" s="11" t="str">
        <f ca="1">VLOOKUP(VLOOKUP(dict_DQ_Meth_max[[#This Row],[ID_DataQualities]],table_DataQualities[],3),table_Units[],2)</f>
        <v>+/- °C</v>
      </c>
      <c r="I409" s="10"/>
      <c r="J409" s="10"/>
      <c r="K409" s="10"/>
      <c r="L409" s="10">
        <f ca="1">VLOOKUP(dict_DQ_Meth_max[[#This Row],[ID_DataQualities]],table_DataQualities[],8,FALSE)</f>
        <v>0.9</v>
      </c>
      <c r="M409" s="10">
        <f ca="1">VLOOKUP(dict_DQ_Meth_max[[#This Row],[ID_DataQualities]],table_DataQualities[],9,FALSE)</f>
        <v>7</v>
      </c>
    </row>
    <row r="410" spans="1:13" x14ac:dyDescent="0.45">
      <c r="A410" s="10">
        <v>109</v>
      </c>
      <c r="B410" s="10">
        <v>599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3.4619999999999997</v>
      </c>
      <c r="G410" s="12">
        <f ca="1">(RANDBETWEEN(50,100)/100)*(dict_DQ_Meth_max[[#This Row],[Vergleich_ub]]-dict_DQ_Meth_max[[#This Row],[Vergleich_lb]])+dict_DQ_Meth_max[[#This Row],[Vergleich_lb]]</f>
        <v>4.5599999999999996</v>
      </c>
      <c r="H410" s="11" t="str">
        <f ca="1">VLOOKUP(VLOOKUP(dict_DQ_Meth_max[[#This Row],[ID_DataQualities]],table_DataQualities[],3),table_Units[],2)</f>
        <v>+/- °C</v>
      </c>
      <c r="I410" s="10"/>
      <c r="J410" s="10"/>
      <c r="K410" s="10"/>
      <c r="L410" s="10">
        <f ca="1">VLOOKUP(dict_DQ_Meth_max[[#This Row],[ID_DataQualities]],table_DataQualities[],8,FALSE)</f>
        <v>0.9</v>
      </c>
      <c r="M410" s="10">
        <f ca="1">VLOOKUP(dict_DQ_Meth_max[[#This Row],[ID_DataQualities]],table_DataQualities[],9,FALSE)</f>
        <v>7</v>
      </c>
    </row>
    <row r="411" spans="1:13" x14ac:dyDescent="0.45">
      <c r="A411" s="10">
        <v>109</v>
      </c>
      <c r="B411" s="10">
        <v>244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1.9979999999999998</v>
      </c>
      <c r="G411" s="12">
        <f ca="1">(RANDBETWEEN(50,100)/100)*(dict_DQ_Meth_max[[#This Row],[Vergleich_ub]]-dict_DQ_Meth_max[[#This Row],[Vergleich_lb]])+dict_DQ_Meth_max[[#This Row],[Vergleich_lb]]</f>
        <v>5.9020000000000001</v>
      </c>
      <c r="H411" s="11" t="str">
        <f ca="1">VLOOKUP(VLOOKUP(dict_DQ_Meth_max[[#This Row],[ID_DataQualities]],table_DataQualities[],3),table_Units[],2)</f>
        <v>+/- °C</v>
      </c>
      <c r="I411" s="10"/>
      <c r="J411" s="10"/>
      <c r="K411" s="10"/>
      <c r="L411" s="10">
        <f ca="1">VLOOKUP(dict_DQ_Meth_max[[#This Row],[ID_DataQualities]],table_DataQualities[],8,FALSE)</f>
        <v>0.9</v>
      </c>
      <c r="M411" s="10">
        <f ca="1">VLOOKUP(dict_DQ_Meth_max[[#This Row],[ID_DataQualities]],table_DataQualities[],9,FALSE)</f>
        <v>7</v>
      </c>
    </row>
    <row r="412" spans="1:13" x14ac:dyDescent="0.45">
      <c r="A412" s="10">
        <v>109</v>
      </c>
      <c r="B412" s="10">
        <v>14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2.4859999999999998</v>
      </c>
      <c r="G412" s="12">
        <f ca="1">(RANDBETWEEN(50,100)/100)*(dict_DQ_Meth_max[[#This Row],[Vergleich_ub]]-dict_DQ_Meth_max[[#This Row],[Vergleich_lb]])+dict_DQ_Meth_max[[#This Row],[Vergleich_lb]]</f>
        <v>7</v>
      </c>
      <c r="H412" s="11" t="str">
        <f ca="1">VLOOKUP(VLOOKUP(dict_DQ_Meth_max[[#This Row],[ID_DataQualities]],table_DataQualities[],3),table_Units[],2)</f>
        <v>+/- °C</v>
      </c>
      <c r="I412" s="10"/>
      <c r="J412" s="10"/>
      <c r="K412" s="10"/>
      <c r="L412" s="10">
        <f ca="1">VLOOKUP(dict_DQ_Meth_max[[#This Row],[ID_DataQualities]],table_DataQualities[],8,FALSE)</f>
        <v>0.9</v>
      </c>
      <c r="M412" s="10">
        <f ca="1">VLOOKUP(dict_DQ_Meth_max[[#This Row],[ID_DataQualities]],table_DataQualities[],9,FALSE)</f>
        <v>7</v>
      </c>
    </row>
    <row r="413" spans="1:13" x14ac:dyDescent="0.45">
      <c r="A413" s="10">
        <v>109</v>
      </c>
      <c r="B413" s="10">
        <v>280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0.9</v>
      </c>
      <c r="G413" s="12">
        <f ca="1">(RANDBETWEEN(50,100)/100)*(dict_DQ_Meth_max[[#This Row],[Vergleich_ub]]-dict_DQ_Meth_max[[#This Row],[Vergleich_lb]])+dict_DQ_Meth_max[[#This Row],[Vergleich_lb]]</f>
        <v>6.5120000000000005</v>
      </c>
      <c r="H413" s="11" t="str">
        <f ca="1">VLOOKUP(VLOOKUP(dict_DQ_Meth_max[[#This Row],[ID_DataQualities]],table_DataQualities[],3),table_Units[],2)</f>
        <v>+/- °C</v>
      </c>
      <c r="I413" s="10"/>
      <c r="J413" s="10"/>
      <c r="K413" s="10"/>
      <c r="L413" s="10">
        <f ca="1">VLOOKUP(dict_DQ_Meth_max[[#This Row],[ID_DataQualities]],table_DataQualities[],8,FALSE)</f>
        <v>0.9</v>
      </c>
      <c r="M413" s="10">
        <f ca="1">VLOOKUP(dict_DQ_Meth_max[[#This Row],[ID_DataQualities]],table_DataQualities[],9,FALSE)</f>
        <v>7</v>
      </c>
    </row>
    <row r="414" spans="1:13" x14ac:dyDescent="0.45">
      <c r="A414" s="10">
        <v>110</v>
      </c>
      <c r="B414" s="10">
        <v>65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2632.7809999999999</v>
      </c>
      <c r="G414" s="12">
        <f ca="1">(RANDBETWEEN(50,100)/100)*(dict_DQ_Meth_max[[#This Row],[Vergleich_ub]]-dict_DQ_Meth_max[[#This Row],[Vergleich_lb]])+dict_DQ_Meth_max[[#This Row],[Vergleich_lb]]</f>
        <v>5499.5652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0.02</v>
      </c>
      <c r="M414" s="10">
        <f ca="1">VLOOKUP(dict_DQ_Meth_max[[#This Row],[ID_DataQualities]],table_DataQualities[],9,FALSE)</f>
        <v>5850.6</v>
      </c>
    </row>
    <row r="415" spans="1:13" x14ac:dyDescent="0.45">
      <c r="A415" s="10">
        <v>110</v>
      </c>
      <c r="B415" s="10">
        <v>214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643.5838</v>
      </c>
      <c r="G415" s="12">
        <f ca="1">(RANDBETWEEN(50,100)/100)*(dict_DQ_Meth_max[[#This Row],[Vergleich_ub]]-dict_DQ_Meth_max[[#This Row],[Vergleich_lb]])+dict_DQ_Meth_max[[#This Row],[Vergleich_lb]]</f>
        <v>3451.8621999999996</v>
      </c>
      <c r="H415" s="11" t="str">
        <f ca="1">VLOOKUP(VLOOKUP(dict_DQ_Meth_max[[#This Row],[ID_DataQualities]],table_DataQualities[],3),table_Units[],2)</f>
        <v>Hz</v>
      </c>
      <c r="I415" s="10"/>
      <c r="J415" s="10"/>
      <c r="K415" s="10"/>
      <c r="L415" s="10">
        <f ca="1">VLOOKUP(dict_DQ_Meth_max[[#This Row],[ID_DataQualities]],table_DataQualities[],8,FALSE)</f>
        <v>0.02</v>
      </c>
      <c r="M415" s="10">
        <f ca="1">VLOOKUP(dict_DQ_Meth_max[[#This Row],[ID_DataQualities]],table_DataQualities[],9,FALSE)</f>
        <v>5850.6</v>
      </c>
    </row>
    <row r="416" spans="1:13" x14ac:dyDescent="0.45">
      <c r="A416" s="10">
        <v>110</v>
      </c>
      <c r="B416" s="10">
        <v>427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292.54899999999998</v>
      </c>
      <c r="G416" s="12">
        <f ca="1">(RANDBETWEEN(50,100)/100)*(dict_DQ_Meth_max[[#This Row],[Vergleich_ub]]-dict_DQ_Meth_max[[#This Row],[Vergleich_lb]])+dict_DQ_Meth_max[[#This Row],[Vergleich_lb]]</f>
        <v>5031.5188000000007</v>
      </c>
      <c r="H416" s="11" t="str">
        <f ca="1">VLOOKUP(VLOOKUP(dict_DQ_Meth_max[[#This Row],[ID_DataQualities]],table_DataQualities[],3),table_Units[],2)</f>
        <v>Hz</v>
      </c>
      <c r="I416" s="10"/>
      <c r="J416" s="10"/>
      <c r="K416" s="10"/>
      <c r="L416" s="10">
        <f ca="1">VLOOKUP(dict_DQ_Meth_max[[#This Row],[ID_DataQualities]],table_DataQualities[],8,FALSE)</f>
        <v>0.02</v>
      </c>
      <c r="M416" s="10">
        <f ca="1">VLOOKUP(dict_DQ_Meth_max[[#This Row],[ID_DataQualities]],table_DataQualities[],9,FALSE)</f>
        <v>5850.6</v>
      </c>
    </row>
    <row r="417" spans="1:13" x14ac:dyDescent="0.45">
      <c r="A417" s="10">
        <v>110</v>
      </c>
      <c r="B417" s="10">
        <v>605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2164.7345999999998</v>
      </c>
      <c r="G417" s="12">
        <f ca="1">(RANDBETWEEN(50,100)/100)*(dict_DQ_Meth_max[[#This Row],[Vergleich_ub]]-dict_DQ_Meth_max[[#This Row],[Vergleich_lb]])+dict_DQ_Meth_max[[#This Row],[Vergleich_lb]]</f>
        <v>3276.3448000000003</v>
      </c>
      <c r="H417" s="11" t="str">
        <f ca="1">VLOOKUP(VLOOKUP(dict_DQ_Meth_max[[#This Row],[ID_DataQualities]],table_DataQualities[],3),table_Units[],2)</f>
        <v>Hz</v>
      </c>
      <c r="I417" s="10"/>
      <c r="J417" s="10"/>
      <c r="K417" s="10"/>
      <c r="L417" s="10">
        <f ca="1">VLOOKUP(dict_DQ_Meth_max[[#This Row],[ID_DataQualities]],table_DataQualities[],8,FALSE)</f>
        <v>0.02</v>
      </c>
      <c r="M417" s="10">
        <f ca="1">VLOOKUP(dict_DQ_Meth_max[[#This Row],[ID_DataQualities]],table_DataQualities[],9,FALSE)</f>
        <v>5850.6</v>
      </c>
    </row>
    <row r="418" spans="1:13" x14ac:dyDescent="0.45">
      <c r="A418" s="10">
        <v>111</v>
      </c>
      <c r="B418" s="10">
        <v>65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0.91080000000000017</v>
      </c>
      <c r="G418" s="12">
        <f ca="1">(RANDBETWEEN(50,100)/100)*(dict_DQ_Meth_max[[#This Row],[Vergleich_ub]]-dict_DQ_Meth_max[[#This Row],[Vergleich_lb]])+dict_DQ_Meth_max[[#This Row],[Vergleich_lb]]</f>
        <v>1.9599000000000002</v>
      </c>
      <c r="H418" s="11" t="str">
        <f ca="1">VLOOKUP(VLOOKUP(dict_DQ_Meth_max[[#This Row],[ID_DataQualities]],table_DataQualities[],3),table_Units[],2)</f>
        <v>+/- W</v>
      </c>
      <c r="I418" s="10"/>
      <c r="J418" s="10"/>
      <c r="K418" s="10"/>
      <c r="L418" s="10">
        <f ca="1">VLOOKUP(dict_DQ_Meth_max[[#This Row],[ID_DataQualities]],table_DataQualities[],8,FALSE)</f>
        <v>0.05</v>
      </c>
      <c r="M418" s="10">
        <f ca="1">VLOOKUP(dict_DQ_Meth_max[[#This Row],[ID_DataQualities]],table_DataQualities[],9,FALSE)</f>
        <v>2.74</v>
      </c>
    </row>
    <row r="419" spans="1:13" x14ac:dyDescent="0.45">
      <c r="A419" s="10">
        <v>111</v>
      </c>
      <c r="B419" s="10">
        <v>214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1.1529</v>
      </c>
      <c r="G419" s="12">
        <f ca="1">(RANDBETWEEN(50,100)/100)*(dict_DQ_Meth_max[[#This Row],[Vergleich_ub]]-dict_DQ_Meth_max[[#This Row],[Vergleich_lb]])+dict_DQ_Meth_max[[#This Row],[Vergleich_lb]]</f>
        <v>2.1213000000000002</v>
      </c>
      <c r="H419" s="11" t="str">
        <f ca="1">VLOOKUP(VLOOKUP(dict_DQ_Meth_max[[#This Row],[ID_DataQualities]],table_DataQualities[],3),table_Units[],2)</f>
        <v>+/- W</v>
      </c>
      <c r="I419" s="10"/>
      <c r="J419" s="10"/>
      <c r="K419" s="10"/>
      <c r="L419" s="10">
        <f ca="1">VLOOKUP(dict_DQ_Meth_max[[#This Row],[ID_DataQualities]],table_DataQualities[],8,FALSE)</f>
        <v>0.05</v>
      </c>
      <c r="M419" s="10">
        <f ca="1">VLOOKUP(dict_DQ_Meth_max[[#This Row],[ID_DataQualities]],table_DataQualities[],9,FALSE)</f>
        <v>2.74</v>
      </c>
    </row>
    <row r="420" spans="1:13" x14ac:dyDescent="0.45">
      <c r="A420" s="10">
        <v>111</v>
      </c>
      <c r="B420" s="10">
        <v>427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0.64180000000000015</v>
      </c>
      <c r="G420" s="12">
        <f ca="1">(RANDBETWEEN(50,100)/100)*(dict_DQ_Meth_max[[#This Row],[Vergleich_ub]]-dict_DQ_Meth_max[[#This Row],[Vergleich_lb]])+dict_DQ_Meth_max[[#This Row],[Vergleich_lb]]</f>
        <v>2.3903000000000003</v>
      </c>
      <c r="H420" s="11" t="str">
        <f ca="1">VLOOKUP(VLOOKUP(dict_DQ_Meth_max[[#This Row],[ID_DataQualities]],table_DataQualities[],3),table_Units[],2)</f>
        <v>+/- W</v>
      </c>
      <c r="I420" s="10"/>
      <c r="J420" s="10"/>
      <c r="K420" s="10"/>
      <c r="L420" s="10">
        <f ca="1">VLOOKUP(dict_DQ_Meth_max[[#This Row],[ID_DataQualities]],table_DataQualities[],8,FALSE)</f>
        <v>0.05</v>
      </c>
      <c r="M420" s="10">
        <f ca="1">VLOOKUP(dict_DQ_Meth_max[[#This Row],[ID_DataQualities]],table_DataQualities[],9,FALSE)</f>
        <v>2.74</v>
      </c>
    </row>
    <row r="421" spans="1:13" x14ac:dyDescent="0.45">
      <c r="A421" s="10">
        <v>111</v>
      </c>
      <c r="B421" s="10">
        <v>605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1.2336000000000003</v>
      </c>
      <c r="G421" s="12">
        <f ca="1">(RANDBETWEEN(50,100)/100)*(dict_DQ_Meth_max[[#This Row],[Vergleich_ub]]-dict_DQ_Meth_max[[#This Row],[Vergleich_lb]])+dict_DQ_Meth_max[[#This Row],[Vergleich_lb]]</f>
        <v>1.6102000000000001</v>
      </c>
      <c r="H421" s="11" t="str">
        <f ca="1">VLOOKUP(VLOOKUP(dict_DQ_Meth_max[[#This Row],[ID_DataQualities]],table_DataQualities[],3),table_Units[],2)</f>
        <v>+/- W</v>
      </c>
      <c r="I421" s="10"/>
      <c r="J421" s="10"/>
      <c r="K421" s="10"/>
      <c r="L421" s="10">
        <f ca="1">VLOOKUP(dict_DQ_Meth_max[[#This Row],[ID_DataQualities]],table_DataQualities[],8,FALSE)</f>
        <v>0.05</v>
      </c>
      <c r="M421" s="10">
        <f ca="1">VLOOKUP(dict_DQ_Meth_max[[#This Row],[ID_DataQualities]],table_DataQualities[],9,FALSE)</f>
        <v>2.74</v>
      </c>
    </row>
    <row r="422" spans="1:13" x14ac:dyDescent="0.45">
      <c r="A422" s="10">
        <v>112</v>
      </c>
      <c r="B422" s="10">
        <v>119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173.03416000000001</v>
      </c>
      <c r="G422" s="12">
        <f ca="1">(RANDBETWEEN(50,100)/100)*(dict_DQ_Meth_max[[#This Row],[Vergleich_ub]]-dict_DQ_Meth_max[[#This Row],[Vergleich_lb]])+dict_DQ_Meth_max[[#This Row],[Vergleich_lb]]</f>
        <v>369.25365999999997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0.36099999999999999</v>
      </c>
      <c r="M422" s="10">
        <f ca="1">VLOOKUP(dict_DQ_Meth_max[[#This Row],[ID_DataQualities]],table_DataQualities[],9,FALSE)</f>
        <v>392.8</v>
      </c>
    </row>
    <row r="423" spans="1:13" x14ac:dyDescent="0.45">
      <c r="A423" s="10">
        <v>112</v>
      </c>
      <c r="B423" s="10">
        <v>339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118.09270000000001</v>
      </c>
      <c r="G423" s="12">
        <f ca="1">(RANDBETWEEN(50,100)/100)*(dict_DQ_Meth_max[[#This Row],[Vergleich_ub]]-dict_DQ_Meth_max[[#This Row],[Vergleich_lb]])+dict_DQ_Meth_max[[#This Row],[Vergleich_lb]]</f>
        <v>306.46342000000004</v>
      </c>
      <c r="H423" s="11" t="str">
        <f ca="1">VLOOKUP(VLOOKUP(dict_DQ_Meth_max[[#This Row],[ID_DataQualities]],table_DataQualities[],3),table_Units[],2)</f>
        <v>Hz</v>
      </c>
      <c r="I423" s="10"/>
      <c r="J423" s="10"/>
      <c r="K423" s="10"/>
      <c r="L423" s="10">
        <f ca="1">VLOOKUP(dict_DQ_Meth_max[[#This Row],[ID_DataQualities]],table_DataQualities[],8,FALSE)</f>
        <v>0.36099999999999999</v>
      </c>
      <c r="M423" s="10">
        <f ca="1">VLOOKUP(dict_DQ_Meth_max[[#This Row],[ID_DataQualities]],table_DataQualities[],9,FALSE)</f>
        <v>392.8</v>
      </c>
    </row>
    <row r="424" spans="1:13" x14ac:dyDescent="0.45">
      <c r="A424" s="10">
        <v>113</v>
      </c>
      <c r="B424" s="10">
        <v>339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0.66819999999999991</v>
      </c>
      <c r="G424" s="12">
        <f ca="1">(RANDBETWEEN(50,100)/100)*(dict_DQ_Meth_max[[#This Row],[Vergleich_ub]]-dict_DQ_Meth_max[[#This Row],[Vergleich_lb]])+dict_DQ_Meth_max[[#This Row],[Vergleich_lb]]</f>
        <v>8.6062000000000012</v>
      </c>
      <c r="H424" s="11" t="str">
        <f ca="1">VLOOKUP(VLOOKUP(dict_DQ_Meth_max[[#This Row],[ID_DataQualities]],table_DataQualities[],3),table_Units[],2)</f>
        <v>+/- mm/s</v>
      </c>
      <c r="I424" s="10"/>
      <c r="J424" s="10"/>
      <c r="K424" s="10"/>
      <c r="L424" s="10">
        <f ca="1">VLOOKUP(dict_DQ_Meth_max[[#This Row],[ID_DataQualities]],table_DataQualities[],8,FALSE)</f>
        <v>0.57999999999999996</v>
      </c>
      <c r="M424" s="10">
        <f ca="1">VLOOKUP(dict_DQ_Meth_max[[#This Row],[ID_DataQualities]],table_DataQualities[],9,FALSE)</f>
        <v>9.4</v>
      </c>
    </row>
    <row r="425" spans="1:13" x14ac:dyDescent="0.45">
      <c r="A425" s="10">
        <v>113</v>
      </c>
      <c r="B425" s="10">
        <v>119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0.66819999999999991</v>
      </c>
      <c r="G425" s="12">
        <f ca="1">(RANDBETWEEN(50,100)/100)*(dict_DQ_Meth_max[[#This Row],[Vergleich_ub]]-dict_DQ_Meth_max[[#This Row],[Vergleich_lb]])+dict_DQ_Meth_max[[#This Row],[Vergleich_lb]]</f>
        <v>5.8719999999999999</v>
      </c>
      <c r="H425" s="11" t="str">
        <f ca="1">VLOOKUP(VLOOKUP(dict_DQ_Meth_max[[#This Row],[ID_DataQualities]],table_DataQualities[],3),table_Units[],2)</f>
        <v>+/- mm/s</v>
      </c>
      <c r="I425" s="10"/>
      <c r="J425" s="10"/>
      <c r="K425" s="10"/>
      <c r="L425" s="10">
        <f ca="1">VLOOKUP(dict_DQ_Meth_max[[#This Row],[ID_DataQualities]],table_DataQualities[],8,FALSE)</f>
        <v>0.57999999999999996</v>
      </c>
      <c r="M425" s="10">
        <f ca="1">VLOOKUP(dict_DQ_Meth_max[[#This Row],[ID_DataQualities]],table_DataQualities[],9,FALSE)</f>
        <v>9.4</v>
      </c>
    </row>
    <row r="426" spans="1:13" x14ac:dyDescent="0.45">
      <c r="A426" s="10">
        <v>114</v>
      </c>
      <c r="B426" s="10">
        <v>40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633.92488000000003</v>
      </c>
      <c r="G426" s="12">
        <f ca="1">(RANDBETWEEN(50,100)/100)*(dict_DQ_Meth_max[[#This Row],[Vergleich_ub]]-dict_DQ_Meth_max[[#This Row],[Vergleich_lb]])+dict_DQ_Meth_max[[#This Row],[Vergleich_lb]]</f>
        <v>3389.2882400000003</v>
      </c>
      <c r="H426" s="11" t="str">
        <f ca="1">VLOOKUP(VLOOKUP(dict_DQ_Meth_max[[#This Row],[ID_DataQualities]],table_DataQualities[],3),table_Units[],2)</f>
        <v>Hz</v>
      </c>
      <c r="I426" s="10"/>
      <c r="J426" s="10"/>
      <c r="K426" s="10"/>
      <c r="L426" s="10">
        <f ca="1">VLOOKUP(dict_DQ_Meth_max[[#This Row],[ID_DataQualities]],table_DataQualities[],8,FALSE)</f>
        <v>0.93600000000000005</v>
      </c>
      <c r="M426" s="10">
        <f ca="1">VLOOKUP(dict_DQ_Meth_max[[#This Row],[ID_DataQualities]],table_DataQualities[],9,FALSE)</f>
        <v>3724.4</v>
      </c>
    </row>
    <row r="427" spans="1:13" x14ac:dyDescent="0.45">
      <c r="A427" s="10">
        <v>114</v>
      </c>
      <c r="B427" s="10">
        <v>390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1639.2601599999998</v>
      </c>
      <c r="G427" s="12">
        <f ca="1">(RANDBETWEEN(50,100)/100)*(dict_DQ_Meth_max[[#This Row],[Vergleich_ub]]-dict_DQ_Meth_max[[#This Row],[Vergleich_lb]])+dict_DQ_Meth_max[[#This Row],[Vergleich_lb]]</f>
        <v>2383.9529600000001</v>
      </c>
      <c r="H427" s="11" t="str">
        <f ca="1">VLOOKUP(VLOOKUP(dict_DQ_Meth_max[[#This Row],[ID_DataQualities]],table_DataQualities[],3),table_Units[],2)</f>
        <v>Hz</v>
      </c>
      <c r="I427" s="10"/>
      <c r="J427" s="10"/>
      <c r="K427" s="10"/>
      <c r="L427" s="10">
        <f ca="1">VLOOKUP(dict_DQ_Meth_max[[#This Row],[ID_DataQualities]],table_DataQualities[],8,FALSE)</f>
        <v>0.93600000000000005</v>
      </c>
      <c r="M427" s="10">
        <f ca="1">VLOOKUP(dict_DQ_Meth_max[[#This Row],[ID_DataQualities]],table_DataQualities[],9,FALSE)</f>
        <v>3724.4</v>
      </c>
    </row>
    <row r="428" spans="1:13" x14ac:dyDescent="0.45">
      <c r="A428" s="10">
        <v>114</v>
      </c>
      <c r="B428" s="10">
        <v>456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1564.7908799999998</v>
      </c>
      <c r="G428" s="12">
        <f ca="1">(RANDBETWEEN(50,100)/100)*(dict_DQ_Meth_max[[#This Row],[Vergleich_ub]]-dict_DQ_Meth_max[[#This Row],[Vergleich_lb]])+dict_DQ_Meth_max[[#This Row],[Vergleich_lb]]</f>
        <v>2160.5451199999998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0.93600000000000005</v>
      </c>
      <c r="M428" s="10">
        <f ca="1">VLOOKUP(dict_DQ_Meth_max[[#This Row],[ID_DataQualities]],table_DataQualities[],9,FALSE)</f>
        <v>3724.4</v>
      </c>
    </row>
    <row r="429" spans="1:13" x14ac:dyDescent="0.45">
      <c r="A429" s="10">
        <v>114</v>
      </c>
      <c r="B429" s="10">
        <v>223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1713.7294400000001</v>
      </c>
      <c r="G429" s="12">
        <f ca="1">(RANDBETWEEN(50,100)/100)*(dict_DQ_Meth_max[[#This Row],[Vergleich_ub]]-dict_DQ_Meth_max[[#This Row],[Vergleich_lb]])+dict_DQ_Meth_max[[#This Row],[Vergleich_lb]]</f>
        <v>2793.5340000000001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0.93600000000000005</v>
      </c>
      <c r="M429" s="10">
        <f ca="1">VLOOKUP(dict_DQ_Meth_max[[#This Row],[ID_DataQualities]],table_DataQualities[],9,FALSE)</f>
        <v>3724.4</v>
      </c>
    </row>
    <row r="430" spans="1:13" x14ac:dyDescent="0.45">
      <c r="A430" s="10">
        <v>114</v>
      </c>
      <c r="B430" s="10">
        <v>570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1043.5059200000001</v>
      </c>
      <c r="G430" s="12">
        <f ca="1">(RANDBETWEEN(50,100)/100)*(dict_DQ_Meth_max[[#This Row],[Vergleich_ub]]-dict_DQ_Meth_max[[#This Row],[Vergleich_lb]])+dict_DQ_Meth_max[[#This Row],[Vergleich_lb]]</f>
        <v>2272.2490400000002</v>
      </c>
      <c r="H430" s="11" t="str">
        <f ca="1">VLOOKUP(VLOOKUP(dict_DQ_Meth_max[[#This Row],[ID_DataQualities]],table_DataQualities[],3),table_Units[],2)</f>
        <v>Hz</v>
      </c>
      <c r="I430" s="10"/>
      <c r="J430" s="10"/>
      <c r="K430" s="10"/>
      <c r="L430" s="10">
        <f ca="1">VLOOKUP(dict_DQ_Meth_max[[#This Row],[ID_DataQualities]],table_DataQualities[],8,FALSE)</f>
        <v>0.93600000000000005</v>
      </c>
      <c r="M430" s="10">
        <f ca="1">VLOOKUP(dict_DQ_Meth_max[[#This Row],[ID_DataQualities]],table_DataQualities[],9,FALSE)</f>
        <v>3724.4</v>
      </c>
    </row>
    <row r="431" spans="1:13" x14ac:dyDescent="0.45">
      <c r="A431" s="10">
        <v>115</v>
      </c>
      <c r="B431" s="10">
        <v>390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2.4296600000000002</v>
      </c>
      <c r="G431" s="12">
        <f ca="1">(RANDBETWEEN(50,100)/100)*(dict_DQ_Meth_max[[#This Row],[Vergleich_ub]]-dict_DQ_Meth_max[[#This Row],[Vergleich_lb]])+dict_DQ_Meth_max[[#This Row],[Vergleich_lb]]</f>
        <v>5.0959699999999994</v>
      </c>
      <c r="H431" s="11" t="str">
        <f ca="1">VLOOKUP(VLOOKUP(dict_DQ_Meth_max[[#This Row],[ID_DataQualities]],table_DataQualities[],3),table_Units[],2)</f>
        <v>+/- W</v>
      </c>
      <c r="I431" s="10"/>
      <c r="J431" s="10"/>
      <c r="K431" s="10"/>
      <c r="L431" s="10">
        <f ca="1">VLOOKUP(dict_DQ_Meth_max[[#This Row],[ID_DataQualities]],table_DataQualities[],8,FALSE)</f>
        <v>4.7E-2</v>
      </c>
      <c r="M431" s="10">
        <f ca="1">VLOOKUP(dict_DQ_Meth_max[[#This Row],[ID_DataQualities]],table_DataQualities[],9,FALSE)</f>
        <v>5.72</v>
      </c>
    </row>
    <row r="432" spans="1:13" x14ac:dyDescent="0.45">
      <c r="A432" s="10">
        <v>115</v>
      </c>
      <c r="B432" s="10">
        <v>456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1.0114100000000001</v>
      </c>
      <c r="G432" s="12">
        <f ca="1">(RANDBETWEEN(50,100)/100)*(dict_DQ_Meth_max[[#This Row],[Vergleich_ub]]-dict_DQ_Meth_max[[#This Row],[Vergleich_lb]])+dict_DQ_Meth_max[[#This Row],[Vergleich_lb]]</f>
        <v>3.1104200000000004</v>
      </c>
      <c r="H432" s="11" t="str">
        <f ca="1">VLOOKUP(VLOOKUP(dict_DQ_Meth_max[[#This Row],[ID_DataQualities]],table_DataQualities[],3),table_Units[],2)</f>
        <v>+/- W</v>
      </c>
      <c r="I432" s="10"/>
      <c r="J432" s="10"/>
      <c r="K432" s="10"/>
      <c r="L432" s="10">
        <f ca="1">VLOOKUP(dict_DQ_Meth_max[[#This Row],[ID_DataQualities]],table_DataQualities[],8,FALSE)</f>
        <v>4.7E-2</v>
      </c>
      <c r="M432" s="10">
        <f ca="1">VLOOKUP(dict_DQ_Meth_max[[#This Row],[ID_DataQualities]],table_DataQualities[],9,FALSE)</f>
        <v>5.72</v>
      </c>
    </row>
    <row r="433" spans="1:13" x14ac:dyDescent="0.45">
      <c r="A433" s="10">
        <v>115</v>
      </c>
      <c r="B433" s="10">
        <v>570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1.4652499999999999</v>
      </c>
      <c r="G433" s="12">
        <f ca="1">(RANDBETWEEN(50,100)/100)*(dict_DQ_Meth_max[[#This Row],[Vergleich_ub]]-dict_DQ_Meth_max[[#This Row],[Vergleich_lb]])+dict_DQ_Meth_max[[#This Row],[Vergleich_lb]]</f>
        <v>5.0392399999999995</v>
      </c>
      <c r="H433" s="11" t="str">
        <f ca="1">VLOOKUP(VLOOKUP(dict_DQ_Meth_max[[#This Row],[ID_DataQualities]],table_DataQualities[],3),table_Units[],2)</f>
        <v>+/- W</v>
      </c>
      <c r="I433" s="10"/>
      <c r="J433" s="10"/>
      <c r="K433" s="10"/>
      <c r="L433" s="10">
        <f ca="1">VLOOKUP(dict_DQ_Meth_max[[#This Row],[ID_DataQualities]],table_DataQualities[],8,FALSE)</f>
        <v>4.7E-2</v>
      </c>
      <c r="M433" s="10">
        <f ca="1">VLOOKUP(dict_DQ_Meth_max[[#This Row],[ID_DataQualities]],table_DataQualities[],9,FALSE)</f>
        <v>5.72</v>
      </c>
    </row>
    <row r="434" spans="1:13" x14ac:dyDescent="0.45">
      <c r="A434" s="10">
        <v>115</v>
      </c>
      <c r="B434" s="10">
        <v>40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2.14601</v>
      </c>
      <c r="G434" s="12">
        <f ca="1">(RANDBETWEEN(50,100)/100)*(dict_DQ_Meth_max[[#This Row],[Vergleich_ub]]-dict_DQ_Meth_max[[#This Row],[Vergleich_lb]])+dict_DQ_Meth_max[[#This Row],[Vergleich_lb]]</f>
        <v>4.3584800000000001</v>
      </c>
      <c r="H434" s="11" t="str">
        <f ca="1">VLOOKUP(VLOOKUP(dict_DQ_Meth_max[[#This Row],[ID_DataQualities]],table_DataQualities[],3),table_Units[],2)</f>
        <v>+/- W</v>
      </c>
      <c r="I434" s="10"/>
      <c r="J434" s="10"/>
      <c r="K434" s="10"/>
      <c r="L434" s="10">
        <f ca="1">VLOOKUP(dict_DQ_Meth_max[[#This Row],[ID_DataQualities]],table_DataQualities[],8,FALSE)</f>
        <v>4.7E-2</v>
      </c>
      <c r="M434" s="10">
        <f ca="1">VLOOKUP(dict_DQ_Meth_max[[#This Row],[ID_DataQualities]],table_DataQualities[],9,FALSE)</f>
        <v>5.72</v>
      </c>
    </row>
    <row r="435" spans="1:13" x14ac:dyDescent="0.45">
      <c r="A435" s="10">
        <v>115</v>
      </c>
      <c r="B435" s="10">
        <v>223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4.7E-2</v>
      </c>
      <c r="G435" s="12">
        <f ca="1">(RANDBETWEEN(50,100)/100)*(dict_DQ_Meth_max[[#This Row],[Vergleich_ub]]-dict_DQ_Meth_max[[#This Row],[Vergleich_lb]])+dict_DQ_Meth_max[[#This Row],[Vergleich_lb]]</f>
        <v>3.8479100000000006</v>
      </c>
      <c r="H435" s="11" t="str">
        <f ca="1">VLOOKUP(VLOOKUP(dict_DQ_Meth_max[[#This Row],[ID_DataQualities]],table_DataQualities[],3),table_Units[],2)</f>
        <v>+/- W</v>
      </c>
      <c r="I435" s="10"/>
      <c r="J435" s="10"/>
      <c r="K435" s="10"/>
      <c r="L435" s="10">
        <f ca="1">VLOOKUP(dict_DQ_Meth_max[[#This Row],[ID_DataQualities]],table_DataQualities[],8,FALSE)</f>
        <v>4.7E-2</v>
      </c>
      <c r="M435" s="10">
        <f ca="1">VLOOKUP(dict_DQ_Meth_max[[#This Row],[ID_DataQualities]],table_DataQualities[],9,FALSE)</f>
        <v>5.72</v>
      </c>
    </row>
    <row r="436" spans="1:13" x14ac:dyDescent="0.45">
      <c r="A436" s="10">
        <v>116</v>
      </c>
      <c r="B436" s="10">
        <v>29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2022.6736000000001</v>
      </c>
      <c r="G436" s="12">
        <f ca="1">(RANDBETWEEN(50,100)/100)*(dict_DQ_Meth_max[[#This Row],[Vergleich_ub]]-dict_DQ_Meth_max[[#This Row],[Vergleich_lb]])+dict_DQ_Meth_max[[#This Row],[Vergleich_lb]]</f>
        <v>3708.0766000000003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0.19</v>
      </c>
      <c r="M436" s="10">
        <f ca="1">VLOOKUP(dict_DQ_Meth_max[[#This Row],[ID_DataQualities]],table_DataQualities[],9,FALSE)</f>
        <v>5618.2</v>
      </c>
    </row>
    <row r="437" spans="1:13" x14ac:dyDescent="0.45">
      <c r="A437" s="10">
        <v>116</v>
      </c>
      <c r="B437" s="10">
        <v>135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56.370100000000001</v>
      </c>
      <c r="G437" s="12">
        <f ca="1">(RANDBETWEEN(50,100)/100)*(dict_DQ_Meth_max[[#This Row],[Vergleich_ub]]-dict_DQ_Meth_max[[#This Row],[Vergleich_lb]])+dict_DQ_Meth_max[[#This Row],[Vergleich_lb]]</f>
        <v>4438.4179000000004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0.19</v>
      </c>
      <c r="M437" s="10">
        <f ca="1">VLOOKUP(dict_DQ_Meth_max[[#This Row],[ID_DataQualities]],table_DataQualities[],9,FALSE)</f>
        <v>5618.2</v>
      </c>
    </row>
    <row r="438" spans="1:13" x14ac:dyDescent="0.45">
      <c r="A438" s="10">
        <v>116</v>
      </c>
      <c r="B438" s="10">
        <v>232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1966.4935</v>
      </c>
      <c r="G438" s="12">
        <f ca="1">(RANDBETWEEN(50,100)/100)*(dict_DQ_Meth_max[[#This Row],[Vergleich_ub]]-dict_DQ_Meth_max[[#This Row],[Vergleich_lb]])+dict_DQ_Meth_max[[#This Row],[Vergleich_lb]]</f>
        <v>3595.7164000000002</v>
      </c>
      <c r="H438" s="11" t="str">
        <f ca="1">VLOOKUP(VLOOKUP(dict_DQ_Meth_max[[#This Row],[ID_DataQualities]],table_DataQualities[],3),table_Units[],2)</f>
        <v>Hz</v>
      </c>
      <c r="I438" s="10"/>
      <c r="J438" s="10"/>
      <c r="K438" s="10"/>
      <c r="L438" s="10">
        <f ca="1">VLOOKUP(dict_DQ_Meth_max[[#This Row],[ID_DataQualities]],table_DataQualities[],8,FALSE)</f>
        <v>0.19</v>
      </c>
      <c r="M438" s="10">
        <f ca="1">VLOOKUP(dict_DQ_Meth_max[[#This Row],[ID_DataQualities]],table_DataQualities[],9,FALSE)</f>
        <v>5618.2</v>
      </c>
    </row>
    <row r="439" spans="1:13" x14ac:dyDescent="0.45">
      <c r="A439" s="10">
        <v>116</v>
      </c>
      <c r="B439" s="10">
        <v>240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2191.2139000000002</v>
      </c>
      <c r="G439" s="12">
        <f ca="1">(RANDBETWEEN(50,100)/100)*(dict_DQ_Meth_max[[#This Row],[Vergleich_ub]]-dict_DQ_Meth_max[[#This Row],[Vergleich_lb]])+dict_DQ_Meth_max[[#This Row],[Vergleich_lb]]</f>
        <v>4326.0577000000003</v>
      </c>
      <c r="H439" s="11" t="str">
        <f ca="1">VLOOKUP(VLOOKUP(dict_DQ_Meth_max[[#This Row],[ID_DataQualities]],table_DataQualities[],3),table_Units[],2)</f>
        <v>Hz</v>
      </c>
      <c r="I439" s="10"/>
      <c r="J439" s="10"/>
      <c r="K439" s="10"/>
      <c r="L439" s="10">
        <f ca="1">VLOOKUP(dict_DQ_Meth_max[[#This Row],[ID_DataQualities]],table_DataQualities[],8,FALSE)</f>
        <v>0.19</v>
      </c>
      <c r="M439" s="10">
        <f ca="1">VLOOKUP(dict_DQ_Meth_max[[#This Row],[ID_DataQualities]],table_DataQualities[],9,FALSE)</f>
        <v>5618.2</v>
      </c>
    </row>
    <row r="440" spans="1:13" x14ac:dyDescent="0.45">
      <c r="A440" s="10">
        <v>117</v>
      </c>
      <c r="B440" s="10">
        <v>240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2.8519999999999999</v>
      </c>
      <c r="G440" s="12">
        <f ca="1">(RANDBETWEEN(50,100)/100)*(dict_DQ_Meth_max[[#This Row],[Vergleich_ub]]-dict_DQ_Meth_max[[#This Row],[Vergleich_lb]])+dict_DQ_Meth_max[[#This Row],[Vergleich_lb]]</f>
        <v>6.6949999999999994</v>
      </c>
      <c r="H440" s="11" t="str">
        <f ca="1">VLOOKUP(VLOOKUP(dict_DQ_Meth_max[[#This Row],[ID_DataQualities]],table_DataQualities[],3),table_Units[],2)</f>
        <v>+/- °C</v>
      </c>
      <c r="I440" s="10"/>
      <c r="J440" s="10"/>
      <c r="K440" s="10"/>
      <c r="L440" s="10">
        <f ca="1">VLOOKUP(dict_DQ_Meth_max[[#This Row],[ID_DataQualities]],table_DataQualities[],8,FALSE)</f>
        <v>0.9</v>
      </c>
      <c r="M440" s="10">
        <f ca="1">VLOOKUP(dict_DQ_Meth_max[[#This Row],[ID_DataQualities]],table_DataQualities[],9,FALSE)</f>
        <v>7</v>
      </c>
    </row>
    <row r="441" spans="1:13" x14ac:dyDescent="0.45">
      <c r="A441" s="10">
        <v>117</v>
      </c>
      <c r="B441" s="10">
        <v>232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2.9739999999999998</v>
      </c>
      <c r="G441" s="12">
        <f ca="1">(RANDBETWEEN(50,100)/100)*(dict_DQ_Meth_max[[#This Row],[Vergleich_ub]]-dict_DQ_Meth_max[[#This Row],[Vergleich_lb]])+dict_DQ_Meth_max[[#This Row],[Vergleich_lb]]</f>
        <v>6.2069999999999999</v>
      </c>
      <c r="H441" s="11" t="str">
        <f ca="1">VLOOKUP(VLOOKUP(dict_DQ_Meth_max[[#This Row],[ID_DataQualities]],table_DataQualities[],3),table_Units[],2)</f>
        <v>+/- °C</v>
      </c>
      <c r="I441" s="10"/>
      <c r="J441" s="10"/>
      <c r="K441" s="10"/>
      <c r="L441" s="10">
        <f ca="1">VLOOKUP(dict_DQ_Meth_max[[#This Row],[ID_DataQualities]],table_DataQualities[],8,FALSE)</f>
        <v>0.9</v>
      </c>
      <c r="M441" s="10">
        <f ca="1">VLOOKUP(dict_DQ_Meth_max[[#This Row],[ID_DataQualities]],table_DataQualities[],9,FALSE)</f>
        <v>7</v>
      </c>
    </row>
    <row r="442" spans="1:13" x14ac:dyDescent="0.45">
      <c r="A442" s="10">
        <v>117</v>
      </c>
      <c r="B442" s="10">
        <v>135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3.34</v>
      </c>
      <c r="G442" s="12">
        <f ca="1">(RANDBETWEEN(50,100)/100)*(dict_DQ_Meth_max[[#This Row],[Vergleich_ub]]-dict_DQ_Meth_max[[#This Row],[Vergleich_lb]])+dict_DQ_Meth_max[[#This Row],[Vergleich_lb]]</f>
        <v>5.2919999999999998</v>
      </c>
      <c r="H442" s="11" t="str">
        <f ca="1">VLOOKUP(VLOOKUP(dict_DQ_Meth_max[[#This Row],[ID_DataQualities]],table_DataQualities[],3),table_Units[],2)</f>
        <v>+/- °C</v>
      </c>
      <c r="I442" s="10"/>
      <c r="J442" s="10"/>
      <c r="K442" s="10"/>
      <c r="L442" s="10">
        <f ca="1">VLOOKUP(dict_DQ_Meth_max[[#This Row],[ID_DataQualities]],table_DataQualities[],8,FALSE)</f>
        <v>0.9</v>
      </c>
      <c r="M442" s="10">
        <f ca="1">VLOOKUP(dict_DQ_Meth_max[[#This Row],[ID_DataQualities]],table_DataQualities[],9,FALSE)</f>
        <v>7</v>
      </c>
    </row>
    <row r="443" spans="1:13" x14ac:dyDescent="0.45">
      <c r="A443" s="10">
        <v>117</v>
      </c>
      <c r="B443" s="10">
        <v>29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2.3029999999999999</v>
      </c>
      <c r="G443" s="12">
        <f ca="1">(RANDBETWEEN(50,100)/100)*(dict_DQ_Meth_max[[#This Row],[Vergleich_ub]]-dict_DQ_Meth_max[[#This Row],[Vergleich_lb]])+dict_DQ_Meth_max[[#This Row],[Vergleich_lb]]</f>
        <v>4.4989999999999997</v>
      </c>
      <c r="H443" s="11" t="str">
        <f ca="1">VLOOKUP(VLOOKUP(dict_DQ_Meth_max[[#This Row],[ID_DataQualities]],table_DataQualities[],3),table_Units[],2)</f>
        <v>+/- °C</v>
      </c>
      <c r="I443" s="10"/>
      <c r="J443" s="10"/>
      <c r="K443" s="10"/>
      <c r="L443" s="10">
        <f ca="1">VLOOKUP(dict_DQ_Meth_max[[#This Row],[ID_DataQualities]],table_DataQualities[],8,FALSE)</f>
        <v>0.9</v>
      </c>
      <c r="M443" s="10">
        <f ca="1">VLOOKUP(dict_DQ_Meth_max[[#This Row],[ID_DataQualities]],table_DataQualities[],9,FALSE)</f>
        <v>7</v>
      </c>
    </row>
    <row r="444" spans="1:13" x14ac:dyDescent="0.45">
      <c r="A444" s="10">
        <v>118</v>
      </c>
      <c r="B444" s="10">
        <v>388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1215.3829599999999</v>
      </c>
      <c r="G444" s="12">
        <f ca="1">(RANDBETWEEN(50,100)/100)*(dict_DQ_Meth_max[[#This Row],[Vergleich_ub]]-dict_DQ_Meth_max[[#This Row],[Vergleich_lb]])+dict_DQ_Meth_max[[#This Row],[Vergleich_lb]]</f>
        <v>4479.8595400000004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0.69399999999999995</v>
      </c>
      <c r="M444" s="10">
        <f ca="1">VLOOKUP(dict_DQ_Meth_max[[#This Row],[ID_DataQualities]],table_DataQualities[],9,FALSE)</f>
        <v>7592.5</v>
      </c>
    </row>
    <row r="445" spans="1:13" x14ac:dyDescent="0.45">
      <c r="A445" s="10">
        <v>118</v>
      </c>
      <c r="B445" s="10">
        <v>507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380.28430000000003</v>
      </c>
      <c r="G445" s="12">
        <f ca="1">(RANDBETWEEN(50,100)/100)*(dict_DQ_Meth_max[[#This Row],[Vergleich_ub]]-dict_DQ_Meth_max[[#This Row],[Vergleich_lb]])+dict_DQ_Meth_max[[#This Row],[Vergleich_lb]]</f>
        <v>7592.5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0.69399999999999995</v>
      </c>
      <c r="M445" s="10">
        <f ca="1">VLOOKUP(dict_DQ_Meth_max[[#This Row],[ID_DataQualities]],table_DataQualities[],9,FALSE)</f>
        <v>7592.5</v>
      </c>
    </row>
    <row r="446" spans="1:13" x14ac:dyDescent="0.45">
      <c r="A446" s="10">
        <v>119</v>
      </c>
      <c r="B446" s="10">
        <v>388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2154.7999999999997</v>
      </c>
      <c r="G446" s="12">
        <f ca="1">(RANDBETWEEN(50,100)/100)*(dict_DQ_Meth_max[[#This Row],[Vergleich_ub]]-dict_DQ_Meth_max[[#This Row],[Vergleich_lb]])+dict_DQ_Meth_max[[#This Row],[Vergleich_lb]]</f>
        <v>7002.74</v>
      </c>
      <c r="H446" s="11" t="str">
        <f ca="1">VLOOKUP(VLOOKUP(dict_DQ_Meth_max[[#This Row],[ID_DataQualities]],table_DataQualities[],3),table_Units[],2)</f>
        <v>bit</v>
      </c>
      <c r="I446" s="10"/>
      <c r="J446" s="10"/>
      <c r="K446" s="10"/>
      <c r="L446" s="10">
        <f ca="1">VLOOKUP(dict_DQ_Meth_max[[#This Row],[ID_DataQualities]],table_DataQualities[],8,FALSE)</f>
        <v>47</v>
      </c>
      <c r="M446" s="10">
        <f ca="1">VLOOKUP(dict_DQ_Meth_max[[#This Row],[ID_DataQualities]],table_DataQualities[],9,FALSE)</f>
        <v>7073</v>
      </c>
    </row>
    <row r="447" spans="1:13" x14ac:dyDescent="0.45">
      <c r="A447" s="10">
        <v>119</v>
      </c>
      <c r="B447" s="10">
        <v>507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1452.2</v>
      </c>
      <c r="G447" s="12">
        <f ca="1">(RANDBETWEEN(50,100)/100)*(dict_DQ_Meth_max[[#This Row],[Vergleich_ub]]-dict_DQ_Meth_max[[#This Row],[Vergleich_lb]])+dict_DQ_Meth_max[[#This Row],[Vergleich_lb]]</f>
        <v>4332.8599999999997</v>
      </c>
      <c r="H447" s="11" t="str">
        <f ca="1">VLOOKUP(VLOOKUP(dict_DQ_Meth_max[[#This Row],[ID_DataQualities]],table_DataQualities[],3),table_Units[],2)</f>
        <v>bit</v>
      </c>
      <c r="I447" s="10"/>
      <c r="J447" s="10"/>
      <c r="K447" s="10"/>
      <c r="L447" s="10">
        <f ca="1">VLOOKUP(dict_DQ_Meth_max[[#This Row],[ID_DataQualities]],table_DataQualities[],8,FALSE)</f>
        <v>47</v>
      </c>
      <c r="M447" s="10">
        <f ca="1">VLOOKUP(dict_DQ_Meth_max[[#This Row],[ID_DataQualities]],table_DataQualities[],9,FALSE)</f>
        <v>7073</v>
      </c>
    </row>
    <row r="448" spans="1:13" x14ac:dyDescent="0.45">
      <c r="A448" s="10">
        <v>120</v>
      </c>
      <c r="B448" s="10">
        <v>433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782.3210600000001</v>
      </c>
      <c r="G448" s="12">
        <f ca="1">(RANDBETWEEN(50,100)/100)*(dict_DQ_Meth_max[[#This Row],[Vergleich_ub]]-dict_DQ_Meth_max[[#This Row],[Vergleich_lb]])+dict_DQ_Meth_max[[#This Row],[Vergleich_lb]]</f>
        <v>3071.7319500000003</v>
      </c>
      <c r="H448" s="11" t="str">
        <f ca="1">VLOOKUP(VLOOKUP(dict_DQ_Meth_max[[#This Row],[ID_DataQualities]],table_DataQualities[],3),table_Units[],2)</f>
        <v>Hz</v>
      </c>
      <c r="I448" s="10"/>
      <c r="J448" s="10"/>
      <c r="K448" s="10"/>
      <c r="L448" s="10">
        <f ca="1">VLOOKUP(dict_DQ_Meth_max[[#This Row],[ID_DataQualities]],table_DataQualities[],8,FALSE)</f>
        <v>0.57099999999999995</v>
      </c>
      <c r="M448" s="10">
        <f ca="1">VLOOKUP(dict_DQ_Meth_max[[#This Row],[ID_DataQualities]],table_DataQualities[],9,FALSE)</f>
        <v>5584.5</v>
      </c>
    </row>
    <row r="449" spans="1:13" x14ac:dyDescent="0.45">
      <c r="A449" s="10">
        <v>120</v>
      </c>
      <c r="B449" s="10">
        <v>17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1452.3925400000001</v>
      </c>
      <c r="G449" s="12">
        <f ca="1">(RANDBETWEEN(50,100)/100)*(dict_DQ_Meth_max[[#This Row],[Vergleich_ub]]-dict_DQ_Meth_max[[#This Row],[Vergleich_lb]])+dict_DQ_Meth_max[[#This Row],[Vergleich_lb]]</f>
        <v>3406.7676899999997</v>
      </c>
      <c r="H449" s="11" t="str">
        <f ca="1">VLOOKUP(VLOOKUP(dict_DQ_Meth_max[[#This Row],[ID_DataQualities]],table_DataQualities[],3),table_Units[],2)</f>
        <v>Hz</v>
      </c>
      <c r="I449" s="10"/>
      <c r="J449" s="10"/>
      <c r="K449" s="10"/>
      <c r="L449" s="10">
        <f ca="1">VLOOKUP(dict_DQ_Meth_max[[#This Row],[ID_DataQualities]],table_DataQualities[],8,FALSE)</f>
        <v>0.57099999999999995</v>
      </c>
      <c r="M449" s="10">
        <f ca="1">VLOOKUP(dict_DQ_Meth_max[[#This Row],[ID_DataQualities]],table_DataQualities[],9,FALSE)</f>
        <v>5584.5</v>
      </c>
    </row>
    <row r="450" spans="1:13" x14ac:dyDescent="0.45">
      <c r="A450" s="10">
        <v>120</v>
      </c>
      <c r="B450" s="10">
        <v>17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2401.6604699999998</v>
      </c>
      <c r="G450" s="12">
        <f ca="1">(RANDBETWEEN(50,100)/100)*(dict_DQ_Meth_max[[#This Row],[Vergleich_ub]]-dict_DQ_Meth_max[[#This Row],[Vergleich_lb]])+dict_DQ_Meth_max[[#This Row],[Vergleich_lb]]</f>
        <v>3015.89266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0.57099999999999995</v>
      </c>
      <c r="M450" s="10">
        <f ca="1">VLOOKUP(dict_DQ_Meth_max[[#This Row],[ID_DataQualities]],table_DataQualities[],9,FALSE)</f>
        <v>5584.5</v>
      </c>
    </row>
    <row r="451" spans="1:13" x14ac:dyDescent="0.45">
      <c r="A451" s="10">
        <v>120</v>
      </c>
      <c r="B451" s="10">
        <v>469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726.4817700000001</v>
      </c>
      <c r="G451" s="12">
        <f ca="1">(RANDBETWEEN(50,100)/100)*(dict_DQ_Meth_max[[#This Row],[Vergleich_ub]]-dict_DQ_Meth_max[[#This Row],[Vergleich_lb]])+dict_DQ_Meth_max[[#This Row],[Vergleich_lb]]</f>
        <v>5081.9463900000001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0.57099999999999995</v>
      </c>
      <c r="M451" s="10">
        <f ca="1">VLOOKUP(dict_DQ_Meth_max[[#This Row],[ID_DataQualities]],table_DataQualities[],9,FALSE)</f>
        <v>5584.5</v>
      </c>
    </row>
    <row r="452" spans="1:13" x14ac:dyDescent="0.45">
      <c r="A452" s="10">
        <v>120</v>
      </c>
      <c r="B452" s="10">
        <v>90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2792.5355</v>
      </c>
      <c r="G452" s="12">
        <f ca="1">(RANDBETWEEN(50,100)/100)*(dict_DQ_Meth_max[[#This Row],[Vergleich_ub]]-dict_DQ_Meth_max[[#This Row],[Vergleich_lb]])+dict_DQ_Meth_max[[#This Row],[Vergleich_lb]]</f>
        <v>3406.7676899999997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0.57099999999999995</v>
      </c>
      <c r="M452" s="10">
        <f ca="1">VLOOKUP(dict_DQ_Meth_max[[#This Row],[ID_DataQualities]],table_DataQualities[],9,FALSE)</f>
        <v>5584.5</v>
      </c>
    </row>
    <row r="453" spans="1:13" x14ac:dyDescent="0.45">
      <c r="A453" s="10">
        <v>121</v>
      </c>
      <c r="B453" s="10">
        <v>433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1.09168</v>
      </c>
      <c r="G453" s="12">
        <f ca="1">(RANDBETWEEN(50,100)/100)*(dict_DQ_Meth_max[[#This Row],[Vergleich_ub]]-dict_DQ_Meth_max[[#This Row],[Vergleich_lb]])+dict_DQ_Meth_max[[#This Row],[Vergleich_lb]]</f>
        <v>4.6772800000000005</v>
      </c>
      <c r="H453" s="11" t="str">
        <f ca="1">VLOOKUP(VLOOKUP(dict_DQ_Meth_max[[#This Row],[ID_DataQualities]],table_DataQualities[],3),table_Units[],2)</f>
        <v>+/- mm</v>
      </c>
      <c r="I453" s="10"/>
      <c r="J453" s="10"/>
      <c r="K453" s="10"/>
      <c r="L453" s="10">
        <f ca="1">VLOOKUP(dict_DQ_Meth_max[[#This Row],[ID_DataQualities]],table_DataQualities[],8,FALSE)</f>
        <v>1.6E-2</v>
      </c>
      <c r="M453" s="10">
        <f ca="1">VLOOKUP(dict_DQ_Meth_max[[#This Row],[ID_DataQualities]],table_DataQualities[],9,FALSE)</f>
        <v>8.98</v>
      </c>
    </row>
    <row r="454" spans="1:13" x14ac:dyDescent="0.45">
      <c r="A454" s="10">
        <v>121</v>
      </c>
      <c r="B454" s="10">
        <v>90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1.4502400000000002</v>
      </c>
      <c r="G454" s="12">
        <f ca="1">(RANDBETWEEN(50,100)/100)*(dict_DQ_Meth_max[[#This Row],[Vergleich_ub]]-dict_DQ_Meth_max[[#This Row],[Vergleich_lb]])+dict_DQ_Meth_max[[#This Row],[Vergleich_lb]]</f>
        <v>5.3944000000000001</v>
      </c>
      <c r="H454" s="11" t="str">
        <f ca="1">VLOOKUP(VLOOKUP(dict_DQ_Meth_max[[#This Row],[ID_DataQualities]],table_DataQualities[],3),table_Units[],2)</f>
        <v>+/- mm</v>
      </c>
      <c r="I454" s="10"/>
      <c r="J454" s="10"/>
      <c r="K454" s="10"/>
      <c r="L454" s="10">
        <f ca="1">VLOOKUP(dict_DQ_Meth_max[[#This Row],[ID_DataQualities]],table_DataQualities[],8,FALSE)</f>
        <v>1.6E-2</v>
      </c>
      <c r="M454" s="10">
        <f ca="1">VLOOKUP(dict_DQ_Meth_max[[#This Row],[ID_DataQualities]],table_DataQualities[],9,FALSE)</f>
        <v>8.98</v>
      </c>
    </row>
    <row r="455" spans="1:13" x14ac:dyDescent="0.45">
      <c r="A455" s="10">
        <v>121</v>
      </c>
      <c r="B455" s="10">
        <v>469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1.00204</v>
      </c>
      <c r="G455" s="12">
        <f ca="1">(RANDBETWEEN(50,100)/100)*(dict_DQ_Meth_max[[#This Row],[Vergleich_ub]]-dict_DQ_Meth_max[[#This Row],[Vergleich_lb]])+dict_DQ_Meth_max[[#This Row],[Vergleich_lb]]</f>
        <v>4.7669200000000007</v>
      </c>
      <c r="H455" s="11" t="str">
        <f ca="1">VLOOKUP(VLOOKUP(dict_DQ_Meth_max[[#This Row],[ID_DataQualities]],table_DataQualities[],3),table_Units[],2)</f>
        <v>+/- mm</v>
      </c>
      <c r="I455" s="10"/>
      <c r="J455" s="10"/>
      <c r="K455" s="10"/>
      <c r="L455" s="10">
        <f ca="1">VLOOKUP(dict_DQ_Meth_max[[#This Row],[ID_DataQualities]],table_DataQualities[],8,FALSE)</f>
        <v>1.6E-2</v>
      </c>
      <c r="M455" s="10">
        <f ca="1">VLOOKUP(dict_DQ_Meth_max[[#This Row],[ID_DataQualities]],table_DataQualities[],9,FALSE)</f>
        <v>8.98</v>
      </c>
    </row>
    <row r="456" spans="1:13" x14ac:dyDescent="0.45">
      <c r="A456" s="10">
        <v>121</v>
      </c>
      <c r="B456" s="10">
        <v>17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0.9124000000000001</v>
      </c>
      <c r="G456" s="12">
        <f ca="1">(RANDBETWEEN(50,100)/100)*(dict_DQ_Meth_max[[#This Row],[Vergleich_ub]]-dict_DQ_Meth_max[[#This Row],[Vergleich_lb]])+dict_DQ_Meth_max[[#This Row],[Vergleich_lb]]</f>
        <v>8.7110800000000008</v>
      </c>
      <c r="H456" s="11" t="str">
        <f ca="1">VLOOKUP(VLOOKUP(dict_DQ_Meth_max[[#This Row],[ID_DataQualities]],table_DataQualities[],3),table_Units[],2)</f>
        <v>+/- mm</v>
      </c>
      <c r="I456" s="10"/>
      <c r="J456" s="10"/>
      <c r="K456" s="10"/>
      <c r="L456" s="10">
        <f ca="1">VLOOKUP(dict_DQ_Meth_max[[#This Row],[ID_DataQualities]],table_DataQualities[],8,FALSE)</f>
        <v>1.6E-2</v>
      </c>
      <c r="M456" s="10">
        <f ca="1">VLOOKUP(dict_DQ_Meth_max[[#This Row],[ID_DataQualities]],table_DataQualities[],9,FALSE)</f>
        <v>8.98</v>
      </c>
    </row>
    <row r="457" spans="1:13" x14ac:dyDescent="0.45">
      <c r="A457" s="10">
        <v>121</v>
      </c>
      <c r="B457" s="10">
        <v>17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4.3187199999999999</v>
      </c>
      <c r="G457" s="12">
        <f ca="1">(RANDBETWEEN(50,100)/100)*(dict_DQ_Meth_max[[#This Row],[Vergleich_ub]]-dict_DQ_Meth_max[[#This Row],[Vergleich_lb]])+dict_DQ_Meth_max[[#This Row],[Vergleich_lb]]</f>
        <v>5.5736800000000004</v>
      </c>
      <c r="H457" s="11" t="str">
        <f ca="1">VLOOKUP(VLOOKUP(dict_DQ_Meth_max[[#This Row],[ID_DataQualities]],table_DataQualities[],3),table_Units[],2)</f>
        <v>+/- mm</v>
      </c>
      <c r="I457" s="10"/>
      <c r="J457" s="10"/>
      <c r="K457" s="10"/>
      <c r="L457" s="10">
        <f ca="1">VLOOKUP(dict_DQ_Meth_max[[#This Row],[ID_DataQualities]],table_DataQualities[],8,FALSE)</f>
        <v>1.6E-2</v>
      </c>
      <c r="M457" s="10">
        <f ca="1">VLOOKUP(dict_DQ_Meth_max[[#This Row],[ID_DataQualities]],table_DataQualities[],9,FALSE)</f>
        <v>8.98</v>
      </c>
    </row>
    <row r="458" spans="1:13" x14ac:dyDescent="0.45">
      <c r="A458" s="10">
        <v>122</v>
      </c>
      <c r="B458" s="10">
        <v>656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1385.35212</v>
      </c>
      <c r="G458" s="12">
        <f ca="1">(RANDBETWEEN(50,100)/100)*(dict_DQ_Meth_max[[#This Row],[Vergleich_ub]]-dict_DQ_Meth_max[[#This Row],[Vergleich_lb]])+dict_DQ_Meth_max[[#This Row],[Vergleich_lb]]</f>
        <v>2207.8699100000003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5.8999999999999997E-2</v>
      </c>
      <c r="M458" s="10">
        <f ca="1">VLOOKUP(dict_DQ_Meth_max[[#This Row],[ID_DataQualities]],table_DataQualities[],9,FALSE)</f>
        <v>4329.1000000000004</v>
      </c>
    </row>
    <row r="459" spans="1:13" x14ac:dyDescent="0.45">
      <c r="A459" s="10">
        <v>122</v>
      </c>
      <c r="B459" s="10">
        <v>474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1774.9658099999999</v>
      </c>
      <c r="G459" s="12">
        <f ca="1">(RANDBETWEEN(50,100)/100)*(dict_DQ_Meth_max[[#This Row],[Vergleich_ub]]-dict_DQ_Meth_max[[#This Row],[Vergleich_lb]])+dict_DQ_Meth_max[[#This Row],[Vergleich_lb]]</f>
        <v>3766.3246700000004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5.8999999999999997E-2</v>
      </c>
      <c r="M459" s="10">
        <f ca="1">VLOOKUP(dict_DQ_Meth_max[[#This Row],[ID_DataQualities]],table_DataQualities[],9,FALSE)</f>
        <v>4329.1000000000004</v>
      </c>
    </row>
    <row r="460" spans="1:13" x14ac:dyDescent="0.45">
      <c r="A460" s="10">
        <v>122</v>
      </c>
      <c r="B460" s="10">
        <v>565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2164.5795000000003</v>
      </c>
      <c r="G460" s="12">
        <f ca="1">(RANDBETWEEN(50,100)/100)*(dict_DQ_Meth_max[[#This Row],[Vergleich_ub]]-dict_DQ_Meth_max[[#This Row],[Vergleich_lb]])+dict_DQ_Meth_max[[#This Row],[Vergleich_lb]]</f>
        <v>3939.4863100000007</v>
      </c>
      <c r="H460" s="11" t="str">
        <f ca="1">VLOOKUP(VLOOKUP(dict_DQ_Meth_max[[#This Row],[ID_DataQualities]],table_DataQualities[],3),table_Units[],2)</f>
        <v>Hz</v>
      </c>
      <c r="I460" s="10"/>
      <c r="J460" s="10"/>
      <c r="K460" s="10"/>
      <c r="L460" s="10">
        <f ca="1">VLOOKUP(dict_DQ_Meth_max[[#This Row],[ID_DataQualities]],table_DataQualities[],8,FALSE)</f>
        <v>5.8999999999999997E-2</v>
      </c>
      <c r="M460" s="10">
        <f ca="1">VLOOKUP(dict_DQ_Meth_max[[#This Row],[ID_DataQualities]],table_DataQualities[],9,FALSE)</f>
        <v>4329.1000000000004</v>
      </c>
    </row>
    <row r="461" spans="1:13" x14ac:dyDescent="0.45">
      <c r="A461" s="10">
        <v>123</v>
      </c>
      <c r="B461" s="10">
        <v>656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1.6400999999999999</v>
      </c>
      <c r="G461" s="12">
        <f ca="1">(RANDBETWEEN(50,100)/100)*(dict_DQ_Meth_max[[#This Row],[Vergleich_ub]]-dict_DQ_Meth_max[[#This Row],[Vergleich_lb]])+dict_DQ_Meth_max[[#This Row],[Vergleich_lb]]</f>
        <v>5.8952999999999998</v>
      </c>
      <c r="H461" s="11" t="str">
        <f ca="1">VLOOKUP(VLOOKUP(dict_DQ_Meth_max[[#This Row],[ID_DataQualities]],table_DataQualities[],3),table_Units[],2)</f>
        <v>+/- mm/s</v>
      </c>
      <c r="I461" s="10"/>
      <c r="J461" s="10"/>
      <c r="K461" s="10"/>
      <c r="L461" s="10">
        <f ca="1">VLOOKUP(dict_DQ_Meth_max[[#This Row],[ID_DataQualities]],table_DataQualities[],8,FALSE)</f>
        <v>0.99</v>
      </c>
      <c r="M461" s="10">
        <f ca="1">VLOOKUP(dict_DQ_Meth_max[[#This Row],[ID_DataQualities]],table_DataQualities[],9,FALSE)</f>
        <v>6.9</v>
      </c>
    </row>
    <row r="462" spans="1:13" x14ac:dyDescent="0.45">
      <c r="A462" s="10">
        <v>123</v>
      </c>
      <c r="B462" s="10">
        <v>474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2.2902</v>
      </c>
      <c r="G462" s="12">
        <f ca="1">(RANDBETWEEN(50,100)/100)*(dict_DQ_Meth_max[[#This Row],[Vergleich_ub]]-dict_DQ_Meth_max[[#This Row],[Vergleich_lb]])+dict_DQ_Meth_max[[#This Row],[Vergleich_lb]]</f>
        <v>6.3681000000000001</v>
      </c>
      <c r="H462" s="11" t="str">
        <f ca="1">VLOOKUP(VLOOKUP(dict_DQ_Meth_max[[#This Row],[ID_DataQualities]],table_DataQualities[],3),table_Units[],2)</f>
        <v>+/- mm/s</v>
      </c>
      <c r="I462" s="10"/>
      <c r="J462" s="10"/>
      <c r="K462" s="10"/>
      <c r="L462" s="10">
        <f ca="1">VLOOKUP(dict_DQ_Meth_max[[#This Row],[ID_DataQualities]],table_DataQualities[],8,FALSE)</f>
        <v>0.99</v>
      </c>
      <c r="M462" s="10">
        <f ca="1">VLOOKUP(dict_DQ_Meth_max[[#This Row],[ID_DataQualities]],table_DataQualities[],9,FALSE)</f>
        <v>6.9</v>
      </c>
    </row>
    <row r="463" spans="1:13" x14ac:dyDescent="0.45">
      <c r="A463" s="10">
        <v>123</v>
      </c>
      <c r="B463" s="10">
        <v>565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3.7676999999999996</v>
      </c>
      <c r="G463" s="12">
        <f ca="1">(RANDBETWEEN(50,100)/100)*(dict_DQ_Meth_max[[#This Row],[Vergleich_ub]]-dict_DQ_Meth_max[[#This Row],[Vergleich_lb]])+dict_DQ_Meth_max[[#This Row],[Vergleich_lb]]</f>
        <v>6.0135000000000005</v>
      </c>
      <c r="H463" s="11" t="str">
        <f ca="1">VLOOKUP(VLOOKUP(dict_DQ_Meth_max[[#This Row],[ID_DataQualities]],table_DataQualities[],3),table_Units[],2)</f>
        <v>+/- mm/s</v>
      </c>
      <c r="I463" s="10"/>
      <c r="J463" s="10"/>
      <c r="K463" s="10"/>
      <c r="L463" s="10">
        <f ca="1">VLOOKUP(dict_DQ_Meth_max[[#This Row],[ID_DataQualities]],table_DataQualities[],8,FALSE)</f>
        <v>0.99</v>
      </c>
      <c r="M463" s="10">
        <f ca="1">VLOOKUP(dict_DQ_Meth_max[[#This Row],[ID_DataQualities]],table_DataQualities[],9,FALSE)</f>
        <v>6.9</v>
      </c>
    </row>
    <row r="464" spans="1:13" x14ac:dyDescent="0.45">
      <c r="A464" s="10">
        <v>124</v>
      </c>
      <c r="B464" s="10">
        <v>121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1879.2732099999998</v>
      </c>
      <c r="G464" s="12">
        <f ca="1">(RANDBETWEEN(50,100)/100)*(dict_DQ_Meth_max[[#This Row],[Vergleich_ub]]-dict_DQ_Meth_max[[#This Row],[Vergleich_lb]])+dict_DQ_Meth_max[[#This Row],[Vergleich_lb]]</f>
        <v>4522.9419500000004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0.877</v>
      </c>
      <c r="M464" s="10">
        <f ca="1">VLOOKUP(dict_DQ_Meth_max[[#This Row],[ID_DataQualities]],table_DataQualities[],9,FALSE)</f>
        <v>6957.9</v>
      </c>
    </row>
    <row r="465" spans="1:13" x14ac:dyDescent="0.45">
      <c r="A465" s="10">
        <v>124</v>
      </c>
      <c r="B465" s="10">
        <v>34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3061.9671199999998</v>
      </c>
      <c r="G465" s="12">
        <f ca="1">(RANDBETWEEN(50,100)/100)*(dict_DQ_Meth_max[[#This Row],[Vergleich_ub]]-dict_DQ_Meth_max[[#This Row],[Vergleich_lb]])+dict_DQ_Meth_max[[#This Row],[Vergleich_lb]]</f>
        <v>3757.6694199999997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0.877</v>
      </c>
      <c r="M465" s="10">
        <f ca="1">VLOOKUP(dict_DQ_Meth_max[[#This Row],[ID_DataQualities]],table_DataQualities[],9,FALSE)</f>
        <v>6957.9</v>
      </c>
    </row>
    <row r="466" spans="1:13" x14ac:dyDescent="0.45">
      <c r="A466" s="10">
        <v>124</v>
      </c>
      <c r="B466" s="10">
        <v>204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3270.6778099999992</v>
      </c>
      <c r="G466" s="12">
        <f ca="1">(RANDBETWEEN(50,100)/100)*(dict_DQ_Meth_max[[#This Row],[Vergleich_ub]]-dict_DQ_Meth_max[[#This Row],[Vergleich_lb]])+dict_DQ_Meth_max[[#This Row],[Vergleich_lb]]</f>
        <v>4175.0907999999999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0.877</v>
      </c>
      <c r="M466" s="10">
        <f ca="1">VLOOKUP(dict_DQ_Meth_max[[#This Row],[ID_DataQualities]],table_DataQualities[],9,FALSE)</f>
        <v>6957.9</v>
      </c>
    </row>
    <row r="467" spans="1:13" x14ac:dyDescent="0.45">
      <c r="A467" s="10">
        <v>124</v>
      </c>
      <c r="B467" s="10">
        <v>636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1461.8518299999998</v>
      </c>
      <c r="G467" s="12">
        <f ca="1">(RANDBETWEEN(50,100)/100)*(dict_DQ_Meth_max[[#This Row],[Vergleich_ub]]-dict_DQ_Meth_max[[#This Row],[Vergleich_lb]])+dict_DQ_Meth_max[[#This Row],[Vergleich_lb]]</f>
        <v>4592.5121799999997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0.877</v>
      </c>
      <c r="M467" s="10">
        <f ca="1">VLOOKUP(dict_DQ_Meth_max[[#This Row],[ID_DataQualities]],table_DataQualities[],9,FALSE)</f>
        <v>6957.9</v>
      </c>
    </row>
    <row r="468" spans="1:13" x14ac:dyDescent="0.45">
      <c r="A468" s="10">
        <v>125</v>
      </c>
      <c r="B468" s="10">
        <v>34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2.0300000000000002</v>
      </c>
      <c r="G468" s="12">
        <f ca="1">(RANDBETWEEN(50,100)/100)*(dict_DQ_Meth_max[[#This Row],[Vergleich_ub]]-dict_DQ_Meth_max[[#This Row],[Vergleich_lb]])+dict_DQ_Meth_max[[#This Row],[Vergleich_lb]]</f>
        <v>5.6</v>
      </c>
      <c r="H468" s="11" t="str">
        <f ca="1">VLOOKUP(VLOOKUP(dict_DQ_Meth_max[[#This Row],[ID_DataQualities]],table_DataQualities[],3),table_Units[],2)</f>
        <v>+/- °C</v>
      </c>
      <c r="I468" s="10"/>
      <c r="J468" s="10"/>
      <c r="K468" s="10"/>
      <c r="L468" s="10">
        <f ca="1">VLOOKUP(dict_DQ_Meth_max[[#This Row],[ID_DataQualities]],table_DataQualities[],8,FALSE)</f>
        <v>0.5</v>
      </c>
      <c r="M468" s="10">
        <f ca="1">VLOOKUP(dict_DQ_Meth_max[[#This Row],[ID_DataQualities]],table_DataQualities[],9,FALSE)</f>
        <v>9</v>
      </c>
    </row>
    <row r="469" spans="1:13" x14ac:dyDescent="0.45">
      <c r="A469" s="10">
        <v>125</v>
      </c>
      <c r="B469" s="10">
        <v>636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2.4550000000000001</v>
      </c>
      <c r="G469" s="12">
        <f ca="1">(RANDBETWEEN(50,100)/100)*(dict_DQ_Meth_max[[#This Row],[Vergleich_ub]]-dict_DQ_Meth_max[[#This Row],[Vergleich_lb]])+dict_DQ_Meth_max[[#This Row],[Vergleich_lb]]</f>
        <v>8.32</v>
      </c>
      <c r="H469" s="11" t="str">
        <f ca="1">VLOOKUP(VLOOKUP(dict_DQ_Meth_max[[#This Row],[ID_DataQualities]],table_DataQualities[],3),table_Units[],2)</f>
        <v>+/- °C</v>
      </c>
      <c r="I469" s="10"/>
      <c r="J469" s="10"/>
      <c r="K469" s="10"/>
      <c r="L469" s="10">
        <f ca="1">VLOOKUP(dict_DQ_Meth_max[[#This Row],[ID_DataQualities]],table_DataQualities[],8,FALSE)</f>
        <v>0.5</v>
      </c>
      <c r="M469" s="10">
        <f ca="1">VLOOKUP(dict_DQ_Meth_max[[#This Row],[ID_DataQualities]],table_DataQualities[],9,FALSE)</f>
        <v>9</v>
      </c>
    </row>
    <row r="470" spans="1:13" x14ac:dyDescent="0.45">
      <c r="A470" s="10">
        <v>125</v>
      </c>
      <c r="B470" s="10">
        <v>204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2.625</v>
      </c>
      <c r="G470" s="12">
        <f ca="1">(RANDBETWEEN(50,100)/100)*(dict_DQ_Meth_max[[#This Row],[Vergleich_ub]]-dict_DQ_Meth_max[[#This Row],[Vergleich_lb]])+dict_DQ_Meth_max[[#This Row],[Vergleich_lb]]</f>
        <v>8.66</v>
      </c>
      <c r="H470" s="11" t="str">
        <f ca="1">VLOOKUP(VLOOKUP(dict_DQ_Meth_max[[#This Row],[ID_DataQualities]],table_DataQualities[],3),table_Units[],2)</f>
        <v>+/- °C</v>
      </c>
      <c r="I470" s="10"/>
      <c r="J470" s="10"/>
      <c r="K470" s="10"/>
      <c r="L470" s="10">
        <f ca="1">VLOOKUP(dict_DQ_Meth_max[[#This Row],[ID_DataQualities]],table_DataQualities[],8,FALSE)</f>
        <v>0.5</v>
      </c>
      <c r="M470" s="10">
        <f ca="1">VLOOKUP(dict_DQ_Meth_max[[#This Row],[ID_DataQualities]],table_DataQualities[],9,FALSE)</f>
        <v>9</v>
      </c>
    </row>
    <row r="471" spans="1:13" x14ac:dyDescent="0.45">
      <c r="A471" s="10">
        <v>125</v>
      </c>
      <c r="B471" s="10">
        <v>121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4.3250000000000002</v>
      </c>
      <c r="G471" s="12">
        <f ca="1">(RANDBETWEEN(50,100)/100)*(dict_DQ_Meth_max[[#This Row],[Vergleich_ub]]-dict_DQ_Meth_max[[#This Row],[Vergleich_lb]])+dict_DQ_Meth_max[[#This Row],[Vergleich_lb]]</f>
        <v>5.43</v>
      </c>
      <c r="H471" s="11" t="str">
        <f ca="1">VLOOKUP(VLOOKUP(dict_DQ_Meth_max[[#This Row],[ID_DataQualities]],table_DataQualities[],3),table_Units[],2)</f>
        <v>+/- °C</v>
      </c>
      <c r="I471" s="10"/>
      <c r="J471" s="10"/>
      <c r="K471" s="10"/>
      <c r="L471" s="10">
        <f ca="1">VLOOKUP(dict_DQ_Meth_max[[#This Row],[ID_DataQualities]],table_DataQualities[],8,FALSE)</f>
        <v>0.5</v>
      </c>
      <c r="M471" s="10">
        <f ca="1">VLOOKUP(dict_DQ_Meth_max[[#This Row],[ID_DataQualities]],table_DataQualities[],9,FALSE)</f>
        <v>9</v>
      </c>
    </row>
    <row r="472" spans="1:13" x14ac:dyDescent="0.45">
      <c r="A472" s="10">
        <v>126</v>
      </c>
      <c r="B472" s="10">
        <v>113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3983.0072399999999</v>
      </c>
      <c r="G472" s="12">
        <f ca="1">(RANDBETWEEN(50,100)/100)*(dict_DQ_Meth_max[[#This Row],[Vergleich_ub]]-dict_DQ_Meth_max[[#This Row],[Vergleich_lb]])+dict_DQ_Meth_max[[#This Row],[Vergleich_lb]]</f>
        <v>6205.9515600000004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0.23200000000000001</v>
      </c>
      <c r="M472" s="10">
        <f ca="1">VLOOKUP(dict_DQ_Meth_max[[#This Row],[ID_DataQualities]],table_DataQualities[],9,FALSE)</f>
        <v>9262.5</v>
      </c>
    </row>
    <row r="473" spans="1:13" x14ac:dyDescent="0.45">
      <c r="A473" s="10">
        <v>126</v>
      </c>
      <c r="B473" s="10">
        <v>646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4538.7433199999996</v>
      </c>
      <c r="G473" s="12">
        <f ca="1">(RANDBETWEEN(50,100)/100)*(dict_DQ_Meth_max[[#This Row],[Vergleich_ub]]-dict_DQ_Meth_max[[#This Row],[Vergleich_lb]])+dict_DQ_Meth_max[[#This Row],[Vergleich_lb]]</f>
        <v>5187.1020800000006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0.23200000000000001</v>
      </c>
      <c r="M473" s="10">
        <f ca="1">VLOOKUP(dict_DQ_Meth_max[[#This Row],[ID_DataQualities]],table_DataQualities[],9,FALSE)</f>
        <v>9262.5</v>
      </c>
    </row>
    <row r="474" spans="1:13" x14ac:dyDescent="0.45">
      <c r="A474" s="10">
        <v>126</v>
      </c>
      <c r="B474" s="10">
        <v>253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185.47736</v>
      </c>
      <c r="G474" s="12">
        <f ca="1">(RANDBETWEEN(50,100)/100)*(dict_DQ_Meth_max[[#This Row],[Vergleich_ub]]-dict_DQ_Meth_max[[#This Row],[Vergleich_lb]])+dict_DQ_Meth_max[[#This Row],[Vergleich_lb]]</f>
        <v>8336.2731999999996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0.23200000000000001</v>
      </c>
      <c r="M474" s="10">
        <f ca="1">VLOOKUP(dict_DQ_Meth_max[[#This Row],[ID_DataQualities]],table_DataQualities[],9,FALSE)</f>
        <v>9262.5</v>
      </c>
    </row>
    <row r="475" spans="1:13" x14ac:dyDescent="0.45">
      <c r="A475" s="10">
        <v>126</v>
      </c>
      <c r="B475" s="10">
        <v>142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1019.0814799999999</v>
      </c>
      <c r="G475" s="12">
        <f ca="1">(RANDBETWEEN(50,100)/100)*(dict_DQ_Meth_max[[#This Row],[Vergleich_ub]]-dict_DQ_Meth_max[[#This Row],[Vergleich_lb]])+dict_DQ_Meth_max[[#This Row],[Vergleich_lb]]</f>
        <v>8614.1412400000008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0.23200000000000001</v>
      </c>
      <c r="M475" s="10">
        <f ca="1">VLOOKUP(dict_DQ_Meth_max[[#This Row],[ID_DataQualities]],table_DataQualities[],9,FALSE)</f>
        <v>9262.5</v>
      </c>
    </row>
    <row r="476" spans="1:13" x14ac:dyDescent="0.45">
      <c r="A476" s="10">
        <v>127</v>
      </c>
      <c r="B476" s="10">
        <v>142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0.91439999999999999</v>
      </c>
      <c r="G476" s="12">
        <f ca="1">(RANDBETWEEN(50,100)/100)*(dict_DQ_Meth_max[[#This Row],[Vergleich_ub]]-dict_DQ_Meth_max[[#This Row],[Vergleich_lb]])+dict_DQ_Meth_max[[#This Row],[Vergleich_lb]]</f>
        <v>1.0529999999999999</v>
      </c>
      <c r="H476" s="11" t="str">
        <f ca="1">VLOOKUP(VLOOKUP(dict_DQ_Meth_max[[#This Row],[ID_DataQualities]],table_DataQualities[],3),table_Units[],2)</f>
        <v>+/- mm/s</v>
      </c>
      <c r="I476" s="10"/>
      <c r="J476" s="10"/>
      <c r="K476" s="10"/>
      <c r="L476" s="10">
        <f ca="1">VLOOKUP(dict_DQ_Meth_max[[#This Row],[ID_DataQualities]],table_DataQualities[],8,FALSE)</f>
        <v>0.78</v>
      </c>
      <c r="M476" s="10">
        <f ca="1">VLOOKUP(dict_DQ_Meth_max[[#This Row],[ID_DataQualities]],table_DataQualities[],9,FALSE)</f>
        <v>1.2</v>
      </c>
    </row>
    <row r="477" spans="1:13" x14ac:dyDescent="0.45">
      <c r="A477" s="10">
        <v>127</v>
      </c>
      <c r="B477" s="10">
        <v>253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0.97320000000000007</v>
      </c>
      <c r="G477" s="12">
        <f ca="1">(RANDBETWEEN(50,100)/100)*(dict_DQ_Meth_max[[#This Row],[Vergleich_ub]]-dict_DQ_Meth_max[[#This Row],[Vergleich_lb]])+dict_DQ_Meth_max[[#This Row],[Vergleich_lb]]</f>
        <v>1.0908</v>
      </c>
      <c r="H477" s="11" t="str">
        <f ca="1">VLOOKUP(VLOOKUP(dict_DQ_Meth_max[[#This Row],[ID_DataQualities]],table_DataQualities[],3),table_Units[],2)</f>
        <v>+/- mm/s</v>
      </c>
      <c r="I477" s="10"/>
      <c r="J477" s="10"/>
      <c r="K477" s="10"/>
      <c r="L477" s="10">
        <f ca="1">VLOOKUP(dict_DQ_Meth_max[[#This Row],[ID_DataQualities]],table_DataQualities[],8,FALSE)</f>
        <v>0.78</v>
      </c>
      <c r="M477" s="10">
        <f ca="1">VLOOKUP(dict_DQ_Meth_max[[#This Row],[ID_DataQualities]],table_DataQualities[],9,FALSE)</f>
        <v>1.2</v>
      </c>
    </row>
    <row r="478" spans="1:13" x14ac:dyDescent="0.45">
      <c r="A478" s="10">
        <v>127</v>
      </c>
      <c r="B478" s="10">
        <v>646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0.98580000000000001</v>
      </c>
      <c r="G478" s="12">
        <f ca="1">(RANDBETWEEN(50,100)/100)*(dict_DQ_Meth_max[[#This Row],[Vergleich_ub]]-dict_DQ_Meth_max[[#This Row],[Vergleich_lb]])+dict_DQ_Meth_max[[#This Row],[Vergleich_lb]]</f>
        <v>1.0739999999999998</v>
      </c>
      <c r="H478" s="11" t="str">
        <f ca="1">VLOOKUP(VLOOKUP(dict_DQ_Meth_max[[#This Row],[ID_DataQualities]],table_DataQualities[],3),table_Units[],2)</f>
        <v>+/- mm/s</v>
      </c>
      <c r="I478" s="10"/>
      <c r="J478" s="10"/>
      <c r="K478" s="10"/>
      <c r="L478" s="10">
        <f ca="1">VLOOKUP(dict_DQ_Meth_max[[#This Row],[ID_DataQualities]],table_DataQualities[],8,FALSE)</f>
        <v>0.78</v>
      </c>
      <c r="M478" s="10">
        <f ca="1">VLOOKUP(dict_DQ_Meth_max[[#This Row],[ID_DataQualities]],table_DataQualities[],9,FALSE)</f>
        <v>1.2</v>
      </c>
    </row>
    <row r="479" spans="1:13" x14ac:dyDescent="0.45">
      <c r="A479" s="10">
        <v>127</v>
      </c>
      <c r="B479" s="10">
        <v>113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0.88500000000000001</v>
      </c>
      <c r="G479" s="12">
        <f ca="1">(RANDBETWEEN(50,100)/100)*(dict_DQ_Meth_max[[#This Row],[Vergleich_ub]]-dict_DQ_Meth_max[[#This Row],[Vergleich_lb]])+dict_DQ_Meth_max[[#This Row],[Vergleich_lb]]</f>
        <v>1.0655999999999999</v>
      </c>
      <c r="H479" s="11" t="str">
        <f ca="1">VLOOKUP(VLOOKUP(dict_DQ_Meth_max[[#This Row],[ID_DataQualities]],table_DataQualities[],3),table_Units[],2)</f>
        <v>+/- mm/s</v>
      </c>
      <c r="I479" s="10"/>
      <c r="J479" s="10"/>
      <c r="K479" s="10"/>
      <c r="L479" s="10">
        <f ca="1">VLOOKUP(dict_DQ_Meth_max[[#This Row],[ID_DataQualities]],table_DataQualities[],8,FALSE)</f>
        <v>0.78</v>
      </c>
      <c r="M479" s="10">
        <f ca="1">VLOOKUP(dict_DQ_Meth_max[[#This Row],[ID_DataQualities]],table_DataQualities[],9,FALSE)</f>
        <v>1.2</v>
      </c>
    </row>
    <row r="480" spans="1:13" x14ac:dyDescent="0.45">
      <c r="A480" s="10">
        <v>128</v>
      </c>
      <c r="B480" s="10">
        <v>321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1348.6637499999999</v>
      </c>
      <c r="G480" s="12">
        <f ca="1">(RANDBETWEEN(50,100)/100)*(dict_DQ_Meth_max[[#This Row],[Vergleich_ub]]-dict_DQ_Meth_max[[#This Row],[Vergleich_lb]])+dict_DQ_Meth_max[[#This Row],[Vergleich_lb]]</f>
        <v>4531.3095999999996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8.5000000000000006E-2</v>
      </c>
      <c r="M480" s="10">
        <f ca="1">VLOOKUP(dict_DQ_Meth_max[[#This Row],[ID_DataQualities]],table_DataQualities[],9,FALSE)</f>
        <v>5394.4</v>
      </c>
    </row>
    <row r="481" spans="1:13" x14ac:dyDescent="0.45">
      <c r="A481" s="10">
        <v>128</v>
      </c>
      <c r="B481" s="10">
        <v>196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2589.3561999999997</v>
      </c>
      <c r="G481" s="12">
        <f ca="1">(RANDBETWEEN(50,100)/100)*(dict_DQ_Meth_max[[#This Row],[Vergleich_ub]]-dict_DQ_Meth_max[[#This Row],[Vergleich_lb]])+dict_DQ_Meth_max[[#This Row],[Vergleich_lb]]</f>
        <v>3020.9014000000002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8.5000000000000006E-2</v>
      </c>
      <c r="M481" s="10">
        <f ca="1">VLOOKUP(dict_DQ_Meth_max[[#This Row],[ID_DataQualities]],table_DataQualities[],9,FALSE)</f>
        <v>5394.4</v>
      </c>
    </row>
    <row r="482" spans="1:13" x14ac:dyDescent="0.45">
      <c r="A482" s="10">
        <v>128</v>
      </c>
      <c r="B482" s="10">
        <v>376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1888.0952499999999</v>
      </c>
      <c r="G482" s="12">
        <f ca="1">(RANDBETWEEN(50,100)/100)*(dict_DQ_Meth_max[[#This Row],[Vergleich_ub]]-dict_DQ_Meth_max[[#This Row],[Vergleich_lb]])+dict_DQ_Meth_max[[#This Row],[Vergleich_lb]]</f>
        <v>4153.7075500000001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8.5000000000000006E-2</v>
      </c>
      <c r="M482" s="10">
        <f ca="1">VLOOKUP(dict_DQ_Meth_max[[#This Row],[ID_DataQualities]],table_DataQualities[],9,FALSE)</f>
        <v>5394.4</v>
      </c>
    </row>
    <row r="483" spans="1:13" x14ac:dyDescent="0.45">
      <c r="A483" s="10">
        <v>128</v>
      </c>
      <c r="B483" s="10">
        <v>598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755.28910000000008</v>
      </c>
      <c r="G483" s="12">
        <f ca="1">(RANDBETWEEN(50,100)/100)*(dict_DQ_Meth_max[[#This Row],[Vergleich_ub]]-dict_DQ_Meth_max[[#This Row],[Vergleich_lb]])+dict_DQ_Meth_max[[#This Row],[Vergleich_lb]]</f>
        <v>2913.0151000000001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8.5000000000000006E-2</v>
      </c>
      <c r="M483" s="10">
        <f ca="1">VLOOKUP(dict_DQ_Meth_max[[#This Row],[ID_DataQualities]],table_DataQualities[],9,FALSE)</f>
        <v>5394.4</v>
      </c>
    </row>
    <row r="484" spans="1:13" x14ac:dyDescent="0.45">
      <c r="A484" s="10">
        <v>128</v>
      </c>
      <c r="B484" s="10">
        <v>448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809.23224999999991</v>
      </c>
      <c r="G484" s="12">
        <f ca="1">(RANDBETWEEN(50,100)/100)*(dict_DQ_Meth_max[[#This Row],[Vergleich_ub]]-dict_DQ_Meth_max[[#This Row],[Vergleich_lb]])+dict_DQ_Meth_max[[#This Row],[Vergleich_lb]]</f>
        <v>4585.2527499999997</v>
      </c>
      <c r="H484" s="11" t="str">
        <f ca="1">VLOOKUP(VLOOKUP(dict_DQ_Meth_max[[#This Row],[ID_DataQualities]],table_DataQualities[],3),table_Units[],2)</f>
        <v>Hz</v>
      </c>
      <c r="I484" s="10"/>
      <c r="J484" s="10"/>
      <c r="K484" s="10"/>
      <c r="L484" s="10">
        <f ca="1">VLOOKUP(dict_DQ_Meth_max[[#This Row],[ID_DataQualities]],table_DataQualities[],8,FALSE)</f>
        <v>8.5000000000000006E-2</v>
      </c>
      <c r="M484" s="10">
        <f ca="1">VLOOKUP(dict_DQ_Meth_max[[#This Row],[ID_DataQualities]],table_DataQualities[],9,FALSE)</f>
        <v>5394.4</v>
      </c>
    </row>
    <row r="485" spans="1:13" x14ac:dyDescent="0.45">
      <c r="A485" s="10">
        <v>129</v>
      </c>
      <c r="B485" s="10">
        <v>376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1.9700999999999997</v>
      </c>
      <c r="G485" s="12">
        <f ca="1">(RANDBETWEEN(50,100)/100)*(dict_DQ_Meth_max[[#This Row],[Vergleich_ub]]-dict_DQ_Meth_max[[#This Row],[Vergleich_lb]])+dict_DQ_Meth_max[[#This Row],[Vergleich_lb]]</f>
        <v>4.16005</v>
      </c>
      <c r="H485" s="11" t="str">
        <f ca="1">VLOOKUP(VLOOKUP(dict_DQ_Meth_max[[#This Row],[ID_DataQualities]],table_DataQualities[],3),table_Units[],2)</f>
        <v>+/- mm</v>
      </c>
      <c r="I485" s="10"/>
      <c r="J485" s="10"/>
      <c r="K485" s="10"/>
      <c r="L485" s="10">
        <f ca="1">VLOOKUP(dict_DQ_Meth_max[[#This Row],[ID_DataQualities]],table_DataQualities[],8,FALSE)</f>
        <v>9.2999999999999999E-2</v>
      </c>
      <c r="M485" s="10">
        <f ca="1">VLOOKUP(dict_DQ_Meth_max[[#This Row],[ID_DataQualities]],table_DataQualities[],9,FALSE)</f>
        <v>6.35</v>
      </c>
    </row>
    <row r="486" spans="1:13" x14ac:dyDescent="0.45">
      <c r="A486" s="10">
        <v>129</v>
      </c>
      <c r="B486" s="10">
        <v>196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0.53099000000000007</v>
      </c>
      <c r="G486" s="12">
        <f ca="1">(RANDBETWEEN(50,100)/100)*(dict_DQ_Meth_max[[#This Row],[Vergleich_ub]]-dict_DQ_Meth_max[[#This Row],[Vergleich_lb]])+dict_DQ_Meth_max[[#This Row],[Vergleich_lb]]</f>
        <v>4.9108900000000002</v>
      </c>
      <c r="H486" s="11" t="str">
        <f ca="1">VLOOKUP(VLOOKUP(dict_DQ_Meth_max[[#This Row],[ID_DataQualities]],table_DataQualities[],3),table_Units[],2)</f>
        <v>+/- mm</v>
      </c>
      <c r="I486" s="10"/>
      <c r="J486" s="10"/>
      <c r="K486" s="10"/>
      <c r="L486" s="10">
        <f ca="1">VLOOKUP(dict_DQ_Meth_max[[#This Row],[ID_DataQualities]],table_DataQualities[],8,FALSE)</f>
        <v>9.2999999999999999E-2</v>
      </c>
      <c r="M486" s="10">
        <f ca="1">VLOOKUP(dict_DQ_Meth_max[[#This Row],[ID_DataQualities]],table_DataQualities[],9,FALSE)</f>
        <v>6.35</v>
      </c>
    </row>
    <row r="487" spans="1:13" x14ac:dyDescent="0.45">
      <c r="A487" s="10">
        <v>129</v>
      </c>
      <c r="B487" s="10">
        <v>598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0.40585000000000004</v>
      </c>
      <c r="G487" s="12">
        <f ca="1">(RANDBETWEEN(50,100)/100)*(dict_DQ_Meth_max[[#This Row],[Vergleich_ub]]-dict_DQ_Meth_max[[#This Row],[Vergleich_lb]])+dict_DQ_Meth_max[[#This Row],[Vergleich_lb]]</f>
        <v>3.2840699999999998</v>
      </c>
      <c r="H487" s="11" t="str">
        <f ca="1">VLOOKUP(VLOOKUP(dict_DQ_Meth_max[[#This Row],[ID_DataQualities]],table_DataQualities[],3),table_Units[],2)</f>
        <v>+/- mm</v>
      </c>
      <c r="I487" s="10"/>
      <c r="J487" s="10"/>
      <c r="K487" s="10"/>
      <c r="L487" s="10">
        <f ca="1">VLOOKUP(dict_DQ_Meth_max[[#This Row],[ID_DataQualities]],table_DataQualities[],8,FALSE)</f>
        <v>9.2999999999999999E-2</v>
      </c>
      <c r="M487" s="10">
        <f ca="1">VLOOKUP(dict_DQ_Meth_max[[#This Row],[ID_DataQualities]],table_DataQualities[],9,FALSE)</f>
        <v>6.35</v>
      </c>
    </row>
    <row r="488" spans="1:13" x14ac:dyDescent="0.45">
      <c r="A488" s="10">
        <v>129</v>
      </c>
      <c r="B488" s="10">
        <v>448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2.3455199999999996</v>
      </c>
      <c r="G488" s="12">
        <f ca="1">(RANDBETWEEN(50,100)/100)*(dict_DQ_Meth_max[[#This Row],[Vergleich_ub]]-dict_DQ_Meth_max[[#This Row],[Vergleich_lb]])+dict_DQ_Meth_max[[#This Row],[Vergleich_lb]]</f>
        <v>4.5980399999999992</v>
      </c>
      <c r="H488" s="11" t="str">
        <f ca="1">VLOOKUP(VLOOKUP(dict_DQ_Meth_max[[#This Row],[ID_DataQualities]],table_DataQualities[],3),table_Units[],2)</f>
        <v>+/- mm</v>
      </c>
      <c r="I488" s="10"/>
      <c r="J488" s="10"/>
      <c r="K488" s="10"/>
      <c r="L488" s="10">
        <f ca="1">VLOOKUP(dict_DQ_Meth_max[[#This Row],[ID_DataQualities]],table_DataQualities[],8,FALSE)</f>
        <v>9.2999999999999999E-2</v>
      </c>
      <c r="M488" s="10">
        <f ca="1">VLOOKUP(dict_DQ_Meth_max[[#This Row],[ID_DataQualities]],table_DataQualities[],9,FALSE)</f>
        <v>6.35</v>
      </c>
    </row>
    <row r="489" spans="1:13" x14ac:dyDescent="0.45">
      <c r="A489" s="10">
        <v>129</v>
      </c>
      <c r="B489" s="10">
        <v>321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2.3455199999999996</v>
      </c>
      <c r="G489" s="12">
        <f ca="1">(RANDBETWEEN(50,100)/100)*(dict_DQ_Meth_max[[#This Row],[Vergleich_ub]]-dict_DQ_Meth_max[[#This Row],[Vergleich_lb]])+dict_DQ_Meth_max[[#This Row],[Vergleich_lb]]</f>
        <v>3.4092099999999999</v>
      </c>
      <c r="H489" s="11" t="str">
        <f ca="1">VLOOKUP(VLOOKUP(dict_DQ_Meth_max[[#This Row],[ID_DataQualities]],table_DataQualities[],3),table_Units[],2)</f>
        <v>+/- mm</v>
      </c>
      <c r="I489" s="10"/>
      <c r="J489" s="10"/>
      <c r="K489" s="10"/>
      <c r="L489" s="10">
        <f ca="1">VLOOKUP(dict_DQ_Meth_max[[#This Row],[ID_DataQualities]],table_DataQualities[],8,FALSE)</f>
        <v>9.2999999999999999E-2</v>
      </c>
      <c r="M489" s="10">
        <f ca="1">VLOOKUP(dict_DQ_Meth_max[[#This Row],[ID_DataQualities]],table_DataQualities[],9,FALSE)</f>
        <v>6.35</v>
      </c>
    </row>
    <row r="490" spans="1:13" x14ac:dyDescent="0.45">
      <c r="A490" s="10">
        <v>130</v>
      </c>
      <c r="B490" s="10">
        <v>515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185.30156000000002</v>
      </c>
      <c r="G490" s="12">
        <f ca="1">(RANDBETWEEN(50,100)/100)*(dict_DQ_Meth_max[[#This Row],[Vergleich_ub]]-dict_DQ_Meth_max[[#This Row],[Vergleich_lb]])+dict_DQ_Meth_max[[#This Row],[Vergleich_lb]]</f>
        <v>8122.2226400000009</v>
      </c>
      <c r="H490" s="11" t="str">
        <f ca="1">VLOOKUP(VLOOKUP(dict_DQ_Meth_max[[#This Row],[ID_DataQualities]],table_DataQualities[],3),table_Units[],2)</f>
        <v>Hz</v>
      </c>
      <c r="I490" s="10"/>
      <c r="J490" s="10"/>
      <c r="K490" s="10"/>
      <c r="L490" s="10">
        <f ca="1">VLOOKUP(dict_DQ_Meth_max[[#This Row],[ID_DataQualities]],table_DataQualities[],8,FALSE)</f>
        <v>0.72199999999999998</v>
      </c>
      <c r="M490" s="10">
        <f ca="1">VLOOKUP(dict_DQ_Meth_max[[#This Row],[ID_DataQualities]],table_DataQualities[],9,FALSE)</f>
        <v>9229.7000000000007</v>
      </c>
    </row>
    <row r="491" spans="1:13" x14ac:dyDescent="0.45">
      <c r="A491" s="10">
        <v>130</v>
      </c>
      <c r="B491" s="10">
        <v>98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185.30156000000002</v>
      </c>
      <c r="G491" s="12">
        <f ca="1">(RANDBETWEEN(50,100)/100)*(dict_DQ_Meth_max[[#This Row],[Vergleich_ub]]-dict_DQ_Meth_max[[#This Row],[Vergleich_lb]])+dict_DQ_Meth_max[[#This Row],[Vergleich_lb]]</f>
        <v>5907.2679200000002</v>
      </c>
      <c r="H491" s="11" t="str">
        <f ca="1">VLOOKUP(VLOOKUP(dict_DQ_Meth_max[[#This Row],[ID_DataQualities]],table_DataQualities[],3),table_Units[],2)</f>
        <v>Hz</v>
      </c>
      <c r="I491" s="10"/>
      <c r="J491" s="10"/>
      <c r="K491" s="10"/>
      <c r="L491" s="10">
        <f ca="1">VLOOKUP(dict_DQ_Meth_max[[#This Row],[ID_DataQualities]],table_DataQualities[],8,FALSE)</f>
        <v>0.72199999999999998</v>
      </c>
      <c r="M491" s="10">
        <f ca="1">VLOOKUP(dict_DQ_Meth_max[[#This Row],[ID_DataQualities]],table_DataQualities[],9,FALSE)</f>
        <v>9229.7000000000007</v>
      </c>
    </row>
    <row r="492" spans="1:13" x14ac:dyDescent="0.45">
      <c r="A492" s="10">
        <v>131</v>
      </c>
      <c r="B492" s="10">
        <v>98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0.25497700000000001</v>
      </c>
      <c r="G492" s="12">
        <f ca="1">(RANDBETWEEN(50,100)/100)*(dict_DQ_Meth_max[[#This Row],[Vergleich_ub]]-dict_DQ_Meth_max[[#This Row],[Vergleich_lb]])+dict_DQ_Meth_max[[#This Row],[Vergleich_lb]]</f>
        <v>0.502054</v>
      </c>
      <c r="H492" s="11" t="str">
        <f ca="1">VLOOKUP(VLOOKUP(dict_DQ_Meth_max[[#This Row],[ID_DataQualities]],table_DataQualities[],3),table_Units[],2)</f>
        <v>+/- cm³/s</v>
      </c>
      <c r="I492" s="10"/>
      <c r="J492" s="10"/>
      <c r="K492" s="10"/>
      <c r="L492" s="10">
        <f ca="1">VLOOKUP(dict_DQ_Meth_max[[#This Row],[ID_DataQualities]],table_DataQualities[],8,FALSE)</f>
        <v>7.9000000000000008E-3</v>
      </c>
      <c r="M492" s="10">
        <f ca="1">VLOOKUP(dict_DQ_Meth_max[[#This Row],[ID_DataQualities]],table_DataQualities[],9,FALSE)</f>
        <v>0.92300000000000004</v>
      </c>
    </row>
    <row r="493" spans="1:13" x14ac:dyDescent="0.45">
      <c r="A493" s="10">
        <v>131</v>
      </c>
      <c r="B493" s="10">
        <v>515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6.2806000000000001E-2</v>
      </c>
      <c r="G493" s="12">
        <f ca="1">(RANDBETWEEN(50,100)/100)*(dict_DQ_Meth_max[[#This Row],[Vergleich_ub]]-dict_DQ_Meth_max[[#This Row],[Vergleich_lb]])+dict_DQ_Meth_max[[#This Row],[Vergleich_lb]]</f>
        <v>0.71252700000000002</v>
      </c>
      <c r="H493" s="11" t="str">
        <f ca="1">VLOOKUP(VLOOKUP(dict_DQ_Meth_max[[#This Row],[ID_DataQualities]],table_DataQualities[],3),table_Units[],2)</f>
        <v>+/- cm³/s</v>
      </c>
      <c r="I493" s="10"/>
      <c r="J493" s="10"/>
      <c r="K493" s="10"/>
      <c r="L493" s="10">
        <f ca="1">VLOOKUP(dict_DQ_Meth_max[[#This Row],[ID_DataQualities]],table_DataQualities[],8,FALSE)</f>
        <v>7.9000000000000008E-3</v>
      </c>
      <c r="M493" s="10">
        <f ca="1">VLOOKUP(dict_DQ_Meth_max[[#This Row],[ID_DataQualities]],table_DataQualities[],9,FALSE)</f>
        <v>0.92300000000000004</v>
      </c>
    </row>
    <row r="494" spans="1:13" x14ac:dyDescent="0.45">
      <c r="A494" s="10">
        <v>132</v>
      </c>
      <c r="B494" s="10">
        <v>450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159.64080000000001</v>
      </c>
      <c r="G494" s="12">
        <f ca="1">(RANDBETWEEN(50,100)/100)*(dict_DQ_Meth_max[[#This Row],[Vergleich_ub]]-dict_DQ_Meth_max[[#This Row],[Vergleich_lb]])+dict_DQ_Meth_max[[#This Row],[Vergleich_lb]]</f>
        <v>984.56119999999999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0.62</v>
      </c>
      <c r="M494" s="10">
        <f ca="1">VLOOKUP(dict_DQ_Meth_max[[#This Row],[ID_DataQualities]],table_DataQualities[],9,FALSE)</f>
        <v>994.5</v>
      </c>
    </row>
    <row r="495" spans="1:13" x14ac:dyDescent="0.45">
      <c r="A495" s="10">
        <v>132</v>
      </c>
      <c r="B495" s="10">
        <v>156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149.702</v>
      </c>
      <c r="G495" s="12">
        <f ca="1">(RANDBETWEEN(50,100)/100)*(dict_DQ_Meth_max[[#This Row],[Vergleich_ub]]-dict_DQ_Meth_max[[#This Row],[Vergleich_lb]])+dict_DQ_Meth_max[[#This Row],[Vergleich_lb]]</f>
        <v>626.76440000000002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0.62</v>
      </c>
      <c r="M495" s="10">
        <f ca="1">VLOOKUP(dict_DQ_Meth_max[[#This Row],[ID_DataQualities]],table_DataQualities[],9,FALSE)</f>
        <v>994.5</v>
      </c>
    </row>
    <row r="496" spans="1:13" x14ac:dyDescent="0.45">
      <c r="A496" s="10">
        <v>132</v>
      </c>
      <c r="B496" s="10">
        <v>313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447.86599999999999</v>
      </c>
      <c r="G496" s="12">
        <f ca="1">(RANDBETWEEN(50,100)/100)*(dict_DQ_Meth_max[[#This Row],[Vergleich_ub]]-dict_DQ_Meth_max[[#This Row],[Vergleich_lb]])+dict_DQ_Meth_max[[#This Row],[Vergleich_lb]]</f>
        <v>885.17320000000007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0.62</v>
      </c>
      <c r="M496" s="10">
        <f ca="1">VLOOKUP(dict_DQ_Meth_max[[#This Row],[ID_DataQualities]],table_DataQualities[],9,FALSE)</f>
        <v>994.5</v>
      </c>
    </row>
    <row r="497" spans="1:13" x14ac:dyDescent="0.45">
      <c r="A497" s="10">
        <v>133</v>
      </c>
      <c r="B497" s="10">
        <v>313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1.58</v>
      </c>
      <c r="G497" s="12">
        <f ca="1">(RANDBETWEEN(50,100)/100)*(dict_DQ_Meth_max[[#This Row],[Vergleich_ub]]-dict_DQ_Meth_max[[#This Row],[Vergleich_lb]])+dict_DQ_Meth_max[[#This Row],[Vergleich_lb]]</f>
        <v>2.9389999999999996</v>
      </c>
      <c r="H497" s="11" t="str">
        <f ca="1">VLOOKUP(VLOOKUP(dict_DQ_Meth_max[[#This Row],[ID_DataQualities]],table_DataQualities[],3),table_Units[],2)</f>
        <v>+/- mm</v>
      </c>
      <c r="I497" s="10"/>
      <c r="J497" s="10"/>
      <c r="K497" s="10"/>
      <c r="L497" s="10">
        <f ca="1">VLOOKUP(dict_DQ_Meth_max[[#This Row],[ID_DataQualities]],table_DataQualities[],8,FALSE)</f>
        <v>7.0000000000000007E-2</v>
      </c>
      <c r="M497" s="10">
        <f ca="1">VLOOKUP(dict_DQ_Meth_max[[#This Row],[ID_DataQualities]],table_DataQualities[],9,FALSE)</f>
        <v>3.09</v>
      </c>
    </row>
    <row r="498" spans="1:13" x14ac:dyDescent="0.45">
      <c r="A498" s="10">
        <v>133</v>
      </c>
      <c r="B498" s="10">
        <v>450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0.52299999999999991</v>
      </c>
      <c r="G498" s="12">
        <f ca="1">(RANDBETWEEN(50,100)/100)*(dict_DQ_Meth_max[[#This Row],[Vergleich_ub]]-dict_DQ_Meth_max[[#This Row],[Vergleich_lb]])+dict_DQ_Meth_max[[#This Row],[Vergleich_lb]]</f>
        <v>1.6102000000000001</v>
      </c>
      <c r="H498" s="11" t="str">
        <f ca="1">VLOOKUP(VLOOKUP(dict_DQ_Meth_max[[#This Row],[ID_DataQualities]],table_DataQualities[],3),table_Units[],2)</f>
        <v>+/- mm</v>
      </c>
      <c r="I498" s="10"/>
      <c r="J498" s="10"/>
      <c r="K498" s="10"/>
      <c r="L498" s="10">
        <f ca="1">VLOOKUP(dict_DQ_Meth_max[[#This Row],[ID_DataQualities]],table_DataQualities[],8,FALSE)</f>
        <v>7.0000000000000007E-2</v>
      </c>
      <c r="M498" s="10">
        <f ca="1">VLOOKUP(dict_DQ_Meth_max[[#This Row],[ID_DataQualities]],table_DataQualities[],9,FALSE)</f>
        <v>3.09</v>
      </c>
    </row>
    <row r="499" spans="1:13" x14ac:dyDescent="0.45">
      <c r="A499" s="10">
        <v>133</v>
      </c>
      <c r="B499" s="10">
        <v>156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0.82499999999999996</v>
      </c>
      <c r="G499" s="12">
        <f ca="1">(RANDBETWEEN(50,100)/100)*(dict_DQ_Meth_max[[#This Row],[Vergleich_ub]]-dict_DQ_Meth_max[[#This Row],[Vergleich_lb]])+dict_DQ_Meth_max[[#This Row],[Vergleich_lb]]</f>
        <v>1.7310000000000003</v>
      </c>
      <c r="H499" s="11" t="str">
        <f ca="1">VLOOKUP(VLOOKUP(dict_DQ_Meth_max[[#This Row],[ID_DataQualities]],table_DataQualities[],3),table_Units[],2)</f>
        <v>+/- mm</v>
      </c>
      <c r="I499" s="10"/>
      <c r="J499" s="10"/>
      <c r="K499" s="10"/>
      <c r="L499" s="10">
        <f ca="1">VLOOKUP(dict_DQ_Meth_max[[#This Row],[ID_DataQualities]],table_DataQualities[],8,FALSE)</f>
        <v>7.0000000000000007E-2</v>
      </c>
      <c r="M499" s="10">
        <f ca="1">VLOOKUP(dict_DQ_Meth_max[[#This Row],[ID_DataQualities]],table_DataQualities[],9,FALSE)</f>
        <v>3.09</v>
      </c>
    </row>
    <row r="500" spans="1:13" x14ac:dyDescent="0.45">
      <c r="A500" s="10">
        <v>134</v>
      </c>
      <c r="B500" s="10">
        <v>673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1308.3393600000002</v>
      </c>
      <c r="G500" s="12">
        <f ca="1">(RANDBETWEEN(50,100)/100)*(dict_DQ_Meth_max[[#This Row],[Vergleich_ub]]-dict_DQ_Meth_max[[#This Row],[Vergleich_lb]])+dict_DQ_Meth_max[[#This Row],[Vergleich_lb]]</f>
        <v>2140.8196800000001</v>
      </c>
      <c r="H500" s="11" t="str">
        <f ca="1">VLOOKUP(VLOOKUP(dict_DQ_Meth_max[[#This Row],[ID_DataQualities]],table_DataQualities[],3),table_Units[],2)</f>
        <v>Hz</v>
      </c>
      <c r="I500" s="10"/>
      <c r="J500" s="10"/>
      <c r="K500" s="10"/>
      <c r="L500" s="10">
        <f ca="1">VLOOKUP(dict_DQ_Meth_max[[#This Row],[ID_DataQualities]],table_DataQualities[],8,FALSE)</f>
        <v>0.156</v>
      </c>
      <c r="M500" s="10">
        <f ca="1">VLOOKUP(dict_DQ_Meth_max[[#This Row],[ID_DataQualities]],table_DataQualities[],9,FALSE)</f>
        <v>2973.3</v>
      </c>
    </row>
    <row r="501" spans="1:13" x14ac:dyDescent="0.45">
      <c r="A501" s="10">
        <v>134</v>
      </c>
      <c r="B501" s="10">
        <v>421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981.29352000000006</v>
      </c>
      <c r="G501" s="12">
        <f ca="1">(RANDBETWEEN(50,100)/100)*(dict_DQ_Meth_max[[#This Row],[Vergleich_ub]]-dict_DQ_Meth_max[[#This Row],[Vergleich_lb]])+dict_DQ_Meth_max[[#This Row],[Vergleich_lb]]</f>
        <v>1873.2367200000001</v>
      </c>
      <c r="H501" s="11" t="str">
        <f ca="1">VLOOKUP(VLOOKUP(dict_DQ_Meth_max[[#This Row],[ID_DataQualities]],table_DataQualities[],3),table_Units[],2)</f>
        <v>Hz</v>
      </c>
      <c r="I501" s="10"/>
      <c r="J501" s="10"/>
      <c r="K501" s="10"/>
      <c r="L501" s="10">
        <f ca="1">VLOOKUP(dict_DQ_Meth_max[[#This Row],[ID_DataQualities]],table_DataQualities[],8,FALSE)</f>
        <v>0.156</v>
      </c>
      <c r="M501" s="10">
        <f ca="1">VLOOKUP(dict_DQ_Meth_max[[#This Row],[ID_DataQualities]],table_DataQualities[],9,FALSE)</f>
        <v>2973.3</v>
      </c>
    </row>
    <row r="502" spans="1:13" x14ac:dyDescent="0.45">
      <c r="A502" s="10">
        <v>134</v>
      </c>
      <c r="B502" s="10">
        <v>123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594.78480000000002</v>
      </c>
      <c r="G502" s="12">
        <f ca="1">(RANDBETWEEN(50,100)/100)*(dict_DQ_Meth_max[[#This Row],[Vergleich_ub]]-dict_DQ_Meth_max[[#This Row],[Vergleich_lb]])+dict_DQ_Meth_max[[#This Row],[Vergleich_lb]]</f>
        <v>2438.1340799999998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0.156</v>
      </c>
      <c r="M502" s="10">
        <f ca="1">VLOOKUP(dict_DQ_Meth_max[[#This Row],[ID_DataQualities]],table_DataQualities[],9,FALSE)</f>
        <v>2973.3</v>
      </c>
    </row>
    <row r="503" spans="1:13" x14ac:dyDescent="0.45">
      <c r="A503" s="10">
        <v>134</v>
      </c>
      <c r="B503" s="10">
        <v>227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565.05336</v>
      </c>
      <c r="G503" s="12">
        <f ca="1">(RANDBETWEEN(50,100)/100)*(dict_DQ_Meth_max[[#This Row],[Vergleich_ub]]-dict_DQ_Meth_max[[#This Row],[Vergleich_lb]])+dict_DQ_Meth_max[[#This Row],[Vergleich_lb]]</f>
        <v>2557.0598399999999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0.156</v>
      </c>
      <c r="M503" s="10">
        <f ca="1">VLOOKUP(dict_DQ_Meth_max[[#This Row],[ID_DataQualities]],table_DataQualities[],9,FALSE)</f>
        <v>2973.3</v>
      </c>
    </row>
    <row r="504" spans="1:13" x14ac:dyDescent="0.45">
      <c r="A504" s="10">
        <v>134</v>
      </c>
      <c r="B504" s="10">
        <v>159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148.81320000000002</v>
      </c>
      <c r="G504" s="12">
        <f ca="1">(RANDBETWEEN(50,100)/100)*(dict_DQ_Meth_max[[#This Row],[Vergleich_ub]]-dict_DQ_Meth_max[[#This Row],[Vergleich_lb]])+dict_DQ_Meth_max[[#This Row],[Vergleich_lb]]</f>
        <v>2824.6428000000001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0.156</v>
      </c>
      <c r="M504" s="10">
        <f ca="1">VLOOKUP(dict_DQ_Meth_max[[#This Row],[ID_DataQualities]],table_DataQualities[],9,FALSE)</f>
        <v>2973.3</v>
      </c>
    </row>
    <row r="505" spans="1:13" x14ac:dyDescent="0.45">
      <c r="A505" s="10">
        <v>134</v>
      </c>
      <c r="B505" s="10">
        <v>502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1248.8764799999999</v>
      </c>
      <c r="G505" s="12">
        <f ca="1">(RANDBETWEEN(50,100)/100)*(dict_DQ_Meth_max[[#This Row],[Vergleich_ub]]-dict_DQ_Meth_max[[#This Row],[Vergleich_lb]])+dict_DQ_Meth_max[[#This Row],[Vergleich_lb]]</f>
        <v>2348.9397600000002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0.156</v>
      </c>
      <c r="M505" s="10">
        <f ca="1">VLOOKUP(dict_DQ_Meth_max[[#This Row],[ID_DataQualities]],table_DataQualities[],9,FALSE)</f>
        <v>2973.3</v>
      </c>
    </row>
    <row r="506" spans="1:13" x14ac:dyDescent="0.45">
      <c r="A506" s="10">
        <v>135</v>
      </c>
      <c r="B506" s="10">
        <v>159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1855.13</v>
      </c>
      <c r="G506" s="12">
        <f ca="1">(RANDBETWEEN(50,100)/100)*(dict_DQ_Meth_max[[#This Row],[Vergleich_ub]]-dict_DQ_Meth_max[[#This Row],[Vergleich_lb]])+dict_DQ_Meth_max[[#This Row],[Vergleich_lb]]</f>
        <v>7266.83</v>
      </c>
      <c r="H506" s="11" t="str">
        <f ca="1">VLOOKUP(VLOOKUP(dict_DQ_Meth_max[[#This Row],[ID_DataQualities]],table_DataQualities[],3),table_Units[],2)</f>
        <v>bit</v>
      </c>
      <c r="I506" s="10"/>
      <c r="J506" s="10"/>
      <c r="K506" s="10"/>
      <c r="L506" s="10">
        <f ca="1">VLOOKUP(dict_DQ_Meth_max[[#This Row],[ID_DataQualities]],table_DataQualities[],8,FALSE)</f>
        <v>77</v>
      </c>
      <c r="M506" s="10">
        <f ca="1">VLOOKUP(dict_DQ_Meth_max[[#This Row],[ID_DataQualities]],table_DataQualities[],9,FALSE)</f>
        <v>7808</v>
      </c>
    </row>
    <row r="507" spans="1:13" x14ac:dyDescent="0.45">
      <c r="A507" s="10">
        <v>135</v>
      </c>
      <c r="B507" s="10">
        <v>227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695.48</v>
      </c>
      <c r="G507" s="12">
        <f ca="1">(RANDBETWEEN(50,100)/100)*(dict_DQ_Meth_max[[#This Row],[Vergleich_ub]]-dict_DQ_Meth_max[[#This Row],[Vergleich_lb]])+dict_DQ_Meth_max[[#This Row],[Vergleich_lb]]</f>
        <v>4483.67</v>
      </c>
      <c r="H507" s="11" t="str">
        <f ca="1">VLOOKUP(VLOOKUP(dict_DQ_Meth_max[[#This Row],[ID_DataQualities]],table_DataQualities[],3),table_Units[],2)</f>
        <v>bit</v>
      </c>
      <c r="I507" s="10"/>
      <c r="J507" s="10"/>
      <c r="K507" s="10"/>
      <c r="L507" s="10">
        <f ca="1">VLOOKUP(dict_DQ_Meth_max[[#This Row],[ID_DataQualities]],table_DataQualities[],8,FALSE)</f>
        <v>77</v>
      </c>
      <c r="M507" s="10">
        <f ca="1">VLOOKUP(dict_DQ_Meth_max[[#This Row],[ID_DataQualities]],table_DataQualities[],9,FALSE)</f>
        <v>7808</v>
      </c>
    </row>
    <row r="508" spans="1:13" x14ac:dyDescent="0.45">
      <c r="A508" s="10">
        <v>135</v>
      </c>
      <c r="B508" s="10">
        <v>421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3246.71</v>
      </c>
      <c r="G508" s="12">
        <f ca="1">(RANDBETWEEN(50,100)/100)*(dict_DQ_Meth_max[[#This Row],[Vergleich_ub]]-dict_DQ_Meth_max[[#This Row],[Vergleich_lb]])+dict_DQ_Meth_max[[#This Row],[Vergleich_lb]]</f>
        <v>7112.21</v>
      </c>
      <c r="H508" s="11" t="str">
        <f ca="1">VLOOKUP(VLOOKUP(dict_DQ_Meth_max[[#This Row],[ID_DataQualities]],table_DataQualities[],3),table_Units[],2)</f>
        <v>bit</v>
      </c>
      <c r="I508" s="10"/>
      <c r="J508" s="10"/>
      <c r="K508" s="10"/>
      <c r="L508" s="10">
        <f ca="1">VLOOKUP(dict_DQ_Meth_max[[#This Row],[ID_DataQualities]],table_DataQualities[],8,FALSE)</f>
        <v>77</v>
      </c>
      <c r="M508" s="10">
        <f ca="1">VLOOKUP(dict_DQ_Meth_max[[#This Row],[ID_DataQualities]],table_DataQualities[],9,FALSE)</f>
        <v>7808</v>
      </c>
    </row>
    <row r="509" spans="1:13" x14ac:dyDescent="0.45">
      <c r="A509" s="10">
        <v>135</v>
      </c>
      <c r="B509" s="10">
        <v>123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386.24</v>
      </c>
      <c r="G509" s="12">
        <f ca="1">(RANDBETWEEN(50,100)/100)*(dict_DQ_Meth_max[[#This Row],[Vergleich_ub]]-dict_DQ_Meth_max[[#This Row],[Vergleich_lb]])+dict_DQ_Meth_max[[#This Row],[Vergleich_lb]]</f>
        <v>5334.08</v>
      </c>
      <c r="H509" s="11" t="str">
        <f ca="1">VLOOKUP(VLOOKUP(dict_DQ_Meth_max[[#This Row],[ID_DataQualities]],table_DataQualities[],3),table_Units[],2)</f>
        <v>bit</v>
      </c>
      <c r="I509" s="10"/>
      <c r="J509" s="10"/>
      <c r="K509" s="10"/>
      <c r="L509" s="10">
        <f ca="1">VLOOKUP(dict_DQ_Meth_max[[#This Row],[ID_DataQualities]],table_DataQualities[],8,FALSE)</f>
        <v>77</v>
      </c>
      <c r="M509" s="10">
        <f ca="1">VLOOKUP(dict_DQ_Meth_max[[#This Row],[ID_DataQualities]],table_DataQualities[],9,FALSE)</f>
        <v>7808</v>
      </c>
    </row>
    <row r="510" spans="1:13" x14ac:dyDescent="0.45">
      <c r="A510" s="10">
        <v>135</v>
      </c>
      <c r="B510" s="10">
        <v>502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1623.2</v>
      </c>
      <c r="G510" s="12">
        <f ca="1">(RANDBETWEEN(50,100)/100)*(dict_DQ_Meth_max[[#This Row],[Vergleich_ub]]-dict_DQ_Meth_max[[#This Row],[Vergleich_lb]])+dict_DQ_Meth_max[[#This Row],[Vergleich_lb]]</f>
        <v>4483.67</v>
      </c>
      <c r="H510" s="11" t="str">
        <f ca="1">VLOOKUP(VLOOKUP(dict_DQ_Meth_max[[#This Row],[ID_DataQualities]],table_DataQualities[],3),table_Units[],2)</f>
        <v>bit</v>
      </c>
      <c r="I510" s="10"/>
      <c r="J510" s="10"/>
      <c r="K510" s="10"/>
      <c r="L510" s="10">
        <f ca="1">VLOOKUP(dict_DQ_Meth_max[[#This Row],[ID_DataQualities]],table_DataQualities[],8,FALSE)</f>
        <v>77</v>
      </c>
      <c r="M510" s="10">
        <f ca="1">VLOOKUP(dict_DQ_Meth_max[[#This Row],[ID_DataQualities]],table_DataQualities[],9,FALSE)</f>
        <v>7808</v>
      </c>
    </row>
    <row r="511" spans="1:13" x14ac:dyDescent="0.45">
      <c r="A511" s="10">
        <v>135</v>
      </c>
      <c r="B511" s="10">
        <v>673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695.48</v>
      </c>
      <c r="G511" s="12">
        <f ca="1">(RANDBETWEEN(50,100)/100)*(dict_DQ_Meth_max[[#This Row],[Vergleich_ub]]-dict_DQ_Meth_max[[#This Row],[Vergleich_lb]])+dict_DQ_Meth_max[[#This Row],[Vergleich_lb]]</f>
        <v>4870.22</v>
      </c>
      <c r="H511" s="11" t="str">
        <f ca="1">VLOOKUP(VLOOKUP(dict_DQ_Meth_max[[#This Row],[ID_DataQualities]],table_DataQualities[],3),table_Units[],2)</f>
        <v>bit</v>
      </c>
      <c r="I511" s="10"/>
      <c r="J511" s="10"/>
      <c r="K511" s="10"/>
      <c r="L511" s="10">
        <f ca="1">VLOOKUP(dict_DQ_Meth_max[[#This Row],[ID_DataQualities]],table_DataQualities[],8,FALSE)</f>
        <v>77</v>
      </c>
      <c r="M511" s="10">
        <f ca="1">VLOOKUP(dict_DQ_Meth_max[[#This Row],[ID_DataQualities]],table_DataQualities[],9,FALSE)</f>
        <v>7808</v>
      </c>
    </row>
    <row r="512" spans="1:13" x14ac:dyDescent="0.45">
      <c r="A512" s="10">
        <v>136</v>
      </c>
      <c r="B512" s="10">
        <v>494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691.58799999999997</v>
      </c>
      <c r="G512" s="12">
        <f ca="1">(RANDBETWEEN(50,100)/100)*(dict_DQ_Meth_max[[#This Row],[Vergleich_ub]]-dict_DQ_Meth_max[[#This Row],[Vergleich_lb]])+dict_DQ_Meth_max[[#This Row],[Vergleich_lb]]</f>
        <v>898.77160000000003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0.97599999999999998</v>
      </c>
      <c r="M512" s="10">
        <f ca="1">VLOOKUP(dict_DQ_Meth_max[[#This Row],[ID_DataQualities]],table_DataQualities[],9,FALSE)</f>
        <v>1382.2</v>
      </c>
    </row>
    <row r="513" spans="1:13" x14ac:dyDescent="0.45">
      <c r="A513" s="10">
        <v>136</v>
      </c>
      <c r="B513" s="10">
        <v>18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111.47391999999999</v>
      </c>
      <c r="G513" s="12">
        <f ca="1">(RANDBETWEEN(50,100)/100)*(dict_DQ_Meth_max[[#This Row],[Vergleich_ub]]-dict_DQ_Meth_max[[#This Row],[Vergleich_lb]])+dict_DQ_Meth_max[[#This Row],[Vergleich_lb]]</f>
        <v>691.58799999999997</v>
      </c>
      <c r="H513" s="11" t="str">
        <f ca="1">VLOOKUP(VLOOKUP(dict_DQ_Meth_max[[#This Row],[ID_DataQualities]],table_DataQualities[],3),table_Units[],2)</f>
        <v>Hz</v>
      </c>
      <c r="I513" s="10"/>
      <c r="J513" s="10"/>
      <c r="K513" s="10"/>
      <c r="L513" s="10">
        <f ca="1">VLOOKUP(dict_DQ_Meth_max[[#This Row],[ID_DataQualities]],table_DataQualities[],8,FALSE)</f>
        <v>0.97599999999999998</v>
      </c>
      <c r="M513" s="10">
        <f ca="1">VLOOKUP(dict_DQ_Meth_max[[#This Row],[ID_DataQualities]],table_DataQualities[],9,FALSE)</f>
        <v>1382.2</v>
      </c>
    </row>
    <row r="514" spans="1:13" x14ac:dyDescent="0.45">
      <c r="A514" s="10">
        <v>136</v>
      </c>
      <c r="B514" s="10">
        <v>289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581.09007999999994</v>
      </c>
      <c r="G514" s="12">
        <f ca="1">(RANDBETWEEN(50,100)/100)*(dict_DQ_Meth_max[[#This Row],[Vergleich_ub]]-dict_DQ_Meth_max[[#This Row],[Vergleich_lb]])+dict_DQ_Meth_max[[#This Row],[Vergleich_lb]]</f>
        <v>1078.3307200000002</v>
      </c>
      <c r="H514" s="11" t="str">
        <f ca="1">VLOOKUP(VLOOKUP(dict_DQ_Meth_max[[#This Row],[ID_DataQualities]],table_DataQualities[],3),table_Units[],2)</f>
        <v>Hz</v>
      </c>
      <c r="I514" s="10"/>
      <c r="J514" s="10"/>
      <c r="K514" s="10"/>
      <c r="L514" s="10">
        <f ca="1">VLOOKUP(dict_DQ_Meth_max[[#This Row],[ID_DataQualities]],table_DataQualities[],8,FALSE)</f>
        <v>0.97599999999999998</v>
      </c>
      <c r="M514" s="10">
        <f ca="1">VLOOKUP(dict_DQ_Meth_max[[#This Row],[ID_DataQualities]],table_DataQualities[],9,FALSE)</f>
        <v>1382.2</v>
      </c>
    </row>
    <row r="515" spans="1:13" x14ac:dyDescent="0.45">
      <c r="A515" s="10">
        <v>137</v>
      </c>
      <c r="B515" s="10">
        <v>494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2995.7</v>
      </c>
      <c r="G515" s="12">
        <f ca="1">(RANDBETWEEN(50,100)/100)*(dict_DQ_Meth_max[[#This Row],[Vergleich_ub]]-dict_DQ_Meth_max[[#This Row],[Vergleich_lb]])+dict_DQ_Meth_max[[#This Row],[Vergleich_lb]]</f>
        <v>6476.1</v>
      </c>
      <c r="H515" s="11" t="str">
        <f ca="1">VLOOKUP(VLOOKUP(dict_DQ_Meth_max[[#This Row],[ID_DataQualities]],table_DataQualities[],3),table_Units[],2)</f>
        <v>bit</v>
      </c>
      <c r="I515" s="10"/>
      <c r="J515" s="10"/>
      <c r="K515" s="10"/>
      <c r="L515" s="10">
        <f ca="1">VLOOKUP(dict_DQ_Meth_max[[#This Row],[ID_DataQualities]],table_DataQualities[],8,FALSE)</f>
        <v>69</v>
      </c>
      <c r="M515" s="10">
        <f ca="1">VLOOKUP(dict_DQ_Meth_max[[#This Row],[ID_DataQualities]],table_DataQualities[],9,FALSE)</f>
        <v>7979</v>
      </c>
    </row>
    <row r="516" spans="1:13" x14ac:dyDescent="0.45">
      <c r="A516" s="10">
        <v>137</v>
      </c>
      <c r="B516" s="10">
        <v>289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2995.7</v>
      </c>
      <c r="G516" s="12">
        <f ca="1">(RANDBETWEEN(50,100)/100)*(dict_DQ_Meth_max[[#This Row],[Vergleich_ub]]-dict_DQ_Meth_max[[#This Row],[Vergleich_lb]])+dict_DQ_Meth_max[[#This Row],[Vergleich_lb]]</f>
        <v>5447.8</v>
      </c>
      <c r="H516" s="11" t="str">
        <f ca="1">VLOOKUP(VLOOKUP(dict_DQ_Meth_max[[#This Row],[ID_DataQualities]],table_DataQualities[],3),table_Units[],2)</f>
        <v>bit</v>
      </c>
      <c r="I516" s="10"/>
      <c r="J516" s="10"/>
      <c r="K516" s="10"/>
      <c r="L516" s="10">
        <f ca="1">VLOOKUP(dict_DQ_Meth_max[[#This Row],[ID_DataQualities]],table_DataQualities[],8,FALSE)</f>
        <v>69</v>
      </c>
      <c r="M516" s="10">
        <f ca="1">VLOOKUP(dict_DQ_Meth_max[[#This Row],[ID_DataQualities]],table_DataQualities[],9,FALSE)</f>
        <v>7979</v>
      </c>
    </row>
    <row r="517" spans="1:13" x14ac:dyDescent="0.45">
      <c r="A517" s="10">
        <v>137</v>
      </c>
      <c r="B517" s="10">
        <v>18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2125.6</v>
      </c>
      <c r="G517" s="12">
        <f ca="1">(RANDBETWEEN(50,100)/100)*(dict_DQ_Meth_max[[#This Row],[Vergleich_ub]]-dict_DQ_Meth_max[[#This Row],[Vergleich_lb]])+dict_DQ_Meth_max[[#This Row],[Vergleich_lb]]</f>
        <v>7662.5999999999995</v>
      </c>
      <c r="H517" s="11" t="str">
        <f ca="1">VLOOKUP(VLOOKUP(dict_DQ_Meth_max[[#This Row],[ID_DataQualities]],table_DataQualities[],3),table_Units[],2)</f>
        <v>bit</v>
      </c>
      <c r="I517" s="10"/>
      <c r="J517" s="10"/>
      <c r="K517" s="10"/>
      <c r="L517" s="10">
        <f ca="1">VLOOKUP(dict_DQ_Meth_max[[#This Row],[ID_DataQualities]],table_DataQualities[],8,FALSE)</f>
        <v>69</v>
      </c>
      <c r="M517" s="10">
        <f ca="1">VLOOKUP(dict_DQ_Meth_max[[#This Row],[ID_DataQualities]],table_DataQualities[],9,FALSE)</f>
        <v>7979</v>
      </c>
    </row>
    <row r="518" spans="1:13" x14ac:dyDescent="0.45">
      <c r="A518" s="10">
        <v>138</v>
      </c>
      <c r="B518" s="10">
        <v>41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2766.3546899999997</v>
      </c>
      <c r="G518" s="12">
        <f ca="1">(RANDBETWEEN(50,100)/100)*(dict_DQ_Meth_max[[#This Row],[Vergleich_ub]]-dict_DQ_Meth_max[[#This Row],[Vergleich_lb]])+dict_DQ_Meth_max[[#This Row],[Vergleich_lb]]</f>
        <v>9060.2869499999997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0.83899999999999997</v>
      </c>
      <c r="M518" s="10">
        <f ca="1">VLOOKUP(dict_DQ_Meth_max[[#This Row],[ID_DataQualities]],table_DataQualities[],9,FALSE)</f>
        <v>9537.1</v>
      </c>
    </row>
    <row r="519" spans="1:13" x14ac:dyDescent="0.45">
      <c r="A519" s="10">
        <v>138</v>
      </c>
      <c r="B519" s="10">
        <v>100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3147.8051300000002</v>
      </c>
      <c r="G519" s="12">
        <f ca="1">(RANDBETWEEN(50,100)/100)*(dict_DQ_Meth_max[[#This Row],[Vergleich_ub]]-dict_DQ_Meth_max[[#This Row],[Vergleich_lb]])+dict_DQ_Meth_max[[#This Row],[Vergleich_lb]]</f>
        <v>7057.6721400000006</v>
      </c>
      <c r="H519" s="11" t="str">
        <f ca="1">VLOOKUP(VLOOKUP(dict_DQ_Meth_max[[#This Row],[ID_DataQualities]],table_DataQualities[],3),table_Units[],2)</f>
        <v>Hz</v>
      </c>
      <c r="I519" s="10"/>
      <c r="J519" s="10"/>
      <c r="K519" s="10"/>
      <c r="L519" s="10">
        <f ca="1">VLOOKUP(dict_DQ_Meth_max[[#This Row],[ID_DataQualities]],table_DataQualities[],8,FALSE)</f>
        <v>0.83899999999999997</v>
      </c>
      <c r="M519" s="10">
        <f ca="1">VLOOKUP(dict_DQ_Meth_max[[#This Row],[ID_DataQualities]],table_DataQualities[],9,FALSE)</f>
        <v>9537.1</v>
      </c>
    </row>
    <row r="520" spans="1:13" x14ac:dyDescent="0.45">
      <c r="A520" s="10">
        <v>138</v>
      </c>
      <c r="B520" s="10">
        <v>374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286.92683</v>
      </c>
      <c r="G520" s="12">
        <f ca="1">(RANDBETWEEN(50,100)/100)*(dict_DQ_Meth_max[[#This Row],[Vergleich_ub]]-dict_DQ_Meth_max[[#This Row],[Vergleich_lb]])+dict_DQ_Meth_max[[#This Row],[Vergleich_lb]]</f>
        <v>6485.4964800000007</v>
      </c>
      <c r="H520" s="11" t="str">
        <f ca="1">VLOOKUP(VLOOKUP(dict_DQ_Meth_max[[#This Row],[ID_DataQualities]],table_DataQualities[],3),table_Units[],2)</f>
        <v>Hz</v>
      </c>
      <c r="I520" s="10"/>
      <c r="J520" s="10"/>
      <c r="K520" s="10"/>
      <c r="L520" s="10">
        <f ca="1">VLOOKUP(dict_DQ_Meth_max[[#This Row],[ID_DataQualities]],table_DataQualities[],8,FALSE)</f>
        <v>0.83899999999999997</v>
      </c>
      <c r="M520" s="10">
        <f ca="1">VLOOKUP(dict_DQ_Meth_max[[#This Row],[ID_DataQualities]],table_DataQualities[],9,FALSE)</f>
        <v>9537.1</v>
      </c>
    </row>
    <row r="521" spans="1:13" x14ac:dyDescent="0.45">
      <c r="A521" s="10">
        <v>139</v>
      </c>
      <c r="B521" s="10">
        <v>41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0.41000000000000003</v>
      </c>
      <c r="G521" s="12">
        <f ca="1">(RANDBETWEEN(50,100)/100)*(dict_DQ_Meth_max[[#This Row],[Vergleich_ub]]-dict_DQ_Meth_max[[#This Row],[Vergleich_lb]])+dict_DQ_Meth_max[[#This Row],[Vergleich_lb]]</f>
        <v>0.95</v>
      </c>
      <c r="H521" s="11" t="str">
        <f ca="1">VLOOKUP(VLOOKUP(dict_DQ_Meth_max[[#This Row],[ID_DataQualities]],table_DataQualities[],3),table_Units[],2)</f>
        <v>+/- mm/s</v>
      </c>
      <c r="I521" s="10"/>
      <c r="J521" s="10"/>
      <c r="K521" s="10"/>
      <c r="L521" s="10">
        <f ca="1">VLOOKUP(dict_DQ_Meth_max[[#This Row],[ID_DataQualities]],table_DataQualities[],8,FALSE)</f>
        <v>0.4</v>
      </c>
      <c r="M521" s="10">
        <f ca="1">VLOOKUP(dict_DQ_Meth_max[[#This Row],[ID_DataQualities]],table_DataQualities[],9,FALSE)</f>
        <v>1.4</v>
      </c>
    </row>
    <row r="522" spans="1:13" x14ac:dyDescent="0.45">
      <c r="A522" s="10">
        <v>139</v>
      </c>
      <c r="B522" s="10">
        <v>100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0.76</v>
      </c>
      <c r="G522" s="12">
        <f ca="1">(RANDBETWEEN(50,100)/100)*(dict_DQ_Meth_max[[#This Row],[Vergleich_ub]]-dict_DQ_Meth_max[[#This Row],[Vergleich_lb]])+dict_DQ_Meth_max[[#This Row],[Vergleich_lb]]</f>
        <v>1.2599999999999998</v>
      </c>
      <c r="H522" s="11" t="str">
        <f ca="1">VLOOKUP(VLOOKUP(dict_DQ_Meth_max[[#This Row],[ID_DataQualities]],table_DataQualities[],3),table_Units[],2)</f>
        <v>+/- mm/s</v>
      </c>
      <c r="I522" s="10"/>
      <c r="J522" s="10"/>
      <c r="K522" s="10"/>
      <c r="L522" s="10">
        <f ca="1">VLOOKUP(dict_DQ_Meth_max[[#This Row],[ID_DataQualities]],table_DataQualities[],8,FALSE)</f>
        <v>0.4</v>
      </c>
      <c r="M522" s="10">
        <f ca="1">VLOOKUP(dict_DQ_Meth_max[[#This Row],[ID_DataQualities]],table_DataQualities[],9,FALSE)</f>
        <v>1.4</v>
      </c>
    </row>
    <row r="523" spans="1:13" x14ac:dyDescent="0.45">
      <c r="A523" s="10">
        <v>139</v>
      </c>
      <c r="B523" s="10">
        <v>374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0.47000000000000003</v>
      </c>
      <c r="G523" s="12">
        <f ca="1">(RANDBETWEEN(50,100)/100)*(dict_DQ_Meth_max[[#This Row],[Vergleich_ub]]-dict_DQ_Meth_max[[#This Row],[Vergleich_lb]])+dict_DQ_Meth_max[[#This Row],[Vergleich_lb]]</f>
        <v>1.4</v>
      </c>
      <c r="H523" s="11" t="str">
        <f ca="1">VLOOKUP(VLOOKUP(dict_DQ_Meth_max[[#This Row],[ID_DataQualities]],table_DataQualities[],3),table_Units[],2)</f>
        <v>+/- mm/s</v>
      </c>
      <c r="I523" s="10"/>
      <c r="J523" s="10"/>
      <c r="K523" s="10"/>
      <c r="L523" s="10">
        <f ca="1">VLOOKUP(dict_DQ_Meth_max[[#This Row],[ID_DataQualities]],table_DataQualities[],8,FALSE)</f>
        <v>0.4</v>
      </c>
      <c r="M523" s="10">
        <f ca="1">VLOOKUP(dict_DQ_Meth_max[[#This Row],[ID_DataQualities]],table_DataQualities[],9,FALSE)</f>
        <v>1.4</v>
      </c>
    </row>
    <row r="524" spans="1:13" x14ac:dyDescent="0.45">
      <c r="A524" s="10">
        <v>140</v>
      </c>
      <c r="B524" s="10">
        <v>114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3911.1764399999997</v>
      </c>
      <c r="G524" s="12">
        <f ca="1">(RANDBETWEEN(50,100)/100)*(dict_DQ_Meth_max[[#This Row],[Vergleich_ub]]-dict_DQ_Meth_max[[#This Row],[Vergleich_lb]])+dict_DQ_Meth_max[[#This Row],[Vergleich_lb]]</f>
        <v>6053.0012999999999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1.7999999999999999E-2</v>
      </c>
      <c r="M524" s="10">
        <f ca="1">VLOOKUP(dict_DQ_Meth_max[[#This Row],[ID_DataQualities]],table_DataQualities[],9,FALSE)</f>
        <v>9312.2999999999993</v>
      </c>
    </row>
    <row r="525" spans="1:13" x14ac:dyDescent="0.45">
      <c r="A525" s="10">
        <v>140</v>
      </c>
      <c r="B525" s="10">
        <v>496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2607.45696</v>
      </c>
      <c r="G525" s="12">
        <f ca="1">(RANDBETWEEN(50,100)/100)*(dict_DQ_Meth_max[[#This Row],[Vergleich_ub]]-dict_DQ_Meth_max[[#This Row],[Vergleich_lb]])+dict_DQ_Meth_max[[#This Row],[Vergleich_lb]]</f>
        <v>7263.5979600000001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1.7999999999999999E-2</v>
      </c>
      <c r="M525" s="10">
        <f ca="1">VLOOKUP(dict_DQ_Meth_max[[#This Row],[ID_DataQualities]],table_DataQualities[],9,FALSE)</f>
        <v>9312.2999999999993</v>
      </c>
    </row>
    <row r="526" spans="1:13" x14ac:dyDescent="0.45">
      <c r="A526" s="10">
        <v>140</v>
      </c>
      <c r="B526" s="10">
        <v>560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1583.1059399999999</v>
      </c>
      <c r="G526" s="12">
        <f ca="1">(RANDBETWEEN(50,100)/100)*(dict_DQ_Meth_max[[#This Row],[Vergleich_ub]]-dict_DQ_Meth_max[[#This Row],[Vergleich_lb]])+dict_DQ_Meth_max[[#This Row],[Vergleich_lb]]</f>
        <v>7822.3348799999994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1.7999999999999999E-2</v>
      </c>
      <c r="M526" s="10">
        <f ca="1">VLOOKUP(dict_DQ_Meth_max[[#This Row],[ID_DataQualities]],table_DataQualities[],9,FALSE)</f>
        <v>9312.2999999999993</v>
      </c>
    </row>
    <row r="527" spans="1:13" x14ac:dyDescent="0.45">
      <c r="A527" s="10">
        <v>140</v>
      </c>
      <c r="B527" s="10">
        <v>21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372.50927999999993</v>
      </c>
      <c r="G527" s="12">
        <f ca="1">(RANDBETWEEN(50,100)/100)*(dict_DQ_Meth_max[[#This Row],[Vergleich_ub]]-dict_DQ_Meth_max[[#This Row],[Vergleich_lb]])+dict_DQ_Meth_max[[#This Row],[Vergleich_lb]]</f>
        <v>5959.8784799999994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1.7999999999999999E-2</v>
      </c>
      <c r="M527" s="10">
        <f ca="1">VLOOKUP(dict_DQ_Meth_max[[#This Row],[ID_DataQualities]],table_DataQualities[],9,FALSE)</f>
        <v>9312.2999999999993</v>
      </c>
    </row>
    <row r="528" spans="1:13" x14ac:dyDescent="0.45">
      <c r="A528" s="10">
        <v>141</v>
      </c>
      <c r="B528" s="10">
        <v>496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4.3807999999999998</v>
      </c>
      <c r="G528" s="12">
        <f ca="1">(RANDBETWEEN(50,100)/100)*(dict_DQ_Meth_max[[#This Row],[Vergleich_ub]]-dict_DQ_Meth_max[[#This Row],[Vergleich_lb]])+dict_DQ_Meth_max[[#This Row],[Vergleich_lb]]</f>
        <v>6.6559999999999997</v>
      </c>
      <c r="H528" s="11" t="str">
        <f ca="1">VLOOKUP(VLOOKUP(dict_DQ_Meth_max[[#This Row],[ID_DataQualities]],table_DataQualities[],3),table_Units[],2)</f>
        <v>+/- mm/s</v>
      </c>
      <c r="I528" s="10"/>
      <c r="J528" s="10"/>
      <c r="K528" s="10"/>
      <c r="L528" s="10">
        <f ca="1">VLOOKUP(dict_DQ_Meth_max[[#This Row],[ID_DataQualities]],table_DataQualities[],8,FALSE)</f>
        <v>0.02</v>
      </c>
      <c r="M528" s="10">
        <f ca="1">VLOOKUP(dict_DQ_Meth_max[[#This Row],[ID_DataQualities]],table_DataQualities[],9,FALSE)</f>
        <v>9.5</v>
      </c>
    </row>
    <row r="529" spans="1:13" x14ac:dyDescent="0.45">
      <c r="A529" s="10">
        <v>141</v>
      </c>
      <c r="B529" s="10">
        <v>560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2.8639999999999999</v>
      </c>
      <c r="G529" s="12">
        <f ca="1">(RANDBETWEEN(50,100)/100)*(dict_DQ_Meth_max[[#This Row],[Vergleich_ub]]-dict_DQ_Meth_max[[#This Row],[Vergleich_lb]])+dict_DQ_Meth_max[[#This Row],[Vergleich_lb]]</f>
        <v>8.0779999999999994</v>
      </c>
      <c r="H529" s="11" t="str">
        <f ca="1">VLOOKUP(VLOOKUP(dict_DQ_Meth_max[[#This Row],[ID_DataQualities]],table_DataQualities[],3),table_Units[],2)</f>
        <v>+/- mm/s</v>
      </c>
      <c r="I529" s="10"/>
      <c r="J529" s="10"/>
      <c r="K529" s="10"/>
      <c r="L529" s="10">
        <f ca="1">VLOOKUP(dict_DQ_Meth_max[[#This Row],[ID_DataQualities]],table_DataQualities[],8,FALSE)</f>
        <v>0.02</v>
      </c>
      <c r="M529" s="10">
        <f ca="1">VLOOKUP(dict_DQ_Meth_max[[#This Row],[ID_DataQualities]],table_DataQualities[],9,FALSE)</f>
        <v>9.5</v>
      </c>
    </row>
    <row r="530" spans="1:13" x14ac:dyDescent="0.45">
      <c r="A530" s="10">
        <v>141</v>
      </c>
      <c r="B530" s="10">
        <v>114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1.9160000000000001</v>
      </c>
      <c r="G530" s="12">
        <f ca="1">(RANDBETWEEN(50,100)/100)*(dict_DQ_Meth_max[[#This Row],[Vergleich_ub]]-dict_DQ_Meth_max[[#This Row],[Vergleich_lb]])+dict_DQ_Meth_max[[#This Row],[Vergleich_lb]]</f>
        <v>4.8548</v>
      </c>
      <c r="H530" s="11" t="str">
        <f ca="1">VLOOKUP(VLOOKUP(dict_DQ_Meth_max[[#This Row],[ID_DataQualities]],table_DataQualities[],3),table_Units[],2)</f>
        <v>+/- mm/s</v>
      </c>
      <c r="I530" s="10"/>
      <c r="J530" s="10"/>
      <c r="K530" s="10"/>
      <c r="L530" s="10">
        <f ca="1">VLOOKUP(dict_DQ_Meth_max[[#This Row],[ID_DataQualities]],table_DataQualities[],8,FALSE)</f>
        <v>0.02</v>
      </c>
      <c r="M530" s="10">
        <f ca="1">VLOOKUP(dict_DQ_Meth_max[[#This Row],[ID_DataQualities]],table_DataQualities[],9,FALSE)</f>
        <v>9.5</v>
      </c>
    </row>
    <row r="531" spans="1:13" x14ac:dyDescent="0.45">
      <c r="A531" s="10">
        <v>141</v>
      </c>
      <c r="B531" s="10">
        <v>21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1.5368000000000002</v>
      </c>
      <c r="G531" s="12">
        <f ca="1">(RANDBETWEEN(50,100)/100)*(dict_DQ_Meth_max[[#This Row],[Vergleich_ub]]-dict_DQ_Meth_max[[#This Row],[Vergleich_lb]])+dict_DQ_Meth_max[[#This Row],[Vergleich_lb]]</f>
        <v>8.2675999999999998</v>
      </c>
      <c r="H531" s="11" t="str">
        <f ca="1">VLOOKUP(VLOOKUP(dict_DQ_Meth_max[[#This Row],[ID_DataQualities]],table_DataQualities[],3),table_Units[],2)</f>
        <v>+/- mm/s</v>
      </c>
      <c r="I531" s="10"/>
      <c r="J531" s="10"/>
      <c r="K531" s="10"/>
      <c r="L531" s="10">
        <f ca="1">VLOOKUP(dict_DQ_Meth_max[[#This Row],[ID_DataQualities]],table_DataQualities[],8,FALSE)</f>
        <v>0.02</v>
      </c>
      <c r="M531" s="10">
        <f ca="1">VLOOKUP(dict_DQ_Meth_max[[#This Row],[ID_DataQualities]],table_DataQualities[],9,FALSE)</f>
        <v>9.5</v>
      </c>
    </row>
    <row r="532" spans="1:13" x14ac:dyDescent="0.45">
      <c r="A532" s="10">
        <v>142</v>
      </c>
      <c r="B532" s="10">
        <v>327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72.89752</v>
      </c>
      <c r="G532" s="12">
        <f ca="1">(RANDBETWEEN(50,100)/100)*(dict_DQ_Meth_max[[#This Row],[Vergleich_ub]]-dict_DQ_Meth_max[[#This Row],[Vergleich_lb]])+dict_DQ_Meth_max[[#This Row],[Vergleich_lb]]</f>
        <v>231.46808000000001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0.60799999999999998</v>
      </c>
      <c r="M532" s="10">
        <f ca="1">VLOOKUP(dict_DQ_Meth_max[[#This Row],[ID_DataQualities]],table_DataQualities[],9,FALSE)</f>
        <v>233.8</v>
      </c>
    </row>
    <row r="533" spans="1:13" x14ac:dyDescent="0.45">
      <c r="A533" s="10">
        <v>142</v>
      </c>
      <c r="B533" s="10">
        <v>39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9.9356800000000014</v>
      </c>
      <c r="G533" s="12">
        <f ca="1">(RANDBETWEEN(50,100)/100)*(dict_DQ_Meth_max[[#This Row],[Vergleich_ub]]-dict_DQ_Meth_max[[#This Row],[Vergleich_lb]])+dict_DQ_Meth_max[[#This Row],[Vergleich_lb]]</f>
        <v>217.47656000000003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0.60799999999999998</v>
      </c>
      <c r="M533" s="10">
        <f ca="1">VLOOKUP(dict_DQ_Meth_max[[#This Row],[ID_DataQualities]],table_DataQualities[],9,FALSE)</f>
        <v>233.8</v>
      </c>
    </row>
    <row r="534" spans="1:13" x14ac:dyDescent="0.45">
      <c r="A534" s="10">
        <v>142</v>
      </c>
      <c r="B534" s="10">
        <v>597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47.246400000000001</v>
      </c>
      <c r="G534" s="12">
        <f ca="1">(RANDBETWEEN(50,100)/100)*(dict_DQ_Meth_max[[#This Row],[Vergleich_ub]]-dict_DQ_Meth_max[[#This Row],[Vergleich_lb]])+dict_DQ_Meth_max[[#This Row],[Vergleich_lb]]</f>
        <v>212.81272000000001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0.60799999999999998</v>
      </c>
      <c r="M534" s="10">
        <f ca="1">VLOOKUP(dict_DQ_Meth_max[[#This Row],[ID_DataQualities]],table_DataQualities[],9,FALSE)</f>
        <v>233.8</v>
      </c>
    </row>
    <row r="535" spans="1:13" x14ac:dyDescent="0.45">
      <c r="A535" s="10">
        <v>142</v>
      </c>
      <c r="B535" s="10">
        <v>5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49.578319999999998</v>
      </c>
      <c r="G535" s="12">
        <f ca="1">(RANDBETWEEN(50,100)/100)*(dict_DQ_Meth_max[[#This Row],[Vergleich_ub]]-dict_DQ_Meth_max[[#This Row],[Vergleich_lb]])+dict_DQ_Meth_max[[#This Row],[Vergleich_lb]]</f>
        <v>187.16160000000002</v>
      </c>
      <c r="H535" s="11" t="str">
        <f ca="1">VLOOKUP(VLOOKUP(dict_DQ_Meth_max[[#This Row],[ID_DataQualities]],table_DataQualities[],3),table_Units[],2)</f>
        <v>Hz</v>
      </c>
      <c r="I535" s="10"/>
      <c r="J535" s="10"/>
      <c r="K535" s="10"/>
      <c r="L535" s="10">
        <f ca="1">VLOOKUP(dict_DQ_Meth_max[[#This Row],[ID_DataQualities]],table_DataQualities[],8,FALSE)</f>
        <v>0.60799999999999998</v>
      </c>
      <c r="M535" s="10">
        <f ca="1">VLOOKUP(dict_DQ_Meth_max[[#This Row],[ID_DataQualities]],table_DataQualities[],9,FALSE)</f>
        <v>233.8</v>
      </c>
    </row>
    <row r="536" spans="1:13" x14ac:dyDescent="0.45">
      <c r="A536" s="10">
        <v>143</v>
      </c>
      <c r="B536" s="10">
        <v>327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3731.7999999999997</v>
      </c>
      <c r="G536" s="12">
        <f ca="1">(RANDBETWEEN(50,100)/100)*(dict_DQ_Meth_max[[#This Row],[Vergleich_ub]]-dict_DQ_Meth_max[[#This Row],[Vergleich_lb]])+dict_DQ_Meth_max[[#This Row],[Vergleich_lb]]</f>
        <v>7103</v>
      </c>
      <c r="H536" s="11" t="str">
        <f ca="1">VLOOKUP(VLOOKUP(dict_DQ_Meth_max[[#This Row],[ID_DataQualities]],table_DataQualities[],3),table_Units[],2)</f>
        <v>bit</v>
      </c>
      <c r="I536" s="10"/>
      <c r="J536" s="10"/>
      <c r="K536" s="10"/>
      <c r="L536" s="10">
        <f ca="1">VLOOKUP(dict_DQ_Meth_max[[#This Row],[ID_DataQualities]],table_DataQualities[],8,FALSE)</f>
        <v>47</v>
      </c>
      <c r="M536" s="10">
        <f ca="1">VLOOKUP(dict_DQ_Meth_max[[#This Row],[ID_DataQualities]],table_DataQualities[],9,FALSE)</f>
        <v>7887</v>
      </c>
    </row>
    <row r="537" spans="1:13" x14ac:dyDescent="0.45">
      <c r="A537" s="10">
        <v>143</v>
      </c>
      <c r="B537" s="10">
        <v>597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282.2</v>
      </c>
      <c r="G537" s="12">
        <f ca="1">(RANDBETWEEN(50,100)/100)*(dict_DQ_Meth_max[[#This Row],[Vergleich_ub]]-dict_DQ_Meth_max[[#This Row],[Vergleich_lb]])+dict_DQ_Meth_max[[#This Row],[Vergleich_lb]]</f>
        <v>7651.8</v>
      </c>
      <c r="H537" s="11" t="str">
        <f ca="1">VLOOKUP(VLOOKUP(dict_DQ_Meth_max[[#This Row],[ID_DataQualities]],table_DataQualities[],3),table_Units[],2)</f>
        <v>bit</v>
      </c>
      <c r="I537" s="10"/>
      <c r="J537" s="10"/>
      <c r="K537" s="10"/>
      <c r="L537" s="10">
        <f ca="1">VLOOKUP(dict_DQ_Meth_max[[#This Row],[ID_DataQualities]],table_DataQualities[],8,FALSE)</f>
        <v>47</v>
      </c>
      <c r="M537" s="10">
        <f ca="1">VLOOKUP(dict_DQ_Meth_max[[#This Row],[ID_DataQualities]],table_DataQualities[],9,FALSE)</f>
        <v>7887</v>
      </c>
    </row>
    <row r="538" spans="1:13" x14ac:dyDescent="0.45">
      <c r="A538" s="10">
        <v>143</v>
      </c>
      <c r="B538" s="10">
        <v>5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2320.6</v>
      </c>
      <c r="G538" s="12">
        <f ca="1">(RANDBETWEEN(50,100)/100)*(dict_DQ_Meth_max[[#This Row],[Vergleich_ub]]-dict_DQ_Meth_max[[#This Row],[Vergleich_lb]])+dict_DQ_Meth_max[[#This Row],[Vergleich_lb]]</f>
        <v>4280.6000000000004</v>
      </c>
      <c r="H538" s="11" t="str">
        <f ca="1">VLOOKUP(VLOOKUP(dict_DQ_Meth_max[[#This Row],[ID_DataQualities]],table_DataQualities[],3),table_Units[],2)</f>
        <v>bit</v>
      </c>
      <c r="I538" s="10"/>
      <c r="J538" s="10"/>
      <c r="K538" s="10"/>
      <c r="L538" s="10">
        <f ca="1">VLOOKUP(dict_DQ_Meth_max[[#This Row],[ID_DataQualities]],table_DataQualities[],8,FALSE)</f>
        <v>47</v>
      </c>
      <c r="M538" s="10">
        <f ca="1">VLOOKUP(dict_DQ_Meth_max[[#This Row],[ID_DataQualities]],table_DataQualities[],9,FALSE)</f>
        <v>7887</v>
      </c>
    </row>
    <row r="539" spans="1:13" x14ac:dyDescent="0.45">
      <c r="A539" s="10">
        <v>143</v>
      </c>
      <c r="B539" s="10">
        <v>39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282.2</v>
      </c>
      <c r="G539" s="12">
        <f ca="1">(RANDBETWEEN(50,100)/100)*(dict_DQ_Meth_max[[#This Row],[Vergleich_ub]]-dict_DQ_Meth_max[[#This Row],[Vergleich_lb]])+dict_DQ_Meth_max[[#This Row],[Vergleich_lb]]</f>
        <v>6162.2</v>
      </c>
      <c r="H539" s="11" t="str">
        <f ca="1">VLOOKUP(VLOOKUP(dict_DQ_Meth_max[[#This Row],[ID_DataQualities]],table_DataQualities[],3),table_Units[],2)</f>
        <v>bit</v>
      </c>
      <c r="I539" s="10"/>
      <c r="J539" s="10"/>
      <c r="K539" s="10"/>
      <c r="L539" s="10">
        <f ca="1">VLOOKUP(dict_DQ_Meth_max[[#This Row],[ID_DataQualities]],table_DataQualities[],8,FALSE)</f>
        <v>47</v>
      </c>
      <c r="M539" s="10">
        <f ca="1">VLOOKUP(dict_DQ_Meth_max[[#This Row],[ID_DataQualities]],table_DataQualities[],9,FALSE)</f>
        <v>7887</v>
      </c>
    </row>
    <row r="540" spans="1:13" x14ac:dyDescent="0.45">
      <c r="A540" s="10">
        <v>144</v>
      </c>
      <c r="B540" s="10">
        <v>346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1183.5522500000002</v>
      </c>
      <c r="G540" s="12">
        <f ca="1">(RANDBETWEEN(50,100)/100)*(dict_DQ_Meth_max[[#This Row],[Vergleich_ub]]-dict_DQ_Meth_max[[#This Row],[Vergleich_lb]])+dict_DQ_Meth_max[[#This Row],[Vergleich_lb]]</f>
        <v>4449.3201799999997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0.30299999999999999</v>
      </c>
      <c r="M540" s="10">
        <f ca="1">VLOOKUP(dict_DQ_Meth_max[[#This Row],[ID_DataQualities]],table_DataQualities[],9,FALSE)</f>
        <v>4733.3</v>
      </c>
    </row>
    <row r="541" spans="1:13" x14ac:dyDescent="0.45">
      <c r="A541" s="10">
        <v>144</v>
      </c>
      <c r="B541" s="10">
        <v>236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2319.4715299999998</v>
      </c>
      <c r="G541" s="12">
        <f ca="1">(RANDBETWEEN(50,100)/100)*(dict_DQ_Meth_max[[#This Row],[Vergleich_ub]]-dict_DQ_Meth_max[[#This Row],[Vergleich_lb]])+dict_DQ_Meth_max[[#This Row],[Vergleich_lb]]</f>
        <v>2366.8015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0.30299999999999999</v>
      </c>
      <c r="M541" s="10">
        <f ca="1">VLOOKUP(dict_DQ_Meth_max[[#This Row],[ID_DataQualities]],table_DataQualities[],9,FALSE)</f>
        <v>4733.3</v>
      </c>
    </row>
    <row r="542" spans="1:13" x14ac:dyDescent="0.45">
      <c r="A542" s="10">
        <v>144</v>
      </c>
      <c r="B542" s="10">
        <v>185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1230.8822200000002</v>
      </c>
      <c r="G542" s="12">
        <f ca="1">(RANDBETWEEN(50,100)/100)*(dict_DQ_Meth_max[[#This Row],[Vergleich_ub]]-dict_DQ_Meth_max[[#This Row],[Vergleich_lb]])+dict_DQ_Meth_max[[#This Row],[Vergleich_lb]]</f>
        <v>3455.3908099999999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0.30299999999999999</v>
      </c>
      <c r="M542" s="10">
        <f ca="1">VLOOKUP(dict_DQ_Meth_max[[#This Row],[ID_DataQualities]],table_DataQualities[],9,FALSE)</f>
        <v>4733.3</v>
      </c>
    </row>
    <row r="543" spans="1:13" x14ac:dyDescent="0.45">
      <c r="A543" s="10">
        <v>144</v>
      </c>
      <c r="B543" s="10">
        <v>11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710.25255000000004</v>
      </c>
      <c r="G543" s="12">
        <f ca="1">(RANDBETWEEN(50,100)/100)*(dict_DQ_Meth_max[[#This Row],[Vergleich_ub]]-dict_DQ_Meth_max[[#This Row],[Vergleich_lb]])+dict_DQ_Meth_max[[#This Row],[Vergleich_lb]]</f>
        <v>3881.3605399999997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0.30299999999999999</v>
      </c>
      <c r="M543" s="10">
        <f ca="1">VLOOKUP(dict_DQ_Meth_max[[#This Row],[ID_DataQualities]],table_DataQualities[],9,FALSE)</f>
        <v>4733.3</v>
      </c>
    </row>
    <row r="544" spans="1:13" x14ac:dyDescent="0.45">
      <c r="A544" s="10">
        <v>145</v>
      </c>
      <c r="B544" s="10">
        <v>11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0.28538800000000003</v>
      </c>
      <c r="G544" s="12">
        <f ca="1">(RANDBETWEEN(50,100)/100)*(dict_DQ_Meth_max[[#This Row],[Vergleich_ub]]-dict_DQ_Meth_max[[#This Row],[Vergleich_lb]])+dict_DQ_Meth_max[[#This Row],[Vergleich_lb]]</f>
        <v>0.74089799999999995</v>
      </c>
      <c r="H544" s="11" t="str">
        <f ca="1">VLOOKUP(VLOOKUP(dict_DQ_Meth_max[[#This Row],[ID_DataQualities]],table_DataQualities[],3),table_Units[],2)</f>
        <v>+/- cm³/s</v>
      </c>
      <c r="I544" s="10"/>
      <c r="J544" s="10"/>
      <c r="K544" s="10"/>
      <c r="L544" s="10">
        <f ca="1">VLOOKUP(dict_DQ_Meth_max[[#This Row],[ID_DataQualities]],table_DataQualities[],8,FALSE)</f>
        <v>3.8E-3</v>
      </c>
      <c r="M544" s="10">
        <f ca="1">VLOOKUP(dict_DQ_Meth_max[[#This Row],[ID_DataQualities]],table_DataQualities[],9,FALSE)</f>
        <v>0.83199999999999996</v>
      </c>
    </row>
    <row r="545" spans="1:13" x14ac:dyDescent="0.45">
      <c r="A545" s="10">
        <v>145</v>
      </c>
      <c r="B545" s="10">
        <v>236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0.12802999999999998</v>
      </c>
      <c r="G545" s="12">
        <f ca="1">(RANDBETWEEN(50,100)/100)*(dict_DQ_Meth_max[[#This Row],[Vergleich_ub]]-dict_DQ_Meth_max[[#This Row],[Vergleich_lb]])+dict_DQ_Meth_max[[#This Row],[Vergleich_lb]]</f>
        <v>0.7905899999999999</v>
      </c>
      <c r="H545" s="11" t="str">
        <f ca="1">VLOOKUP(VLOOKUP(dict_DQ_Meth_max[[#This Row],[ID_DataQualities]],table_DataQualities[],3),table_Units[],2)</f>
        <v>+/- cm³/s</v>
      </c>
      <c r="I545" s="10"/>
      <c r="J545" s="10"/>
      <c r="K545" s="10"/>
      <c r="L545" s="10">
        <f ca="1">VLOOKUP(dict_DQ_Meth_max[[#This Row],[ID_DataQualities]],table_DataQualities[],8,FALSE)</f>
        <v>3.8E-3</v>
      </c>
      <c r="M545" s="10">
        <f ca="1">VLOOKUP(dict_DQ_Meth_max[[#This Row],[ID_DataQualities]],table_DataQualities[],9,FALSE)</f>
        <v>0.83199999999999996</v>
      </c>
    </row>
    <row r="546" spans="1:13" x14ac:dyDescent="0.45">
      <c r="A546" s="10">
        <v>145</v>
      </c>
      <c r="B546" s="10">
        <v>185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6.1773999999999996E-2</v>
      </c>
      <c r="G546" s="12">
        <f ca="1">(RANDBETWEEN(50,100)/100)*(dict_DQ_Meth_max[[#This Row],[Vergleich_ub]]-dict_DQ_Meth_max[[#This Row],[Vergleich_lb]])+dict_DQ_Meth_max[[#This Row],[Vergleich_lb]]</f>
        <v>0.81543599999999994</v>
      </c>
      <c r="H546" s="11" t="str">
        <f ca="1">VLOOKUP(VLOOKUP(dict_DQ_Meth_max[[#This Row],[ID_DataQualities]],table_DataQualities[],3),table_Units[],2)</f>
        <v>+/- cm³/s</v>
      </c>
      <c r="I546" s="10"/>
      <c r="J546" s="10"/>
      <c r="K546" s="10"/>
      <c r="L546" s="10">
        <f ca="1">VLOOKUP(dict_DQ_Meth_max[[#This Row],[ID_DataQualities]],table_DataQualities[],8,FALSE)</f>
        <v>3.8E-3</v>
      </c>
      <c r="M546" s="10">
        <f ca="1">VLOOKUP(dict_DQ_Meth_max[[#This Row],[ID_DataQualities]],table_DataQualities[],9,FALSE)</f>
        <v>0.83199999999999996</v>
      </c>
    </row>
    <row r="547" spans="1:13" x14ac:dyDescent="0.45">
      <c r="A547" s="10">
        <v>145</v>
      </c>
      <c r="B547" s="10">
        <v>346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3.8E-3</v>
      </c>
      <c r="G547" s="12">
        <f ca="1">(RANDBETWEEN(50,100)/100)*(dict_DQ_Meth_max[[#This Row],[Vergleich_ub]]-dict_DQ_Meth_max[[#This Row],[Vergleich_lb]])+dict_DQ_Meth_max[[#This Row],[Vergleich_lb]]</f>
        <v>0.43446400000000002</v>
      </c>
      <c r="H547" s="11" t="str">
        <f ca="1">VLOOKUP(VLOOKUP(dict_DQ_Meth_max[[#This Row],[ID_DataQualities]],table_DataQualities[],3),table_Units[],2)</f>
        <v>+/- cm³/s</v>
      </c>
      <c r="I547" s="10"/>
      <c r="J547" s="10"/>
      <c r="K547" s="10"/>
      <c r="L547" s="10">
        <f ca="1">VLOOKUP(dict_DQ_Meth_max[[#This Row],[ID_DataQualities]],table_DataQualities[],8,FALSE)</f>
        <v>3.8E-3</v>
      </c>
      <c r="M547" s="10">
        <f ca="1">VLOOKUP(dict_DQ_Meth_max[[#This Row],[ID_DataQualities]],table_DataQualities[],9,FALSE)</f>
        <v>0.83199999999999996</v>
      </c>
    </row>
    <row r="548" spans="1:13" x14ac:dyDescent="0.45">
      <c r="A548" s="10">
        <v>146</v>
      </c>
      <c r="B548" s="10">
        <v>336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786.09320000000002</v>
      </c>
      <c r="G548" s="12">
        <f ca="1">(RANDBETWEEN(50,100)/100)*(dict_DQ_Meth_max[[#This Row],[Vergleich_ub]]-dict_DQ_Meth_max[[#This Row],[Vergleich_lb]])+dict_DQ_Meth_max[[#This Row],[Vergleich_lb]]</f>
        <v>3204.3492000000001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0.16</v>
      </c>
      <c r="M548" s="10">
        <f ca="1">VLOOKUP(dict_DQ_Meth_max[[#This Row],[ID_DataQualities]],table_DataQualities[],9,FALSE)</f>
        <v>6045.8</v>
      </c>
    </row>
    <row r="549" spans="1:13" x14ac:dyDescent="0.45">
      <c r="A549" s="10">
        <v>146</v>
      </c>
      <c r="B549" s="10">
        <v>447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544.26760000000002</v>
      </c>
      <c r="G549" s="12">
        <f ca="1">(RANDBETWEEN(50,100)/100)*(dict_DQ_Meth_max[[#This Row],[Vergleich_ub]]-dict_DQ_Meth_max[[#This Row],[Vergleich_lb]])+dict_DQ_Meth_max[[#This Row],[Vergleich_lb]]</f>
        <v>3688.0003999999999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0.16</v>
      </c>
      <c r="M549" s="10">
        <f ca="1">VLOOKUP(dict_DQ_Meth_max[[#This Row],[ID_DataQualities]],table_DataQualities[],9,FALSE)</f>
        <v>6045.8</v>
      </c>
    </row>
    <row r="550" spans="1:13" x14ac:dyDescent="0.45">
      <c r="A550" s="10">
        <v>147</v>
      </c>
      <c r="B550" s="10">
        <v>336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1.2678</v>
      </c>
      <c r="G550" s="12">
        <f ca="1">(RANDBETWEEN(50,100)/100)*(dict_DQ_Meth_max[[#This Row],[Vergleich_ub]]-dict_DQ_Meth_max[[#This Row],[Vergleich_lb]])+dict_DQ_Meth_max[[#This Row],[Vergleich_lb]]</f>
        <v>2.8902000000000001</v>
      </c>
      <c r="H550" s="11" t="str">
        <f ca="1">VLOOKUP(VLOOKUP(dict_DQ_Meth_max[[#This Row],[ID_DataQualities]],table_DataQualities[],3),table_Units[],2)</f>
        <v>+/- mm/s</v>
      </c>
      <c r="I550" s="10"/>
      <c r="J550" s="10"/>
      <c r="K550" s="10"/>
      <c r="L550" s="10">
        <f ca="1">VLOOKUP(dict_DQ_Meth_max[[#This Row],[ID_DataQualities]],table_DataQualities[],8,FALSE)</f>
        <v>0.22</v>
      </c>
      <c r="M550" s="10">
        <f ca="1">VLOOKUP(dict_DQ_Meth_max[[#This Row],[ID_DataQualities]],table_DataQualities[],9,FALSE)</f>
        <v>3.6</v>
      </c>
    </row>
    <row r="551" spans="1:13" x14ac:dyDescent="0.45">
      <c r="A551" s="10">
        <v>147</v>
      </c>
      <c r="B551" s="10">
        <v>447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0.69320000000000004</v>
      </c>
      <c r="G551" s="12">
        <f ca="1">(RANDBETWEEN(50,100)/100)*(dict_DQ_Meth_max[[#This Row],[Vergleich_ub]]-dict_DQ_Meth_max[[#This Row],[Vergleich_lb]])+dict_DQ_Meth_max[[#This Row],[Vergleich_lb]]</f>
        <v>3.3634000000000004</v>
      </c>
      <c r="H551" s="11" t="str">
        <f ca="1">VLOOKUP(VLOOKUP(dict_DQ_Meth_max[[#This Row],[ID_DataQualities]],table_DataQualities[],3),table_Units[],2)</f>
        <v>+/- mm/s</v>
      </c>
      <c r="I551" s="10"/>
      <c r="J551" s="10"/>
      <c r="K551" s="10"/>
      <c r="L551" s="10">
        <f ca="1">VLOOKUP(dict_DQ_Meth_max[[#This Row],[ID_DataQualities]],table_DataQualities[],8,FALSE)</f>
        <v>0.22</v>
      </c>
      <c r="M551" s="10">
        <f ca="1">VLOOKUP(dict_DQ_Meth_max[[#This Row],[ID_DataQualities]],table_DataQualities[],9,FALSE)</f>
        <v>3.6</v>
      </c>
    </row>
    <row r="552" spans="1:13" x14ac:dyDescent="0.45">
      <c r="A552" s="10">
        <v>148</v>
      </c>
      <c r="B552" s="10">
        <v>647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1195.8896200000001</v>
      </c>
      <c r="G552" s="12">
        <f ca="1">(RANDBETWEEN(50,100)/100)*(dict_DQ_Meth_max[[#This Row],[Vergleich_ub]]-dict_DQ_Meth_max[[#This Row],[Vergleich_lb]])+dict_DQ_Meth_max[[#This Row],[Vergleich_lb]]</f>
        <v>3356.9435100000001</v>
      </c>
      <c r="H552" s="11" t="str">
        <f ca="1">VLOOKUP(VLOOKUP(dict_DQ_Meth_max[[#This Row],[ID_DataQualities]],table_DataQualities[],3),table_Units[],2)</f>
        <v>Hz</v>
      </c>
      <c r="I552" s="10"/>
      <c r="J552" s="10"/>
      <c r="K552" s="10"/>
      <c r="L552" s="10">
        <f ca="1">VLOOKUP(dict_DQ_Meth_max[[#This Row],[ID_DataQualities]],table_DataQualities[],8,FALSE)</f>
        <v>0.41299999999999998</v>
      </c>
      <c r="M552" s="10">
        <f ca="1">VLOOKUP(dict_DQ_Meth_max[[#This Row],[ID_DataQualities]],table_DataQualities[],9,FALSE)</f>
        <v>4598.3999999999996</v>
      </c>
    </row>
    <row r="553" spans="1:13" x14ac:dyDescent="0.45">
      <c r="A553" s="10">
        <v>148</v>
      </c>
      <c r="B553" s="10">
        <v>624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1149.90975</v>
      </c>
      <c r="G553" s="12">
        <f ca="1">(RANDBETWEEN(50,100)/100)*(dict_DQ_Meth_max[[#This Row],[Vergleich_ub]]-dict_DQ_Meth_max[[#This Row],[Vergleich_lb]])+dict_DQ_Meth_max[[#This Row],[Vergleich_lb]]</f>
        <v>3035.0844200000001</v>
      </c>
      <c r="H553" s="11" t="str">
        <f ca="1">VLOOKUP(VLOOKUP(dict_DQ_Meth_max[[#This Row],[ID_DataQualities]],table_DataQualities[],3),table_Units[],2)</f>
        <v>Hz</v>
      </c>
      <c r="I553" s="10"/>
      <c r="J553" s="10"/>
      <c r="K553" s="10"/>
      <c r="L553" s="10">
        <f ca="1">VLOOKUP(dict_DQ_Meth_max[[#This Row],[ID_DataQualities]],table_DataQualities[],8,FALSE)</f>
        <v>0.41299999999999998</v>
      </c>
      <c r="M553" s="10">
        <f ca="1">VLOOKUP(dict_DQ_Meth_max[[#This Row],[ID_DataQualities]],table_DataQualities[],9,FALSE)</f>
        <v>4598.3999999999996</v>
      </c>
    </row>
    <row r="554" spans="1:13" x14ac:dyDescent="0.45">
      <c r="A554" s="10">
        <v>148</v>
      </c>
      <c r="B554" s="10">
        <v>7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736.09091999999998</v>
      </c>
      <c r="G554" s="12">
        <f ca="1">(RANDBETWEEN(50,100)/100)*(dict_DQ_Meth_max[[#This Row],[Vergleich_ub]]-dict_DQ_Meth_max[[#This Row],[Vergleich_lb]])+dict_DQ_Meth_max[[#This Row],[Vergleich_lb]]</f>
        <v>2851.1649400000001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0.41299999999999998</v>
      </c>
      <c r="M554" s="10">
        <f ca="1">VLOOKUP(dict_DQ_Meth_max[[#This Row],[ID_DataQualities]],table_DataQualities[],9,FALSE)</f>
        <v>4598.3999999999996</v>
      </c>
    </row>
    <row r="555" spans="1:13" x14ac:dyDescent="0.45">
      <c r="A555" s="10">
        <v>148</v>
      </c>
      <c r="B555" s="10">
        <v>294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46.392869999999995</v>
      </c>
      <c r="G555" s="12">
        <f ca="1">(RANDBETWEEN(50,100)/100)*(dict_DQ_Meth_max[[#This Row],[Vergleich_ub]]-dict_DQ_Meth_max[[#This Row],[Vergleich_lb]])+dict_DQ_Meth_max[[#This Row],[Vergleich_lb]]</f>
        <v>3586.8428600000002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0.41299999999999998</v>
      </c>
      <c r="M555" s="10">
        <f ca="1">VLOOKUP(dict_DQ_Meth_max[[#This Row],[ID_DataQualities]],table_DataQualities[],9,FALSE)</f>
        <v>4598.3999999999996</v>
      </c>
    </row>
    <row r="556" spans="1:13" x14ac:dyDescent="0.45">
      <c r="A556" s="10">
        <v>148</v>
      </c>
      <c r="B556" s="10">
        <v>87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0.41299999999999998</v>
      </c>
      <c r="G556" s="12">
        <f ca="1">(RANDBETWEEN(50,100)/100)*(dict_DQ_Meth_max[[#This Row],[Vergleich_ub]]-dict_DQ_Meth_max[[#This Row],[Vergleich_lb]])+dict_DQ_Meth_max[[#This Row],[Vergleich_lb]]</f>
        <v>2667.2454600000001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0.41299999999999998</v>
      </c>
      <c r="M556" s="10">
        <f ca="1">VLOOKUP(dict_DQ_Meth_max[[#This Row],[ID_DataQualities]],table_DataQualities[],9,FALSE)</f>
        <v>4598.3999999999996</v>
      </c>
    </row>
    <row r="557" spans="1:13" x14ac:dyDescent="0.45">
      <c r="A557" s="10">
        <v>149</v>
      </c>
      <c r="B557" s="10">
        <v>647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1703.63</v>
      </c>
      <c r="G557" s="12">
        <f ca="1">(RANDBETWEEN(50,100)/100)*(dict_DQ_Meth_max[[#This Row],[Vergleich_ub]]-dict_DQ_Meth_max[[#This Row],[Vergleich_lb]])+dict_DQ_Meth_max[[#This Row],[Vergleich_lb]]</f>
        <v>6872.7599999999993</v>
      </c>
      <c r="H557" s="11" t="str">
        <f ca="1">VLOOKUP(VLOOKUP(dict_DQ_Meth_max[[#This Row],[ID_DataQualities]],table_DataQualities[],3),table_Units[],2)</f>
        <v>bit</v>
      </c>
      <c r="I557" s="10"/>
      <c r="J557" s="10"/>
      <c r="K557" s="10"/>
      <c r="L557" s="10">
        <f ca="1">VLOOKUP(dict_DQ_Meth_max[[#This Row],[ID_DataQualities]],table_DataQualities[],8,FALSE)</f>
        <v>75</v>
      </c>
      <c r="M557" s="10">
        <f ca="1">VLOOKUP(dict_DQ_Meth_max[[#This Row],[ID_DataQualities]],table_DataQualities[],9,FALSE)</f>
        <v>7156</v>
      </c>
    </row>
    <row r="558" spans="1:13" x14ac:dyDescent="0.45">
      <c r="A558" s="10">
        <v>149</v>
      </c>
      <c r="B558" s="10">
        <v>624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499.85999999999996</v>
      </c>
      <c r="G558" s="12">
        <f ca="1">(RANDBETWEEN(50,100)/100)*(dict_DQ_Meth_max[[#This Row],[Vergleich_ub]]-dict_DQ_Meth_max[[#This Row],[Vergleich_lb]])+dict_DQ_Meth_max[[#This Row],[Vergleich_lb]]</f>
        <v>5031.7</v>
      </c>
      <c r="H558" s="11" t="str">
        <f ca="1">VLOOKUP(VLOOKUP(dict_DQ_Meth_max[[#This Row],[ID_DataQualities]],table_DataQualities[],3),table_Units[],2)</f>
        <v>bit</v>
      </c>
      <c r="I558" s="10"/>
      <c r="J558" s="10"/>
      <c r="K558" s="10"/>
      <c r="L558" s="10">
        <f ca="1">VLOOKUP(dict_DQ_Meth_max[[#This Row],[ID_DataQualities]],table_DataQualities[],8,FALSE)</f>
        <v>75</v>
      </c>
      <c r="M558" s="10">
        <f ca="1">VLOOKUP(dict_DQ_Meth_max[[#This Row],[ID_DataQualities]],table_DataQualities[],9,FALSE)</f>
        <v>7156</v>
      </c>
    </row>
    <row r="559" spans="1:13" x14ac:dyDescent="0.45">
      <c r="A559" s="10">
        <v>149</v>
      </c>
      <c r="B559" s="10">
        <v>7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1278.77</v>
      </c>
      <c r="G559" s="12">
        <f ca="1">(RANDBETWEEN(50,100)/100)*(dict_DQ_Meth_max[[#This Row],[Vergleich_ub]]-dict_DQ_Meth_max[[#This Row],[Vergleich_lb]])+dict_DQ_Meth_max[[#This Row],[Vergleich_lb]]</f>
        <v>5314.94</v>
      </c>
      <c r="H559" s="11" t="str">
        <f ca="1">VLOOKUP(VLOOKUP(dict_DQ_Meth_max[[#This Row],[ID_DataQualities]],table_DataQualities[],3),table_Units[],2)</f>
        <v>bit</v>
      </c>
      <c r="I559" s="10"/>
      <c r="J559" s="10"/>
      <c r="K559" s="10"/>
      <c r="L559" s="10">
        <f ca="1">VLOOKUP(dict_DQ_Meth_max[[#This Row],[ID_DataQualities]],table_DataQualities[],8,FALSE)</f>
        <v>75</v>
      </c>
      <c r="M559" s="10">
        <f ca="1">VLOOKUP(dict_DQ_Meth_max[[#This Row],[ID_DataQualities]],table_DataQualities[],9,FALSE)</f>
        <v>7156</v>
      </c>
    </row>
    <row r="560" spans="1:13" x14ac:dyDescent="0.45">
      <c r="A560" s="10">
        <v>149</v>
      </c>
      <c r="B560" s="10">
        <v>294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570.67000000000007</v>
      </c>
      <c r="G560" s="12">
        <f ca="1">(RANDBETWEEN(50,100)/100)*(dict_DQ_Meth_max[[#This Row],[Vergleich_ub]]-dict_DQ_Meth_max[[#This Row],[Vergleich_lb]])+dict_DQ_Meth_max[[#This Row],[Vergleich_lb]]</f>
        <v>3686.31</v>
      </c>
      <c r="H560" s="11" t="str">
        <f ca="1">VLOOKUP(VLOOKUP(dict_DQ_Meth_max[[#This Row],[ID_DataQualities]],table_DataQualities[],3),table_Units[],2)</f>
        <v>bit</v>
      </c>
      <c r="I560" s="10"/>
      <c r="J560" s="10"/>
      <c r="K560" s="10"/>
      <c r="L560" s="10">
        <f ca="1">VLOOKUP(dict_DQ_Meth_max[[#This Row],[ID_DataQualities]],table_DataQualities[],8,FALSE)</f>
        <v>75</v>
      </c>
      <c r="M560" s="10">
        <f ca="1">VLOOKUP(dict_DQ_Meth_max[[#This Row],[ID_DataQualities]],table_DataQualities[],9,FALSE)</f>
        <v>7156</v>
      </c>
    </row>
    <row r="561" spans="1:13" x14ac:dyDescent="0.45">
      <c r="A561" s="10">
        <v>149</v>
      </c>
      <c r="B561" s="10">
        <v>87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3403.0699999999997</v>
      </c>
      <c r="G561" s="12">
        <f ca="1">(RANDBETWEEN(50,100)/100)*(dict_DQ_Meth_max[[#This Row],[Vergleich_ub]]-dict_DQ_Meth_max[[#This Row],[Vergleich_lb]])+dict_DQ_Meth_max[[#This Row],[Vergleich_lb]]</f>
        <v>6093.8499999999995</v>
      </c>
      <c r="H561" s="11" t="str">
        <f ca="1">VLOOKUP(VLOOKUP(dict_DQ_Meth_max[[#This Row],[ID_DataQualities]],table_DataQualities[],3),table_Units[],2)</f>
        <v>bit</v>
      </c>
      <c r="I561" s="10"/>
      <c r="J561" s="10"/>
      <c r="K561" s="10"/>
      <c r="L561" s="10">
        <f ca="1">VLOOKUP(dict_DQ_Meth_max[[#This Row],[ID_DataQualities]],table_DataQualities[],8,FALSE)</f>
        <v>75</v>
      </c>
      <c r="M561" s="10">
        <f ca="1">VLOOKUP(dict_DQ_Meth_max[[#This Row],[ID_DataQualities]],table_DataQualities[],9,FALSE)</f>
        <v>7156</v>
      </c>
    </row>
    <row r="562" spans="1:13" x14ac:dyDescent="0.45">
      <c r="A562" s="10">
        <v>150</v>
      </c>
      <c r="B562" s="10">
        <v>301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3112.1278800000005</v>
      </c>
      <c r="G562" s="12">
        <f ca="1">(RANDBETWEEN(50,100)/100)*(dict_DQ_Meth_max[[#This Row],[Vergleich_ub]]-dict_DQ_Meth_max[[#This Row],[Vergleich_lb]])+dict_DQ_Meth_max[[#This Row],[Vergleich_lb]]</f>
        <v>7099.3610699999999</v>
      </c>
      <c r="H562" s="11" t="str">
        <f ca="1">VLOOKUP(VLOOKUP(dict_DQ_Meth_max[[#This Row],[ID_DataQualities]],table_DataQualities[],3),table_Units[],2)</f>
        <v>Hz</v>
      </c>
      <c r="I562" s="10"/>
      <c r="J562" s="10"/>
      <c r="K562" s="10"/>
      <c r="L562" s="10">
        <f ca="1">VLOOKUP(dict_DQ_Meth_max[[#This Row],[ID_DataQualities]],table_DataQualities[],8,FALSE)</f>
        <v>0.14099999999999999</v>
      </c>
      <c r="M562" s="10">
        <f ca="1">VLOOKUP(dict_DQ_Meth_max[[#This Row],[ID_DataQualities]],table_DataQualities[],9,FALSE)</f>
        <v>9725.1</v>
      </c>
    </row>
    <row r="563" spans="1:13" x14ac:dyDescent="0.45">
      <c r="A563" s="10">
        <v>150</v>
      </c>
      <c r="B563" s="10">
        <v>2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3112.1278800000005</v>
      </c>
      <c r="G563" s="12">
        <f ca="1">(RANDBETWEEN(50,100)/100)*(dict_DQ_Meth_max[[#This Row],[Vergleich_ub]]-dict_DQ_Meth_max[[#This Row],[Vergleich_lb]])+dict_DQ_Meth_max[[#This Row],[Vergleich_lb]]</f>
        <v>7293.8602499999997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0.14099999999999999</v>
      </c>
      <c r="M563" s="10">
        <f ca="1">VLOOKUP(dict_DQ_Meth_max[[#This Row],[ID_DataQualities]],table_DataQualities[],9,FALSE)</f>
        <v>9725.1</v>
      </c>
    </row>
    <row r="564" spans="1:13" x14ac:dyDescent="0.45">
      <c r="A564" s="10">
        <v>150</v>
      </c>
      <c r="B564" s="10">
        <v>398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97.390590000000017</v>
      </c>
      <c r="G564" s="12">
        <f ca="1">(RANDBETWEEN(50,100)/100)*(dict_DQ_Meth_max[[#This Row],[Vergleich_ub]]-dict_DQ_Meth_max[[#This Row],[Vergleich_lb]])+dict_DQ_Meth_max[[#This Row],[Vergleich_lb]]</f>
        <v>5251.6188600000005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0.14099999999999999</v>
      </c>
      <c r="M564" s="10">
        <f ca="1">VLOOKUP(dict_DQ_Meth_max[[#This Row],[ID_DataQualities]],table_DataQualities[],9,FALSE)</f>
        <v>9725.1</v>
      </c>
    </row>
    <row r="565" spans="1:13" x14ac:dyDescent="0.45">
      <c r="A565" s="10">
        <v>150</v>
      </c>
      <c r="B565" s="10">
        <v>51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972.63690000000008</v>
      </c>
      <c r="G565" s="12">
        <f ca="1">(RANDBETWEEN(50,100)/100)*(dict_DQ_Meth_max[[#This Row],[Vergleich_ub]]-dict_DQ_Meth_max[[#This Row],[Vergleich_lb]])+dict_DQ_Meth_max[[#This Row],[Vergleich_lb]]</f>
        <v>4862.6205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0.14099999999999999</v>
      </c>
      <c r="M565" s="10">
        <f ca="1">VLOOKUP(dict_DQ_Meth_max[[#This Row],[ID_DataQualities]],table_DataQualities[],9,FALSE)</f>
        <v>9725.1</v>
      </c>
    </row>
    <row r="566" spans="1:13" x14ac:dyDescent="0.45">
      <c r="A566" s="10">
        <v>151</v>
      </c>
      <c r="B566" s="10">
        <v>301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0.79200000000000004</v>
      </c>
      <c r="G566" s="12">
        <f ca="1">(RANDBETWEEN(50,100)/100)*(dict_DQ_Meth_max[[#This Row],[Vergleich_ub]]-dict_DQ_Meth_max[[#This Row],[Vergleich_lb]])+dict_DQ_Meth_max[[#This Row],[Vergleich_lb]]</f>
        <v>0.94</v>
      </c>
      <c r="H566" s="11" t="str">
        <f ca="1">VLOOKUP(VLOOKUP(dict_DQ_Meth_max[[#This Row],[ID_DataQualities]],table_DataQualities[],3),table_Units[],2)</f>
        <v>+/- °C</v>
      </c>
      <c r="I566" s="10"/>
      <c r="J566" s="10"/>
      <c r="K566" s="10"/>
      <c r="L566" s="10">
        <f ca="1">VLOOKUP(dict_DQ_Meth_max[[#This Row],[ID_DataQualities]],table_DataQualities[],8,FALSE)</f>
        <v>0.6</v>
      </c>
      <c r="M566" s="10">
        <f ca="1">VLOOKUP(dict_DQ_Meth_max[[#This Row],[ID_DataQualities]],table_DataQualities[],9,FALSE)</f>
        <v>1</v>
      </c>
    </row>
    <row r="567" spans="1:13" x14ac:dyDescent="0.45">
      <c r="A567" s="10">
        <v>151</v>
      </c>
      <c r="B567" s="10">
        <v>51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0.68399999999999994</v>
      </c>
      <c r="G567" s="12">
        <f ca="1">(RANDBETWEEN(50,100)/100)*(dict_DQ_Meth_max[[#This Row],[Vergleich_ub]]-dict_DQ_Meth_max[[#This Row],[Vergleich_lb]])+dict_DQ_Meth_max[[#This Row],[Vergleich_lb]]</f>
        <v>0.87599999999999989</v>
      </c>
      <c r="H567" s="11" t="str">
        <f ca="1">VLOOKUP(VLOOKUP(dict_DQ_Meth_max[[#This Row],[ID_DataQualities]],table_DataQualities[],3),table_Units[],2)</f>
        <v>+/- °C</v>
      </c>
      <c r="I567" s="10"/>
      <c r="J567" s="10"/>
      <c r="K567" s="10"/>
      <c r="L567" s="10">
        <f ca="1">VLOOKUP(dict_DQ_Meth_max[[#This Row],[ID_DataQualities]],table_DataQualities[],8,FALSE)</f>
        <v>0.6</v>
      </c>
      <c r="M567" s="10">
        <f ca="1">VLOOKUP(dict_DQ_Meth_max[[#This Row],[ID_DataQualities]],table_DataQualities[],9,FALSE)</f>
        <v>1</v>
      </c>
    </row>
    <row r="568" spans="1:13" x14ac:dyDescent="0.45">
      <c r="A568" s="10">
        <v>151</v>
      </c>
      <c r="B568" s="10">
        <v>2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0.72</v>
      </c>
      <c r="G568" s="12">
        <f ca="1">(RANDBETWEEN(50,100)/100)*(dict_DQ_Meth_max[[#This Row],[Vergleich_ub]]-dict_DQ_Meth_max[[#This Row],[Vergleich_lb]])+dict_DQ_Meth_max[[#This Row],[Vergleich_lb]]</f>
        <v>0.96</v>
      </c>
      <c r="H568" s="11" t="str">
        <f ca="1">VLOOKUP(VLOOKUP(dict_DQ_Meth_max[[#This Row],[ID_DataQualities]],table_DataQualities[],3),table_Units[],2)</f>
        <v>+/- °C</v>
      </c>
      <c r="I568" s="10"/>
      <c r="J568" s="10"/>
      <c r="K568" s="10"/>
      <c r="L568" s="10">
        <f ca="1">VLOOKUP(dict_DQ_Meth_max[[#This Row],[ID_DataQualities]],table_DataQualities[],8,FALSE)</f>
        <v>0.6</v>
      </c>
      <c r="M568" s="10">
        <f ca="1">VLOOKUP(dict_DQ_Meth_max[[#This Row],[ID_DataQualities]],table_DataQualities[],9,FALSE)</f>
        <v>1</v>
      </c>
    </row>
    <row r="569" spans="1:13" x14ac:dyDescent="0.45">
      <c r="A569" s="10">
        <v>151</v>
      </c>
      <c r="B569" s="10">
        <v>398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0.70799999999999996</v>
      </c>
      <c r="G569" s="12">
        <f ca="1">(RANDBETWEEN(50,100)/100)*(dict_DQ_Meth_max[[#This Row],[Vergleich_ub]]-dict_DQ_Meth_max[[#This Row],[Vergleich_lb]])+dict_DQ_Meth_max[[#This Row],[Vergleich_lb]]</f>
        <v>0.92</v>
      </c>
      <c r="H569" s="11" t="str">
        <f ca="1">VLOOKUP(VLOOKUP(dict_DQ_Meth_max[[#This Row],[ID_DataQualities]],table_DataQualities[],3),table_Units[],2)</f>
        <v>+/- °C</v>
      </c>
      <c r="I569" s="10"/>
      <c r="J569" s="10"/>
      <c r="K569" s="10"/>
      <c r="L569" s="10">
        <f ca="1">VLOOKUP(dict_DQ_Meth_max[[#This Row],[ID_DataQualities]],table_DataQualities[],8,FALSE)</f>
        <v>0.6</v>
      </c>
      <c r="M569" s="10">
        <f ca="1">VLOOKUP(dict_DQ_Meth_max[[#This Row],[ID_DataQualities]],table_DataQualities[],9,FALSE)</f>
        <v>1</v>
      </c>
    </row>
    <row r="570" spans="1:13" x14ac:dyDescent="0.45">
      <c r="A570" s="10">
        <v>152</v>
      </c>
      <c r="B570" s="10">
        <v>205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3053.9694</v>
      </c>
      <c r="G570" s="12">
        <f ca="1">(RANDBETWEEN(50,100)/100)*(dict_DQ_Meth_max[[#This Row],[Vergleich_ub]]-dict_DQ_Meth_max[[#This Row],[Vergleich_lb]])+dict_DQ_Meth_max[[#This Row],[Vergleich_lb]]</f>
        <v>4003.9662799999996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0.40799999999999997</v>
      </c>
      <c r="M570" s="10">
        <f ca="1">VLOOKUP(dict_DQ_Meth_max[[#This Row],[ID_DataQualities]],table_DataQualities[],9,FALSE)</f>
        <v>6786.1</v>
      </c>
    </row>
    <row r="571" spans="1:13" x14ac:dyDescent="0.45">
      <c r="A571" s="10">
        <v>152</v>
      </c>
      <c r="B571" s="10">
        <v>234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475.40644000000009</v>
      </c>
      <c r="G571" s="12">
        <f ca="1">(RANDBETWEEN(50,100)/100)*(dict_DQ_Meth_max[[#This Row],[Vergleich_ub]]-dict_DQ_Meth_max[[#This Row],[Vergleich_lb]])+dict_DQ_Meth_max[[#This Row],[Vergleich_lb]]</f>
        <v>6243.2446400000008</v>
      </c>
      <c r="H571" s="11" t="str">
        <f ca="1">VLOOKUP(VLOOKUP(dict_DQ_Meth_max[[#This Row],[ID_DataQualities]],table_DataQualities[],3),table_Units[],2)</f>
        <v>Hz</v>
      </c>
      <c r="I571" s="10"/>
      <c r="J571" s="10"/>
      <c r="K571" s="10"/>
      <c r="L571" s="10">
        <f ca="1">VLOOKUP(dict_DQ_Meth_max[[#This Row],[ID_DataQualities]],table_DataQualities[],8,FALSE)</f>
        <v>0.40799999999999997</v>
      </c>
      <c r="M571" s="10">
        <f ca="1">VLOOKUP(dict_DQ_Meth_max[[#This Row],[ID_DataQualities]],table_DataQualities[],9,FALSE)</f>
        <v>6786.1</v>
      </c>
    </row>
    <row r="572" spans="1:13" x14ac:dyDescent="0.45">
      <c r="A572" s="10">
        <v>152</v>
      </c>
      <c r="B572" s="10">
        <v>506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203.97875999999997</v>
      </c>
      <c r="G572" s="12">
        <f ca="1">(RANDBETWEEN(50,100)/100)*(dict_DQ_Meth_max[[#This Row],[Vergleich_ub]]-dict_DQ_Meth_max[[#This Row],[Vergleich_lb]])+dict_DQ_Meth_max[[#This Row],[Vergleich_lb]]</f>
        <v>6650.38616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0.40799999999999997</v>
      </c>
      <c r="M572" s="10">
        <f ca="1">VLOOKUP(dict_DQ_Meth_max[[#This Row],[ID_DataQualities]],table_DataQualities[],9,FALSE)</f>
        <v>6786.1</v>
      </c>
    </row>
    <row r="573" spans="1:13" x14ac:dyDescent="0.45">
      <c r="A573" s="10">
        <v>152</v>
      </c>
      <c r="B573" s="10">
        <v>95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1289.68948</v>
      </c>
      <c r="G573" s="12">
        <f ca="1">(RANDBETWEEN(50,100)/100)*(dict_DQ_Meth_max[[#This Row],[Vergleich_ub]]-dict_DQ_Meth_max[[#This Row],[Vergleich_lb]])+dict_DQ_Meth_max[[#This Row],[Vergleich_lb]]</f>
        <v>6446.8154000000004</v>
      </c>
      <c r="H573" s="11" t="str">
        <f ca="1">VLOOKUP(VLOOKUP(dict_DQ_Meth_max[[#This Row],[ID_DataQualities]],table_DataQualities[],3),table_Units[],2)</f>
        <v>Hz</v>
      </c>
      <c r="I573" s="10"/>
      <c r="J573" s="10"/>
      <c r="K573" s="10"/>
      <c r="L573" s="10">
        <f ca="1">VLOOKUP(dict_DQ_Meth_max[[#This Row],[ID_DataQualities]],table_DataQualities[],8,FALSE)</f>
        <v>0.40799999999999997</v>
      </c>
      <c r="M573" s="10">
        <f ca="1">VLOOKUP(dict_DQ_Meth_max[[#This Row],[ID_DataQualities]],table_DataQualities[],9,FALSE)</f>
        <v>6786.1</v>
      </c>
    </row>
    <row r="574" spans="1:13" x14ac:dyDescent="0.45">
      <c r="A574" s="10">
        <v>153</v>
      </c>
      <c r="B574" s="10">
        <v>95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1.3399999999999999</v>
      </c>
      <c r="G574" s="12">
        <f ca="1">(RANDBETWEEN(50,100)/100)*(dict_DQ_Meth_max[[#This Row],[Vergleich_ub]]-dict_DQ_Meth_max[[#This Row],[Vergleich_lb]])+dict_DQ_Meth_max[[#This Row],[Vergleich_lb]]</f>
        <v>3.16</v>
      </c>
      <c r="H574" s="11" t="str">
        <f ca="1">VLOOKUP(VLOOKUP(dict_DQ_Meth_max[[#This Row],[ID_DataQualities]],table_DataQualities[],3),table_Units[],2)</f>
        <v>+/- °C</v>
      </c>
      <c r="I574" s="10"/>
      <c r="J574" s="10"/>
      <c r="K574" s="10"/>
      <c r="L574" s="10">
        <f ca="1">VLOOKUP(dict_DQ_Meth_max[[#This Row],[ID_DataQualities]],table_DataQualities[],8,FALSE)</f>
        <v>0.5</v>
      </c>
      <c r="M574" s="10">
        <f ca="1">VLOOKUP(dict_DQ_Meth_max[[#This Row],[ID_DataQualities]],table_DataQualities[],9,FALSE)</f>
        <v>4</v>
      </c>
    </row>
    <row r="575" spans="1:13" x14ac:dyDescent="0.45">
      <c r="A575" s="10">
        <v>153</v>
      </c>
      <c r="B575" s="10">
        <v>506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1.655</v>
      </c>
      <c r="G575" s="12">
        <f ca="1">(RANDBETWEEN(50,100)/100)*(dict_DQ_Meth_max[[#This Row],[Vergleich_ub]]-dict_DQ_Meth_max[[#This Row],[Vergleich_lb]])+dict_DQ_Meth_max[[#This Row],[Vergleich_lb]]</f>
        <v>3.58</v>
      </c>
      <c r="H575" s="11" t="str">
        <f ca="1">VLOOKUP(VLOOKUP(dict_DQ_Meth_max[[#This Row],[ID_DataQualities]],table_DataQualities[],3),table_Units[],2)</f>
        <v>+/- °C</v>
      </c>
      <c r="I575" s="10"/>
      <c r="J575" s="10"/>
      <c r="K575" s="10"/>
      <c r="L575" s="10">
        <f ca="1">VLOOKUP(dict_DQ_Meth_max[[#This Row],[ID_DataQualities]],table_DataQualities[],8,FALSE)</f>
        <v>0.5</v>
      </c>
      <c r="M575" s="10">
        <f ca="1">VLOOKUP(dict_DQ_Meth_max[[#This Row],[ID_DataQualities]],table_DataQualities[],9,FALSE)</f>
        <v>4</v>
      </c>
    </row>
    <row r="576" spans="1:13" x14ac:dyDescent="0.45">
      <c r="A576" s="10">
        <v>153</v>
      </c>
      <c r="B576" s="10">
        <v>205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0.81499999999999995</v>
      </c>
      <c r="G576" s="12">
        <f ca="1">(RANDBETWEEN(50,100)/100)*(dict_DQ_Meth_max[[#This Row],[Vergleich_ub]]-dict_DQ_Meth_max[[#This Row],[Vergleich_lb]])+dict_DQ_Meth_max[[#This Row],[Vergleich_lb]]</f>
        <v>3.335</v>
      </c>
      <c r="H576" s="11" t="str">
        <f ca="1">VLOOKUP(VLOOKUP(dict_DQ_Meth_max[[#This Row],[ID_DataQualities]],table_DataQualities[],3),table_Units[],2)</f>
        <v>+/- °C</v>
      </c>
      <c r="I576" s="10"/>
      <c r="J576" s="10"/>
      <c r="K576" s="10"/>
      <c r="L576" s="10">
        <f ca="1">VLOOKUP(dict_DQ_Meth_max[[#This Row],[ID_DataQualities]],table_DataQualities[],8,FALSE)</f>
        <v>0.5</v>
      </c>
      <c r="M576" s="10">
        <f ca="1">VLOOKUP(dict_DQ_Meth_max[[#This Row],[ID_DataQualities]],table_DataQualities[],9,FALSE)</f>
        <v>4</v>
      </c>
    </row>
    <row r="577" spans="1:13" x14ac:dyDescent="0.45">
      <c r="A577" s="10">
        <v>153</v>
      </c>
      <c r="B577" s="10">
        <v>234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2.2149999999999999</v>
      </c>
      <c r="G577" s="12">
        <f ca="1">(RANDBETWEEN(50,100)/100)*(dict_DQ_Meth_max[[#This Row],[Vergleich_ub]]-dict_DQ_Meth_max[[#This Row],[Vergleich_lb]])+dict_DQ_Meth_max[[#This Row],[Vergleich_lb]]</f>
        <v>3.6850000000000001</v>
      </c>
      <c r="H577" s="11" t="str">
        <f ca="1">VLOOKUP(VLOOKUP(dict_DQ_Meth_max[[#This Row],[ID_DataQualities]],table_DataQualities[],3),table_Units[],2)</f>
        <v>+/- °C</v>
      </c>
      <c r="I577" s="10"/>
      <c r="J577" s="10"/>
      <c r="K577" s="10"/>
      <c r="L577" s="10">
        <f ca="1">VLOOKUP(dict_DQ_Meth_max[[#This Row],[ID_DataQualities]],table_DataQualities[],8,FALSE)</f>
        <v>0.5</v>
      </c>
      <c r="M577" s="10">
        <f ca="1">VLOOKUP(dict_DQ_Meth_max[[#This Row],[ID_DataQualities]],table_DataQualities[],9,FALSE)</f>
        <v>4</v>
      </c>
    </row>
    <row r="578" spans="1:13" x14ac:dyDescent="0.45">
      <c r="A578" s="10">
        <v>154</v>
      </c>
      <c r="B578" s="10">
        <v>613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2034.7236</v>
      </c>
      <c r="G578" s="12">
        <f ca="1">(RANDBETWEEN(50,100)/100)*(dict_DQ_Meth_max[[#This Row],[Vergleich_ub]]-dict_DQ_Meth_max[[#This Row],[Vergleich_lb]])+dict_DQ_Meth_max[[#This Row],[Vergleich_lb]]</f>
        <v>4069.0412000000001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0.40600000000000003</v>
      </c>
      <c r="M578" s="10">
        <f ca="1">VLOOKUP(dict_DQ_Meth_max[[#This Row],[ID_DataQualities]],table_DataQualities[],9,FALSE)</f>
        <v>5086.2</v>
      </c>
    </row>
    <row r="579" spans="1:13" x14ac:dyDescent="0.45">
      <c r="A579" s="10">
        <v>154</v>
      </c>
      <c r="B579" s="10">
        <v>574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1526.1442</v>
      </c>
      <c r="G579" s="12">
        <f ca="1">(RANDBETWEEN(50,100)/100)*(dict_DQ_Meth_max[[#This Row],[Vergleich_ub]]-dict_DQ_Meth_max[[#This Row],[Vergleich_lb]])+dict_DQ_Meth_max[[#This Row],[Vergleich_lb]]</f>
        <v>5035.3420599999999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0.40600000000000003</v>
      </c>
      <c r="M579" s="10">
        <f ca="1">VLOOKUP(dict_DQ_Meth_max[[#This Row],[ID_DataQualities]],table_DataQualities[],9,FALSE)</f>
        <v>5086.2</v>
      </c>
    </row>
    <row r="580" spans="1:13" x14ac:dyDescent="0.45">
      <c r="A580" s="10">
        <v>154</v>
      </c>
      <c r="B580" s="10">
        <v>5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1882.14978</v>
      </c>
      <c r="G580" s="12">
        <f ca="1">(RANDBETWEEN(50,100)/100)*(dict_DQ_Meth_max[[#This Row],[Vergleich_ub]]-dict_DQ_Meth_max[[#This Row],[Vergleich_lb]])+dict_DQ_Meth_max[[#This Row],[Vergleich_lb]]</f>
        <v>4018.1832600000002</v>
      </c>
      <c r="H580" s="11" t="str">
        <f ca="1">VLOOKUP(VLOOKUP(dict_DQ_Meth_max[[#This Row],[ID_DataQualities]],table_DataQualities[],3),table_Units[],2)</f>
        <v>Hz</v>
      </c>
      <c r="I580" s="10"/>
      <c r="J580" s="10"/>
      <c r="K580" s="10"/>
      <c r="L580" s="10">
        <f ca="1">VLOOKUP(dict_DQ_Meth_max[[#This Row],[ID_DataQualities]],table_DataQualities[],8,FALSE)</f>
        <v>0.40600000000000003</v>
      </c>
      <c r="M580" s="10">
        <f ca="1">VLOOKUP(dict_DQ_Meth_max[[#This Row],[ID_DataQualities]],table_DataQualities[],9,FALSE)</f>
        <v>5086.2</v>
      </c>
    </row>
    <row r="581" spans="1:13" x14ac:dyDescent="0.45">
      <c r="A581" s="10">
        <v>154</v>
      </c>
      <c r="B581" s="10">
        <v>149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610.70127999999988</v>
      </c>
      <c r="G581" s="12">
        <f ca="1">(RANDBETWEEN(50,100)/100)*(dict_DQ_Meth_max[[#This Row],[Vergleich_ub]]-dict_DQ_Meth_max[[#This Row],[Vergleich_lb]])+dict_DQ_Meth_max[[#This Row],[Vergleich_lb]]</f>
        <v>4933.6261799999993</v>
      </c>
      <c r="H581" s="11" t="str">
        <f ca="1">VLOOKUP(VLOOKUP(dict_DQ_Meth_max[[#This Row],[ID_DataQualities]],table_DataQualities[],3),table_Units[],2)</f>
        <v>Hz</v>
      </c>
      <c r="I581" s="10"/>
      <c r="J581" s="10"/>
      <c r="K581" s="10"/>
      <c r="L581" s="10">
        <f ca="1">VLOOKUP(dict_DQ_Meth_max[[#This Row],[ID_DataQualities]],table_DataQualities[],8,FALSE)</f>
        <v>0.40600000000000003</v>
      </c>
      <c r="M581" s="10">
        <f ca="1">VLOOKUP(dict_DQ_Meth_max[[#This Row],[ID_DataQualities]],table_DataQualities[],9,FALSE)</f>
        <v>5086.2</v>
      </c>
    </row>
    <row r="582" spans="1:13" x14ac:dyDescent="0.45">
      <c r="A582" s="10">
        <v>155</v>
      </c>
      <c r="B582" s="10">
        <v>613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2.7054</v>
      </c>
      <c r="G582" s="12">
        <f ca="1">(RANDBETWEEN(50,100)/100)*(dict_DQ_Meth_max[[#This Row],[Vergleich_ub]]-dict_DQ_Meth_max[[#This Row],[Vergleich_lb]])+dict_DQ_Meth_max[[#This Row],[Vergleich_lb]]</f>
        <v>4.9649999999999999</v>
      </c>
      <c r="H582" s="11" t="str">
        <f ca="1">VLOOKUP(VLOOKUP(dict_DQ_Meth_max[[#This Row],[ID_DataQualities]],table_DataQualities[],3),table_Units[],2)</f>
        <v>+/- mm/s</v>
      </c>
      <c r="I582" s="10"/>
      <c r="J582" s="10"/>
      <c r="K582" s="10"/>
      <c r="L582" s="10">
        <f ca="1">VLOOKUP(dict_DQ_Meth_max[[#This Row],[ID_DataQualities]],table_DataQualities[],8,FALSE)</f>
        <v>0.93</v>
      </c>
      <c r="M582" s="10">
        <f ca="1">VLOOKUP(dict_DQ_Meth_max[[#This Row],[ID_DataQualities]],table_DataQualities[],9,FALSE)</f>
        <v>9</v>
      </c>
    </row>
    <row r="583" spans="1:13" x14ac:dyDescent="0.45">
      <c r="A583" s="10">
        <v>155</v>
      </c>
      <c r="B583" s="10">
        <v>149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2.4633000000000003</v>
      </c>
      <c r="G583" s="12">
        <f ca="1">(RANDBETWEEN(50,100)/100)*(dict_DQ_Meth_max[[#This Row],[Vergleich_ub]]-dict_DQ_Meth_max[[#This Row],[Vergleich_lb]])+dict_DQ_Meth_max[[#This Row],[Vergleich_lb]]</f>
        <v>7.3860000000000001</v>
      </c>
      <c r="H583" s="11" t="str">
        <f ca="1">VLOOKUP(VLOOKUP(dict_DQ_Meth_max[[#This Row],[ID_DataQualities]],table_DataQualities[],3),table_Units[],2)</f>
        <v>+/- mm/s</v>
      </c>
      <c r="I583" s="10"/>
      <c r="J583" s="10"/>
      <c r="K583" s="10"/>
      <c r="L583" s="10">
        <f ca="1">VLOOKUP(dict_DQ_Meth_max[[#This Row],[ID_DataQualities]],table_DataQualities[],8,FALSE)</f>
        <v>0.93</v>
      </c>
      <c r="M583" s="10">
        <f ca="1">VLOOKUP(dict_DQ_Meth_max[[#This Row],[ID_DataQualities]],table_DataQualities[],9,FALSE)</f>
        <v>9</v>
      </c>
    </row>
    <row r="584" spans="1:13" x14ac:dyDescent="0.45">
      <c r="A584" s="10">
        <v>155</v>
      </c>
      <c r="B584" s="10">
        <v>5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4.7229000000000001</v>
      </c>
      <c r="G584" s="12">
        <f ca="1">(RANDBETWEEN(50,100)/100)*(dict_DQ_Meth_max[[#This Row],[Vergleich_ub]]-dict_DQ_Meth_max[[#This Row],[Vergleich_lb]])+dict_DQ_Meth_max[[#This Row],[Vergleich_lb]]</f>
        <v>5.1264000000000003</v>
      </c>
      <c r="H584" s="11" t="str">
        <f ca="1">VLOOKUP(VLOOKUP(dict_DQ_Meth_max[[#This Row],[ID_DataQualities]],table_DataQualities[],3),table_Units[],2)</f>
        <v>+/- mm/s</v>
      </c>
      <c r="I584" s="10"/>
      <c r="J584" s="10"/>
      <c r="K584" s="10"/>
      <c r="L584" s="10">
        <f ca="1">VLOOKUP(dict_DQ_Meth_max[[#This Row],[ID_DataQualities]],table_DataQualities[],8,FALSE)</f>
        <v>0.93</v>
      </c>
      <c r="M584" s="10">
        <f ca="1">VLOOKUP(dict_DQ_Meth_max[[#This Row],[ID_DataQualities]],table_DataQualities[],9,FALSE)</f>
        <v>9</v>
      </c>
    </row>
    <row r="585" spans="1:13" x14ac:dyDescent="0.45">
      <c r="A585" s="10">
        <v>155</v>
      </c>
      <c r="B585" s="10">
        <v>574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4.2386999999999997</v>
      </c>
      <c r="G585" s="12">
        <f ca="1">(RANDBETWEEN(50,100)/100)*(dict_DQ_Meth_max[[#This Row],[Vergleich_ub]]-dict_DQ_Meth_max[[#This Row],[Vergleich_lb]])+dict_DQ_Meth_max[[#This Row],[Vergleich_lb]]</f>
        <v>8.7578999999999994</v>
      </c>
      <c r="H585" s="11" t="str">
        <f ca="1">VLOOKUP(VLOOKUP(dict_DQ_Meth_max[[#This Row],[ID_DataQualities]],table_DataQualities[],3),table_Units[],2)</f>
        <v>+/- mm/s</v>
      </c>
      <c r="I585" s="10"/>
      <c r="J585" s="10"/>
      <c r="K585" s="10"/>
      <c r="L585" s="10">
        <f ca="1">VLOOKUP(dict_DQ_Meth_max[[#This Row],[ID_DataQualities]],table_DataQualities[],8,FALSE)</f>
        <v>0.93</v>
      </c>
      <c r="M585" s="10">
        <f ca="1">VLOOKUP(dict_DQ_Meth_max[[#This Row],[ID_DataQualities]],table_DataQualities[],9,FALSE)</f>
        <v>9</v>
      </c>
    </row>
    <row r="586" spans="1:13" x14ac:dyDescent="0.45">
      <c r="A586" s="10">
        <v>156</v>
      </c>
      <c r="B586" s="10">
        <v>669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265.44665000000003</v>
      </c>
      <c r="G586" s="12">
        <f ca="1">(RANDBETWEEN(50,100)/100)*(dict_DQ_Meth_max[[#This Row],[Vergleich_ub]]-dict_DQ_Meth_max[[#This Row],[Vergleich_lb]])+dict_DQ_Meth_max[[#This Row],[Vergleich_lb]]</f>
        <v>1128.8183500000002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0.86499999999999999</v>
      </c>
      <c r="M586" s="10">
        <f ca="1">VLOOKUP(dict_DQ_Meth_max[[#This Row],[ID_DataQualities]],table_DataQualities[],9,FALSE)</f>
        <v>1393.4</v>
      </c>
    </row>
    <row r="587" spans="1:13" x14ac:dyDescent="0.45">
      <c r="A587" s="10">
        <v>156</v>
      </c>
      <c r="B587" s="10">
        <v>615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390.77480000000008</v>
      </c>
      <c r="G587" s="12">
        <f ca="1">(RANDBETWEEN(50,100)/100)*(dict_DQ_Meth_max[[#This Row],[Vergleich_ub]]-dict_DQ_Meth_max[[#This Row],[Vergleich_lb]])+dict_DQ_Meth_max[[#This Row],[Vergleich_lb]]</f>
        <v>1031.3409000000001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0.86499999999999999</v>
      </c>
      <c r="M587" s="10">
        <f ca="1">VLOOKUP(dict_DQ_Meth_max[[#This Row],[ID_DataQualities]],table_DataQualities[],9,FALSE)</f>
        <v>1393.4</v>
      </c>
    </row>
    <row r="588" spans="1:13" x14ac:dyDescent="0.45">
      <c r="A588" s="10">
        <v>157</v>
      </c>
      <c r="B588" s="10">
        <v>615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0.48</v>
      </c>
      <c r="G588" s="12">
        <f ca="1">(RANDBETWEEN(50,100)/100)*(dict_DQ_Meth_max[[#This Row],[Vergleich_ub]]-dict_DQ_Meth_max[[#This Row],[Vergleich_lb]])+dict_DQ_Meth_max[[#This Row],[Vergleich_lb]]</f>
        <v>1.0880000000000001</v>
      </c>
      <c r="H588" s="11" t="str">
        <f ca="1">VLOOKUP(VLOOKUP(dict_DQ_Meth_max[[#This Row],[ID_DataQualities]],table_DataQualities[],3),table_Units[],2)</f>
        <v>+/- °C</v>
      </c>
      <c r="I588" s="10"/>
      <c r="J588" s="10"/>
      <c r="K588" s="10"/>
      <c r="L588" s="10">
        <f ca="1">VLOOKUP(dict_DQ_Meth_max[[#This Row],[ID_DataQualities]],table_DataQualities[],8,FALSE)</f>
        <v>0.1</v>
      </c>
      <c r="M588" s="10">
        <f ca="1">VLOOKUP(dict_DQ_Meth_max[[#This Row],[ID_DataQualities]],table_DataQualities[],9,FALSE)</f>
        <v>2</v>
      </c>
    </row>
    <row r="589" spans="1:13" x14ac:dyDescent="0.45">
      <c r="A589" s="10">
        <v>157</v>
      </c>
      <c r="B589" s="10">
        <v>669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0.91699999999999993</v>
      </c>
      <c r="G589" s="12">
        <f ca="1">(RANDBETWEEN(50,100)/100)*(dict_DQ_Meth_max[[#This Row],[Vergleich_ub]]-dict_DQ_Meth_max[[#This Row],[Vergleich_lb]])+dict_DQ_Meth_max[[#This Row],[Vergleich_lb]]</f>
        <v>1.411</v>
      </c>
      <c r="H589" s="11" t="str">
        <f ca="1">VLOOKUP(VLOOKUP(dict_DQ_Meth_max[[#This Row],[ID_DataQualities]],table_DataQualities[],3),table_Units[],2)</f>
        <v>+/- °C</v>
      </c>
      <c r="I589" s="10"/>
      <c r="J589" s="10"/>
      <c r="K589" s="10"/>
      <c r="L589" s="10">
        <f ca="1">VLOOKUP(dict_DQ_Meth_max[[#This Row],[ID_DataQualities]],table_DataQualities[],8,FALSE)</f>
        <v>0.1</v>
      </c>
      <c r="M589" s="10">
        <f ca="1">VLOOKUP(dict_DQ_Meth_max[[#This Row],[ID_DataQualities]],table_DataQualities[],9,FALSE)</f>
        <v>2</v>
      </c>
    </row>
    <row r="590" spans="1:13" x14ac:dyDescent="0.45">
      <c r="A590" s="10">
        <v>158</v>
      </c>
      <c r="B590" s="10">
        <v>165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3918.9056699999996</v>
      </c>
      <c r="G590" s="12">
        <f ca="1">(RANDBETWEEN(50,100)/100)*(dict_DQ_Meth_max[[#This Row],[Vergleich_ub]]-dict_DQ_Meth_max[[#This Row],[Vergleich_lb]])+dict_DQ_Meth_max[[#This Row],[Vergleich_lb]]</f>
        <v>8474.6901699999999</v>
      </c>
      <c r="H590" s="11" t="str">
        <f ca="1">VLOOKUP(VLOOKUP(dict_DQ_Meth_max[[#This Row],[ID_DataQualities]],table_DataQualities[],3),table_Units[],2)</f>
        <v>Hz</v>
      </c>
      <c r="I590" s="10"/>
      <c r="J590" s="10"/>
      <c r="K590" s="10"/>
      <c r="L590" s="10">
        <f ca="1">VLOOKUP(dict_DQ_Meth_max[[#This Row],[ID_DataQualities]],table_DataQualities[],8,FALSE)</f>
        <v>0.93100000000000005</v>
      </c>
      <c r="M590" s="10">
        <f ca="1">VLOOKUP(dict_DQ_Meth_max[[#This Row],[ID_DataQualities]],table_DataQualities[],9,FALSE)</f>
        <v>9112.5</v>
      </c>
    </row>
    <row r="591" spans="1:13" x14ac:dyDescent="0.45">
      <c r="A591" s="10">
        <v>158</v>
      </c>
      <c r="B591" s="10">
        <v>225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4374.4841199999992</v>
      </c>
      <c r="G591" s="12">
        <f ca="1">(RANDBETWEEN(50,100)/100)*(dict_DQ_Meth_max[[#This Row],[Vergleich_ub]]-dict_DQ_Meth_max[[#This Row],[Vergleich_lb]])+dict_DQ_Meth_max[[#This Row],[Vergleich_lb]]</f>
        <v>9112.5</v>
      </c>
      <c r="H591" s="11" t="str">
        <f ca="1">VLOOKUP(VLOOKUP(dict_DQ_Meth_max[[#This Row],[ID_DataQualities]],table_DataQualities[],3),table_Units[],2)</f>
        <v>Hz</v>
      </c>
      <c r="I591" s="10"/>
      <c r="J591" s="10"/>
      <c r="K591" s="10"/>
      <c r="L591" s="10">
        <f ca="1">VLOOKUP(dict_DQ_Meth_max[[#This Row],[ID_DataQualities]],table_DataQualities[],8,FALSE)</f>
        <v>0.93100000000000005</v>
      </c>
      <c r="M591" s="10">
        <f ca="1">VLOOKUP(dict_DQ_Meth_max[[#This Row],[ID_DataQualities]],table_DataQualities[],9,FALSE)</f>
        <v>9112.5</v>
      </c>
    </row>
    <row r="592" spans="1:13" x14ac:dyDescent="0.45">
      <c r="A592" s="10">
        <v>158</v>
      </c>
      <c r="B592" s="10">
        <v>475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92.046689999999998</v>
      </c>
      <c r="G592" s="12">
        <f ca="1">(RANDBETWEEN(50,100)/100)*(dict_DQ_Meth_max[[#This Row],[Vergleich_ub]]-dict_DQ_Meth_max[[#This Row],[Vergleich_lb]])+dict_DQ_Meth_max[[#This Row],[Vergleich_lb]]</f>
        <v>4556.7154999999993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0.93100000000000005</v>
      </c>
      <c r="M592" s="10">
        <f ca="1">VLOOKUP(dict_DQ_Meth_max[[#This Row],[ID_DataQualities]],table_DataQualities[],9,FALSE)</f>
        <v>9112.5</v>
      </c>
    </row>
    <row r="593" spans="1:13" x14ac:dyDescent="0.45">
      <c r="A593" s="10">
        <v>158</v>
      </c>
      <c r="B593" s="10">
        <v>57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1549.8977300000001</v>
      </c>
      <c r="G593" s="12">
        <f ca="1">(RANDBETWEEN(50,100)/100)*(dict_DQ_Meth_max[[#This Row],[Vergleich_ub]]-dict_DQ_Meth_max[[#This Row],[Vergleich_lb]])+dict_DQ_Meth_max[[#This Row],[Vergleich_lb]]</f>
        <v>5741.2194699999991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0.93100000000000005</v>
      </c>
      <c r="M593" s="10">
        <f ca="1">VLOOKUP(dict_DQ_Meth_max[[#This Row],[ID_DataQualities]],table_DataQualities[],9,FALSE)</f>
        <v>9112.5</v>
      </c>
    </row>
    <row r="594" spans="1:13" x14ac:dyDescent="0.45">
      <c r="A594" s="10">
        <v>158</v>
      </c>
      <c r="B594" s="10">
        <v>312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1367.66635</v>
      </c>
      <c r="G594" s="12">
        <f ca="1">(RANDBETWEEN(50,100)/100)*(dict_DQ_Meth_max[[#This Row],[Vergleich_ub]]-dict_DQ_Meth_max[[#This Row],[Vergleich_lb]])+dict_DQ_Meth_max[[#This Row],[Vergleich_lb]]</f>
        <v>8930.2686200000007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0.93100000000000005</v>
      </c>
      <c r="M594" s="10">
        <f ca="1">VLOOKUP(dict_DQ_Meth_max[[#This Row],[ID_DataQualities]],table_DataQualities[],9,FALSE)</f>
        <v>9112.5</v>
      </c>
    </row>
    <row r="595" spans="1:13" x14ac:dyDescent="0.45">
      <c r="A595" s="10">
        <v>159</v>
      </c>
      <c r="B595" s="10">
        <v>57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0.72799999999999998</v>
      </c>
      <c r="G595" s="12">
        <f ca="1">(RANDBETWEEN(50,100)/100)*(dict_DQ_Meth_max[[#This Row],[Vergleich_ub]]-dict_DQ_Meth_max[[#This Row],[Vergleich_lb]])+dict_DQ_Meth_max[[#This Row],[Vergleich_lb]]</f>
        <v>7.3280000000000012</v>
      </c>
      <c r="H595" s="11" t="str">
        <f ca="1">VLOOKUP(VLOOKUP(dict_DQ_Meth_max[[#This Row],[ID_DataQualities]],table_DataQualities[],3),table_Units[],2)</f>
        <v>+/- °C</v>
      </c>
      <c r="I595" s="10"/>
      <c r="J595" s="10"/>
      <c r="K595" s="10"/>
      <c r="L595" s="10">
        <f ca="1">VLOOKUP(dict_DQ_Meth_max[[#This Row],[ID_DataQualities]],table_DataQualities[],8,FALSE)</f>
        <v>0.2</v>
      </c>
      <c r="M595" s="10">
        <f ca="1">VLOOKUP(dict_DQ_Meth_max[[#This Row],[ID_DataQualities]],table_DataQualities[],9,FALSE)</f>
        <v>9</v>
      </c>
    </row>
    <row r="596" spans="1:13" x14ac:dyDescent="0.45">
      <c r="A596" s="10">
        <v>159</v>
      </c>
      <c r="B596" s="10">
        <v>475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2.9280000000000004</v>
      </c>
      <c r="G596" s="12">
        <f ca="1">(RANDBETWEEN(50,100)/100)*(dict_DQ_Meth_max[[#This Row],[Vergleich_ub]]-dict_DQ_Meth_max[[#This Row],[Vergleich_lb]])+dict_DQ_Meth_max[[#This Row],[Vergleich_lb]]</f>
        <v>5.3040000000000003</v>
      </c>
      <c r="H596" s="11" t="str">
        <f ca="1">VLOOKUP(VLOOKUP(dict_DQ_Meth_max[[#This Row],[ID_DataQualities]],table_DataQualities[],3),table_Units[],2)</f>
        <v>+/- °C</v>
      </c>
      <c r="I596" s="10"/>
      <c r="J596" s="10"/>
      <c r="K596" s="10"/>
      <c r="L596" s="10">
        <f ca="1">VLOOKUP(dict_DQ_Meth_max[[#This Row],[ID_DataQualities]],table_DataQualities[],8,FALSE)</f>
        <v>0.2</v>
      </c>
      <c r="M596" s="10">
        <f ca="1">VLOOKUP(dict_DQ_Meth_max[[#This Row],[ID_DataQualities]],table_DataQualities[],9,FALSE)</f>
        <v>9</v>
      </c>
    </row>
    <row r="597" spans="1:13" x14ac:dyDescent="0.45">
      <c r="A597" s="10">
        <v>159</v>
      </c>
      <c r="B597" s="10">
        <v>225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3.5440000000000005</v>
      </c>
      <c r="G597" s="12">
        <f ca="1">(RANDBETWEEN(50,100)/100)*(dict_DQ_Meth_max[[#This Row],[Vergleich_ub]]-dict_DQ_Meth_max[[#This Row],[Vergleich_lb]])+dict_DQ_Meth_max[[#This Row],[Vergleich_lb]]</f>
        <v>6.1840000000000011</v>
      </c>
      <c r="H597" s="11" t="str">
        <f ca="1">VLOOKUP(VLOOKUP(dict_DQ_Meth_max[[#This Row],[ID_DataQualities]],table_DataQualities[],3),table_Units[],2)</f>
        <v>+/- °C</v>
      </c>
      <c r="I597" s="10"/>
      <c r="J597" s="10"/>
      <c r="K597" s="10"/>
      <c r="L597" s="10">
        <f ca="1">VLOOKUP(dict_DQ_Meth_max[[#This Row],[ID_DataQualities]],table_DataQualities[],8,FALSE)</f>
        <v>0.2</v>
      </c>
      <c r="M597" s="10">
        <f ca="1">VLOOKUP(dict_DQ_Meth_max[[#This Row],[ID_DataQualities]],table_DataQualities[],9,FALSE)</f>
        <v>9</v>
      </c>
    </row>
    <row r="598" spans="1:13" x14ac:dyDescent="0.45">
      <c r="A598" s="10">
        <v>159</v>
      </c>
      <c r="B598" s="10">
        <v>312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1.9600000000000002</v>
      </c>
      <c r="G598" s="12">
        <f ca="1">(RANDBETWEEN(50,100)/100)*(dict_DQ_Meth_max[[#This Row],[Vergleich_ub]]-dict_DQ_Meth_max[[#This Row],[Vergleich_lb]])+dict_DQ_Meth_max[[#This Row],[Vergleich_lb]]</f>
        <v>9</v>
      </c>
      <c r="H598" s="11" t="str">
        <f ca="1">VLOOKUP(VLOOKUP(dict_DQ_Meth_max[[#This Row],[ID_DataQualities]],table_DataQualities[],3),table_Units[],2)</f>
        <v>+/- °C</v>
      </c>
      <c r="I598" s="10"/>
      <c r="J598" s="10"/>
      <c r="K598" s="10"/>
      <c r="L598" s="10">
        <f ca="1">VLOOKUP(dict_DQ_Meth_max[[#This Row],[ID_DataQualities]],table_DataQualities[],8,FALSE)</f>
        <v>0.2</v>
      </c>
      <c r="M598" s="10">
        <f ca="1">VLOOKUP(dict_DQ_Meth_max[[#This Row],[ID_DataQualities]],table_DataQualities[],9,FALSE)</f>
        <v>9</v>
      </c>
    </row>
    <row r="599" spans="1:13" x14ac:dyDescent="0.45">
      <c r="A599" s="10">
        <v>159</v>
      </c>
      <c r="B599" s="10">
        <v>165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1.1680000000000001</v>
      </c>
      <c r="G599" s="12">
        <f ca="1">(RANDBETWEEN(50,100)/100)*(dict_DQ_Meth_max[[#This Row],[Vergleich_ub]]-dict_DQ_Meth_max[[#This Row],[Vergleich_lb]])+dict_DQ_Meth_max[[#This Row],[Vergleich_lb]]</f>
        <v>5.2160000000000002</v>
      </c>
      <c r="H599" s="11" t="str">
        <f ca="1">VLOOKUP(VLOOKUP(dict_DQ_Meth_max[[#This Row],[ID_DataQualities]],table_DataQualities[],3),table_Units[],2)</f>
        <v>+/- °C</v>
      </c>
      <c r="I599" s="10"/>
      <c r="J599" s="10"/>
      <c r="K599" s="10"/>
      <c r="L599" s="10">
        <f ca="1">VLOOKUP(dict_DQ_Meth_max[[#This Row],[ID_DataQualities]],table_DataQualities[],8,FALSE)</f>
        <v>0.2</v>
      </c>
      <c r="M599" s="10">
        <f ca="1">VLOOKUP(dict_DQ_Meth_max[[#This Row],[ID_DataQualities]],table_DataQualities[],9,FALSE)</f>
        <v>9</v>
      </c>
    </row>
    <row r="600" spans="1:13" x14ac:dyDescent="0.45">
      <c r="A600" s="10">
        <v>160</v>
      </c>
      <c r="B600" s="10">
        <v>298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1665.9359800000002</v>
      </c>
      <c r="G600" s="12">
        <f ca="1">(RANDBETWEEN(50,100)/100)*(dict_DQ_Meth_max[[#This Row],[Vergleich_ub]]-dict_DQ_Meth_max[[#This Row],[Vergleich_lb]])+dict_DQ_Meth_max[[#This Row],[Vergleich_lb]]</f>
        <v>3281.2979000000005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9.4E-2</v>
      </c>
      <c r="M600" s="10">
        <f ca="1">VLOOKUP(dict_DQ_Meth_max[[#This Row],[ID_DataQualities]],table_DataQualities[],9,FALSE)</f>
        <v>5048.1000000000004</v>
      </c>
    </row>
    <row r="601" spans="1:13" x14ac:dyDescent="0.45">
      <c r="A601" s="10">
        <v>160</v>
      </c>
      <c r="B601" s="10">
        <v>592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1262.0955000000001</v>
      </c>
      <c r="G601" s="12">
        <f ca="1">(RANDBETWEEN(50,100)/100)*(dict_DQ_Meth_max[[#This Row],[Vergleich_ub]]-dict_DQ_Meth_max[[#This Row],[Vergleich_lb]])+dict_DQ_Meth_max[[#This Row],[Vergleich_lb]]</f>
        <v>4492.81934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9.4E-2</v>
      </c>
      <c r="M601" s="10">
        <f ca="1">VLOOKUP(dict_DQ_Meth_max[[#This Row],[ID_DataQualities]],table_DataQualities[],9,FALSE)</f>
        <v>5048.1000000000004</v>
      </c>
    </row>
    <row r="602" spans="1:13" x14ac:dyDescent="0.45">
      <c r="A602" s="10">
        <v>160</v>
      </c>
      <c r="B602" s="10">
        <v>37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2473.6169400000003</v>
      </c>
      <c r="G602" s="12">
        <f ca="1">(RANDBETWEEN(50,100)/100)*(dict_DQ_Meth_max[[#This Row],[Vergleich_ub]]-dict_DQ_Meth_max[[#This Row],[Vergleich_lb]])+dict_DQ_Meth_max[[#This Row],[Vergleich_lb]]</f>
        <v>3331.7779600000003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9.4E-2</v>
      </c>
      <c r="M602" s="10">
        <f ca="1">VLOOKUP(dict_DQ_Meth_max[[#This Row],[ID_DataQualities]],table_DataQualities[],9,FALSE)</f>
        <v>5048.1000000000004</v>
      </c>
    </row>
    <row r="603" spans="1:13" x14ac:dyDescent="0.45">
      <c r="A603" s="10">
        <v>161</v>
      </c>
      <c r="B603" s="10">
        <v>37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2356.35</v>
      </c>
      <c r="G603" s="12">
        <f ca="1">(RANDBETWEEN(50,100)/100)*(dict_DQ_Meth_max[[#This Row],[Vergleich_ub]]-dict_DQ_Meth_max[[#This Row],[Vergleich_lb]])+dict_DQ_Meth_max[[#This Row],[Vergleich_lb]]</f>
        <v>4127.82</v>
      </c>
      <c r="H603" s="11" t="str">
        <f ca="1">VLOOKUP(VLOOKUP(dict_DQ_Meth_max[[#This Row],[ID_DataQualities]],table_DataQualities[],3),table_Units[],2)</f>
        <v>bit</v>
      </c>
      <c r="I603" s="10"/>
      <c r="J603" s="10"/>
      <c r="K603" s="10"/>
      <c r="L603" s="10">
        <f ca="1">VLOOKUP(dict_DQ_Meth_max[[#This Row],[ID_DataQualities]],table_DataQualities[],8,FALSE)</f>
        <v>60</v>
      </c>
      <c r="M603" s="10">
        <f ca="1">VLOOKUP(dict_DQ_Meth_max[[#This Row],[ID_DataQualities]],table_DataQualities[],9,FALSE)</f>
        <v>6621</v>
      </c>
    </row>
    <row r="604" spans="1:13" x14ac:dyDescent="0.45">
      <c r="A604" s="10">
        <v>161</v>
      </c>
      <c r="B604" s="10">
        <v>298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519.27</v>
      </c>
      <c r="G604" s="12">
        <f ca="1">(RANDBETWEEN(50,100)/100)*(dict_DQ_Meth_max[[#This Row],[Vergleich_ub]]-dict_DQ_Meth_max[[#This Row],[Vergleich_lb]])+dict_DQ_Meth_max[[#This Row],[Vergleich_lb]]</f>
        <v>4915.1400000000003</v>
      </c>
      <c r="H604" s="11" t="str">
        <f ca="1">VLOOKUP(VLOOKUP(dict_DQ_Meth_max[[#This Row],[ID_DataQualities]],table_DataQualities[],3),table_Units[],2)</f>
        <v>bit</v>
      </c>
      <c r="I604" s="10"/>
      <c r="J604" s="10"/>
      <c r="K604" s="10"/>
      <c r="L604" s="10">
        <f ca="1">VLOOKUP(dict_DQ_Meth_max[[#This Row],[ID_DataQualities]],table_DataQualities[],8,FALSE)</f>
        <v>60</v>
      </c>
      <c r="M604" s="10">
        <f ca="1">VLOOKUP(dict_DQ_Meth_max[[#This Row],[ID_DataQualities]],table_DataQualities[],9,FALSE)</f>
        <v>6621</v>
      </c>
    </row>
    <row r="605" spans="1:13" x14ac:dyDescent="0.45">
      <c r="A605" s="10">
        <v>161</v>
      </c>
      <c r="B605" s="10">
        <v>592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2750.0099999999998</v>
      </c>
      <c r="G605" s="12">
        <f ca="1">(RANDBETWEEN(50,100)/100)*(dict_DQ_Meth_max[[#This Row],[Vergleich_ub]]-dict_DQ_Meth_max[[#This Row],[Vergleich_lb]])+dict_DQ_Meth_max[[#This Row],[Vergleich_lb]]</f>
        <v>5374.4100000000008</v>
      </c>
      <c r="H605" s="11" t="str">
        <f ca="1">VLOOKUP(VLOOKUP(dict_DQ_Meth_max[[#This Row],[ID_DataQualities]],table_DataQualities[],3),table_Units[],2)</f>
        <v>bit</v>
      </c>
      <c r="I605" s="10"/>
      <c r="J605" s="10"/>
      <c r="K605" s="10"/>
      <c r="L605" s="10">
        <f ca="1">VLOOKUP(dict_DQ_Meth_max[[#This Row],[ID_DataQualities]],table_DataQualities[],8,FALSE)</f>
        <v>60</v>
      </c>
      <c r="M605" s="10">
        <f ca="1">VLOOKUP(dict_DQ_Meth_max[[#This Row],[ID_DataQualities]],table_DataQualities[],9,FALSE)</f>
        <v>6621</v>
      </c>
    </row>
    <row r="606" spans="1:13" x14ac:dyDescent="0.45">
      <c r="A606" s="10">
        <v>162</v>
      </c>
      <c r="B606" s="10">
        <v>338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1744.1727800000001</v>
      </c>
      <c r="G606" s="12">
        <f ca="1">(RANDBETWEEN(50,100)/100)*(dict_DQ_Meth_max[[#This Row],[Vergleich_ub]]-dict_DQ_Meth_max[[#This Row],[Vergleich_lb]])+dict_DQ_Meth_max[[#This Row],[Vergleich_lb]]</f>
        <v>3065.41428</v>
      </c>
      <c r="H606" s="11" t="str">
        <f ca="1">VLOOKUP(VLOOKUP(dict_DQ_Meth_max[[#This Row],[ID_DataQualities]],table_DataQualities[],3),table_Units[],2)</f>
        <v>Hz</v>
      </c>
      <c r="I606" s="10"/>
      <c r="J606" s="10"/>
      <c r="K606" s="10"/>
      <c r="L606" s="10">
        <f ca="1">VLOOKUP(dict_DQ_Meth_max[[#This Row],[ID_DataQualities]],table_DataQualities[],8,FALSE)</f>
        <v>0.13400000000000001</v>
      </c>
      <c r="M606" s="10">
        <f ca="1">VLOOKUP(dict_DQ_Meth_max[[#This Row],[ID_DataQualities]],table_DataQualities[],9,FALSE)</f>
        <v>5285.1</v>
      </c>
    </row>
    <row r="607" spans="1:13" x14ac:dyDescent="0.45">
      <c r="A607" s="10">
        <v>162</v>
      </c>
      <c r="B607" s="10">
        <v>627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581.48026000000004</v>
      </c>
      <c r="G607" s="12">
        <f ca="1">(RANDBETWEEN(50,100)/100)*(dict_DQ_Meth_max[[#This Row],[Vergleich_ub]]-dict_DQ_Meth_max[[#This Row],[Vergleich_lb]])+dict_DQ_Meth_max[[#This Row],[Vergleich_lb]]</f>
        <v>3118.2639400000003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0.13400000000000001</v>
      </c>
      <c r="M607" s="10">
        <f ca="1">VLOOKUP(dict_DQ_Meth_max[[#This Row],[ID_DataQualities]],table_DataQualities[],9,FALSE)</f>
        <v>5285.1</v>
      </c>
    </row>
    <row r="608" spans="1:13" x14ac:dyDescent="0.45">
      <c r="A608" s="10">
        <v>162</v>
      </c>
      <c r="B608" s="10">
        <v>141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1268.52584</v>
      </c>
      <c r="G608" s="12">
        <f ca="1">(RANDBETWEEN(50,100)/100)*(dict_DQ_Meth_max[[#This Row],[Vergleich_ub]]-dict_DQ_Meth_max[[#This Row],[Vergleich_lb]])+dict_DQ_Meth_max[[#This Row],[Vergleich_lb]]</f>
        <v>4069.5578200000004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0.13400000000000001</v>
      </c>
      <c r="M608" s="10">
        <f ca="1">VLOOKUP(dict_DQ_Meth_max[[#This Row],[ID_DataQualities]],table_DataQualities[],9,FALSE)</f>
        <v>5285.1</v>
      </c>
    </row>
    <row r="609" spans="1:13" x14ac:dyDescent="0.45">
      <c r="A609" s="10">
        <v>162</v>
      </c>
      <c r="B609" s="10">
        <v>216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317.23196000000002</v>
      </c>
      <c r="G609" s="12">
        <f ca="1">(RANDBETWEEN(50,100)/100)*(dict_DQ_Meth_max[[#This Row],[Vergleich_ub]]-dict_DQ_Meth_max[[#This Row],[Vergleich_lb]])+dict_DQ_Meth_max[[#This Row],[Vergleich_lb]]</f>
        <v>3752.4598599999999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0.13400000000000001</v>
      </c>
      <c r="M609" s="10">
        <f ca="1">VLOOKUP(dict_DQ_Meth_max[[#This Row],[ID_DataQualities]],table_DataQualities[],9,FALSE)</f>
        <v>5285.1</v>
      </c>
    </row>
    <row r="610" spans="1:13" x14ac:dyDescent="0.45">
      <c r="A610" s="10">
        <v>163</v>
      </c>
      <c r="B610" s="10">
        <v>216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153.36000000000001</v>
      </c>
      <c r="G610" s="12">
        <f ca="1">(RANDBETWEEN(50,100)/100)*(dict_DQ_Meth_max[[#This Row],[Vergleich_ub]]-dict_DQ_Meth_max[[#This Row],[Vergleich_lb]])+dict_DQ_Meth_max[[#This Row],[Vergleich_lb]]</f>
        <v>1874.76</v>
      </c>
      <c r="H610" s="11" t="str">
        <f ca="1">VLOOKUP(VLOOKUP(dict_DQ_Meth_max[[#This Row],[ID_DataQualities]],table_DataQualities[],3),table_Units[],2)</f>
        <v>bit</v>
      </c>
      <c r="I610" s="10"/>
      <c r="J610" s="10"/>
      <c r="K610" s="10"/>
      <c r="L610" s="10">
        <f ca="1">VLOOKUP(dict_DQ_Meth_max[[#This Row],[ID_DataQualities]],table_DataQualities[],8,FALSE)</f>
        <v>99</v>
      </c>
      <c r="M610" s="10">
        <f ca="1">VLOOKUP(dict_DQ_Meth_max[[#This Row],[ID_DataQualities]],table_DataQualities[],9,FALSE)</f>
        <v>1911</v>
      </c>
    </row>
    <row r="611" spans="1:13" x14ac:dyDescent="0.45">
      <c r="A611" s="10">
        <v>163</v>
      </c>
      <c r="B611" s="10">
        <v>338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407.04</v>
      </c>
      <c r="G611" s="12">
        <f ca="1">(RANDBETWEEN(50,100)/100)*(dict_DQ_Meth_max[[#This Row],[Vergleich_ub]]-dict_DQ_Meth_max[[#This Row],[Vergleich_lb]])+dict_DQ_Meth_max[[#This Row],[Vergleich_lb]]</f>
        <v>1313.04</v>
      </c>
      <c r="H611" s="11" t="str">
        <f ca="1">VLOOKUP(VLOOKUP(dict_DQ_Meth_max[[#This Row],[ID_DataQualities]],table_DataQualities[],3),table_Units[],2)</f>
        <v>bit</v>
      </c>
      <c r="I611" s="10"/>
      <c r="J611" s="10"/>
      <c r="K611" s="10"/>
      <c r="L611" s="10">
        <f ca="1">VLOOKUP(dict_DQ_Meth_max[[#This Row],[ID_DataQualities]],table_DataQualities[],8,FALSE)</f>
        <v>99</v>
      </c>
      <c r="M611" s="10">
        <f ca="1">VLOOKUP(dict_DQ_Meth_max[[#This Row],[ID_DataQualities]],table_DataQualities[],9,FALSE)</f>
        <v>1911</v>
      </c>
    </row>
    <row r="612" spans="1:13" x14ac:dyDescent="0.45">
      <c r="A612" s="10">
        <v>163</v>
      </c>
      <c r="B612" s="10">
        <v>627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841.92</v>
      </c>
      <c r="G612" s="12">
        <f ca="1">(RANDBETWEEN(50,100)/100)*(dict_DQ_Meth_max[[#This Row],[Vergleich_ub]]-dict_DQ_Meth_max[[#This Row],[Vergleich_lb]])+dict_DQ_Meth_max[[#This Row],[Vergleich_lb]]</f>
        <v>1802.28</v>
      </c>
      <c r="H612" s="11" t="str">
        <f ca="1">VLOOKUP(VLOOKUP(dict_DQ_Meth_max[[#This Row],[ID_DataQualities]],table_DataQualities[],3),table_Units[],2)</f>
        <v>bit</v>
      </c>
      <c r="I612" s="10"/>
      <c r="J612" s="10"/>
      <c r="K612" s="10"/>
      <c r="L612" s="10">
        <f ca="1">VLOOKUP(dict_DQ_Meth_max[[#This Row],[ID_DataQualities]],table_DataQualities[],8,FALSE)</f>
        <v>99</v>
      </c>
      <c r="M612" s="10">
        <f ca="1">VLOOKUP(dict_DQ_Meth_max[[#This Row],[ID_DataQualities]],table_DataQualities[],9,FALSE)</f>
        <v>1911</v>
      </c>
    </row>
    <row r="613" spans="1:13" x14ac:dyDescent="0.45">
      <c r="A613" s="10">
        <v>163</v>
      </c>
      <c r="B613" s="10">
        <v>141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914.4</v>
      </c>
      <c r="G613" s="12">
        <f ca="1">(RANDBETWEEN(50,100)/100)*(dict_DQ_Meth_max[[#This Row],[Vergleich_ub]]-dict_DQ_Meth_max[[#This Row],[Vergleich_lb]])+dict_DQ_Meth_max[[#This Row],[Vergleich_lb]]</f>
        <v>1149.96</v>
      </c>
      <c r="H613" s="11" t="str">
        <f ca="1">VLOOKUP(VLOOKUP(dict_DQ_Meth_max[[#This Row],[ID_DataQualities]],table_DataQualities[],3),table_Units[],2)</f>
        <v>bit</v>
      </c>
      <c r="I613" s="10"/>
      <c r="J613" s="10"/>
      <c r="K613" s="10"/>
      <c r="L613" s="10">
        <f ca="1">VLOOKUP(dict_DQ_Meth_max[[#This Row],[ID_DataQualities]],table_DataQualities[],8,FALSE)</f>
        <v>99</v>
      </c>
      <c r="M613" s="10">
        <f ca="1">VLOOKUP(dict_DQ_Meth_max[[#This Row],[ID_DataQualities]],table_DataQualities[],9,FALSE)</f>
        <v>1911</v>
      </c>
    </row>
    <row r="614" spans="1:13" x14ac:dyDescent="0.45">
      <c r="A614" s="10">
        <v>164</v>
      </c>
      <c r="B614" s="10">
        <v>477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2337.1158399999999</v>
      </c>
      <c r="G614" s="12">
        <f ca="1">(RANDBETWEEN(50,100)/100)*(dict_DQ_Meth_max[[#This Row],[Vergleich_ub]]-dict_DQ_Meth_max[[#This Row],[Vergleich_lb]])+dict_DQ_Meth_max[[#This Row],[Vergleich_lb]]</f>
        <v>3147.6105600000001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0.98399999999999999</v>
      </c>
      <c r="M614" s="10">
        <f ca="1">VLOOKUP(dict_DQ_Meth_max[[#This Row],[ID_DataQualities]],table_DataQualities[],9,FALSE)</f>
        <v>4768.6000000000004</v>
      </c>
    </row>
    <row r="615" spans="1:13" x14ac:dyDescent="0.45">
      <c r="A615" s="10">
        <v>164</v>
      </c>
      <c r="B615" s="10">
        <v>267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1621.97344</v>
      </c>
      <c r="G615" s="12">
        <f ca="1">(RANDBETWEEN(50,100)/100)*(dict_DQ_Meth_max[[#This Row],[Vergleich_ub]]-dict_DQ_Meth_max[[#This Row],[Vergleich_lb]])+dict_DQ_Meth_max[[#This Row],[Vergleich_lb]]</f>
        <v>3958.1052799999998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0.98399999999999999</v>
      </c>
      <c r="M615" s="10">
        <f ca="1">VLOOKUP(dict_DQ_Meth_max[[#This Row],[ID_DataQualities]],table_DataQualities[],9,FALSE)</f>
        <v>4768.6000000000004</v>
      </c>
    </row>
    <row r="616" spans="1:13" x14ac:dyDescent="0.45">
      <c r="A616" s="10">
        <v>164</v>
      </c>
      <c r="B616" s="10">
        <v>309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1574.29728</v>
      </c>
      <c r="G616" s="12">
        <f ca="1">(RANDBETWEEN(50,100)/100)*(dict_DQ_Meth_max[[#This Row],[Vergleich_ub]]-dict_DQ_Meth_max[[#This Row],[Vergleich_lb]])+dict_DQ_Meth_max[[#This Row],[Vergleich_lb]]</f>
        <v>2766.2012799999998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0.98399999999999999</v>
      </c>
      <c r="M616" s="10">
        <f ca="1">VLOOKUP(dict_DQ_Meth_max[[#This Row],[ID_DataQualities]],table_DataQualities[],9,FALSE)</f>
        <v>4768.6000000000004</v>
      </c>
    </row>
    <row r="617" spans="1:13" x14ac:dyDescent="0.45">
      <c r="A617" s="10">
        <v>164</v>
      </c>
      <c r="B617" s="10">
        <v>681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668.45024000000012</v>
      </c>
      <c r="G617" s="12">
        <f ca="1">(RANDBETWEEN(50,100)/100)*(dict_DQ_Meth_max[[#This Row],[Vergleich_ub]]-dict_DQ_Meth_max[[#This Row],[Vergleich_lb]])+dict_DQ_Meth_max[[#This Row],[Vergleich_lb]]</f>
        <v>3004.5820800000001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0.98399999999999999</v>
      </c>
      <c r="M617" s="10">
        <f ca="1">VLOOKUP(dict_DQ_Meth_max[[#This Row],[ID_DataQualities]],table_DataQualities[],9,FALSE)</f>
        <v>4768.6000000000004</v>
      </c>
    </row>
    <row r="618" spans="1:13" x14ac:dyDescent="0.45">
      <c r="A618" s="10">
        <v>165</v>
      </c>
      <c r="B618" s="10">
        <v>477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1240.73</v>
      </c>
      <c r="G618" s="12">
        <f ca="1">(RANDBETWEEN(50,100)/100)*(dict_DQ_Meth_max[[#This Row],[Vergleich_ub]]-dict_DQ_Meth_max[[#This Row],[Vergleich_lb]])+dict_DQ_Meth_max[[#This Row],[Vergleich_lb]]</f>
        <v>1566.0500000000002</v>
      </c>
      <c r="H618" s="11" t="str">
        <f ca="1">VLOOKUP(VLOOKUP(dict_DQ_Meth_max[[#This Row],[ID_DataQualities]],table_DataQualities[],3),table_Units[],2)</f>
        <v>bit</v>
      </c>
      <c r="I618" s="10"/>
      <c r="J618" s="10"/>
      <c r="K618" s="10"/>
      <c r="L618" s="10">
        <f ca="1">VLOOKUP(dict_DQ_Meth_max[[#This Row],[ID_DataQualities]],table_DataQualities[],8,FALSE)</f>
        <v>75</v>
      </c>
      <c r="M618" s="10">
        <f ca="1">VLOOKUP(dict_DQ_Meth_max[[#This Row],[ID_DataQualities]],table_DataQualities[],9,FALSE)</f>
        <v>2786</v>
      </c>
    </row>
    <row r="619" spans="1:13" x14ac:dyDescent="0.45">
      <c r="A619" s="10">
        <v>165</v>
      </c>
      <c r="B619" s="10">
        <v>267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454.54</v>
      </c>
      <c r="G619" s="12">
        <f ca="1">(RANDBETWEEN(50,100)/100)*(dict_DQ_Meth_max[[#This Row],[Vergleich_ub]]-dict_DQ_Meth_max[[#This Row],[Vergleich_lb]])+dict_DQ_Meth_max[[#This Row],[Vergleich_lb]]</f>
        <v>2081.14</v>
      </c>
      <c r="H619" s="11" t="str">
        <f ca="1">VLOOKUP(VLOOKUP(dict_DQ_Meth_max[[#This Row],[ID_DataQualities]],table_DataQualities[],3),table_Units[],2)</f>
        <v>bit</v>
      </c>
      <c r="I619" s="10"/>
      <c r="J619" s="10"/>
      <c r="K619" s="10"/>
      <c r="L619" s="10">
        <f ca="1">VLOOKUP(dict_DQ_Meth_max[[#This Row],[ID_DataQualities]],table_DataQualities[],8,FALSE)</f>
        <v>75</v>
      </c>
      <c r="M619" s="10">
        <f ca="1">VLOOKUP(dict_DQ_Meth_max[[#This Row],[ID_DataQualities]],table_DataQualities[],9,FALSE)</f>
        <v>2786</v>
      </c>
    </row>
    <row r="620" spans="1:13" x14ac:dyDescent="0.45">
      <c r="A620" s="10">
        <v>165</v>
      </c>
      <c r="B620" s="10">
        <v>681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969.63</v>
      </c>
      <c r="G620" s="12">
        <f ca="1">(RANDBETWEEN(50,100)/100)*(dict_DQ_Meth_max[[#This Row],[Vergleich_ub]]-dict_DQ_Meth_max[[#This Row],[Vergleich_lb]])+dict_DQ_Meth_max[[#This Row],[Vergleich_lb]]</f>
        <v>1566.0500000000002</v>
      </c>
      <c r="H620" s="11" t="str">
        <f ca="1">VLOOKUP(VLOOKUP(dict_DQ_Meth_max[[#This Row],[ID_DataQualities]],table_DataQualities[],3),table_Units[],2)</f>
        <v>bit</v>
      </c>
      <c r="I620" s="10"/>
      <c r="J620" s="10"/>
      <c r="K620" s="10"/>
      <c r="L620" s="10">
        <f ca="1">VLOOKUP(dict_DQ_Meth_max[[#This Row],[ID_DataQualities]],table_DataQualities[],8,FALSE)</f>
        <v>75</v>
      </c>
      <c r="M620" s="10">
        <f ca="1">VLOOKUP(dict_DQ_Meth_max[[#This Row],[ID_DataQualities]],table_DataQualities[],9,FALSE)</f>
        <v>2786</v>
      </c>
    </row>
    <row r="621" spans="1:13" x14ac:dyDescent="0.45">
      <c r="A621" s="10">
        <v>165</v>
      </c>
      <c r="B621" s="10">
        <v>309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888.3</v>
      </c>
      <c r="G621" s="12">
        <f ca="1">(RANDBETWEEN(50,100)/100)*(dict_DQ_Meth_max[[#This Row],[Vergleich_ub]]-dict_DQ_Meth_max[[#This Row],[Vergleich_lb]])+dict_DQ_Meth_max[[#This Row],[Vergleich_lb]]</f>
        <v>2731.7799999999997</v>
      </c>
      <c r="H621" s="11" t="str">
        <f ca="1">VLOOKUP(VLOOKUP(dict_DQ_Meth_max[[#This Row],[ID_DataQualities]],table_DataQualities[],3),table_Units[],2)</f>
        <v>bit</v>
      </c>
      <c r="I621" s="10"/>
      <c r="J621" s="10"/>
      <c r="K621" s="10"/>
      <c r="L621" s="10">
        <f ca="1">VLOOKUP(dict_DQ_Meth_max[[#This Row],[ID_DataQualities]],table_DataQualities[],8,FALSE)</f>
        <v>75</v>
      </c>
      <c r="M621" s="10">
        <f ca="1">VLOOKUP(dict_DQ_Meth_max[[#This Row],[ID_DataQualities]],table_DataQualities[],9,FALSE)</f>
        <v>2786</v>
      </c>
    </row>
    <row r="622" spans="1:13" x14ac:dyDescent="0.45">
      <c r="A622" s="10">
        <v>166</v>
      </c>
      <c r="B622" s="10">
        <v>107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2869.2226999999998</v>
      </c>
      <c r="G622" s="12">
        <f ca="1">(RANDBETWEEN(50,100)/100)*(dict_DQ_Meth_max[[#This Row],[Vergleich_ub]]-dict_DQ_Meth_max[[#This Row],[Vergleich_lb]])+dict_DQ_Meth_max[[#This Row],[Vergleich_lb]]</f>
        <v>3867.1418999999996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0.20499999999999999</v>
      </c>
      <c r="M622" s="10">
        <f ca="1">VLOOKUP(dict_DQ_Meth_max[[#This Row],[ID_DataQualities]],table_DataQualities[],9,FALSE)</f>
        <v>6237.2</v>
      </c>
    </row>
    <row r="623" spans="1:13" x14ac:dyDescent="0.45">
      <c r="A623" s="10">
        <v>166</v>
      </c>
      <c r="B623" s="10">
        <v>167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1871.3034999999998</v>
      </c>
      <c r="G623" s="12">
        <f ca="1">(RANDBETWEEN(50,100)/100)*(dict_DQ_Meth_max[[#This Row],[Vergleich_ub]]-dict_DQ_Meth_max[[#This Row],[Vergleich_lb]])+dict_DQ_Meth_max[[#This Row],[Vergleich_lb]]</f>
        <v>4802.6911499999997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0.20499999999999999</v>
      </c>
      <c r="M623" s="10">
        <f ca="1">VLOOKUP(dict_DQ_Meth_max[[#This Row],[ID_DataQualities]],table_DataQualities[],9,FALSE)</f>
        <v>6237.2</v>
      </c>
    </row>
    <row r="624" spans="1:13" x14ac:dyDescent="0.45">
      <c r="A624" s="10">
        <v>166</v>
      </c>
      <c r="B624" s="10">
        <v>112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3056.3325499999996</v>
      </c>
      <c r="G624" s="12">
        <f ca="1">(RANDBETWEEN(50,100)/100)*(dict_DQ_Meth_max[[#This Row],[Vergleich_ub]]-dict_DQ_Meth_max[[#This Row],[Vergleich_lb]])+dict_DQ_Meth_max[[#This Row],[Vergleich_lb]]</f>
        <v>4677.9512500000001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0.20499999999999999</v>
      </c>
      <c r="M624" s="10">
        <f ca="1">VLOOKUP(dict_DQ_Meth_max[[#This Row],[ID_DataQualities]],table_DataQualities[],9,FALSE)</f>
        <v>6237.2</v>
      </c>
    </row>
    <row r="625" spans="1:13" x14ac:dyDescent="0.45">
      <c r="A625" s="10">
        <v>166</v>
      </c>
      <c r="B625" s="10">
        <v>444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2307.8931499999999</v>
      </c>
      <c r="G625" s="12">
        <f ca="1">(RANDBETWEEN(50,100)/100)*(dict_DQ_Meth_max[[#This Row],[Vergleich_ub]]-dict_DQ_Meth_max[[#This Row],[Vergleich_lb]])+dict_DQ_Meth_max[[#This Row],[Vergleich_lb]]</f>
        <v>5488.7605999999996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0.20499999999999999</v>
      </c>
      <c r="M625" s="10">
        <f ca="1">VLOOKUP(dict_DQ_Meth_max[[#This Row],[ID_DataQualities]],table_DataQualities[],9,FALSE)</f>
        <v>6237.2</v>
      </c>
    </row>
    <row r="626" spans="1:13" x14ac:dyDescent="0.45">
      <c r="A626" s="10">
        <v>167</v>
      </c>
      <c r="B626" s="10">
        <v>112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0.99174000000000007</v>
      </c>
      <c r="G626" s="12">
        <f ca="1">(RANDBETWEEN(50,100)/100)*(dict_DQ_Meth_max[[#This Row],[Vergleich_ub]]-dict_DQ_Meth_max[[#This Row],[Vergleich_lb]])+dict_DQ_Meth_max[[#This Row],[Vergleich_lb]]</f>
        <v>5.0122499999999999</v>
      </c>
      <c r="H626" s="11" t="str">
        <f ca="1">VLOOKUP(VLOOKUP(dict_DQ_Meth_max[[#This Row],[ID_DataQualities]],table_DataQualities[],3),table_Units[],2)</f>
        <v>+/- mm</v>
      </c>
      <c r="I626" s="10"/>
      <c r="J626" s="10"/>
      <c r="K626" s="10"/>
      <c r="L626" s="10">
        <f ca="1">VLOOKUP(dict_DQ_Meth_max[[#This Row],[ID_DataQualities]],table_DataQualities[],8,FALSE)</f>
        <v>6.9000000000000006E-2</v>
      </c>
      <c r="M626" s="10">
        <f ca="1">VLOOKUP(dict_DQ_Meth_max[[#This Row],[ID_DataQualities]],table_DataQualities[],9,FALSE)</f>
        <v>6.66</v>
      </c>
    </row>
    <row r="627" spans="1:13" x14ac:dyDescent="0.45">
      <c r="A627" s="10">
        <v>167</v>
      </c>
      <c r="B627" s="10">
        <v>444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1.71675</v>
      </c>
      <c r="G627" s="12">
        <f ca="1">(RANDBETWEEN(50,100)/100)*(dict_DQ_Meth_max[[#This Row],[Vergleich_ub]]-dict_DQ_Meth_max[[#This Row],[Vergleich_lb]])+dict_DQ_Meth_max[[#This Row],[Vergleich_lb]]</f>
        <v>5.8031699999999997</v>
      </c>
      <c r="H627" s="11" t="str">
        <f ca="1">VLOOKUP(VLOOKUP(dict_DQ_Meth_max[[#This Row],[ID_DataQualities]],table_DataQualities[],3),table_Units[],2)</f>
        <v>+/- mm</v>
      </c>
      <c r="I627" s="10"/>
      <c r="J627" s="10"/>
      <c r="K627" s="10"/>
      <c r="L627" s="10">
        <f ca="1">VLOOKUP(dict_DQ_Meth_max[[#This Row],[ID_DataQualities]],table_DataQualities[],8,FALSE)</f>
        <v>6.9000000000000006E-2</v>
      </c>
      <c r="M627" s="10">
        <f ca="1">VLOOKUP(dict_DQ_Meth_max[[#This Row],[ID_DataQualities]],table_DataQualities[],9,FALSE)</f>
        <v>6.66</v>
      </c>
    </row>
    <row r="628" spans="1:13" x14ac:dyDescent="0.45">
      <c r="A628" s="10">
        <v>167</v>
      </c>
      <c r="B628" s="10">
        <v>107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0.26673000000000002</v>
      </c>
      <c r="G628" s="12">
        <f ca="1">(RANDBETWEEN(50,100)/100)*(dict_DQ_Meth_max[[#This Row],[Vergleich_ub]]-dict_DQ_Meth_max[[#This Row],[Vergleich_lb]])+dict_DQ_Meth_max[[#This Row],[Vergleich_lb]]</f>
        <v>6.5281799999999999</v>
      </c>
      <c r="H628" s="11" t="str">
        <f ca="1">VLOOKUP(VLOOKUP(dict_DQ_Meth_max[[#This Row],[ID_DataQualities]],table_DataQualities[],3),table_Units[],2)</f>
        <v>+/- mm</v>
      </c>
      <c r="I628" s="10"/>
      <c r="J628" s="10"/>
      <c r="K628" s="10"/>
      <c r="L628" s="10">
        <f ca="1">VLOOKUP(dict_DQ_Meth_max[[#This Row],[ID_DataQualities]],table_DataQualities[],8,FALSE)</f>
        <v>6.9000000000000006E-2</v>
      </c>
      <c r="M628" s="10">
        <f ca="1">VLOOKUP(dict_DQ_Meth_max[[#This Row],[ID_DataQualities]],table_DataQualities[],9,FALSE)</f>
        <v>6.66</v>
      </c>
    </row>
    <row r="629" spans="1:13" x14ac:dyDescent="0.45">
      <c r="A629" s="10">
        <v>167</v>
      </c>
      <c r="B629" s="10">
        <v>167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1.5849299999999999</v>
      </c>
      <c r="G629" s="12">
        <f ca="1">(RANDBETWEEN(50,100)/100)*(dict_DQ_Meth_max[[#This Row],[Vergleich_ub]]-dict_DQ_Meth_max[[#This Row],[Vergleich_lb]])+dict_DQ_Meth_max[[#This Row],[Vergleich_lb]]</f>
        <v>3.6940500000000003</v>
      </c>
      <c r="H629" s="11" t="str">
        <f ca="1">VLOOKUP(VLOOKUP(dict_DQ_Meth_max[[#This Row],[ID_DataQualities]],table_DataQualities[],3),table_Units[],2)</f>
        <v>+/- mm</v>
      </c>
      <c r="I629" s="10"/>
      <c r="J629" s="10"/>
      <c r="K629" s="10"/>
      <c r="L629" s="10">
        <f ca="1">VLOOKUP(dict_DQ_Meth_max[[#This Row],[ID_DataQualities]],table_DataQualities[],8,FALSE)</f>
        <v>6.9000000000000006E-2</v>
      </c>
      <c r="M629" s="10">
        <f ca="1">VLOOKUP(dict_DQ_Meth_max[[#This Row],[ID_DataQualities]],table_DataQualities[],9,FALSE)</f>
        <v>6.66</v>
      </c>
    </row>
    <row r="630" spans="1:13" x14ac:dyDescent="0.45">
      <c r="A630" s="10">
        <v>168</v>
      </c>
      <c r="B630" s="10">
        <v>1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165.60153</v>
      </c>
      <c r="G630" s="12">
        <f ca="1">(RANDBETWEEN(50,100)/100)*(dict_DQ_Meth_max[[#This Row],[Vergleich_ub]]-dict_DQ_Meth_max[[#This Row],[Vergleich_lb]])+dict_DQ_Meth_max[[#This Row],[Vergleich_lb]]</f>
        <v>302.36721000000006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0.34300000000000003</v>
      </c>
      <c r="M630" s="10">
        <f ca="1">VLOOKUP(dict_DQ_Meth_max[[#This Row],[ID_DataQualities]],table_DataQualities[],9,FALSE)</f>
        <v>570.20000000000005</v>
      </c>
    </row>
    <row r="631" spans="1:13" x14ac:dyDescent="0.45">
      <c r="A631" s="10">
        <v>168</v>
      </c>
      <c r="B631" s="10">
        <v>408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216.88866000000002</v>
      </c>
      <c r="G631" s="12">
        <f ca="1">(RANDBETWEEN(50,100)/100)*(dict_DQ_Meth_max[[#This Row],[Vergleich_ub]]-dict_DQ_Meth_max[[#This Row],[Vergleich_lb]])+dict_DQ_Meth_max[[#This Row],[Vergleich_lb]]</f>
        <v>422.03718000000009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0.34300000000000003</v>
      </c>
      <c r="M631" s="10">
        <f ca="1">VLOOKUP(dict_DQ_Meth_max[[#This Row],[ID_DataQualities]],table_DataQualities[],9,FALSE)</f>
        <v>570.20000000000005</v>
      </c>
    </row>
    <row r="632" spans="1:13" x14ac:dyDescent="0.45">
      <c r="A632" s="10">
        <v>169</v>
      </c>
      <c r="B632" s="10">
        <v>408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0.8</v>
      </c>
      <c r="G632" s="12">
        <f ca="1">(RANDBETWEEN(50,100)/100)*(dict_DQ_Meth_max[[#This Row],[Vergleich_ub]]-dict_DQ_Meth_max[[#This Row],[Vergleich_lb]])+dict_DQ_Meth_max[[#This Row],[Vergleich_lb]]</f>
        <v>4.4000000000000004</v>
      </c>
      <c r="H632" s="11" t="str">
        <f ca="1">VLOOKUP(VLOOKUP(dict_DQ_Meth_max[[#This Row],[ID_DataQualities]],table_DataQualities[],3),table_Units[],2)</f>
        <v>+/- °C</v>
      </c>
      <c r="I632" s="10"/>
      <c r="J632" s="10"/>
      <c r="K632" s="10"/>
      <c r="L632" s="10">
        <f ca="1">VLOOKUP(dict_DQ_Meth_max[[#This Row],[ID_DataQualities]],table_DataQualities[],8,FALSE)</f>
        <v>0.8</v>
      </c>
      <c r="M632" s="10">
        <f ca="1">VLOOKUP(dict_DQ_Meth_max[[#This Row],[ID_DataQualities]],table_DataQualities[],9,FALSE)</f>
        <v>8</v>
      </c>
    </row>
    <row r="633" spans="1:13" x14ac:dyDescent="0.45">
      <c r="A633" s="10">
        <v>169</v>
      </c>
      <c r="B633" s="10">
        <v>1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3.2480000000000002</v>
      </c>
      <c r="G633" s="12">
        <f ca="1">(RANDBETWEEN(50,100)/100)*(dict_DQ_Meth_max[[#This Row],[Vergleich_ub]]-dict_DQ_Meth_max[[#This Row],[Vergleich_lb]])+dict_DQ_Meth_max[[#This Row],[Vergleich_lb]]</f>
        <v>5.1920000000000002</v>
      </c>
      <c r="H633" s="11" t="str">
        <f ca="1">VLOOKUP(VLOOKUP(dict_DQ_Meth_max[[#This Row],[ID_DataQualities]],table_DataQualities[],3),table_Units[],2)</f>
        <v>+/- °C</v>
      </c>
      <c r="I633" s="10"/>
      <c r="J633" s="10"/>
      <c r="K633" s="10"/>
      <c r="L633" s="10">
        <f ca="1">VLOOKUP(dict_DQ_Meth_max[[#This Row],[ID_DataQualities]],table_DataQualities[],8,FALSE)</f>
        <v>0.8</v>
      </c>
      <c r="M633" s="10">
        <f ca="1">VLOOKUP(dict_DQ_Meth_max[[#This Row],[ID_DataQualities]],table_DataQualities[],9,FALSE)</f>
        <v>8</v>
      </c>
    </row>
    <row r="634" spans="1:13" x14ac:dyDescent="0.45">
      <c r="A634" s="10">
        <v>170</v>
      </c>
      <c r="B634" s="10">
        <v>690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1722.7179800000001</v>
      </c>
      <c r="G634" s="12">
        <f ca="1">(RANDBETWEEN(50,100)/100)*(dict_DQ_Meth_max[[#This Row],[Vergleich_ub]]-dict_DQ_Meth_max[[#This Row],[Vergleich_lb]])+dict_DQ_Meth_max[[#This Row],[Vergleich_lb]]</f>
        <v>5557.5848899999992</v>
      </c>
      <c r="H634" s="11" t="str">
        <f ca="1">VLOOKUP(VLOOKUP(dict_DQ_Meth_max[[#This Row],[ID_DataQualities]],table_DataQualities[],3),table_Units[],2)</f>
        <v>Hz</v>
      </c>
      <c r="I634" s="10"/>
      <c r="J634" s="10"/>
      <c r="K634" s="10"/>
      <c r="L634" s="10">
        <f ca="1">VLOOKUP(dict_DQ_Meth_max[[#This Row],[ID_DataQualities]],table_DataQualities[],8,FALSE)</f>
        <v>0.94099999999999995</v>
      </c>
      <c r="M634" s="10">
        <f ca="1">VLOOKUP(dict_DQ_Meth_max[[#This Row],[ID_DataQualities]],table_DataQualities[],9,FALSE)</f>
        <v>7827.2</v>
      </c>
    </row>
    <row r="635" spans="1:13" x14ac:dyDescent="0.45">
      <c r="A635" s="10">
        <v>170</v>
      </c>
      <c r="B635" s="10">
        <v>9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3444.49496</v>
      </c>
      <c r="G635" s="12">
        <f ca="1">(RANDBETWEEN(50,100)/100)*(dict_DQ_Meth_max[[#This Row],[Vergleich_ub]]-dict_DQ_Meth_max[[#This Row],[Vergleich_lb]])+dict_DQ_Meth_max[[#This Row],[Vergleich_lb]]</f>
        <v>6027.1604299999999</v>
      </c>
      <c r="H635" s="11" t="str">
        <f ca="1">VLOOKUP(VLOOKUP(dict_DQ_Meth_max[[#This Row],[ID_DataQualities]],table_DataQualities[],3),table_Units[],2)</f>
        <v>Hz</v>
      </c>
      <c r="I635" s="10"/>
      <c r="J635" s="10"/>
      <c r="K635" s="10"/>
      <c r="L635" s="10">
        <f ca="1">VLOOKUP(dict_DQ_Meth_max[[#This Row],[ID_DataQualities]],table_DataQualities[],8,FALSE)</f>
        <v>0.94099999999999995</v>
      </c>
      <c r="M635" s="10">
        <f ca="1">VLOOKUP(dict_DQ_Meth_max[[#This Row],[ID_DataQualities]],table_DataQualities[],9,FALSE)</f>
        <v>7827.2</v>
      </c>
    </row>
    <row r="636" spans="1:13" x14ac:dyDescent="0.45">
      <c r="A636" s="10">
        <v>170</v>
      </c>
      <c r="B636" s="10">
        <v>55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3757.5453199999997</v>
      </c>
      <c r="G636" s="12">
        <f ca="1">(RANDBETWEEN(50,100)/100)*(dict_DQ_Meth_max[[#This Row],[Vergleich_ub]]-dict_DQ_Meth_max[[#This Row],[Vergleich_lb]])+dict_DQ_Meth_max[[#This Row],[Vergleich_lb]]</f>
        <v>6574.99856</v>
      </c>
      <c r="H636" s="11" t="str">
        <f ca="1">VLOOKUP(VLOOKUP(dict_DQ_Meth_max[[#This Row],[ID_DataQualities]],table_DataQualities[],3),table_Units[],2)</f>
        <v>Hz</v>
      </c>
      <c r="I636" s="10"/>
      <c r="J636" s="10"/>
      <c r="K636" s="10"/>
      <c r="L636" s="10">
        <f ca="1">VLOOKUP(dict_DQ_Meth_max[[#This Row],[ID_DataQualities]],table_DataQualities[],8,FALSE)</f>
        <v>0.94099999999999995</v>
      </c>
      <c r="M636" s="10">
        <f ca="1">VLOOKUP(dict_DQ_Meth_max[[#This Row],[ID_DataQualities]],table_DataQualities[],9,FALSE)</f>
        <v>7827.2</v>
      </c>
    </row>
    <row r="637" spans="1:13" x14ac:dyDescent="0.45">
      <c r="A637" s="10">
        <v>170</v>
      </c>
      <c r="B637" s="10">
        <v>53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2035.7683400000001</v>
      </c>
      <c r="G637" s="12">
        <f ca="1">(RANDBETWEEN(50,100)/100)*(dict_DQ_Meth_max[[#This Row],[Vergleich_ub]]-dict_DQ_Meth_max[[#This Row],[Vergleich_lb]])+dict_DQ_Meth_max[[#This Row],[Vergleich_lb]]</f>
        <v>6261.9481999999998</v>
      </c>
      <c r="H637" s="11" t="str">
        <f ca="1">VLOOKUP(VLOOKUP(dict_DQ_Meth_max[[#This Row],[ID_DataQualities]],table_DataQualities[],3),table_Units[],2)</f>
        <v>Hz</v>
      </c>
      <c r="I637" s="10"/>
      <c r="J637" s="10"/>
      <c r="K637" s="10"/>
      <c r="L637" s="10">
        <f ca="1">VLOOKUP(dict_DQ_Meth_max[[#This Row],[ID_DataQualities]],table_DataQualities[],8,FALSE)</f>
        <v>0.94099999999999995</v>
      </c>
      <c r="M637" s="10">
        <f ca="1">VLOOKUP(dict_DQ_Meth_max[[#This Row],[ID_DataQualities]],table_DataQualities[],9,FALSE)</f>
        <v>7827.2</v>
      </c>
    </row>
    <row r="638" spans="1:13" x14ac:dyDescent="0.45">
      <c r="A638" s="10">
        <v>171</v>
      </c>
      <c r="B638" s="10">
        <v>690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242.65</v>
      </c>
      <c r="G638" s="12">
        <f ca="1">(RANDBETWEEN(50,100)/100)*(dict_DQ_Meth_max[[#This Row],[Vergleich_ub]]-dict_DQ_Meth_max[[#This Row],[Vergleich_lb]])+dict_DQ_Meth_max[[#This Row],[Vergleich_lb]]</f>
        <v>978.52</v>
      </c>
      <c r="H638" s="11" t="str">
        <f ca="1">VLOOKUP(VLOOKUP(dict_DQ_Meth_max[[#This Row],[ID_DataQualities]],table_DataQualities[],3),table_Units[],2)</f>
        <v>bit</v>
      </c>
      <c r="I638" s="10"/>
      <c r="J638" s="10"/>
      <c r="K638" s="10"/>
      <c r="L638" s="10">
        <f ca="1">VLOOKUP(dict_DQ_Meth_max[[#This Row],[ID_DataQualities]],table_DataQualities[],8,FALSE)</f>
        <v>49</v>
      </c>
      <c r="M638" s="10">
        <f ca="1">VLOOKUP(dict_DQ_Meth_max[[#This Row],[ID_DataQualities]],table_DataQualities[],9,FALSE)</f>
        <v>1340</v>
      </c>
    </row>
    <row r="639" spans="1:13" x14ac:dyDescent="0.45">
      <c r="A639" s="10">
        <v>171</v>
      </c>
      <c r="B639" s="10">
        <v>53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126.46</v>
      </c>
      <c r="G639" s="12">
        <f ca="1">(RANDBETWEEN(50,100)/100)*(dict_DQ_Meth_max[[#This Row],[Vergleich_ub]]-dict_DQ_Meth_max[[#This Row],[Vergleich_lb]])+dict_DQ_Meth_max[[#This Row],[Vergleich_lb]]</f>
        <v>952.69999999999993</v>
      </c>
      <c r="H639" s="11" t="str">
        <f ca="1">VLOOKUP(VLOOKUP(dict_DQ_Meth_max[[#This Row],[ID_DataQualities]],table_DataQualities[],3),table_Units[],2)</f>
        <v>bit</v>
      </c>
      <c r="I639" s="10"/>
      <c r="J639" s="10"/>
      <c r="K639" s="10"/>
      <c r="L639" s="10">
        <f ca="1">VLOOKUP(dict_DQ_Meth_max[[#This Row],[ID_DataQualities]],table_DataQualities[],8,FALSE)</f>
        <v>49</v>
      </c>
      <c r="M639" s="10">
        <f ca="1">VLOOKUP(dict_DQ_Meth_max[[#This Row],[ID_DataQualities]],table_DataQualities[],9,FALSE)</f>
        <v>1340</v>
      </c>
    </row>
    <row r="640" spans="1:13" x14ac:dyDescent="0.45">
      <c r="A640" s="10">
        <v>171</v>
      </c>
      <c r="B640" s="10">
        <v>9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49</v>
      </c>
      <c r="G640" s="12">
        <f ca="1">(RANDBETWEEN(50,100)/100)*(dict_DQ_Meth_max[[#This Row],[Vergleich_ub]]-dict_DQ_Meth_max[[#This Row],[Vergleich_lb]])+dict_DQ_Meth_max[[#This Row],[Vergleich_lb]]</f>
        <v>1223.81</v>
      </c>
      <c r="H640" s="11" t="str">
        <f ca="1">VLOOKUP(VLOOKUP(dict_DQ_Meth_max[[#This Row],[ID_DataQualities]],table_DataQualities[],3),table_Units[],2)</f>
        <v>bit</v>
      </c>
      <c r="I640" s="10"/>
      <c r="J640" s="10"/>
      <c r="K640" s="10"/>
      <c r="L640" s="10">
        <f ca="1">VLOOKUP(dict_DQ_Meth_max[[#This Row],[ID_DataQualities]],table_DataQualities[],8,FALSE)</f>
        <v>49</v>
      </c>
      <c r="M640" s="10">
        <f ca="1">VLOOKUP(dict_DQ_Meth_max[[#This Row],[ID_DataQualities]],table_DataQualities[],9,FALSE)</f>
        <v>1340</v>
      </c>
    </row>
    <row r="641" spans="1:13" x14ac:dyDescent="0.45">
      <c r="A641" s="10">
        <v>171</v>
      </c>
      <c r="B641" s="10">
        <v>55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539.57999999999993</v>
      </c>
      <c r="G641" s="12">
        <f ca="1">(RANDBETWEEN(50,100)/100)*(dict_DQ_Meth_max[[#This Row],[Vergleich_ub]]-dict_DQ_Meth_max[[#This Row],[Vergleich_lb]])+dict_DQ_Meth_max[[#This Row],[Vergleich_lb]]</f>
        <v>952.69999999999993</v>
      </c>
      <c r="H641" s="11" t="str">
        <f ca="1">VLOOKUP(VLOOKUP(dict_DQ_Meth_max[[#This Row],[ID_DataQualities]],table_DataQualities[],3),table_Units[],2)</f>
        <v>bit</v>
      </c>
      <c r="I641" s="10"/>
      <c r="J641" s="10"/>
      <c r="K641" s="10"/>
      <c r="L641" s="10">
        <f ca="1">VLOOKUP(dict_DQ_Meth_max[[#This Row],[ID_DataQualities]],table_DataQualities[],8,FALSE)</f>
        <v>49</v>
      </c>
      <c r="M641" s="10">
        <f ca="1">VLOOKUP(dict_DQ_Meth_max[[#This Row],[ID_DataQualities]],table_DataQualities[],9,FALSE)</f>
        <v>1340</v>
      </c>
    </row>
    <row r="642" spans="1:13" x14ac:dyDescent="0.45">
      <c r="A642" s="10">
        <v>172</v>
      </c>
      <c r="B642" s="10">
        <v>542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2464.1822499999998</v>
      </c>
      <c r="G642" s="12">
        <f ca="1">(RANDBETWEEN(50,100)/100)*(dict_DQ_Meth_max[[#This Row],[Vergleich_ub]]-dict_DQ_Meth_max[[#This Row],[Vergleich_lb]])+dict_DQ_Meth_max[[#This Row],[Vergleich_lb]]</f>
        <v>9362.0921499999986</v>
      </c>
      <c r="H642" s="11" t="str">
        <f ca="1">VLOOKUP(VLOOKUP(dict_DQ_Meth_max[[#This Row],[ID_DataQualities]],table_DataQualities[],3),table_Units[],2)</f>
        <v>Hz</v>
      </c>
      <c r="I642" s="10"/>
      <c r="J642" s="10"/>
      <c r="K642" s="10"/>
      <c r="L642" s="10">
        <f ca="1">VLOOKUP(dict_DQ_Meth_max[[#This Row],[ID_DataQualities]],table_DataQualities[],8,FALSE)</f>
        <v>0.64300000000000002</v>
      </c>
      <c r="M642" s="10">
        <f ca="1">VLOOKUP(dict_DQ_Meth_max[[#This Row],[ID_DataQualities]],table_DataQualities[],9,FALSE)</f>
        <v>9854.7999999999993</v>
      </c>
    </row>
    <row r="643" spans="1:13" x14ac:dyDescent="0.45">
      <c r="A643" s="10">
        <v>172</v>
      </c>
      <c r="B643" s="10">
        <v>464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2070.0159699999999</v>
      </c>
      <c r="G643" s="12">
        <f ca="1">(RANDBETWEEN(50,100)/100)*(dict_DQ_Meth_max[[#This Row],[Vergleich_ub]]-dict_DQ_Meth_max[[#This Row],[Vergleich_lb]])+dict_DQ_Meth_max[[#This Row],[Vergleich_lb]]</f>
        <v>6800.0113299999994</v>
      </c>
      <c r="H643" s="11" t="str">
        <f ca="1">VLOOKUP(VLOOKUP(dict_DQ_Meth_max[[#This Row],[ID_DataQualities]],table_DataQualities[],3),table_Units[],2)</f>
        <v>Hz</v>
      </c>
      <c r="I643" s="10"/>
      <c r="J643" s="10"/>
      <c r="K643" s="10"/>
      <c r="L643" s="10">
        <f ca="1">VLOOKUP(dict_DQ_Meth_max[[#This Row],[ID_DataQualities]],table_DataQualities[],8,FALSE)</f>
        <v>0.64300000000000002</v>
      </c>
      <c r="M643" s="10">
        <f ca="1">VLOOKUP(dict_DQ_Meth_max[[#This Row],[ID_DataQualities]],table_DataQualities[],9,FALSE)</f>
        <v>9854.7999999999993</v>
      </c>
    </row>
    <row r="644" spans="1:13" x14ac:dyDescent="0.45">
      <c r="A644" s="10">
        <v>172</v>
      </c>
      <c r="B644" s="10">
        <v>503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4730.6383599999999</v>
      </c>
      <c r="G644" s="12">
        <f ca="1">(RANDBETWEEN(50,100)/100)*(dict_DQ_Meth_max[[#This Row],[Vergleich_ub]]-dict_DQ_Meth_max[[#This Row],[Vergleich_lb]])+dict_DQ_Meth_max[[#This Row],[Vergleich_lb]]</f>
        <v>7194.1776099999997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0.64300000000000002</v>
      </c>
      <c r="M644" s="10">
        <f ca="1">VLOOKUP(dict_DQ_Meth_max[[#This Row],[ID_DataQualities]],table_DataQualities[],9,FALSE)</f>
        <v>9854.7999999999993</v>
      </c>
    </row>
    <row r="645" spans="1:13" x14ac:dyDescent="0.45">
      <c r="A645" s="10">
        <v>172</v>
      </c>
      <c r="B645" s="10">
        <v>162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3351.05638</v>
      </c>
      <c r="G645" s="12">
        <f ca="1">(RANDBETWEEN(50,100)/100)*(dict_DQ_Meth_max[[#This Row],[Vergleich_ub]]-dict_DQ_Meth_max[[#This Row],[Vergleich_lb]])+dict_DQ_Meth_max[[#This Row],[Vergleich_lb]]</f>
        <v>6011.6787699999995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0.64300000000000002</v>
      </c>
      <c r="M645" s="10">
        <f ca="1">VLOOKUP(dict_DQ_Meth_max[[#This Row],[ID_DataQualities]],table_DataQualities[],9,FALSE)</f>
        <v>9854.7999999999993</v>
      </c>
    </row>
    <row r="646" spans="1:13" x14ac:dyDescent="0.45">
      <c r="A646" s="10">
        <v>173</v>
      </c>
      <c r="B646" s="10">
        <v>542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3.168E-2</v>
      </c>
      <c r="G646" s="12">
        <f ca="1">(RANDBETWEEN(50,100)/100)*(dict_DQ_Meth_max[[#This Row],[Vergleich_ub]]-dict_DQ_Meth_max[[#This Row],[Vergleich_lb]])+dict_DQ_Meth_max[[#This Row],[Vergleich_lb]]</f>
        <v>0.66088000000000002</v>
      </c>
      <c r="H646" s="11" t="str">
        <f ca="1">VLOOKUP(VLOOKUP(dict_DQ_Meth_max[[#This Row],[ID_DataQualities]],table_DataQualities[],3),table_Units[],2)</f>
        <v>+/- mm</v>
      </c>
      <c r="I646" s="10"/>
      <c r="J646" s="10"/>
      <c r="K646" s="10"/>
      <c r="L646" s="10">
        <f ca="1">VLOOKUP(dict_DQ_Meth_max[[#This Row],[ID_DataQualities]],table_DataQualities[],8,FALSE)</f>
        <v>2.1999999999999999E-2</v>
      </c>
      <c r="M646" s="10">
        <f ca="1">VLOOKUP(dict_DQ_Meth_max[[#This Row],[ID_DataQualities]],table_DataQualities[],9,FALSE)</f>
        <v>0.99</v>
      </c>
    </row>
    <row r="647" spans="1:13" x14ac:dyDescent="0.45">
      <c r="A647" s="10">
        <v>173</v>
      </c>
      <c r="B647" s="10">
        <v>503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3.168E-2</v>
      </c>
      <c r="G647" s="12">
        <f ca="1">(RANDBETWEEN(50,100)/100)*(dict_DQ_Meth_max[[#This Row],[Vergleich_ub]]-dict_DQ_Meth_max[[#This Row],[Vergleich_lb]])+dict_DQ_Meth_max[[#This Row],[Vergleich_lb]]</f>
        <v>0.63183999999999996</v>
      </c>
      <c r="H647" s="11" t="str">
        <f ca="1">VLOOKUP(VLOOKUP(dict_DQ_Meth_max[[#This Row],[ID_DataQualities]],table_DataQualities[],3),table_Units[],2)</f>
        <v>+/- mm</v>
      </c>
      <c r="I647" s="10"/>
      <c r="J647" s="10"/>
      <c r="K647" s="10"/>
      <c r="L647" s="10">
        <f ca="1">VLOOKUP(dict_DQ_Meth_max[[#This Row],[ID_DataQualities]],table_DataQualities[],8,FALSE)</f>
        <v>2.1999999999999999E-2</v>
      </c>
      <c r="M647" s="10">
        <f ca="1">VLOOKUP(dict_DQ_Meth_max[[#This Row],[ID_DataQualities]],table_DataQualities[],9,FALSE)</f>
        <v>0.99</v>
      </c>
    </row>
    <row r="648" spans="1:13" x14ac:dyDescent="0.45">
      <c r="A648" s="10">
        <v>173</v>
      </c>
      <c r="B648" s="10">
        <v>464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6.0719999999999996E-2</v>
      </c>
      <c r="G648" s="12">
        <f ca="1">(RANDBETWEEN(50,100)/100)*(dict_DQ_Meth_max[[#This Row],[Vergleich_ub]]-dict_DQ_Meth_max[[#This Row],[Vergleich_lb]])+dict_DQ_Meth_max[[#This Row],[Vergleich_lb]]</f>
        <v>0.85448000000000002</v>
      </c>
      <c r="H648" s="11" t="str">
        <f ca="1">VLOOKUP(VLOOKUP(dict_DQ_Meth_max[[#This Row],[ID_DataQualities]],table_DataQualities[],3),table_Units[],2)</f>
        <v>+/- mm</v>
      </c>
      <c r="I648" s="10"/>
      <c r="J648" s="10"/>
      <c r="K648" s="10"/>
      <c r="L648" s="10">
        <f ca="1">VLOOKUP(dict_DQ_Meth_max[[#This Row],[ID_DataQualities]],table_DataQualities[],8,FALSE)</f>
        <v>2.1999999999999999E-2</v>
      </c>
      <c r="M648" s="10">
        <f ca="1">VLOOKUP(dict_DQ_Meth_max[[#This Row],[ID_DataQualities]],table_DataQualities[],9,FALSE)</f>
        <v>0.99</v>
      </c>
    </row>
    <row r="649" spans="1:13" x14ac:dyDescent="0.45">
      <c r="A649" s="10">
        <v>173</v>
      </c>
      <c r="B649" s="10">
        <v>162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0.26400000000000001</v>
      </c>
      <c r="G649" s="12">
        <f ca="1">(RANDBETWEEN(50,100)/100)*(dict_DQ_Meth_max[[#This Row],[Vergleich_ub]]-dict_DQ_Meth_max[[#This Row],[Vergleich_lb]])+dict_DQ_Meth_max[[#This Row],[Vergleich_lb]]</f>
        <v>0.91256000000000004</v>
      </c>
      <c r="H649" s="11" t="str">
        <f ca="1">VLOOKUP(VLOOKUP(dict_DQ_Meth_max[[#This Row],[ID_DataQualities]],table_DataQualities[],3),table_Units[],2)</f>
        <v>+/- mm</v>
      </c>
      <c r="I649" s="10"/>
      <c r="J649" s="10"/>
      <c r="K649" s="10"/>
      <c r="L649" s="10">
        <f ca="1">VLOOKUP(dict_DQ_Meth_max[[#This Row],[ID_DataQualities]],table_DataQualities[],8,FALSE)</f>
        <v>2.1999999999999999E-2</v>
      </c>
      <c r="M649" s="10">
        <f ca="1">VLOOKUP(dict_DQ_Meth_max[[#This Row],[ID_DataQualities]],table_DataQualities[],9,FALSE)</f>
        <v>0.99</v>
      </c>
    </row>
    <row r="650" spans="1:13" x14ac:dyDescent="0.45">
      <c r="A650" s="10">
        <v>174</v>
      </c>
      <c r="B650" s="10">
        <v>551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65.938549999999992</v>
      </c>
      <c r="G650" s="12">
        <f ca="1">(RANDBETWEEN(50,100)/100)*(dict_DQ_Meth_max[[#This Row],[Vergleich_ub]]-dict_DQ_Meth_max[[#This Row],[Vergleich_lb]])+dict_DQ_Meth_max[[#This Row],[Vergleich_lb]]</f>
        <v>5894.8645000000006</v>
      </c>
      <c r="H650" s="11" t="str">
        <f ca="1">VLOOKUP(VLOOKUP(dict_DQ_Meth_max[[#This Row],[ID_DataQualities]],table_DataQualities[],3),table_Units[],2)</f>
        <v>Hz</v>
      </c>
      <c r="I650" s="10"/>
      <c r="J650" s="10"/>
      <c r="K650" s="10"/>
      <c r="L650" s="10">
        <f ca="1">VLOOKUP(dict_DQ_Meth_max[[#This Row],[ID_DataQualities]],table_DataQualities[],8,FALSE)</f>
        <v>0.44500000000000001</v>
      </c>
      <c r="M650" s="10">
        <f ca="1">VLOOKUP(dict_DQ_Meth_max[[#This Row],[ID_DataQualities]],table_DataQualities[],9,FALSE)</f>
        <v>6549.8</v>
      </c>
    </row>
    <row r="651" spans="1:13" x14ac:dyDescent="0.45">
      <c r="A651" s="10">
        <v>174</v>
      </c>
      <c r="B651" s="10">
        <v>492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982.84825000000012</v>
      </c>
      <c r="G651" s="12">
        <f ca="1">(RANDBETWEEN(50,100)/100)*(dict_DQ_Meth_max[[#This Row],[Vergleich_ub]]-dict_DQ_Meth_max[[#This Row],[Vergleich_lb]])+dict_DQ_Meth_max[[#This Row],[Vergleich_lb]]</f>
        <v>5436.4096499999996</v>
      </c>
      <c r="H651" s="11" t="str">
        <f ca="1">VLOOKUP(VLOOKUP(dict_DQ_Meth_max[[#This Row],[ID_DataQualities]],table_DataQualities[],3),table_Units[],2)</f>
        <v>Hz</v>
      </c>
      <c r="I651" s="10"/>
      <c r="J651" s="10"/>
      <c r="K651" s="10"/>
      <c r="L651" s="10">
        <f ca="1">VLOOKUP(dict_DQ_Meth_max[[#This Row],[ID_DataQualities]],table_DataQualities[],8,FALSE)</f>
        <v>0.44500000000000001</v>
      </c>
      <c r="M651" s="10">
        <f ca="1">VLOOKUP(dict_DQ_Meth_max[[#This Row],[ID_DataQualities]],table_DataQualities[],9,FALSE)</f>
        <v>6549.8</v>
      </c>
    </row>
    <row r="652" spans="1:13" x14ac:dyDescent="0.45">
      <c r="A652" s="10">
        <v>174</v>
      </c>
      <c r="B652" s="10">
        <v>15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131.43209999999999</v>
      </c>
      <c r="G652" s="12">
        <f ca="1">(RANDBETWEEN(50,100)/100)*(dict_DQ_Meth_max[[#This Row],[Vergleich_ub]]-dict_DQ_Meth_max[[#This Row],[Vergleich_lb]])+dict_DQ_Meth_max[[#This Row],[Vergleich_lb]]</f>
        <v>4715.9805999999999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0.44500000000000001</v>
      </c>
      <c r="M652" s="10">
        <f ca="1">VLOOKUP(dict_DQ_Meth_max[[#This Row],[ID_DataQualities]],table_DataQualities[],9,FALSE)</f>
        <v>6549.8</v>
      </c>
    </row>
    <row r="653" spans="1:13" x14ac:dyDescent="0.45">
      <c r="A653" s="10">
        <v>174</v>
      </c>
      <c r="B653" s="10">
        <v>91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2947.6547500000006</v>
      </c>
      <c r="G653" s="12">
        <f ca="1">(RANDBETWEEN(50,100)/100)*(dict_DQ_Meth_max[[#This Row],[Vergleich_ub]]-dict_DQ_Meth_max[[#This Row],[Vergleich_lb]])+dict_DQ_Meth_max[[#This Row],[Vergleich_lb]]</f>
        <v>4584.9934999999996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0.44500000000000001</v>
      </c>
      <c r="M653" s="10">
        <f ca="1">VLOOKUP(dict_DQ_Meth_max[[#This Row],[ID_DataQualities]],table_DataQualities[],9,FALSE)</f>
        <v>6549.8</v>
      </c>
    </row>
    <row r="654" spans="1:13" x14ac:dyDescent="0.45">
      <c r="A654" s="10">
        <v>174</v>
      </c>
      <c r="B654" s="10">
        <v>473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3209.6289500000003</v>
      </c>
      <c r="G654" s="12">
        <f ca="1">(RANDBETWEEN(50,100)/100)*(dict_DQ_Meth_max[[#This Row],[Vergleich_ub]]-dict_DQ_Meth_max[[#This Row],[Vergleich_lb]])+dict_DQ_Meth_max[[#This Row],[Vergleich_lb]]</f>
        <v>3668.0838000000008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0.44500000000000001</v>
      </c>
      <c r="M654" s="10">
        <f ca="1">VLOOKUP(dict_DQ_Meth_max[[#This Row],[ID_DataQualities]],table_DataQualities[],9,FALSE)</f>
        <v>6549.8</v>
      </c>
    </row>
    <row r="655" spans="1:13" x14ac:dyDescent="0.45">
      <c r="A655" s="10">
        <v>175</v>
      </c>
      <c r="B655" s="10">
        <v>492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1478.28</v>
      </c>
      <c r="G655" s="12">
        <f ca="1">(RANDBETWEEN(50,100)/100)*(dict_DQ_Meth_max[[#This Row],[Vergleich_ub]]-dict_DQ_Meth_max[[#This Row],[Vergleich_lb]])+dict_DQ_Meth_max[[#This Row],[Vergleich_lb]]</f>
        <v>3549.72</v>
      </c>
      <c r="H655" s="11" t="str">
        <f ca="1">VLOOKUP(VLOOKUP(dict_DQ_Meth_max[[#This Row],[ID_DataQualities]],table_DataQualities[],3),table_Units[],2)</f>
        <v>bit</v>
      </c>
      <c r="I655" s="10"/>
      <c r="J655" s="10"/>
      <c r="K655" s="10"/>
      <c r="L655" s="10">
        <f ca="1">VLOOKUP(dict_DQ_Meth_max[[#This Row],[ID_DataQualities]],table_DataQualities[],8,FALSE)</f>
        <v>48</v>
      </c>
      <c r="M655" s="10">
        <f ca="1">VLOOKUP(dict_DQ_Meth_max[[#This Row],[ID_DataQualities]],table_DataQualities[],9,FALSE)</f>
        <v>4980</v>
      </c>
    </row>
    <row r="656" spans="1:13" x14ac:dyDescent="0.45">
      <c r="A656" s="10">
        <v>175</v>
      </c>
      <c r="B656" s="10">
        <v>551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2218.08</v>
      </c>
      <c r="G656" s="12">
        <f ca="1">(RANDBETWEEN(50,100)/100)*(dict_DQ_Meth_max[[#This Row],[Vergleich_ub]]-dict_DQ_Meth_max[[#This Row],[Vergleich_lb]])+dict_DQ_Meth_max[[#This Row],[Vergleich_lb]]</f>
        <v>3056.52</v>
      </c>
      <c r="H656" s="11" t="str">
        <f ca="1">VLOOKUP(VLOOKUP(dict_DQ_Meth_max[[#This Row],[ID_DataQualities]],table_DataQualities[],3),table_Units[],2)</f>
        <v>bit</v>
      </c>
      <c r="I656" s="10"/>
      <c r="J656" s="10"/>
      <c r="K656" s="10"/>
      <c r="L656" s="10">
        <f ca="1">VLOOKUP(dict_DQ_Meth_max[[#This Row],[ID_DataQualities]],table_DataQualities[],8,FALSE)</f>
        <v>48</v>
      </c>
      <c r="M656" s="10">
        <f ca="1">VLOOKUP(dict_DQ_Meth_max[[#This Row],[ID_DataQualities]],table_DataQualities[],9,FALSE)</f>
        <v>4980</v>
      </c>
    </row>
    <row r="657" spans="1:13" x14ac:dyDescent="0.45">
      <c r="A657" s="10">
        <v>175</v>
      </c>
      <c r="B657" s="10">
        <v>15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2267.4</v>
      </c>
      <c r="G657" s="12">
        <f ca="1">(RANDBETWEEN(50,100)/100)*(dict_DQ_Meth_max[[#This Row],[Vergleich_ub]]-dict_DQ_Meth_max[[#This Row],[Vergleich_lb]])+dict_DQ_Meth_max[[#This Row],[Vergleich_lb]]</f>
        <v>3500.3999999999996</v>
      </c>
      <c r="H657" s="11" t="str">
        <f ca="1">VLOOKUP(VLOOKUP(dict_DQ_Meth_max[[#This Row],[ID_DataQualities]],table_DataQualities[],3),table_Units[],2)</f>
        <v>bit</v>
      </c>
      <c r="I657" s="10"/>
      <c r="J657" s="10"/>
      <c r="K657" s="10"/>
      <c r="L657" s="10">
        <f ca="1">VLOOKUP(dict_DQ_Meth_max[[#This Row],[ID_DataQualities]],table_DataQualities[],8,FALSE)</f>
        <v>48</v>
      </c>
      <c r="M657" s="10">
        <f ca="1">VLOOKUP(dict_DQ_Meth_max[[#This Row],[ID_DataQualities]],table_DataQualities[],9,FALSE)</f>
        <v>4980</v>
      </c>
    </row>
    <row r="658" spans="1:13" x14ac:dyDescent="0.45">
      <c r="A658" s="10">
        <v>175</v>
      </c>
      <c r="B658" s="10">
        <v>473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985.08</v>
      </c>
      <c r="G658" s="12">
        <f ca="1">(RANDBETWEEN(50,100)/100)*(dict_DQ_Meth_max[[#This Row],[Vergleich_ub]]-dict_DQ_Meth_max[[#This Row],[Vergleich_lb]])+dict_DQ_Meth_max[[#This Row],[Vergleich_lb]]</f>
        <v>3105.84</v>
      </c>
      <c r="H658" s="11" t="str">
        <f ca="1">VLOOKUP(VLOOKUP(dict_DQ_Meth_max[[#This Row],[ID_DataQualities]],table_DataQualities[],3),table_Units[],2)</f>
        <v>bit</v>
      </c>
      <c r="I658" s="10"/>
      <c r="J658" s="10"/>
      <c r="K658" s="10"/>
      <c r="L658" s="10">
        <f ca="1">VLOOKUP(dict_DQ_Meth_max[[#This Row],[ID_DataQualities]],table_DataQualities[],8,FALSE)</f>
        <v>48</v>
      </c>
      <c r="M658" s="10">
        <f ca="1">VLOOKUP(dict_DQ_Meth_max[[#This Row],[ID_DataQualities]],table_DataQualities[],9,FALSE)</f>
        <v>4980</v>
      </c>
    </row>
    <row r="659" spans="1:13" x14ac:dyDescent="0.45">
      <c r="A659" s="10">
        <v>175</v>
      </c>
      <c r="B659" s="10">
        <v>91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1034.4000000000001</v>
      </c>
      <c r="G659" s="12">
        <f ca="1">(RANDBETWEEN(50,100)/100)*(dict_DQ_Meth_max[[#This Row],[Vergleich_ub]]-dict_DQ_Meth_max[[#This Row],[Vergleich_lb]])+dict_DQ_Meth_max[[#This Row],[Vergleich_lb]]</f>
        <v>4684.08</v>
      </c>
      <c r="H659" s="11" t="str">
        <f ca="1">VLOOKUP(VLOOKUP(dict_DQ_Meth_max[[#This Row],[ID_DataQualities]],table_DataQualities[],3),table_Units[],2)</f>
        <v>bit</v>
      </c>
      <c r="I659" s="10"/>
      <c r="J659" s="10"/>
      <c r="K659" s="10"/>
      <c r="L659" s="10">
        <f ca="1">VLOOKUP(dict_DQ_Meth_max[[#This Row],[ID_DataQualities]],table_DataQualities[],8,FALSE)</f>
        <v>48</v>
      </c>
      <c r="M659" s="10">
        <f ca="1">VLOOKUP(dict_DQ_Meth_max[[#This Row],[ID_DataQualities]],table_DataQualities[],9,FALSE)</f>
        <v>4980</v>
      </c>
    </row>
    <row r="660" spans="1:13" x14ac:dyDescent="0.45">
      <c r="A660" s="10">
        <v>176</v>
      </c>
      <c r="B660" s="10">
        <v>670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463.16847000000007</v>
      </c>
      <c r="G660" s="12">
        <f ca="1">(RANDBETWEEN(50,100)/100)*(dict_DQ_Meth_max[[#This Row],[Vergleich_ub]]-dict_DQ_Meth_max[[#This Row],[Vergleich_lb]])+dict_DQ_Meth_max[[#This Row],[Vergleich_lb]]</f>
        <v>2451.1709000000001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0.20899999999999999</v>
      </c>
      <c r="M660" s="10">
        <f ca="1">VLOOKUP(dict_DQ_Meth_max[[#This Row],[ID_DataQualities]],table_DataQualities[],9,FALSE)</f>
        <v>2723.5</v>
      </c>
    </row>
    <row r="661" spans="1:13" x14ac:dyDescent="0.45">
      <c r="A661" s="10">
        <v>176</v>
      </c>
      <c r="B661" s="10">
        <v>329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871.66212000000007</v>
      </c>
      <c r="G661" s="12">
        <f ca="1">(RANDBETWEEN(50,100)/100)*(dict_DQ_Meth_max[[#This Row],[Vergleich_ub]]-dict_DQ_Meth_max[[#This Row],[Vergleich_lb]])+dict_DQ_Meth_max[[#This Row],[Vergleich_lb]]</f>
        <v>2532.8696300000001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0.20899999999999999</v>
      </c>
      <c r="M661" s="10">
        <f ca="1">VLOOKUP(dict_DQ_Meth_max[[#This Row],[ID_DataQualities]],table_DataQualities[],9,FALSE)</f>
        <v>2723.5</v>
      </c>
    </row>
    <row r="662" spans="1:13" x14ac:dyDescent="0.45">
      <c r="A662" s="10">
        <v>176</v>
      </c>
      <c r="B662" s="10">
        <v>541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626.56592999999998</v>
      </c>
      <c r="G662" s="12">
        <f ca="1">(RANDBETWEEN(50,100)/100)*(dict_DQ_Meth_max[[#This Row],[Vergleich_ub]]-dict_DQ_Meth_max[[#This Row],[Vergleich_lb]])+dict_DQ_Meth_max[[#This Row],[Vergleich_lb]]</f>
        <v>1634.1836000000001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0.20899999999999999</v>
      </c>
      <c r="M662" s="10">
        <f ca="1">VLOOKUP(dict_DQ_Meth_max[[#This Row],[ID_DataQualities]],table_DataQualities[],9,FALSE)</f>
        <v>2723.5</v>
      </c>
    </row>
    <row r="663" spans="1:13" x14ac:dyDescent="0.45">
      <c r="A663" s="10">
        <v>177</v>
      </c>
      <c r="B663" s="10">
        <v>670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1.5533000000000001</v>
      </c>
      <c r="G663" s="12">
        <f ca="1">(RANDBETWEEN(50,100)/100)*(dict_DQ_Meth_max[[#This Row],[Vergleich_ub]]-dict_DQ_Meth_max[[#This Row],[Vergleich_lb]])+dict_DQ_Meth_max[[#This Row],[Vergleich_lb]]</f>
        <v>3.8418400000000004</v>
      </c>
      <c r="H663" s="11" t="str">
        <f ca="1">VLOOKUP(VLOOKUP(dict_DQ_Meth_max[[#This Row],[ID_DataQualities]],table_DataQualities[],3),table_Units[],2)</f>
        <v>+/- W</v>
      </c>
      <c r="I663" s="10"/>
      <c r="J663" s="10"/>
      <c r="K663" s="10"/>
      <c r="L663" s="10">
        <f ca="1">VLOOKUP(dict_DQ_Meth_max[[#This Row],[ID_DataQualities]],table_DataQualities[],8,FALSE)</f>
        <v>4.2000000000000003E-2</v>
      </c>
      <c r="M663" s="10">
        <f ca="1">VLOOKUP(dict_DQ_Meth_max[[#This Row],[ID_DataQualities]],table_DataQualities[],9,FALSE)</f>
        <v>4.3600000000000003</v>
      </c>
    </row>
    <row r="664" spans="1:13" x14ac:dyDescent="0.45">
      <c r="A664" s="10">
        <v>177</v>
      </c>
      <c r="B664" s="10">
        <v>329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1.5101200000000004</v>
      </c>
      <c r="G664" s="12">
        <f ca="1">(RANDBETWEEN(50,100)/100)*(dict_DQ_Meth_max[[#This Row],[Vergleich_ub]]-dict_DQ_Meth_max[[#This Row],[Vergleich_lb]])+dict_DQ_Meth_max[[#This Row],[Vergleich_lb]]</f>
        <v>3.5827599999999999</v>
      </c>
      <c r="H664" s="11" t="str">
        <f ca="1">VLOOKUP(VLOOKUP(dict_DQ_Meth_max[[#This Row],[ID_DataQualities]],table_DataQualities[],3),table_Units[],2)</f>
        <v>+/- W</v>
      </c>
      <c r="I664" s="10"/>
      <c r="J664" s="10"/>
      <c r="K664" s="10"/>
      <c r="L664" s="10">
        <f ca="1">VLOOKUP(dict_DQ_Meth_max[[#This Row],[ID_DataQualities]],table_DataQualities[],8,FALSE)</f>
        <v>4.2000000000000003E-2</v>
      </c>
      <c r="M664" s="10">
        <f ca="1">VLOOKUP(dict_DQ_Meth_max[[#This Row],[ID_DataQualities]],table_DataQualities[],9,FALSE)</f>
        <v>4.3600000000000003</v>
      </c>
    </row>
    <row r="665" spans="1:13" x14ac:dyDescent="0.45">
      <c r="A665" s="10">
        <v>177</v>
      </c>
      <c r="B665" s="10">
        <v>541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0.38744000000000001</v>
      </c>
      <c r="G665" s="12">
        <f ca="1">(RANDBETWEEN(50,100)/100)*(dict_DQ_Meth_max[[#This Row],[Vergleich_ub]]-dict_DQ_Meth_max[[#This Row],[Vergleich_lb]])+dict_DQ_Meth_max[[#This Row],[Vergleich_lb]]</f>
        <v>3.7986600000000004</v>
      </c>
      <c r="H665" s="11" t="str">
        <f ca="1">VLOOKUP(VLOOKUP(dict_DQ_Meth_max[[#This Row],[ID_DataQualities]],table_DataQualities[],3),table_Units[],2)</f>
        <v>+/- W</v>
      </c>
      <c r="I665" s="10"/>
      <c r="J665" s="10"/>
      <c r="K665" s="10"/>
      <c r="L665" s="10">
        <f ca="1">VLOOKUP(dict_DQ_Meth_max[[#This Row],[ID_DataQualities]],table_DataQualities[],8,FALSE)</f>
        <v>4.2000000000000003E-2</v>
      </c>
      <c r="M665" s="10">
        <f ca="1">VLOOKUP(dict_DQ_Meth_max[[#This Row],[ID_DataQualities]],table_DataQualities[],9,FALSE)</f>
        <v>4.3600000000000003</v>
      </c>
    </row>
    <row r="666" spans="1:13" x14ac:dyDescent="0.45">
      <c r="A666" s="10">
        <v>178</v>
      </c>
      <c r="B666" s="10">
        <v>24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909.07124999999996</v>
      </c>
      <c r="G666" s="12">
        <f ca="1">(RANDBETWEEN(50,100)/100)*(dict_DQ_Meth_max[[#This Row],[Vergleich_ub]]-dict_DQ_Meth_max[[#This Row],[Vergleich_lb]])+dict_DQ_Meth_max[[#This Row],[Vergleich_lb]]</f>
        <v>3562.6979000000001</v>
      </c>
      <c r="H666" s="11" t="str">
        <f ca="1">VLOOKUP(VLOOKUP(dict_DQ_Meth_max[[#This Row],[ID_DataQualities]],table_DataQualities[],3),table_Units[],2)</f>
        <v>Hz</v>
      </c>
      <c r="I666" s="10"/>
      <c r="J666" s="10"/>
      <c r="K666" s="10"/>
      <c r="L666" s="10">
        <f ca="1">VLOOKUP(dict_DQ_Meth_max[[#This Row],[ID_DataQualities]],table_DataQualities[],8,FALSE)</f>
        <v>0.29499999999999998</v>
      </c>
      <c r="M666" s="10">
        <f ca="1">VLOOKUP(dict_DQ_Meth_max[[#This Row],[ID_DataQualities]],table_DataQualities[],9,FALSE)</f>
        <v>3635.4</v>
      </c>
    </row>
    <row r="667" spans="1:13" x14ac:dyDescent="0.45">
      <c r="A667" s="10">
        <v>178</v>
      </c>
      <c r="B667" s="10">
        <v>527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1599.7412000000002</v>
      </c>
      <c r="G667" s="12">
        <f ca="1">(RANDBETWEEN(50,100)/100)*(dict_DQ_Meth_max[[#This Row],[Vergleich_ub]]-dict_DQ_Meth_max[[#This Row],[Vergleich_lb]])+dict_DQ_Meth_max[[#This Row],[Vergleich_lb]]</f>
        <v>2472.1664000000001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0.29499999999999998</v>
      </c>
      <c r="M667" s="10">
        <f ca="1">VLOOKUP(dict_DQ_Meth_max[[#This Row],[ID_DataQualities]],table_DataQualities[],9,FALSE)</f>
        <v>3635.4</v>
      </c>
    </row>
    <row r="668" spans="1:13" x14ac:dyDescent="0.45">
      <c r="A668" s="10">
        <v>178</v>
      </c>
      <c r="B668" s="10">
        <v>127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1199.8796500000001</v>
      </c>
      <c r="G668" s="12">
        <f ca="1">(RANDBETWEEN(50,100)/100)*(dict_DQ_Meth_max[[#This Row],[Vergleich_ub]]-dict_DQ_Meth_max[[#This Row],[Vergleich_lb]])+dict_DQ_Meth_max[[#This Row],[Vergleich_lb]]</f>
        <v>3453.6447499999999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0.29499999999999998</v>
      </c>
      <c r="M668" s="10">
        <f ca="1">VLOOKUP(dict_DQ_Meth_max[[#This Row],[ID_DataQualities]],table_DataQualities[],9,FALSE)</f>
        <v>3635.4</v>
      </c>
    </row>
    <row r="669" spans="1:13" x14ac:dyDescent="0.45">
      <c r="A669" s="10">
        <v>179</v>
      </c>
      <c r="B669" s="10">
        <v>527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3480.52</v>
      </c>
      <c r="G669" s="12">
        <f ca="1">(RANDBETWEEN(50,100)/100)*(dict_DQ_Meth_max[[#This Row],[Vergleich_ub]]-dict_DQ_Meth_max[[#This Row],[Vergleich_lb]])+dict_DQ_Meth_max[[#This Row],[Vergleich_lb]]</f>
        <v>7360.76</v>
      </c>
      <c r="H669" s="11" t="str">
        <f ca="1">VLOOKUP(VLOOKUP(dict_DQ_Meth_max[[#This Row],[ID_DataQualities]],table_DataQualities[],3),table_Units[],2)</f>
        <v>bit</v>
      </c>
      <c r="I669" s="10"/>
      <c r="J669" s="10"/>
      <c r="K669" s="10"/>
      <c r="L669" s="10">
        <f ca="1">VLOOKUP(dict_DQ_Meth_max[[#This Row],[ID_DataQualities]],table_DataQualities[],8,FALSE)</f>
        <v>48</v>
      </c>
      <c r="M669" s="10">
        <f ca="1">VLOOKUP(dict_DQ_Meth_max[[#This Row],[ID_DataQualities]],table_DataQualities[],9,FALSE)</f>
        <v>7510</v>
      </c>
    </row>
    <row r="670" spans="1:13" x14ac:dyDescent="0.45">
      <c r="A670" s="10">
        <v>179</v>
      </c>
      <c r="B670" s="10">
        <v>24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1913.5</v>
      </c>
      <c r="G670" s="12">
        <f ca="1">(RANDBETWEEN(50,100)/100)*(dict_DQ_Meth_max[[#This Row],[Vergleich_ub]]-dict_DQ_Meth_max[[#This Row],[Vergleich_lb]])+dict_DQ_Meth_max[[#This Row],[Vergleich_lb]]</f>
        <v>6539.94</v>
      </c>
      <c r="H670" s="11" t="str">
        <f ca="1">VLOOKUP(VLOOKUP(dict_DQ_Meth_max[[#This Row],[ID_DataQualities]],table_DataQualities[],3),table_Units[],2)</f>
        <v>bit</v>
      </c>
      <c r="I670" s="10"/>
      <c r="J670" s="10"/>
      <c r="K670" s="10"/>
      <c r="L670" s="10">
        <f ca="1">VLOOKUP(dict_DQ_Meth_max[[#This Row],[ID_DataQualities]],table_DataQualities[],8,FALSE)</f>
        <v>48</v>
      </c>
      <c r="M670" s="10">
        <f ca="1">VLOOKUP(dict_DQ_Meth_max[[#This Row],[ID_DataQualities]],table_DataQualities[],9,FALSE)</f>
        <v>7510</v>
      </c>
    </row>
    <row r="671" spans="1:13" x14ac:dyDescent="0.45">
      <c r="A671" s="10">
        <v>179</v>
      </c>
      <c r="B671" s="10">
        <v>127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2211.98</v>
      </c>
      <c r="G671" s="12">
        <f ca="1">(RANDBETWEEN(50,100)/100)*(dict_DQ_Meth_max[[#This Row],[Vergleich_ub]]-dict_DQ_Meth_max[[#This Row],[Vergleich_lb]])+dict_DQ_Meth_max[[#This Row],[Vergleich_lb]]</f>
        <v>4152.1000000000004</v>
      </c>
      <c r="H671" s="11" t="str">
        <f ca="1">VLOOKUP(VLOOKUP(dict_DQ_Meth_max[[#This Row],[ID_DataQualities]],table_DataQualities[],3),table_Units[],2)</f>
        <v>bit</v>
      </c>
      <c r="I671" s="10"/>
      <c r="J671" s="10"/>
      <c r="K671" s="10"/>
      <c r="L671" s="10">
        <f ca="1">VLOOKUP(dict_DQ_Meth_max[[#This Row],[ID_DataQualities]],table_DataQualities[],8,FALSE)</f>
        <v>48</v>
      </c>
      <c r="M671" s="10">
        <f ca="1">VLOOKUP(dict_DQ_Meth_max[[#This Row],[ID_DataQualities]],table_DataQualities[],9,FALSE)</f>
        <v>7510</v>
      </c>
    </row>
    <row r="672" spans="1:13" x14ac:dyDescent="0.45">
      <c r="A672" s="10">
        <v>180</v>
      </c>
      <c r="B672" s="10">
        <v>658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78.39676</v>
      </c>
      <c r="G672" s="12">
        <f ca="1">(RANDBETWEEN(50,100)/100)*(dict_DQ_Meth_max[[#This Row],[Vergleich_ub]]-dict_DQ_Meth_max[[#This Row],[Vergleich_lb]])+dict_DQ_Meth_max[[#This Row],[Vergleich_lb]]</f>
        <v>1350.5798400000003</v>
      </c>
      <c r="H672" s="11" t="str">
        <f ca="1">VLOOKUP(VLOOKUP(dict_DQ_Meth_max[[#This Row],[ID_DataQualities]],table_DataQualities[],3),table_Units[],2)</f>
        <v>Hz</v>
      </c>
      <c r="I672" s="10"/>
      <c r="J672" s="10"/>
      <c r="K672" s="10"/>
      <c r="L672" s="10">
        <f ca="1">VLOOKUP(dict_DQ_Meth_max[[#This Row],[ID_DataQualities]],table_DataQualities[],8,FALSE)</f>
        <v>0.50800000000000001</v>
      </c>
      <c r="M672" s="10">
        <f ca="1">VLOOKUP(dict_DQ_Meth_max[[#This Row],[ID_DataQualities]],table_DataQualities[],9,FALSE)</f>
        <v>2596.8000000000002</v>
      </c>
    </row>
    <row r="673" spans="1:13" x14ac:dyDescent="0.45">
      <c r="A673" s="10">
        <v>180</v>
      </c>
      <c r="B673" s="10">
        <v>199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675.54392000000018</v>
      </c>
      <c r="G673" s="12">
        <f ca="1">(RANDBETWEEN(50,100)/100)*(dict_DQ_Meth_max[[#This Row],[Vergleich_ub]]-dict_DQ_Meth_max[[#This Row],[Vergleich_lb]])+dict_DQ_Meth_max[[#This Row],[Vergleich_lb]]</f>
        <v>1662.1348800000003</v>
      </c>
      <c r="H673" s="11" t="str">
        <f ca="1">VLOOKUP(VLOOKUP(dict_DQ_Meth_max[[#This Row],[ID_DataQualities]],table_DataQualities[],3),table_Units[],2)</f>
        <v>Hz</v>
      </c>
      <c r="I673" s="10"/>
      <c r="J673" s="10"/>
      <c r="K673" s="10"/>
      <c r="L673" s="10">
        <f ca="1">VLOOKUP(dict_DQ_Meth_max[[#This Row],[ID_DataQualities]],table_DataQualities[],8,FALSE)</f>
        <v>0.50800000000000001</v>
      </c>
      <c r="M673" s="10">
        <f ca="1">VLOOKUP(dict_DQ_Meth_max[[#This Row],[ID_DataQualities]],table_DataQualities[],9,FALSE)</f>
        <v>2596.8000000000002</v>
      </c>
    </row>
    <row r="674" spans="1:13" x14ac:dyDescent="0.45">
      <c r="A674" s="10">
        <v>180</v>
      </c>
      <c r="B674" s="10">
        <v>53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701.50684000000024</v>
      </c>
      <c r="G674" s="12">
        <f ca="1">(RANDBETWEEN(50,100)/100)*(dict_DQ_Meth_max[[#This Row],[Vergleich_ub]]-dict_DQ_Meth_max[[#This Row],[Vergleich_lb]])+dict_DQ_Meth_max[[#This Row],[Vergleich_lb]]</f>
        <v>1402.5056800000004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0.50800000000000001</v>
      </c>
      <c r="M674" s="10">
        <f ca="1">VLOOKUP(dict_DQ_Meth_max[[#This Row],[ID_DataQualities]],table_DataQualities[],9,FALSE)</f>
        <v>2596.8000000000002</v>
      </c>
    </row>
    <row r="675" spans="1:13" x14ac:dyDescent="0.45">
      <c r="A675" s="10">
        <v>180</v>
      </c>
      <c r="B675" s="10">
        <v>316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52.433840000000011</v>
      </c>
      <c r="G675" s="12">
        <f ca="1">(RANDBETWEEN(50,100)/100)*(dict_DQ_Meth_max[[#This Row],[Vergleich_ub]]-dict_DQ_Meth_max[[#This Row],[Vergleich_lb]])+dict_DQ_Meth_max[[#This Row],[Vergleich_lb]]</f>
        <v>1350.5798400000003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0.50800000000000001</v>
      </c>
      <c r="M675" s="10">
        <f ca="1">VLOOKUP(dict_DQ_Meth_max[[#This Row],[ID_DataQualities]],table_DataQualities[],9,FALSE)</f>
        <v>2596.8000000000002</v>
      </c>
    </row>
    <row r="676" spans="1:13" x14ac:dyDescent="0.45">
      <c r="A676" s="10">
        <v>181</v>
      </c>
      <c r="B676" s="10">
        <v>658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4.1508000000000003</v>
      </c>
      <c r="G676" s="12">
        <f ca="1">(RANDBETWEEN(50,100)/100)*(dict_DQ_Meth_max[[#This Row],[Vergleich_ub]]-dict_DQ_Meth_max[[#This Row],[Vergleich_lb]])+dict_DQ_Meth_max[[#This Row],[Vergleich_lb]]</f>
        <v>7.4603999999999999</v>
      </c>
      <c r="H676" s="11" t="str">
        <f ca="1">VLOOKUP(VLOOKUP(dict_DQ_Meth_max[[#This Row],[ID_DataQualities]],table_DataQualities[],3),table_Units[],2)</f>
        <v>+/- mm/s</v>
      </c>
      <c r="I676" s="10"/>
      <c r="J676" s="10"/>
      <c r="K676" s="10"/>
      <c r="L676" s="10">
        <f ca="1">VLOOKUP(dict_DQ_Meth_max[[#This Row],[ID_DataQualities]],table_DataQualities[],8,FALSE)</f>
        <v>0.92</v>
      </c>
      <c r="M676" s="10">
        <f ca="1">VLOOKUP(dict_DQ_Meth_max[[#This Row],[ID_DataQualities]],table_DataQualities[],9,FALSE)</f>
        <v>8.8000000000000007</v>
      </c>
    </row>
    <row r="677" spans="1:13" x14ac:dyDescent="0.45">
      <c r="A677" s="10">
        <v>181</v>
      </c>
      <c r="B677" s="10">
        <v>199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3.3628</v>
      </c>
      <c r="G677" s="12">
        <f ca="1">(RANDBETWEEN(50,100)/100)*(dict_DQ_Meth_max[[#This Row],[Vergleich_ub]]-dict_DQ_Meth_max[[#This Row],[Vergleich_lb]])+dict_DQ_Meth_max[[#This Row],[Vergleich_lb]]</f>
        <v>7.3816000000000006</v>
      </c>
      <c r="H677" s="11" t="str">
        <f ca="1">VLOOKUP(VLOOKUP(dict_DQ_Meth_max[[#This Row],[ID_DataQualities]],table_DataQualities[],3),table_Units[],2)</f>
        <v>+/- mm/s</v>
      </c>
      <c r="I677" s="10"/>
      <c r="J677" s="10"/>
      <c r="K677" s="10"/>
      <c r="L677" s="10">
        <f ca="1">VLOOKUP(dict_DQ_Meth_max[[#This Row],[ID_DataQualities]],table_DataQualities[],8,FALSE)</f>
        <v>0.92</v>
      </c>
      <c r="M677" s="10">
        <f ca="1">VLOOKUP(dict_DQ_Meth_max[[#This Row],[ID_DataQualities]],table_DataQualities[],9,FALSE)</f>
        <v>8.8000000000000007</v>
      </c>
    </row>
    <row r="678" spans="1:13" x14ac:dyDescent="0.45">
      <c r="A678" s="10">
        <v>181</v>
      </c>
      <c r="B678" s="10">
        <v>316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4.3872000000000009</v>
      </c>
      <c r="G678" s="12">
        <f ca="1">(RANDBETWEEN(50,100)/100)*(dict_DQ_Meth_max[[#This Row],[Vergleich_ub]]-dict_DQ_Meth_max[[#This Row],[Vergleich_lb]])+dict_DQ_Meth_max[[#This Row],[Vergleich_lb]]</f>
        <v>5.0964000000000009</v>
      </c>
      <c r="H678" s="11" t="str">
        <f ca="1">VLOOKUP(VLOOKUP(dict_DQ_Meth_max[[#This Row],[ID_DataQualities]],table_DataQualities[],3),table_Units[],2)</f>
        <v>+/- mm/s</v>
      </c>
      <c r="I678" s="10"/>
      <c r="J678" s="10"/>
      <c r="K678" s="10"/>
      <c r="L678" s="10">
        <f ca="1">VLOOKUP(dict_DQ_Meth_max[[#This Row],[ID_DataQualities]],table_DataQualities[],8,FALSE)</f>
        <v>0.92</v>
      </c>
      <c r="M678" s="10">
        <f ca="1">VLOOKUP(dict_DQ_Meth_max[[#This Row],[ID_DataQualities]],table_DataQualities[],9,FALSE)</f>
        <v>8.8000000000000007</v>
      </c>
    </row>
    <row r="679" spans="1:13" x14ac:dyDescent="0.45">
      <c r="A679" s="10">
        <v>181</v>
      </c>
      <c r="B679" s="10">
        <v>53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3.3628</v>
      </c>
      <c r="G679" s="12">
        <f ca="1">(RANDBETWEEN(50,100)/100)*(dict_DQ_Meth_max[[#This Row],[Vergleich_ub]]-dict_DQ_Meth_max[[#This Row],[Vergleich_lb]])+dict_DQ_Meth_max[[#This Row],[Vergleich_lb]]</f>
        <v>5.6480000000000006</v>
      </c>
      <c r="H679" s="11" t="str">
        <f ca="1">VLOOKUP(VLOOKUP(dict_DQ_Meth_max[[#This Row],[ID_DataQualities]],table_DataQualities[],3),table_Units[],2)</f>
        <v>+/- mm/s</v>
      </c>
      <c r="I679" s="10"/>
      <c r="J679" s="10"/>
      <c r="K679" s="10"/>
      <c r="L679" s="10">
        <f ca="1">VLOOKUP(dict_DQ_Meth_max[[#This Row],[ID_DataQualities]],table_DataQualities[],8,FALSE)</f>
        <v>0.92</v>
      </c>
      <c r="M679" s="10">
        <f ca="1">VLOOKUP(dict_DQ_Meth_max[[#This Row],[ID_DataQualities]],table_DataQualities[],9,FALSE)</f>
        <v>8.8000000000000007</v>
      </c>
    </row>
    <row r="680" spans="1:13" x14ac:dyDescent="0.45">
      <c r="A680" s="10">
        <v>182</v>
      </c>
      <c r="B680" s="10">
        <v>39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1169.1930399999999</v>
      </c>
      <c r="G680" s="12">
        <f ca="1">(RANDBETWEEN(50,100)/100)*(dict_DQ_Meth_max[[#This Row],[Vergleich_ub]]-dict_DQ_Meth_max[[#This Row],[Vergleich_lb]])+dict_DQ_Meth_max[[#This Row],[Vergleich_lb]]</f>
        <v>8666.8116300000002</v>
      </c>
      <c r="H680" s="11" t="str">
        <f ca="1">VLOOKUP(VLOOKUP(dict_DQ_Meth_max[[#This Row],[ID_DataQualities]],table_DataQualities[],3),table_Units[],2)</f>
        <v>Hz</v>
      </c>
      <c r="I680" s="10"/>
      <c r="J680" s="10"/>
      <c r="K680" s="10"/>
      <c r="L680" s="10">
        <f ca="1">VLOOKUP(dict_DQ_Meth_max[[#This Row],[ID_DataQualities]],table_DataQualities[],8,FALSE)</f>
        <v>0.73299999999999998</v>
      </c>
      <c r="M680" s="10">
        <f ca="1">VLOOKUP(dict_DQ_Meth_max[[#This Row],[ID_DataQualities]],table_DataQualities[],9,FALSE)</f>
        <v>9737.9</v>
      </c>
    </row>
    <row r="681" spans="1:13" x14ac:dyDescent="0.45">
      <c r="A681" s="10">
        <v>182</v>
      </c>
      <c r="B681" s="10">
        <v>439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98.104669999999999</v>
      </c>
      <c r="G681" s="12">
        <f ca="1">(RANDBETWEEN(50,100)/100)*(dict_DQ_Meth_max[[#This Row],[Vergleich_ub]]-dict_DQ_Meth_max[[#This Row],[Vergleich_lb]])+dict_DQ_Meth_max[[#This Row],[Vergleich_lb]]</f>
        <v>8666.8116300000002</v>
      </c>
      <c r="H681" s="11" t="str">
        <f ca="1">VLOOKUP(VLOOKUP(dict_DQ_Meth_max[[#This Row],[ID_DataQualities]],table_DataQualities[],3),table_Units[],2)</f>
        <v>Hz</v>
      </c>
      <c r="I681" s="10"/>
      <c r="J681" s="10"/>
      <c r="K681" s="10"/>
      <c r="L681" s="10">
        <f ca="1">VLOOKUP(dict_DQ_Meth_max[[#This Row],[ID_DataQualities]],table_DataQualities[],8,FALSE)</f>
        <v>0.73299999999999998</v>
      </c>
      <c r="M681" s="10">
        <f ca="1">VLOOKUP(dict_DQ_Meth_max[[#This Row],[ID_DataQualities]],table_DataQualities[],9,FALSE)</f>
        <v>9737.9</v>
      </c>
    </row>
    <row r="682" spans="1:13" x14ac:dyDescent="0.45">
      <c r="A682" s="10">
        <v>182</v>
      </c>
      <c r="B682" s="10">
        <v>410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4771.9448299999995</v>
      </c>
      <c r="G682" s="12">
        <f ca="1">(RANDBETWEEN(50,100)/100)*(dict_DQ_Meth_max[[#This Row],[Vergleich_ub]]-dict_DQ_Meth_max[[#This Row],[Vergleich_lb]])+dict_DQ_Meth_max[[#This Row],[Vergleich_lb]]</f>
        <v>5550.9181899999994</v>
      </c>
      <c r="H682" s="11" t="str">
        <f ca="1">VLOOKUP(VLOOKUP(dict_DQ_Meth_max[[#This Row],[ID_DataQualities]],table_DataQualities[],3),table_Units[],2)</f>
        <v>Hz</v>
      </c>
      <c r="I682" s="10"/>
      <c r="J682" s="10"/>
      <c r="K682" s="10"/>
      <c r="L682" s="10">
        <f ca="1">VLOOKUP(dict_DQ_Meth_max[[#This Row],[ID_DataQualities]],table_DataQualities[],8,FALSE)</f>
        <v>0.73299999999999998</v>
      </c>
      <c r="M682" s="10">
        <f ca="1">VLOOKUP(dict_DQ_Meth_max[[#This Row],[ID_DataQualities]],table_DataQualities[],9,FALSE)</f>
        <v>9737.9</v>
      </c>
    </row>
    <row r="683" spans="1:13" x14ac:dyDescent="0.45">
      <c r="A683" s="10">
        <v>182</v>
      </c>
      <c r="B683" s="10">
        <v>108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3992.9714699999995</v>
      </c>
      <c r="G683" s="12">
        <f ca="1">(RANDBETWEEN(50,100)/100)*(dict_DQ_Meth_max[[#This Row],[Vergleich_ub]]-dict_DQ_Meth_max[[#This Row],[Vergleich_lb]])+dict_DQ_Meth_max[[#This Row],[Vergleich_lb]]</f>
        <v>8374.6966199999988</v>
      </c>
      <c r="H683" s="11" t="str">
        <f ca="1">VLOOKUP(VLOOKUP(dict_DQ_Meth_max[[#This Row],[ID_DataQualities]],table_DataQualities[],3),table_Units[],2)</f>
        <v>Hz</v>
      </c>
      <c r="I683" s="10"/>
      <c r="J683" s="10"/>
      <c r="K683" s="10"/>
      <c r="L683" s="10">
        <f ca="1">VLOOKUP(dict_DQ_Meth_max[[#This Row],[ID_DataQualities]],table_DataQualities[],8,FALSE)</f>
        <v>0.73299999999999998</v>
      </c>
      <c r="M683" s="10">
        <f ca="1">VLOOKUP(dict_DQ_Meth_max[[#This Row],[ID_DataQualities]],table_DataQualities[],9,FALSE)</f>
        <v>9737.9</v>
      </c>
    </row>
    <row r="684" spans="1:13" x14ac:dyDescent="0.45">
      <c r="A684" s="10">
        <v>182</v>
      </c>
      <c r="B684" s="10">
        <v>383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2045.5380699999998</v>
      </c>
      <c r="G684" s="12">
        <f ca="1">(RANDBETWEEN(50,100)/100)*(dict_DQ_Meth_max[[#This Row],[Vergleich_ub]]-dict_DQ_Meth_max[[#This Row],[Vergleich_lb]])+dict_DQ_Meth_max[[#This Row],[Vergleich_lb]]</f>
        <v>5453.5465200000008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0.73299999999999998</v>
      </c>
      <c r="M684" s="10">
        <f ca="1">VLOOKUP(dict_DQ_Meth_max[[#This Row],[ID_DataQualities]],table_DataQualities[],9,FALSE)</f>
        <v>9737.9</v>
      </c>
    </row>
    <row r="685" spans="1:13" x14ac:dyDescent="0.45">
      <c r="A685" s="10">
        <v>183</v>
      </c>
      <c r="B685" s="10">
        <v>383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0.73449999999999993</v>
      </c>
      <c r="G685" s="12">
        <f ca="1">(RANDBETWEEN(50,100)/100)*(dict_DQ_Meth_max[[#This Row],[Vergleich_ub]]-dict_DQ_Meth_max[[#This Row],[Vergleich_lb]])+dict_DQ_Meth_max[[#This Row],[Vergleich_lb]]</f>
        <v>4.3228</v>
      </c>
      <c r="H685" s="11" t="str">
        <f ca="1">VLOOKUP(VLOOKUP(dict_DQ_Meth_max[[#This Row],[ID_DataQualities]],table_DataQualities[],3),table_Units[],2)</f>
        <v>+/- mm/s</v>
      </c>
      <c r="I685" s="10"/>
      <c r="J685" s="10"/>
      <c r="K685" s="10"/>
      <c r="L685" s="10">
        <f ca="1">VLOOKUP(dict_DQ_Meth_max[[#This Row],[ID_DataQualities]],table_DataQualities[],8,FALSE)</f>
        <v>7.0000000000000007E-2</v>
      </c>
      <c r="M685" s="10">
        <f ca="1">VLOOKUP(dict_DQ_Meth_max[[#This Row],[ID_DataQualities]],table_DataQualities[],9,FALSE)</f>
        <v>4.5</v>
      </c>
    </row>
    <row r="686" spans="1:13" x14ac:dyDescent="0.45">
      <c r="A686" s="10">
        <v>183</v>
      </c>
      <c r="B686" s="10">
        <v>410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1.5319</v>
      </c>
      <c r="G686" s="12">
        <f ca="1">(RANDBETWEEN(50,100)/100)*(dict_DQ_Meth_max[[#This Row],[Vergleich_ub]]-dict_DQ_Meth_max[[#This Row],[Vergleich_lb]])+dict_DQ_Meth_max[[#This Row],[Vergleich_lb]]</f>
        <v>2.2849999999999997</v>
      </c>
      <c r="H686" s="11" t="str">
        <f ca="1">VLOOKUP(VLOOKUP(dict_DQ_Meth_max[[#This Row],[ID_DataQualities]],table_DataQualities[],3),table_Units[],2)</f>
        <v>+/- mm/s</v>
      </c>
      <c r="I686" s="10"/>
      <c r="J686" s="10"/>
      <c r="K686" s="10"/>
      <c r="L686" s="10">
        <f ca="1">VLOOKUP(dict_DQ_Meth_max[[#This Row],[ID_DataQualities]],table_DataQualities[],8,FALSE)</f>
        <v>7.0000000000000007E-2</v>
      </c>
      <c r="M686" s="10">
        <f ca="1">VLOOKUP(dict_DQ_Meth_max[[#This Row],[ID_DataQualities]],table_DataQualities[],9,FALSE)</f>
        <v>4.5</v>
      </c>
    </row>
    <row r="687" spans="1:13" x14ac:dyDescent="0.45">
      <c r="A687" s="10">
        <v>183</v>
      </c>
      <c r="B687" s="10">
        <v>39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0.15860000000000002</v>
      </c>
      <c r="G687" s="12">
        <f ca="1">(RANDBETWEEN(50,100)/100)*(dict_DQ_Meth_max[[#This Row],[Vergleich_ub]]-dict_DQ_Meth_max[[#This Row],[Vergleich_lb]])+dict_DQ_Meth_max[[#This Row],[Vergleich_lb]]</f>
        <v>3.6582999999999997</v>
      </c>
      <c r="H687" s="11" t="str">
        <f ca="1">VLOOKUP(VLOOKUP(dict_DQ_Meth_max[[#This Row],[ID_DataQualities]],table_DataQualities[],3),table_Units[],2)</f>
        <v>+/- mm/s</v>
      </c>
      <c r="I687" s="10"/>
      <c r="J687" s="10"/>
      <c r="K687" s="10"/>
      <c r="L687" s="10">
        <f ca="1">VLOOKUP(dict_DQ_Meth_max[[#This Row],[ID_DataQualities]],table_DataQualities[],8,FALSE)</f>
        <v>7.0000000000000007E-2</v>
      </c>
      <c r="M687" s="10">
        <f ca="1">VLOOKUP(dict_DQ_Meth_max[[#This Row],[ID_DataQualities]],table_DataQualities[],9,FALSE)</f>
        <v>4.5</v>
      </c>
    </row>
    <row r="688" spans="1:13" x14ac:dyDescent="0.45">
      <c r="A688" s="10">
        <v>183</v>
      </c>
      <c r="B688" s="10">
        <v>108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0.4244</v>
      </c>
      <c r="G688" s="12">
        <f ca="1">(RANDBETWEEN(50,100)/100)*(dict_DQ_Meth_max[[#This Row],[Vergleich_ub]]-dict_DQ_Meth_max[[#This Row],[Vergleich_lb]])+dict_DQ_Meth_max[[#This Row],[Vergleich_lb]]</f>
        <v>3.9240999999999997</v>
      </c>
      <c r="H688" s="11" t="str">
        <f ca="1">VLOOKUP(VLOOKUP(dict_DQ_Meth_max[[#This Row],[ID_DataQualities]],table_DataQualities[],3),table_Units[],2)</f>
        <v>+/- mm/s</v>
      </c>
      <c r="I688" s="10"/>
      <c r="J688" s="10"/>
      <c r="K688" s="10"/>
      <c r="L688" s="10">
        <f ca="1">VLOOKUP(dict_DQ_Meth_max[[#This Row],[ID_DataQualities]],table_DataQualities[],8,FALSE)</f>
        <v>7.0000000000000007E-2</v>
      </c>
      <c r="M688" s="10">
        <f ca="1">VLOOKUP(dict_DQ_Meth_max[[#This Row],[ID_DataQualities]],table_DataQualities[],9,FALSE)</f>
        <v>4.5</v>
      </c>
    </row>
    <row r="689" spans="1:13" x14ac:dyDescent="0.45">
      <c r="A689" s="10">
        <v>183</v>
      </c>
      <c r="B689" s="10">
        <v>439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0.86739999999999995</v>
      </c>
      <c r="G689" s="12">
        <f ca="1">(RANDBETWEEN(50,100)/100)*(dict_DQ_Meth_max[[#This Row],[Vergleich_ub]]-dict_DQ_Meth_max[[#This Row],[Vergleich_lb]])+dict_DQ_Meth_max[[#This Row],[Vergleich_lb]]</f>
        <v>2.9051999999999998</v>
      </c>
      <c r="H689" s="11" t="str">
        <f ca="1">VLOOKUP(VLOOKUP(dict_DQ_Meth_max[[#This Row],[ID_DataQualities]],table_DataQualities[],3),table_Units[],2)</f>
        <v>+/- mm/s</v>
      </c>
      <c r="I689" s="10"/>
      <c r="J689" s="10"/>
      <c r="K689" s="10"/>
      <c r="L689" s="10">
        <f ca="1">VLOOKUP(dict_DQ_Meth_max[[#This Row],[ID_DataQualities]],table_DataQualities[],8,FALSE)</f>
        <v>7.0000000000000007E-2</v>
      </c>
      <c r="M689" s="10">
        <f ca="1">VLOOKUP(dict_DQ_Meth_max[[#This Row],[ID_DataQualities]],table_DataQualities[],9,FALSE)</f>
        <v>4.5</v>
      </c>
    </row>
    <row r="690" spans="1:13" x14ac:dyDescent="0.45">
      <c r="A690" s="10">
        <v>184</v>
      </c>
      <c r="B690" s="10">
        <v>262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2798.4663</v>
      </c>
      <c r="G690" s="12">
        <f ca="1">(RANDBETWEEN(50,100)/100)*(dict_DQ_Meth_max[[#This Row],[Vergleich_ub]]-dict_DQ_Meth_max[[#This Row],[Vergleich_lb]])+dict_DQ_Meth_max[[#This Row],[Vergleich_lb]]</f>
        <v>5237.3441000000003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0.93</v>
      </c>
      <c r="M690" s="10">
        <f ca="1">VLOOKUP(dict_DQ_Meth_max[[#This Row],[ID_DataQualities]],table_DataQualities[],9,FALSE)</f>
        <v>7174.1</v>
      </c>
    </row>
    <row r="691" spans="1:13" x14ac:dyDescent="0.45">
      <c r="A691" s="10">
        <v>184</v>
      </c>
      <c r="B691" s="10">
        <v>71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1435.5640000000001</v>
      </c>
      <c r="G691" s="12">
        <f ca="1">(RANDBETWEEN(50,100)/100)*(dict_DQ_Meth_max[[#This Row],[Vergleich_ub]]-dict_DQ_Meth_max[[#This Row],[Vergleich_lb]])+dict_DQ_Meth_max[[#This Row],[Vergleich_lb]]</f>
        <v>5452.5392000000002</v>
      </c>
      <c r="H691" s="11" t="str">
        <f ca="1">VLOOKUP(VLOOKUP(dict_DQ_Meth_max[[#This Row],[ID_DataQualities]],table_DataQualities[],3),table_Units[],2)</f>
        <v>Hz</v>
      </c>
      <c r="I691" s="10"/>
      <c r="J691" s="10"/>
      <c r="K691" s="10"/>
      <c r="L691" s="10">
        <f ca="1">VLOOKUP(dict_DQ_Meth_max[[#This Row],[ID_DataQualities]],table_DataQualities[],8,FALSE)</f>
        <v>0.93</v>
      </c>
      <c r="M691" s="10">
        <f ca="1">VLOOKUP(dict_DQ_Meth_max[[#This Row],[ID_DataQualities]],table_DataQualities[],9,FALSE)</f>
        <v>7174.1</v>
      </c>
    </row>
    <row r="692" spans="1:13" x14ac:dyDescent="0.45">
      <c r="A692" s="10">
        <v>185</v>
      </c>
      <c r="B692" s="10">
        <v>71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1.2859</v>
      </c>
      <c r="G692" s="12">
        <f ca="1">(RANDBETWEEN(50,100)/100)*(dict_DQ_Meth_max[[#This Row],[Vergleich_ub]]-dict_DQ_Meth_max[[#This Row],[Vergleich_lb]])+dict_DQ_Meth_max[[#This Row],[Vergleich_lb]]</f>
        <v>2.4905000000000004</v>
      </c>
      <c r="H692" s="11" t="str">
        <f ca="1">VLOOKUP(VLOOKUP(dict_DQ_Meth_max[[#This Row],[ID_DataQualities]],table_DataQualities[],3),table_Units[],2)</f>
        <v>+/- mm/s</v>
      </c>
      <c r="I692" s="10"/>
      <c r="J692" s="10"/>
      <c r="K692" s="10"/>
      <c r="L692" s="10">
        <f ca="1">VLOOKUP(dict_DQ_Meth_max[[#This Row],[ID_DataQualities]],table_DataQualities[],8,FALSE)</f>
        <v>0.43</v>
      </c>
      <c r="M692" s="10">
        <f ca="1">VLOOKUP(dict_DQ_Meth_max[[#This Row],[ID_DataQualities]],table_DataQualities[],9,FALSE)</f>
        <v>3.6</v>
      </c>
    </row>
    <row r="693" spans="1:13" x14ac:dyDescent="0.45">
      <c r="A693" s="10">
        <v>185</v>
      </c>
      <c r="B693" s="10">
        <v>262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0.52510000000000001</v>
      </c>
      <c r="G693" s="12">
        <f ca="1">(RANDBETWEEN(50,100)/100)*(dict_DQ_Meth_max[[#This Row],[Vergleich_ub]]-dict_DQ_Meth_max[[#This Row],[Vergleich_lb]])+dict_DQ_Meth_max[[#This Row],[Vergleich_lb]]</f>
        <v>3.1244999999999998</v>
      </c>
      <c r="H693" s="11" t="str">
        <f ca="1">VLOOKUP(VLOOKUP(dict_DQ_Meth_max[[#This Row],[ID_DataQualities]],table_DataQualities[],3),table_Units[],2)</f>
        <v>+/- mm/s</v>
      </c>
      <c r="I693" s="10"/>
      <c r="J693" s="10"/>
      <c r="K693" s="10"/>
      <c r="L693" s="10">
        <f ca="1">VLOOKUP(dict_DQ_Meth_max[[#This Row],[ID_DataQualities]],table_DataQualities[],8,FALSE)</f>
        <v>0.43</v>
      </c>
      <c r="M693" s="10">
        <f ca="1">VLOOKUP(dict_DQ_Meth_max[[#This Row],[ID_DataQualities]],table_DataQualities[],9,FALSE)</f>
        <v>3.6</v>
      </c>
    </row>
    <row r="694" spans="1:13" x14ac:dyDescent="0.45">
      <c r="A694" s="10">
        <v>186</v>
      </c>
      <c r="B694" s="10">
        <v>377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532.09640000000002</v>
      </c>
      <c r="G694" s="12">
        <f ca="1">(RANDBETWEEN(50,100)/100)*(dict_DQ_Meth_max[[#This Row],[Vergleich_ub]]-dict_DQ_Meth_max[[#This Row],[Vergleich_lb]])+dict_DQ_Meth_max[[#This Row],[Vergleich_lb]]</f>
        <v>2355.2611999999999</v>
      </c>
      <c r="H694" s="11" t="str">
        <f ca="1">VLOOKUP(VLOOKUP(dict_DQ_Meth_max[[#This Row],[ID_DataQualities]],table_DataQualities[],3),table_Units[],2)</f>
        <v>Hz</v>
      </c>
      <c r="I694" s="10"/>
      <c r="J694" s="10"/>
      <c r="K694" s="10"/>
      <c r="L694" s="10">
        <f ca="1">VLOOKUP(dict_DQ_Meth_max[[#This Row],[ID_DataQualities]],table_DataQualities[],8,FALSE)</f>
        <v>0.34</v>
      </c>
      <c r="M694" s="10">
        <f ca="1">VLOOKUP(dict_DQ_Meth_max[[#This Row],[ID_DataQualities]],table_DataQualities[],9,FALSE)</f>
        <v>3798.6</v>
      </c>
    </row>
    <row r="695" spans="1:13" x14ac:dyDescent="0.45">
      <c r="A695" s="10">
        <v>186</v>
      </c>
      <c r="B695" s="10">
        <v>365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1899.4699999999998</v>
      </c>
      <c r="G695" s="12">
        <f ca="1">(RANDBETWEEN(50,100)/100)*(dict_DQ_Meth_max[[#This Row],[Vergleich_ub]]-dict_DQ_Meth_max[[#This Row],[Vergleich_lb]])+dict_DQ_Meth_max[[#This Row],[Vergleich_lb]]</f>
        <v>2089.3830000000003</v>
      </c>
      <c r="H695" s="11" t="str">
        <f ca="1">VLOOKUP(VLOOKUP(dict_DQ_Meth_max[[#This Row],[ID_DataQualities]],table_DataQualities[],3),table_Units[],2)</f>
        <v>Hz</v>
      </c>
      <c r="I695" s="10"/>
      <c r="J695" s="10"/>
      <c r="K695" s="10"/>
      <c r="L695" s="10">
        <f ca="1">VLOOKUP(dict_DQ_Meth_max[[#This Row],[ID_DataQualities]],table_DataQualities[],8,FALSE)</f>
        <v>0.34</v>
      </c>
      <c r="M695" s="10">
        <f ca="1">VLOOKUP(dict_DQ_Meth_max[[#This Row],[ID_DataQualities]],table_DataQualities[],9,FALSE)</f>
        <v>3798.6</v>
      </c>
    </row>
    <row r="696" spans="1:13" x14ac:dyDescent="0.45">
      <c r="A696" s="10">
        <v>186</v>
      </c>
      <c r="B696" s="10">
        <v>641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1519.644</v>
      </c>
      <c r="G696" s="12">
        <f ca="1">(RANDBETWEEN(50,100)/100)*(dict_DQ_Meth_max[[#This Row],[Vergleich_ub]]-dict_DQ_Meth_max[[#This Row],[Vergleich_lb]])+dict_DQ_Meth_max[[#This Row],[Vergleich_lb]]</f>
        <v>3000.9654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0.34</v>
      </c>
      <c r="M696" s="10">
        <f ca="1">VLOOKUP(dict_DQ_Meth_max[[#This Row],[ID_DataQualities]],table_DataQualities[],9,FALSE)</f>
        <v>3798.6</v>
      </c>
    </row>
    <row r="697" spans="1:13" x14ac:dyDescent="0.45">
      <c r="A697" s="10">
        <v>186</v>
      </c>
      <c r="B697" s="10">
        <v>569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646.04420000000005</v>
      </c>
      <c r="G697" s="12">
        <f ca="1">(RANDBETWEEN(50,100)/100)*(dict_DQ_Meth_max[[#This Row],[Vergleich_ub]]-dict_DQ_Meth_max[[#This Row],[Vergleich_lb]])+dict_DQ_Meth_max[[#This Row],[Vergleich_lb]]</f>
        <v>2089.3830000000003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0.34</v>
      </c>
      <c r="M697" s="10">
        <f ca="1">VLOOKUP(dict_DQ_Meth_max[[#This Row],[ID_DataQualities]],table_DataQualities[],9,FALSE)</f>
        <v>3798.6</v>
      </c>
    </row>
    <row r="698" spans="1:13" x14ac:dyDescent="0.45">
      <c r="A698" s="10">
        <v>186</v>
      </c>
      <c r="B698" s="10">
        <v>497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1671.5743999999997</v>
      </c>
      <c r="G698" s="12">
        <f ca="1">(RANDBETWEEN(50,100)/100)*(dict_DQ_Meth_max[[#This Row],[Vergleich_ub]]-dict_DQ_Meth_max[[#This Row],[Vergleich_lb]])+dict_DQ_Meth_max[[#This Row],[Vergleich_lb]]</f>
        <v>2279.2959999999998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0.34</v>
      </c>
      <c r="M698" s="10">
        <f ca="1">VLOOKUP(dict_DQ_Meth_max[[#This Row],[ID_DataQualities]],table_DataQualities[],9,FALSE)</f>
        <v>3798.6</v>
      </c>
    </row>
    <row r="699" spans="1:13" x14ac:dyDescent="0.45">
      <c r="A699" s="10">
        <v>187</v>
      </c>
      <c r="B699" s="10">
        <v>377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1.9926999999999999</v>
      </c>
      <c r="G699" s="12">
        <f ca="1">(RANDBETWEEN(50,100)/100)*(dict_DQ_Meth_max[[#This Row],[Vergleich_ub]]-dict_DQ_Meth_max[[#This Row],[Vergleich_lb]])+dict_DQ_Meth_max[[#This Row],[Vergleich_lb]]</f>
        <v>2.89276</v>
      </c>
      <c r="H699" s="11" t="str">
        <f ca="1">VLOOKUP(VLOOKUP(dict_DQ_Meth_max[[#This Row],[ID_DataQualities]],table_DataQualities[],3),table_Units[],2)</f>
        <v>+/- W</v>
      </c>
      <c r="I699" s="10"/>
      <c r="J699" s="10"/>
      <c r="K699" s="10"/>
      <c r="L699" s="10">
        <f ca="1">VLOOKUP(dict_DQ_Meth_max[[#This Row],[ID_DataQualities]],table_DataQualities[],8,FALSE)</f>
        <v>6.4000000000000001E-2</v>
      </c>
      <c r="M699" s="10">
        <f ca="1">VLOOKUP(dict_DQ_Meth_max[[#This Row],[ID_DataQualities]],table_DataQualities[],9,FALSE)</f>
        <v>4.3499999999999996</v>
      </c>
    </row>
    <row r="700" spans="1:13" x14ac:dyDescent="0.45">
      <c r="A700" s="10">
        <v>187</v>
      </c>
      <c r="B700" s="10">
        <v>365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1.22122</v>
      </c>
      <c r="G700" s="12">
        <f ca="1">(RANDBETWEEN(50,100)/100)*(dict_DQ_Meth_max[[#This Row],[Vergleich_ub]]-dict_DQ_Meth_max[[#This Row],[Vergleich_lb]])+dict_DQ_Meth_max[[#This Row],[Vergleich_lb]]</f>
        <v>2.5498799999999995</v>
      </c>
      <c r="H700" s="11" t="str">
        <f ca="1">VLOOKUP(VLOOKUP(dict_DQ_Meth_max[[#This Row],[ID_DataQualities]],table_DataQualities[],3),table_Units[],2)</f>
        <v>+/- W</v>
      </c>
      <c r="I700" s="10"/>
      <c r="J700" s="10"/>
      <c r="K700" s="10"/>
      <c r="L700" s="10">
        <f ca="1">VLOOKUP(dict_DQ_Meth_max[[#This Row],[ID_DataQualities]],table_DataQualities[],8,FALSE)</f>
        <v>6.4000000000000001E-2</v>
      </c>
      <c r="M700" s="10">
        <f ca="1">VLOOKUP(dict_DQ_Meth_max[[#This Row],[ID_DataQualities]],table_DataQualities[],9,FALSE)</f>
        <v>4.3499999999999996</v>
      </c>
    </row>
    <row r="701" spans="1:13" x14ac:dyDescent="0.45">
      <c r="A701" s="10">
        <v>187</v>
      </c>
      <c r="B701" s="10">
        <v>569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2.1212799999999996</v>
      </c>
      <c r="G701" s="12">
        <f ca="1">(RANDBETWEEN(50,100)/100)*(dict_DQ_Meth_max[[#This Row],[Vergleich_ub]]-dict_DQ_Meth_max[[#This Row],[Vergleich_lb]])+dict_DQ_Meth_max[[#This Row],[Vergleich_lb]]</f>
        <v>4.1785599999999992</v>
      </c>
      <c r="H701" s="11" t="str">
        <f ca="1">VLOOKUP(VLOOKUP(dict_DQ_Meth_max[[#This Row],[ID_DataQualities]],table_DataQualities[],3),table_Units[],2)</f>
        <v>+/- W</v>
      </c>
      <c r="I701" s="10"/>
      <c r="J701" s="10"/>
      <c r="K701" s="10"/>
      <c r="L701" s="10">
        <f ca="1">VLOOKUP(dict_DQ_Meth_max[[#This Row],[ID_DataQualities]],table_DataQualities[],8,FALSE)</f>
        <v>6.4000000000000001E-2</v>
      </c>
      <c r="M701" s="10">
        <f ca="1">VLOOKUP(dict_DQ_Meth_max[[#This Row],[ID_DataQualities]],table_DataQualities[],9,FALSE)</f>
        <v>4.3499999999999996</v>
      </c>
    </row>
    <row r="702" spans="1:13" x14ac:dyDescent="0.45">
      <c r="A702" s="10">
        <v>187</v>
      </c>
      <c r="B702" s="10">
        <v>641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0.32115999999999995</v>
      </c>
      <c r="G702" s="12">
        <f ca="1">(RANDBETWEEN(50,100)/100)*(dict_DQ_Meth_max[[#This Row],[Vergleich_ub]]-dict_DQ_Meth_max[[#This Row],[Vergleich_lb]])+dict_DQ_Meth_max[[#This Row],[Vergleich_lb]]</f>
        <v>3.7928199999999999</v>
      </c>
      <c r="H702" s="11" t="str">
        <f ca="1">VLOOKUP(VLOOKUP(dict_DQ_Meth_max[[#This Row],[ID_DataQualities]],table_DataQualities[],3),table_Units[],2)</f>
        <v>+/- W</v>
      </c>
      <c r="I702" s="10"/>
      <c r="J702" s="10"/>
      <c r="K702" s="10"/>
      <c r="L702" s="10">
        <f ca="1">VLOOKUP(dict_DQ_Meth_max[[#This Row],[ID_DataQualities]],table_DataQualities[],8,FALSE)</f>
        <v>6.4000000000000001E-2</v>
      </c>
      <c r="M702" s="10">
        <f ca="1">VLOOKUP(dict_DQ_Meth_max[[#This Row],[ID_DataQualities]],table_DataQualities[],9,FALSE)</f>
        <v>4.3499999999999996</v>
      </c>
    </row>
    <row r="703" spans="1:13" x14ac:dyDescent="0.45">
      <c r="A703" s="10">
        <v>187</v>
      </c>
      <c r="B703" s="10">
        <v>497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2.1212799999999996</v>
      </c>
      <c r="G703" s="12">
        <f ca="1">(RANDBETWEEN(50,100)/100)*(dict_DQ_Meth_max[[#This Row],[Vergleich_ub]]-dict_DQ_Meth_max[[#This Row],[Vergleich_lb]])+dict_DQ_Meth_max[[#This Row],[Vergleich_lb]]</f>
        <v>4.3499999999999996</v>
      </c>
      <c r="H703" s="11" t="str">
        <f ca="1">VLOOKUP(VLOOKUP(dict_DQ_Meth_max[[#This Row],[ID_DataQualities]],table_DataQualities[],3),table_Units[],2)</f>
        <v>+/- W</v>
      </c>
      <c r="I703" s="10"/>
      <c r="J703" s="10"/>
      <c r="K703" s="10"/>
      <c r="L703" s="10">
        <f ca="1">VLOOKUP(dict_DQ_Meth_max[[#This Row],[ID_DataQualities]],table_DataQualities[],8,FALSE)</f>
        <v>6.4000000000000001E-2</v>
      </c>
      <c r="M703" s="10">
        <f ca="1">VLOOKUP(dict_DQ_Meth_max[[#This Row],[ID_DataQualities]],table_DataQualities[],9,FALSE)</f>
        <v>4.3499999999999996</v>
      </c>
    </row>
    <row r="704" spans="1:13" x14ac:dyDescent="0.45">
      <c r="A704" s="10">
        <v>188</v>
      </c>
      <c r="B704" s="10">
        <v>9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25.125770000000006</v>
      </c>
      <c r="G704" s="12">
        <f ca="1">(RANDBETWEEN(50,100)/100)*(dict_DQ_Meth_max[[#This Row],[Vergleich_ub]]-dict_DQ_Meth_max[[#This Row],[Vergleich_lb]])+dict_DQ_Meth_max[[#This Row],[Vergleich_lb]]</f>
        <v>321.66323</v>
      </c>
      <c r="H704" s="11" t="str">
        <f ca="1">VLOOKUP(VLOOKUP(dict_DQ_Meth_max[[#This Row],[ID_DataQualities]],table_DataQualities[],3),table_Units[],2)</f>
        <v>Hz</v>
      </c>
      <c r="I704" s="10"/>
      <c r="J704" s="10"/>
      <c r="K704" s="10"/>
      <c r="L704" s="10">
        <f ca="1">VLOOKUP(dict_DQ_Meth_max[[#This Row],[ID_DataQualities]],table_DataQualities[],8,FALSE)</f>
        <v>0.98899999999999999</v>
      </c>
      <c r="M704" s="10">
        <f ca="1">VLOOKUP(dict_DQ_Meth_max[[#This Row],[ID_DataQualities]],table_DataQualities[],9,FALSE)</f>
        <v>345.8</v>
      </c>
    </row>
    <row r="705" spans="1:13" x14ac:dyDescent="0.45">
      <c r="A705" s="10">
        <v>188</v>
      </c>
      <c r="B705" s="10">
        <v>35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7.8852200000000003</v>
      </c>
      <c r="G705" s="12">
        <f ca="1">(RANDBETWEEN(50,100)/100)*(dict_DQ_Meth_max[[#This Row],[Vergleich_ub]]-dict_DQ_Meth_max[[#This Row],[Vergleich_lb]])+dict_DQ_Meth_max[[#This Row],[Vergleich_lb]]</f>
        <v>259.59724999999997</v>
      </c>
      <c r="H705" s="11" t="str">
        <f ca="1">VLOOKUP(VLOOKUP(dict_DQ_Meth_max[[#This Row],[ID_DataQualities]],table_DataQualities[],3),table_Units[],2)</f>
        <v>Hz</v>
      </c>
      <c r="I705" s="10"/>
      <c r="J705" s="10"/>
      <c r="K705" s="10"/>
      <c r="L705" s="10">
        <f ca="1">VLOOKUP(dict_DQ_Meth_max[[#This Row],[ID_DataQualities]],table_DataQualities[],8,FALSE)</f>
        <v>0.98899999999999999</v>
      </c>
      <c r="M705" s="10">
        <f ca="1">VLOOKUP(dict_DQ_Meth_max[[#This Row],[ID_DataQualities]],table_DataQualities[],9,FALSE)</f>
        <v>345.8</v>
      </c>
    </row>
    <row r="706" spans="1:13" x14ac:dyDescent="0.45">
      <c r="A706" s="10">
        <v>188</v>
      </c>
      <c r="B706" s="10">
        <v>595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42.366320000000002</v>
      </c>
      <c r="G706" s="12">
        <f ca="1">(RANDBETWEEN(50,100)/100)*(dict_DQ_Meth_max[[#This Row],[Vergleich_ub]]-dict_DQ_Meth_max[[#This Row],[Vergleich_lb]])+dict_DQ_Meth_max[[#This Row],[Vergleich_lb]]</f>
        <v>204.42749000000001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0.98899999999999999</v>
      </c>
      <c r="M706" s="10">
        <f ca="1">VLOOKUP(dict_DQ_Meth_max[[#This Row],[ID_DataQualities]],table_DataQualities[],9,FALSE)</f>
        <v>345.8</v>
      </c>
    </row>
    <row r="707" spans="1:13" x14ac:dyDescent="0.45">
      <c r="A707" s="10">
        <v>188</v>
      </c>
      <c r="B707" s="10">
        <v>455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56.158760000000001</v>
      </c>
      <c r="G707" s="12">
        <f ca="1">(RANDBETWEEN(50,100)/100)*(dict_DQ_Meth_max[[#This Row],[Vergleich_ub]]-dict_DQ_Meth_max[[#This Row],[Vergleich_lb]])+dict_DQ_Meth_max[[#This Row],[Vergleich_lb]]</f>
        <v>187.18694000000005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0.98899999999999999</v>
      </c>
      <c r="M707" s="10">
        <f ca="1">VLOOKUP(dict_DQ_Meth_max[[#This Row],[ID_DataQualities]],table_DataQualities[],9,FALSE)</f>
        <v>345.8</v>
      </c>
    </row>
    <row r="708" spans="1:13" x14ac:dyDescent="0.45">
      <c r="A708" s="10">
        <v>189</v>
      </c>
      <c r="B708" s="10">
        <v>9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1.0858399999999999</v>
      </c>
      <c r="G708" s="12">
        <f ca="1">(RANDBETWEEN(50,100)/100)*(dict_DQ_Meth_max[[#This Row],[Vergleich_ub]]-dict_DQ_Meth_max[[#This Row],[Vergleich_lb]])+dict_DQ_Meth_max[[#This Row],[Vergleich_lb]]</f>
        <v>2.1951200000000002</v>
      </c>
      <c r="H708" s="11" t="str">
        <f ca="1">VLOOKUP(VLOOKUP(dict_DQ_Meth_max[[#This Row],[ID_DataQualities]],table_DataQualities[],3),table_Units[],2)</f>
        <v>+/- W</v>
      </c>
      <c r="I708" s="10"/>
      <c r="J708" s="10"/>
      <c r="K708" s="10"/>
      <c r="L708" s="10">
        <f ca="1">VLOOKUP(dict_DQ_Meth_max[[#This Row],[ID_DataQualities]],table_DataQualities[],8,FALSE)</f>
        <v>6.9000000000000006E-2</v>
      </c>
      <c r="M708" s="10">
        <f ca="1">VLOOKUP(dict_DQ_Meth_max[[#This Row],[ID_DataQualities]],table_DataQualities[],9,FALSE)</f>
        <v>2.38</v>
      </c>
    </row>
    <row r="709" spans="1:13" x14ac:dyDescent="0.45">
      <c r="A709" s="10">
        <v>189</v>
      </c>
      <c r="B709" s="10">
        <v>455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0.20765999999999998</v>
      </c>
      <c r="G709" s="12">
        <f ca="1">(RANDBETWEEN(50,100)/100)*(dict_DQ_Meth_max[[#This Row],[Vergleich_ub]]-dict_DQ_Meth_max[[#This Row],[Vergleich_lb]])+dict_DQ_Meth_max[[#This Row],[Vergleich_lb]]</f>
        <v>1.4093799999999999</v>
      </c>
      <c r="H709" s="11" t="str">
        <f ca="1">VLOOKUP(VLOOKUP(dict_DQ_Meth_max[[#This Row],[ID_DataQualities]],table_DataQualities[],3),table_Units[],2)</f>
        <v>+/- W</v>
      </c>
      <c r="I709" s="10"/>
      <c r="J709" s="10"/>
      <c r="K709" s="10"/>
      <c r="L709" s="10">
        <f ca="1">VLOOKUP(dict_DQ_Meth_max[[#This Row],[ID_DataQualities]],table_DataQualities[],8,FALSE)</f>
        <v>6.9000000000000006E-2</v>
      </c>
      <c r="M709" s="10">
        <f ca="1">VLOOKUP(dict_DQ_Meth_max[[#This Row],[ID_DataQualities]],table_DataQualities[],9,FALSE)</f>
        <v>2.38</v>
      </c>
    </row>
    <row r="710" spans="1:13" x14ac:dyDescent="0.45">
      <c r="A710" s="10">
        <v>189</v>
      </c>
      <c r="B710" s="10">
        <v>595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0.11522</v>
      </c>
      <c r="G710" s="12">
        <f ca="1">(RANDBETWEEN(50,100)/100)*(dict_DQ_Meth_max[[#This Row],[Vergleich_ub]]-dict_DQ_Meth_max[[#This Row],[Vergleich_lb]])+dict_DQ_Meth_max[[#This Row],[Vergleich_lb]]</f>
        <v>1.8253599999999999</v>
      </c>
      <c r="H710" s="11" t="str">
        <f ca="1">VLOOKUP(VLOOKUP(dict_DQ_Meth_max[[#This Row],[ID_DataQualities]],table_DataQualities[],3),table_Units[],2)</f>
        <v>+/- W</v>
      </c>
      <c r="I710" s="10"/>
      <c r="J710" s="10"/>
      <c r="K710" s="10"/>
      <c r="L710" s="10">
        <f ca="1">VLOOKUP(dict_DQ_Meth_max[[#This Row],[ID_DataQualities]],table_DataQualities[],8,FALSE)</f>
        <v>6.9000000000000006E-2</v>
      </c>
      <c r="M710" s="10">
        <f ca="1">VLOOKUP(dict_DQ_Meth_max[[#This Row],[ID_DataQualities]],table_DataQualities[],9,FALSE)</f>
        <v>2.38</v>
      </c>
    </row>
    <row r="711" spans="1:13" x14ac:dyDescent="0.45">
      <c r="A711" s="10">
        <v>189</v>
      </c>
      <c r="B711" s="10">
        <v>35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0.50808999999999993</v>
      </c>
      <c r="G711" s="12">
        <f ca="1">(RANDBETWEEN(50,100)/100)*(dict_DQ_Meth_max[[#This Row],[Vergleich_ub]]-dict_DQ_Meth_max[[#This Row],[Vergleich_lb]])+dict_DQ_Meth_max[[#This Row],[Vergleich_lb]]</f>
        <v>2.31067</v>
      </c>
      <c r="H711" s="11" t="str">
        <f ca="1">VLOOKUP(VLOOKUP(dict_DQ_Meth_max[[#This Row],[ID_DataQualities]],table_DataQualities[],3),table_Units[],2)</f>
        <v>+/- W</v>
      </c>
      <c r="I711" s="10"/>
      <c r="J711" s="10"/>
      <c r="K711" s="10"/>
      <c r="L711" s="10">
        <f ca="1">VLOOKUP(dict_DQ_Meth_max[[#This Row],[ID_DataQualities]],table_DataQualities[],8,FALSE)</f>
        <v>6.9000000000000006E-2</v>
      </c>
      <c r="M711" s="10">
        <f ca="1">VLOOKUP(dict_DQ_Meth_max[[#This Row],[ID_DataQualities]],table_DataQualities[],9,FALSE)</f>
        <v>2.38</v>
      </c>
    </row>
    <row r="712" spans="1:13" x14ac:dyDescent="0.45">
      <c r="A712" s="10">
        <v>190</v>
      </c>
      <c r="B712" s="10">
        <v>665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2655.2051500000002</v>
      </c>
      <c r="G712" s="12">
        <f ca="1">(RANDBETWEEN(50,100)/100)*(dict_DQ_Meth_max[[#This Row],[Vergleich_ub]]-dict_DQ_Meth_max[[#This Row],[Vergleich_lb]])+dict_DQ_Meth_max[[#This Row],[Vergleich_lb]]</f>
        <v>5369.0335700000005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0.373</v>
      </c>
      <c r="M712" s="10">
        <f ca="1">VLOOKUP(dict_DQ_Meth_max[[#This Row],[ID_DataQualities]],table_DataQualities[],9,FALSE)</f>
        <v>5900</v>
      </c>
    </row>
    <row r="713" spans="1:13" x14ac:dyDescent="0.45">
      <c r="A713" s="10">
        <v>190</v>
      </c>
      <c r="B713" s="10">
        <v>517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944.31332000000009</v>
      </c>
      <c r="G713" s="12">
        <f ca="1">(RANDBETWEEN(50,100)/100)*(dict_DQ_Meth_max[[#This Row],[Vergleich_ub]]-dict_DQ_Meth_max[[#This Row],[Vergleich_lb]])+dict_DQ_Meth_max[[#This Row],[Vergleich_lb]]</f>
        <v>5900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0.373</v>
      </c>
      <c r="M713" s="10">
        <f ca="1">VLOOKUP(dict_DQ_Meth_max[[#This Row],[ID_DataQualities]],table_DataQualities[],9,FALSE)</f>
        <v>5900</v>
      </c>
    </row>
    <row r="714" spans="1:13" x14ac:dyDescent="0.45">
      <c r="A714" s="10">
        <v>190</v>
      </c>
      <c r="B714" s="10">
        <v>23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295.35435000000001</v>
      </c>
      <c r="G714" s="12">
        <f ca="1">(RANDBETWEEN(50,100)/100)*(dict_DQ_Meth_max[[#This Row],[Vergleich_ub]]-dict_DQ_Meth_max[[#This Row],[Vergleich_lb]])+dict_DQ_Meth_max[[#This Row],[Vergleich_lb]]</f>
        <v>4130.1118999999999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0.373</v>
      </c>
      <c r="M714" s="10">
        <f ca="1">VLOOKUP(dict_DQ_Meth_max[[#This Row],[ID_DataQualities]],table_DataQualities[],9,FALSE)</f>
        <v>5900</v>
      </c>
    </row>
    <row r="715" spans="1:13" x14ac:dyDescent="0.45">
      <c r="A715" s="10">
        <v>190</v>
      </c>
      <c r="B715" s="10">
        <v>603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2832.1939600000001</v>
      </c>
      <c r="G715" s="12">
        <f ca="1">(RANDBETWEEN(50,100)/100)*(dict_DQ_Meth_max[[#This Row],[Vergleich_ub]]-dict_DQ_Meth_max[[#This Row],[Vergleich_lb]])+dict_DQ_Meth_max[[#This Row],[Vergleich_lb]]</f>
        <v>3481.1529300000002</v>
      </c>
      <c r="H715" s="11" t="str">
        <f ca="1">VLOOKUP(VLOOKUP(dict_DQ_Meth_max[[#This Row],[ID_DataQualities]],table_DataQualities[],3),table_Units[],2)</f>
        <v>Hz</v>
      </c>
      <c r="I715" s="10"/>
      <c r="J715" s="10"/>
      <c r="K715" s="10"/>
      <c r="L715" s="10">
        <f ca="1">VLOOKUP(dict_DQ_Meth_max[[#This Row],[ID_DataQualities]],table_DataQualities[],8,FALSE)</f>
        <v>0.373</v>
      </c>
      <c r="M715" s="10">
        <f ca="1">VLOOKUP(dict_DQ_Meth_max[[#This Row],[ID_DataQualities]],table_DataQualities[],9,FALSE)</f>
        <v>5900</v>
      </c>
    </row>
    <row r="716" spans="1:13" x14ac:dyDescent="0.45">
      <c r="A716" s="10">
        <v>191</v>
      </c>
      <c r="B716" s="10">
        <v>23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999.4</v>
      </c>
      <c r="G716" s="12">
        <f ca="1">(RANDBETWEEN(50,100)/100)*(dict_DQ_Meth_max[[#This Row],[Vergleich_ub]]-dict_DQ_Meth_max[[#This Row],[Vergleich_lb]])+dict_DQ_Meth_max[[#This Row],[Vergleich_lb]]</f>
        <v>3526.6</v>
      </c>
      <c r="H716" s="11" t="str">
        <f ca="1">VLOOKUP(VLOOKUP(dict_DQ_Meth_max[[#This Row],[ID_DataQualities]],table_DataQualities[],3),table_Units[],2)</f>
        <v>bit</v>
      </c>
      <c r="I716" s="10"/>
      <c r="J716" s="10"/>
      <c r="K716" s="10"/>
      <c r="L716" s="10">
        <f ca="1">VLOOKUP(dict_DQ_Meth_max[[#This Row],[ID_DataQualities]],table_DataQualities[],8,FALSE)</f>
        <v>76</v>
      </c>
      <c r="M716" s="10">
        <f ca="1">VLOOKUP(dict_DQ_Meth_max[[#This Row],[ID_DataQualities]],table_DataQualities[],9,FALSE)</f>
        <v>4936</v>
      </c>
    </row>
    <row r="717" spans="1:13" x14ac:dyDescent="0.45">
      <c r="A717" s="10">
        <v>191</v>
      </c>
      <c r="B717" s="10">
        <v>665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2506</v>
      </c>
      <c r="G717" s="12">
        <f ca="1">(RANDBETWEEN(50,100)/100)*(dict_DQ_Meth_max[[#This Row],[Vergleich_ub]]-dict_DQ_Meth_max[[#This Row],[Vergleich_lb]])+dict_DQ_Meth_max[[#This Row],[Vergleich_lb]]</f>
        <v>4304.2</v>
      </c>
      <c r="H717" s="11" t="str">
        <f ca="1">VLOOKUP(VLOOKUP(dict_DQ_Meth_max[[#This Row],[ID_DataQualities]],table_DataQualities[],3),table_Units[],2)</f>
        <v>bit</v>
      </c>
      <c r="I717" s="10"/>
      <c r="J717" s="10"/>
      <c r="K717" s="10"/>
      <c r="L717" s="10">
        <f ca="1">VLOOKUP(dict_DQ_Meth_max[[#This Row],[ID_DataQualities]],table_DataQualities[],8,FALSE)</f>
        <v>76</v>
      </c>
      <c r="M717" s="10">
        <f ca="1">VLOOKUP(dict_DQ_Meth_max[[#This Row],[ID_DataQualities]],table_DataQualities[],9,FALSE)</f>
        <v>4936</v>
      </c>
    </row>
    <row r="718" spans="1:13" x14ac:dyDescent="0.45">
      <c r="A718" s="10">
        <v>191</v>
      </c>
      <c r="B718" s="10">
        <v>517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367.59999999999997</v>
      </c>
      <c r="G718" s="12">
        <f ca="1">(RANDBETWEEN(50,100)/100)*(dict_DQ_Meth_max[[#This Row],[Vergleich_ub]]-dict_DQ_Meth_max[[#This Row],[Vergleich_lb]])+dict_DQ_Meth_max[[#This Row],[Vergleich_lb]]</f>
        <v>4790.2</v>
      </c>
      <c r="H718" s="11" t="str">
        <f ca="1">VLOOKUP(VLOOKUP(dict_DQ_Meth_max[[#This Row],[ID_DataQualities]],table_DataQualities[],3),table_Units[],2)</f>
        <v>bit</v>
      </c>
      <c r="I718" s="10"/>
      <c r="J718" s="10"/>
      <c r="K718" s="10"/>
      <c r="L718" s="10">
        <f ca="1">VLOOKUP(dict_DQ_Meth_max[[#This Row],[ID_DataQualities]],table_DataQualities[],8,FALSE)</f>
        <v>76</v>
      </c>
      <c r="M718" s="10">
        <f ca="1">VLOOKUP(dict_DQ_Meth_max[[#This Row],[ID_DataQualities]],table_DataQualities[],9,FALSE)</f>
        <v>4936</v>
      </c>
    </row>
    <row r="719" spans="1:13" x14ac:dyDescent="0.45">
      <c r="A719" s="10">
        <v>191</v>
      </c>
      <c r="B719" s="10">
        <v>603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1728.4</v>
      </c>
      <c r="G719" s="12">
        <f ca="1">(RANDBETWEEN(50,100)/100)*(dict_DQ_Meth_max[[#This Row],[Vergleich_ub]]-dict_DQ_Meth_max[[#This Row],[Vergleich_lb]])+dict_DQ_Meth_max[[#This Row],[Vergleich_lb]]</f>
        <v>3769.6</v>
      </c>
      <c r="H719" s="11" t="str">
        <f ca="1">VLOOKUP(VLOOKUP(dict_DQ_Meth_max[[#This Row],[ID_DataQualities]],table_DataQualities[],3),table_Units[],2)</f>
        <v>bit</v>
      </c>
      <c r="I719" s="10"/>
      <c r="J719" s="10"/>
      <c r="K719" s="10"/>
      <c r="L719" s="10">
        <f ca="1">VLOOKUP(dict_DQ_Meth_max[[#This Row],[ID_DataQualities]],table_DataQualities[],8,FALSE)</f>
        <v>76</v>
      </c>
      <c r="M719" s="10">
        <f ca="1">VLOOKUP(dict_DQ_Meth_max[[#This Row],[ID_DataQualities]],table_DataQualities[],9,FALSE)</f>
        <v>4936</v>
      </c>
    </row>
    <row r="720" spans="1:13" x14ac:dyDescent="0.45">
      <c r="A720" s="10">
        <v>192</v>
      </c>
      <c r="B720" s="10">
        <v>437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1283.0190000000002</v>
      </c>
      <c r="G720" s="12">
        <f ca="1">(RANDBETWEEN(50,100)/100)*(dict_DQ_Meth_max[[#This Row],[Vergleich_ub]]-dict_DQ_Meth_max[[#This Row],[Vergleich_lb]])+dict_DQ_Meth_max[[#This Row],[Vergleich_lb]]</f>
        <v>3174.3436500000003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0.76500000000000001</v>
      </c>
      <c r="M720" s="10">
        <f ca="1">VLOOKUP(dict_DQ_Meth_max[[#This Row],[ID_DataQualities]],table_DataQualities[],9,FALSE)</f>
        <v>3206.4</v>
      </c>
    </row>
    <row r="721" spans="1:13" x14ac:dyDescent="0.45">
      <c r="A721" s="10">
        <v>192</v>
      </c>
      <c r="B721" s="10">
        <v>69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641.89200000000005</v>
      </c>
      <c r="G721" s="12">
        <f ca="1">(RANDBETWEEN(50,100)/100)*(dict_DQ_Meth_max[[#This Row],[Vergleich_ub]]-dict_DQ_Meth_max[[#This Row],[Vergleich_lb]])+dict_DQ_Meth_max[[#This Row],[Vergleich_lb]]</f>
        <v>2501.1603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0.76500000000000001</v>
      </c>
      <c r="M721" s="10">
        <f ca="1">VLOOKUP(dict_DQ_Meth_max[[#This Row],[ID_DataQualities]],table_DataQualities[],9,FALSE)</f>
        <v>3206.4</v>
      </c>
    </row>
    <row r="722" spans="1:13" x14ac:dyDescent="0.45">
      <c r="A722" s="10">
        <v>192</v>
      </c>
      <c r="B722" s="10">
        <v>350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1218.9063000000001</v>
      </c>
      <c r="G722" s="12">
        <f ca="1">(RANDBETWEEN(50,100)/100)*(dict_DQ_Meth_max[[#This Row],[Vergleich_ub]]-dict_DQ_Meth_max[[#This Row],[Vergleich_lb]])+dict_DQ_Meth_max[[#This Row],[Vergleich_lb]]</f>
        <v>2020.3150500000002</v>
      </c>
      <c r="H722" s="11" t="str">
        <f ca="1">VLOOKUP(VLOOKUP(dict_DQ_Meth_max[[#This Row],[ID_DataQualities]],table_DataQualities[],3),table_Units[],2)</f>
        <v>Hz</v>
      </c>
      <c r="I722" s="10"/>
      <c r="J722" s="10"/>
      <c r="K722" s="10"/>
      <c r="L722" s="10">
        <f ca="1">VLOOKUP(dict_DQ_Meth_max[[#This Row],[ID_DataQualities]],table_DataQualities[],8,FALSE)</f>
        <v>0.76500000000000001</v>
      </c>
      <c r="M722" s="10">
        <f ca="1">VLOOKUP(dict_DQ_Meth_max[[#This Row],[ID_DataQualities]],table_DataQualities[],9,FALSE)</f>
        <v>3206.4</v>
      </c>
    </row>
    <row r="723" spans="1:13" x14ac:dyDescent="0.45">
      <c r="A723" s="10">
        <v>193</v>
      </c>
      <c r="B723" s="10">
        <v>69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0.62</v>
      </c>
      <c r="G723" s="12">
        <f ca="1">(RANDBETWEEN(50,100)/100)*(dict_DQ_Meth_max[[#This Row],[Vergleich_ub]]-dict_DQ_Meth_max[[#This Row],[Vergleich_lb]])+dict_DQ_Meth_max[[#This Row],[Vergleich_lb]]</f>
        <v>1.6584000000000003</v>
      </c>
      <c r="H723" s="11" t="str">
        <f ca="1">VLOOKUP(VLOOKUP(dict_DQ_Meth_max[[#This Row],[ID_DataQualities]],table_DataQualities[],3),table_Units[],2)</f>
        <v>+/- mm/s</v>
      </c>
      <c r="I723" s="10"/>
      <c r="J723" s="10"/>
      <c r="K723" s="10"/>
      <c r="L723" s="10">
        <f ca="1">VLOOKUP(dict_DQ_Meth_max[[#This Row],[ID_DataQualities]],table_DataQualities[],8,FALSE)</f>
        <v>0.62</v>
      </c>
      <c r="M723" s="10">
        <f ca="1">VLOOKUP(dict_DQ_Meth_max[[#This Row],[ID_DataQualities]],table_DataQualities[],9,FALSE)</f>
        <v>1.8</v>
      </c>
    </row>
    <row r="724" spans="1:13" x14ac:dyDescent="0.45">
      <c r="A724" s="10">
        <v>193</v>
      </c>
      <c r="B724" s="10">
        <v>437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0.80879999999999996</v>
      </c>
      <c r="G724" s="12">
        <f ca="1">(RANDBETWEEN(50,100)/100)*(dict_DQ_Meth_max[[#This Row],[Vergleich_ub]]-dict_DQ_Meth_max[[#This Row],[Vergleich_lb]])+dict_DQ_Meth_max[[#This Row],[Vergleich_lb]]</f>
        <v>1.6230000000000002</v>
      </c>
      <c r="H724" s="11" t="str">
        <f ca="1">VLOOKUP(VLOOKUP(dict_DQ_Meth_max[[#This Row],[ID_DataQualities]],table_DataQualities[],3),table_Units[],2)</f>
        <v>+/- mm/s</v>
      </c>
      <c r="I724" s="10"/>
      <c r="J724" s="10"/>
      <c r="K724" s="10"/>
      <c r="L724" s="10">
        <f ca="1">VLOOKUP(dict_DQ_Meth_max[[#This Row],[ID_DataQualities]],table_DataQualities[],8,FALSE)</f>
        <v>0.62</v>
      </c>
      <c r="M724" s="10">
        <f ca="1">VLOOKUP(dict_DQ_Meth_max[[#This Row],[ID_DataQualities]],table_DataQualities[],9,FALSE)</f>
        <v>1.8</v>
      </c>
    </row>
    <row r="725" spans="1:13" x14ac:dyDescent="0.45">
      <c r="A725" s="10">
        <v>193</v>
      </c>
      <c r="B725" s="10">
        <v>350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0.72619999999999996</v>
      </c>
      <c r="G725" s="12">
        <f ca="1">(RANDBETWEEN(50,100)/100)*(dict_DQ_Meth_max[[#This Row],[Vergleich_ub]]-dict_DQ_Meth_max[[#This Row],[Vergleich_lb]])+dict_DQ_Meth_max[[#This Row],[Vergleich_lb]]</f>
        <v>1.2926000000000002</v>
      </c>
      <c r="H725" s="11" t="str">
        <f ca="1">VLOOKUP(VLOOKUP(dict_DQ_Meth_max[[#This Row],[ID_DataQualities]],table_DataQualities[],3),table_Units[],2)</f>
        <v>+/- mm/s</v>
      </c>
      <c r="I725" s="10"/>
      <c r="J725" s="10"/>
      <c r="K725" s="10"/>
      <c r="L725" s="10">
        <f ca="1">VLOOKUP(dict_DQ_Meth_max[[#This Row],[ID_DataQualities]],table_DataQualities[],8,FALSE)</f>
        <v>0.62</v>
      </c>
      <c r="M725" s="10">
        <f ca="1">VLOOKUP(dict_DQ_Meth_max[[#This Row],[ID_DataQualities]],table_DataQualities[],9,FALSE)</f>
        <v>1.8</v>
      </c>
    </row>
    <row r="726" spans="1:13" x14ac:dyDescent="0.45">
      <c r="A726" s="10">
        <v>194</v>
      </c>
      <c r="B726" s="10">
        <v>242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42.037430000000001</v>
      </c>
      <c r="G726" s="12">
        <f ca="1">(RANDBETWEEN(50,100)/100)*(dict_DQ_Meth_max[[#This Row],[Vergleich_ub]]-dict_DQ_Meth_max[[#This Row],[Vergleich_lb]])+dict_DQ_Meth_max[[#This Row],[Vergleich_lb]]</f>
        <v>290.14001000000002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0.68700000000000006</v>
      </c>
      <c r="M726" s="10">
        <f ca="1">VLOOKUP(dict_DQ_Meth_max[[#This Row],[ID_DataQualities]],table_DataQualities[],9,FALSE)</f>
        <v>376.6</v>
      </c>
    </row>
    <row r="727" spans="1:13" x14ac:dyDescent="0.45">
      <c r="A727" s="10">
        <v>194</v>
      </c>
      <c r="B727" s="10">
        <v>601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136.01568</v>
      </c>
      <c r="G727" s="12">
        <f ca="1">(RANDBETWEEN(50,100)/100)*(dict_DQ_Meth_max[[#This Row],[Vergleich_ub]]-dict_DQ_Meth_max[[#This Row],[Vergleich_lb]])+dict_DQ_Meth_max[[#This Row],[Vergleich_lb]]</f>
        <v>312.69479000000001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0.68700000000000006</v>
      </c>
      <c r="M727" s="10">
        <f ca="1">VLOOKUP(dict_DQ_Meth_max[[#This Row],[ID_DataQualities]],table_DataQualities[],9,FALSE)</f>
        <v>376.6</v>
      </c>
    </row>
    <row r="728" spans="1:13" x14ac:dyDescent="0.45">
      <c r="A728" s="10">
        <v>194</v>
      </c>
      <c r="B728" s="10">
        <v>257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57.073949999999996</v>
      </c>
      <c r="G728" s="12">
        <f ca="1">(RANDBETWEEN(50,100)/100)*(dict_DQ_Meth_max[[#This Row],[Vergleich_ub]]-dict_DQ_Meth_max[[#This Row],[Vergleich_lb]])+dict_DQ_Meth_max[[#This Row],[Vergleich_lb]]</f>
        <v>196.16176000000002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0.68700000000000006</v>
      </c>
      <c r="M728" s="10">
        <f ca="1">VLOOKUP(dict_DQ_Meth_max[[#This Row],[ID_DataQualities]],table_DataQualities[],9,FALSE)</f>
        <v>376.6</v>
      </c>
    </row>
    <row r="729" spans="1:13" x14ac:dyDescent="0.45">
      <c r="A729" s="10">
        <v>194</v>
      </c>
      <c r="B729" s="10">
        <v>59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102.18351000000001</v>
      </c>
      <c r="G729" s="12">
        <f ca="1">(RANDBETWEEN(50,100)/100)*(dict_DQ_Meth_max[[#This Row],[Vergleich_ub]]-dict_DQ_Meth_max[[#This Row],[Vergleich_lb]])+dict_DQ_Meth_max[[#This Row],[Vergleich_lb]]</f>
        <v>282.62175000000002</v>
      </c>
      <c r="H729" s="11" t="str">
        <f ca="1">VLOOKUP(VLOOKUP(dict_DQ_Meth_max[[#This Row],[ID_DataQualities]],table_DataQualities[],3),table_Units[],2)</f>
        <v>Hz</v>
      </c>
      <c r="I729" s="10"/>
      <c r="J729" s="10"/>
      <c r="K729" s="10"/>
      <c r="L729" s="10">
        <f ca="1">VLOOKUP(dict_DQ_Meth_max[[#This Row],[ID_DataQualities]],table_DataQualities[],8,FALSE)</f>
        <v>0.68700000000000006</v>
      </c>
      <c r="M729" s="10">
        <f ca="1">VLOOKUP(dict_DQ_Meth_max[[#This Row],[ID_DataQualities]],table_DataQualities[],9,FALSE)</f>
        <v>376.6</v>
      </c>
    </row>
    <row r="730" spans="1:13" x14ac:dyDescent="0.45">
      <c r="A730" s="10">
        <v>195</v>
      </c>
      <c r="B730" s="10">
        <v>601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7.9990000000000006E-2</v>
      </c>
      <c r="G730" s="12">
        <f ca="1">(RANDBETWEEN(50,100)/100)*(dict_DQ_Meth_max[[#This Row],[Vergleich_ub]]-dict_DQ_Meth_max[[#This Row],[Vergleich_lb]])+dict_DQ_Meth_max[[#This Row],[Vergleich_lb]]</f>
        <v>3.1602000000000001</v>
      </c>
      <c r="H730" s="11" t="str">
        <f ca="1">VLOOKUP(VLOOKUP(dict_DQ_Meth_max[[#This Row],[ID_DataQualities]],table_DataQualities[],3),table_Units[],2)</f>
        <v>+/- W</v>
      </c>
      <c r="I730" s="10"/>
      <c r="J730" s="10"/>
      <c r="K730" s="10"/>
      <c r="L730" s="10">
        <f ca="1">VLOOKUP(dict_DQ_Meth_max[[#This Row],[ID_DataQualities]],table_DataQualities[],8,FALSE)</f>
        <v>4.1000000000000002E-2</v>
      </c>
      <c r="M730" s="10">
        <f ca="1">VLOOKUP(dict_DQ_Meth_max[[#This Row],[ID_DataQualities]],table_DataQualities[],9,FALSE)</f>
        <v>3.94</v>
      </c>
    </row>
    <row r="731" spans="1:13" x14ac:dyDescent="0.45">
      <c r="A731" s="10">
        <v>195</v>
      </c>
      <c r="B731" s="10">
        <v>59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1.05474</v>
      </c>
      <c r="G731" s="12">
        <f ca="1">(RANDBETWEEN(50,100)/100)*(dict_DQ_Meth_max[[#This Row],[Vergleich_ub]]-dict_DQ_Meth_max[[#This Row],[Vergleich_lb]])+dict_DQ_Meth_max[[#This Row],[Vergleich_lb]]</f>
        <v>2.9652499999999997</v>
      </c>
      <c r="H731" s="11" t="str">
        <f ca="1">VLOOKUP(VLOOKUP(dict_DQ_Meth_max[[#This Row],[ID_DataQualities]],table_DataQualities[],3),table_Units[],2)</f>
        <v>+/- W</v>
      </c>
      <c r="I731" s="10"/>
      <c r="J731" s="10"/>
      <c r="K731" s="10"/>
      <c r="L731" s="10">
        <f ca="1">VLOOKUP(dict_DQ_Meth_max[[#This Row],[ID_DataQualities]],table_DataQualities[],8,FALSE)</f>
        <v>4.1000000000000002E-2</v>
      </c>
      <c r="M731" s="10">
        <f ca="1">VLOOKUP(dict_DQ_Meth_max[[#This Row],[ID_DataQualities]],table_DataQualities[],9,FALSE)</f>
        <v>3.94</v>
      </c>
    </row>
    <row r="732" spans="1:13" x14ac:dyDescent="0.45">
      <c r="A732" s="10">
        <v>195</v>
      </c>
      <c r="B732" s="10">
        <v>242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0.70383000000000007</v>
      </c>
      <c r="G732" s="12">
        <f ca="1">(RANDBETWEEN(50,100)/100)*(dict_DQ_Meth_max[[#This Row],[Vergleich_ub]]-dict_DQ_Meth_max[[#This Row],[Vergleich_lb]])+dict_DQ_Meth_max[[#This Row],[Vergleich_lb]]</f>
        <v>2.0684800000000001</v>
      </c>
      <c r="H732" s="11" t="str">
        <f ca="1">VLOOKUP(VLOOKUP(dict_DQ_Meth_max[[#This Row],[ID_DataQualities]],table_DataQualities[],3),table_Units[],2)</f>
        <v>+/- W</v>
      </c>
      <c r="I732" s="10"/>
      <c r="J732" s="10"/>
      <c r="K732" s="10"/>
      <c r="L732" s="10">
        <f ca="1">VLOOKUP(dict_DQ_Meth_max[[#This Row],[ID_DataQualities]],table_DataQualities[],8,FALSE)</f>
        <v>4.1000000000000002E-2</v>
      </c>
      <c r="M732" s="10">
        <f ca="1">VLOOKUP(dict_DQ_Meth_max[[#This Row],[ID_DataQualities]],table_DataQualities[],9,FALSE)</f>
        <v>3.94</v>
      </c>
    </row>
    <row r="733" spans="1:13" x14ac:dyDescent="0.45">
      <c r="A733" s="10">
        <v>195</v>
      </c>
      <c r="B733" s="10">
        <v>257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0.35292000000000001</v>
      </c>
      <c r="G733" s="12">
        <f ca="1">(RANDBETWEEN(50,100)/100)*(dict_DQ_Meth_max[[#This Row],[Vergleich_ub]]-dict_DQ_Meth_max[[#This Row],[Vergleich_lb]])+dict_DQ_Meth_max[[#This Row],[Vergleich_lb]]</f>
        <v>3.6280800000000002</v>
      </c>
      <c r="H733" s="11" t="str">
        <f ca="1">VLOOKUP(VLOOKUP(dict_DQ_Meth_max[[#This Row],[ID_DataQualities]],table_DataQualities[],3),table_Units[],2)</f>
        <v>+/- W</v>
      </c>
      <c r="I733" s="10"/>
      <c r="J733" s="10"/>
      <c r="K733" s="10"/>
      <c r="L733" s="10">
        <f ca="1">VLOOKUP(dict_DQ_Meth_max[[#This Row],[ID_DataQualities]],table_DataQualities[],8,FALSE)</f>
        <v>4.1000000000000002E-2</v>
      </c>
      <c r="M733" s="10">
        <f ca="1">VLOOKUP(dict_DQ_Meth_max[[#This Row],[ID_DataQualities]],table_DataQualities[],9,FALSE)</f>
        <v>3.94</v>
      </c>
    </row>
    <row r="734" spans="1:13" x14ac:dyDescent="0.45">
      <c r="A734" s="10">
        <v>196</v>
      </c>
      <c r="B734" s="10">
        <v>210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3151.0425999999998</v>
      </c>
      <c r="G734" s="12">
        <f ca="1">(RANDBETWEEN(50,100)/100)*(dict_DQ_Meth_max[[#This Row],[Vergleich_ub]]-dict_DQ_Meth_max[[#This Row],[Vergleich_lb]])+dict_DQ_Meth_max[[#This Row],[Vergleich_lb]]</f>
        <v>5935.6142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0.08</v>
      </c>
      <c r="M734" s="10">
        <f ca="1">VLOOKUP(dict_DQ_Meth_max[[#This Row],[ID_DataQualities]],table_DataQualities[],9,FALSE)</f>
        <v>7327.9</v>
      </c>
    </row>
    <row r="735" spans="1:13" x14ac:dyDescent="0.45">
      <c r="A735" s="10">
        <v>196</v>
      </c>
      <c r="B735" s="10">
        <v>24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2931.2080000000001</v>
      </c>
      <c r="G735" s="12">
        <f ca="1">(RANDBETWEEN(50,100)/100)*(dict_DQ_Meth_max[[#This Row],[Vergleich_ub]]-dict_DQ_Meth_max[[#This Row],[Vergleich_lb]])+dict_DQ_Meth_max[[#This Row],[Vergleich_lb]]</f>
        <v>5129.5539999999992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0.08</v>
      </c>
      <c r="M735" s="10">
        <f ca="1">VLOOKUP(dict_DQ_Meth_max[[#This Row],[ID_DataQualities]],table_DataQualities[],9,FALSE)</f>
        <v>7327.9</v>
      </c>
    </row>
    <row r="736" spans="1:13" x14ac:dyDescent="0.45">
      <c r="A736" s="10">
        <v>196</v>
      </c>
      <c r="B736" s="10">
        <v>445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3297.5989999999997</v>
      </c>
      <c r="G736" s="12">
        <f ca="1">(RANDBETWEEN(50,100)/100)*(dict_DQ_Meth_max[[#This Row],[Vergleich_ub]]-dict_DQ_Meth_max[[#This Row],[Vergleich_lb]])+dict_DQ_Meth_max[[#This Row],[Vergleich_lb]]</f>
        <v>6155.4487999999992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0.08</v>
      </c>
      <c r="M736" s="10">
        <f ca="1">VLOOKUP(dict_DQ_Meth_max[[#This Row],[ID_DataQualities]],table_DataQualities[],9,FALSE)</f>
        <v>7327.9</v>
      </c>
    </row>
    <row r="737" spans="1:13" x14ac:dyDescent="0.45">
      <c r="A737" s="10">
        <v>196</v>
      </c>
      <c r="B737" s="10">
        <v>292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3444.1553999999996</v>
      </c>
      <c r="G737" s="12">
        <f ca="1">(RANDBETWEEN(50,100)/100)*(dict_DQ_Meth_max[[#This Row],[Vergleich_ub]]-dict_DQ_Meth_max[[#This Row],[Vergleich_lb]])+dict_DQ_Meth_max[[#This Row],[Vergleich_lb]]</f>
        <v>7254.6217999999999</v>
      </c>
      <c r="H737" s="11" t="str">
        <f ca="1">VLOOKUP(VLOOKUP(dict_DQ_Meth_max[[#This Row],[ID_DataQualities]],table_DataQualities[],3),table_Units[],2)</f>
        <v>Hz</v>
      </c>
      <c r="I737" s="10"/>
      <c r="J737" s="10"/>
      <c r="K737" s="10"/>
      <c r="L737" s="10">
        <f ca="1">VLOOKUP(dict_DQ_Meth_max[[#This Row],[ID_DataQualities]],table_DataQualities[],8,FALSE)</f>
        <v>0.08</v>
      </c>
      <c r="M737" s="10">
        <f ca="1">VLOOKUP(dict_DQ_Meth_max[[#This Row],[ID_DataQualities]],table_DataQualities[],9,FALSE)</f>
        <v>7327.9</v>
      </c>
    </row>
    <row r="738" spans="1:13" x14ac:dyDescent="0.45">
      <c r="A738" s="10">
        <v>196</v>
      </c>
      <c r="B738" s="10">
        <v>259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3004.4861999999998</v>
      </c>
      <c r="G738" s="12">
        <f ca="1">(RANDBETWEEN(50,100)/100)*(dict_DQ_Meth_max[[#This Row],[Vergleich_ub]]-dict_DQ_Meth_max[[#This Row],[Vergleich_lb]])+dict_DQ_Meth_max[[#This Row],[Vergleich_lb]]</f>
        <v>6375.2833999999993</v>
      </c>
      <c r="H738" s="11" t="str">
        <f ca="1">VLOOKUP(VLOOKUP(dict_DQ_Meth_max[[#This Row],[ID_DataQualities]],table_DataQualities[],3),table_Units[],2)</f>
        <v>Hz</v>
      </c>
      <c r="I738" s="10"/>
      <c r="J738" s="10"/>
      <c r="K738" s="10"/>
      <c r="L738" s="10">
        <f ca="1">VLOOKUP(dict_DQ_Meth_max[[#This Row],[ID_DataQualities]],table_DataQualities[],8,FALSE)</f>
        <v>0.08</v>
      </c>
      <c r="M738" s="10">
        <f ca="1">VLOOKUP(dict_DQ_Meth_max[[#This Row],[ID_DataQualities]],table_DataQualities[],9,FALSE)</f>
        <v>7327.9</v>
      </c>
    </row>
    <row r="739" spans="1:13" x14ac:dyDescent="0.45">
      <c r="A739" s="10">
        <v>197</v>
      </c>
      <c r="B739" s="10">
        <v>445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0.71499999999999997</v>
      </c>
      <c r="G739" s="12">
        <f ca="1">(RANDBETWEEN(50,100)/100)*(dict_DQ_Meth_max[[#This Row],[Vergleich_ub]]-dict_DQ_Meth_max[[#This Row],[Vergleich_lb]])+dict_DQ_Meth_max[[#This Row],[Vergleich_lb]]</f>
        <v>0.97</v>
      </c>
      <c r="H739" s="11" t="str">
        <f ca="1">VLOOKUP(VLOOKUP(dict_DQ_Meth_max[[#This Row],[ID_DataQualities]],table_DataQualities[],3),table_Units[],2)</f>
        <v>+/- mm/s</v>
      </c>
      <c r="I739" s="10"/>
      <c r="J739" s="10"/>
      <c r="K739" s="10"/>
      <c r="L739" s="10">
        <f ca="1">VLOOKUP(dict_DQ_Meth_max[[#This Row],[ID_DataQualities]],table_DataQualities[],8,FALSE)</f>
        <v>0.6</v>
      </c>
      <c r="M739" s="10">
        <f ca="1">VLOOKUP(dict_DQ_Meth_max[[#This Row],[ID_DataQualities]],table_DataQualities[],9,FALSE)</f>
        <v>1.1000000000000001</v>
      </c>
    </row>
    <row r="740" spans="1:13" x14ac:dyDescent="0.45">
      <c r="A740" s="10">
        <v>197</v>
      </c>
      <c r="B740" s="10">
        <v>24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0.65500000000000003</v>
      </c>
      <c r="G740" s="12">
        <f ca="1">(RANDBETWEEN(50,100)/100)*(dict_DQ_Meth_max[[#This Row],[Vergleich_ub]]-dict_DQ_Meth_max[[#This Row],[Vergleich_lb]])+dict_DQ_Meth_max[[#This Row],[Vergleich_lb]]</f>
        <v>0.92</v>
      </c>
      <c r="H740" s="11" t="str">
        <f ca="1">VLOOKUP(VLOOKUP(dict_DQ_Meth_max[[#This Row],[ID_DataQualities]],table_DataQualities[],3),table_Units[],2)</f>
        <v>+/- mm/s</v>
      </c>
      <c r="I740" s="10"/>
      <c r="J740" s="10"/>
      <c r="K740" s="10"/>
      <c r="L740" s="10">
        <f ca="1">VLOOKUP(dict_DQ_Meth_max[[#This Row],[ID_DataQualities]],table_DataQualities[],8,FALSE)</f>
        <v>0.6</v>
      </c>
      <c r="M740" s="10">
        <f ca="1">VLOOKUP(dict_DQ_Meth_max[[#This Row],[ID_DataQualities]],table_DataQualities[],9,FALSE)</f>
        <v>1.1000000000000001</v>
      </c>
    </row>
    <row r="741" spans="1:13" x14ac:dyDescent="0.45">
      <c r="A741" s="10">
        <v>197</v>
      </c>
      <c r="B741" s="10">
        <v>292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0.69</v>
      </c>
      <c r="G741" s="12">
        <f ca="1">(RANDBETWEEN(50,100)/100)*(dict_DQ_Meth_max[[#This Row],[Vergleich_ub]]-dict_DQ_Meth_max[[#This Row],[Vergleich_lb]])+dict_DQ_Meth_max[[#This Row],[Vergleich_lb]]</f>
        <v>0.85000000000000009</v>
      </c>
      <c r="H741" s="11" t="str">
        <f ca="1">VLOOKUP(VLOOKUP(dict_DQ_Meth_max[[#This Row],[ID_DataQualities]],table_DataQualities[],3),table_Units[],2)</f>
        <v>+/- mm/s</v>
      </c>
      <c r="I741" s="10"/>
      <c r="J741" s="10"/>
      <c r="K741" s="10"/>
      <c r="L741" s="10">
        <f ca="1">VLOOKUP(dict_DQ_Meth_max[[#This Row],[ID_DataQualities]],table_DataQualities[],8,FALSE)</f>
        <v>0.6</v>
      </c>
      <c r="M741" s="10">
        <f ca="1">VLOOKUP(dict_DQ_Meth_max[[#This Row],[ID_DataQualities]],table_DataQualities[],9,FALSE)</f>
        <v>1.1000000000000001</v>
      </c>
    </row>
    <row r="742" spans="1:13" x14ac:dyDescent="0.45">
      <c r="A742" s="10">
        <v>197</v>
      </c>
      <c r="B742" s="10">
        <v>259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0.84000000000000008</v>
      </c>
      <c r="G742" s="12">
        <f ca="1">(RANDBETWEEN(50,100)/100)*(dict_DQ_Meth_max[[#This Row],[Vergleich_ub]]-dict_DQ_Meth_max[[#This Row],[Vergleich_lb]])+dict_DQ_Meth_max[[#This Row],[Vergleich_lb]]</f>
        <v>1.1000000000000001</v>
      </c>
      <c r="H742" s="11" t="str">
        <f ca="1">VLOOKUP(VLOOKUP(dict_DQ_Meth_max[[#This Row],[ID_DataQualities]],table_DataQualities[],3),table_Units[],2)</f>
        <v>+/- mm/s</v>
      </c>
      <c r="I742" s="10"/>
      <c r="J742" s="10"/>
      <c r="K742" s="10"/>
      <c r="L742" s="10">
        <f ca="1">VLOOKUP(dict_DQ_Meth_max[[#This Row],[ID_DataQualities]],table_DataQualities[],8,FALSE)</f>
        <v>0.6</v>
      </c>
      <c r="M742" s="10">
        <f ca="1">VLOOKUP(dict_DQ_Meth_max[[#This Row],[ID_DataQualities]],table_DataQualities[],9,FALSE)</f>
        <v>1.1000000000000001</v>
      </c>
    </row>
    <row r="743" spans="1:13" x14ac:dyDescent="0.45">
      <c r="A743" s="10">
        <v>197</v>
      </c>
      <c r="B743" s="10">
        <v>210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0.67500000000000004</v>
      </c>
      <c r="G743" s="12">
        <f ca="1">(RANDBETWEEN(50,100)/100)*(dict_DQ_Meth_max[[#This Row],[Vergleich_ub]]-dict_DQ_Meth_max[[#This Row],[Vergleich_lb]])+dict_DQ_Meth_max[[#This Row],[Vergleich_lb]]</f>
        <v>0.89500000000000002</v>
      </c>
      <c r="H743" s="11" t="str">
        <f ca="1">VLOOKUP(VLOOKUP(dict_DQ_Meth_max[[#This Row],[ID_DataQualities]],table_DataQualities[],3),table_Units[],2)</f>
        <v>+/- mm/s</v>
      </c>
      <c r="I743" s="10"/>
      <c r="J743" s="10"/>
      <c r="K743" s="10"/>
      <c r="L743" s="10">
        <f ca="1">VLOOKUP(dict_DQ_Meth_max[[#This Row],[ID_DataQualities]],table_DataQualities[],8,FALSE)</f>
        <v>0.6</v>
      </c>
      <c r="M743" s="10">
        <f ca="1">VLOOKUP(dict_DQ_Meth_max[[#This Row],[ID_DataQualities]],table_DataQualities[],9,FALSE)</f>
        <v>1.1000000000000001</v>
      </c>
    </row>
    <row r="744" spans="1:13" x14ac:dyDescent="0.45">
      <c r="A744" s="10">
        <v>198</v>
      </c>
      <c r="B744" s="10">
        <v>58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353.50915000000003</v>
      </c>
      <c r="G744" s="12">
        <f ca="1">(RANDBETWEEN(50,100)/100)*(dict_DQ_Meth_max[[#This Row],[Vergleich_ub]]-dict_DQ_Meth_max[[#This Row],[Vergleich_lb]])+dict_DQ_Meth_max[[#This Row],[Vergleich_lb]]</f>
        <v>1413.9016000000001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4.4999999999999998E-2</v>
      </c>
      <c r="M744" s="10">
        <f ca="1">VLOOKUP(dict_DQ_Meth_max[[#This Row],[ID_DataQualities]],table_DataQualities[],9,FALSE)</f>
        <v>2719</v>
      </c>
    </row>
    <row r="745" spans="1:13" x14ac:dyDescent="0.45">
      <c r="A745" s="10">
        <v>198</v>
      </c>
      <c r="B745" s="10">
        <v>363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1277.9538499999999</v>
      </c>
      <c r="G745" s="12">
        <f ca="1">(RANDBETWEEN(50,100)/100)*(dict_DQ_Meth_max[[#This Row],[Vergleich_ub]]-dict_DQ_Meth_max[[#This Row],[Vergleich_lb]])+dict_DQ_Meth_max[[#This Row],[Vergleich_lb]]</f>
        <v>2474.29405</v>
      </c>
      <c r="H745" s="11" t="str">
        <f ca="1">VLOOKUP(VLOOKUP(dict_DQ_Meth_max[[#This Row],[ID_DataQualities]],table_DataQualities[],3),table_Units[],2)</f>
        <v>Hz</v>
      </c>
      <c r="I745" s="10"/>
      <c r="J745" s="10"/>
      <c r="K745" s="10"/>
      <c r="L745" s="10">
        <f ca="1">VLOOKUP(dict_DQ_Meth_max[[#This Row],[ID_DataQualities]],table_DataQualities[],8,FALSE)</f>
        <v>4.4999999999999998E-2</v>
      </c>
      <c r="M745" s="10">
        <f ca="1">VLOOKUP(dict_DQ_Meth_max[[#This Row],[ID_DataQualities]],table_DataQualities[],9,FALSE)</f>
        <v>2719</v>
      </c>
    </row>
    <row r="746" spans="1:13" x14ac:dyDescent="0.45">
      <c r="A746" s="10">
        <v>198</v>
      </c>
      <c r="B746" s="10">
        <v>88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598.21509999999989</v>
      </c>
      <c r="G746" s="12">
        <f ca="1">(RANDBETWEEN(50,100)/100)*(dict_DQ_Meth_max[[#This Row],[Vergleich_ub]]-dict_DQ_Meth_max[[#This Row],[Vergleich_lb]])+dict_DQ_Meth_max[[#This Row],[Vergleich_lb]]</f>
        <v>2501.4836</v>
      </c>
      <c r="H746" s="11" t="str">
        <f ca="1">VLOOKUP(VLOOKUP(dict_DQ_Meth_max[[#This Row],[ID_DataQualities]],table_DataQualities[],3),table_Units[],2)</f>
        <v>Hz</v>
      </c>
      <c r="I746" s="10"/>
      <c r="J746" s="10"/>
      <c r="K746" s="10"/>
      <c r="L746" s="10">
        <f ca="1">VLOOKUP(dict_DQ_Meth_max[[#This Row],[ID_DataQualities]],table_DataQualities[],8,FALSE)</f>
        <v>4.4999999999999998E-2</v>
      </c>
      <c r="M746" s="10">
        <f ca="1">VLOOKUP(dict_DQ_Meth_max[[#This Row],[ID_DataQualities]],table_DataQualities[],9,FALSE)</f>
        <v>2719</v>
      </c>
    </row>
    <row r="747" spans="1:13" x14ac:dyDescent="0.45">
      <c r="A747" s="10">
        <v>199</v>
      </c>
      <c r="B747" s="10">
        <v>363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0.81499999999999995</v>
      </c>
      <c r="G747" s="12">
        <f ca="1">(RANDBETWEEN(50,100)/100)*(dict_DQ_Meth_max[[#This Row],[Vergleich_ub]]-dict_DQ_Meth_max[[#This Row],[Vergleich_lb]])+dict_DQ_Meth_max[[#This Row],[Vergleich_lb]]</f>
        <v>1.79</v>
      </c>
      <c r="H747" s="11" t="str">
        <f ca="1">VLOOKUP(VLOOKUP(dict_DQ_Meth_max[[#This Row],[ID_DataQualities]],table_DataQualities[],3),table_Units[],2)</f>
        <v>+/- °C</v>
      </c>
      <c r="I747" s="10"/>
      <c r="J747" s="10"/>
      <c r="K747" s="10"/>
      <c r="L747" s="10">
        <f ca="1">VLOOKUP(dict_DQ_Meth_max[[#This Row],[ID_DataQualities]],table_DataQualities[],8,FALSE)</f>
        <v>0.5</v>
      </c>
      <c r="M747" s="10">
        <f ca="1">VLOOKUP(dict_DQ_Meth_max[[#This Row],[ID_DataQualities]],table_DataQualities[],9,FALSE)</f>
        <v>2</v>
      </c>
    </row>
    <row r="748" spans="1:13" x14ac:dyDescent="0.45">
      <c r="A748" s="10">
        <v>199</v>
      </c>
      <c r="B748" s="10">
        <v>58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0.66500000000000004</v>
      </c>
      <c r="G748" s="12">
        <f ca="1">(RANDBETWEEN(50,100)/100)*(dict_DQ_Meth_max[[#This Row],[Vergleich_ub]]-dict_DQ_Meth_max[[#This Row],[Vergleich_lb]])+dict_DQ_Meth_max[[#This Row],[Vergleich_lb]]</f>
        <v>1.595</v>
      </c>
      <c r="H748" s="11" t="str">
        <f ca="1">VLOOKUP(VLOOKUP(dict_DQ_Meth_max[[#This Row],[ID_DataQualities]],table_DataQualities[],3),table_Units[],2)</f>
        <v>+/- °C</v>
      </c>
      <c r="I748" s="10"/>
      <c r="J748" s="10"/>
      <c r="K748" s="10"/>
      <c r="L748" s="10">
        <f ca="1">VLOOKUP(dict_DQ_Meth_max[[#This Row],[ID_DataQualities]],table_DataQualities[],8,FALSE)</f>
        <v>0.5</v>
      </c>
      <c r="M748" s="10">
        <f ca="1">VLOOKUP(dict_DQ_Meth_max[[#This Row],[ID_DataQualities]],table_DataQualities[],9,FALSE)</f>
        <v>2</v>
      </c>
    </row>
    <row r="749" spans="1:13" x14ac:dyDescent="0.45">
      <c r="A749" s="10">
        <v>199</v>
      </c>
      <c r="B749" s="10">
        <v>88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0.95</v>
      </c>
      <c r="G749" s="12">
        <f ca="1">(RANDBETWEEN(50,100)/100)*(dict_DQ_Meth_max[[#This Row],[Vergleich_ub]]-dict_DQ_Meth_max[[#This Row],[Vergleich_lb]])+dict_DQ_Meth_max[[#This Row],[Vergleich_lb]]</f>
        <v>1.97</v>
      </c>
      <c r="H749" s="11" t="str">
        <f ca="1">VLOOKUP(VLOOKUP(dict_DQ_Meth_max[[#This Row],[ID_DataQualities]],table_DataQualities[],3),table_Units[],2)</f>
        <v>+/- °C</v>
      </c>
      <c r="I749" s="10"/>
      <c r="J749" s="10"/>
      <c r="K749" s="10"/>
      <c r="L749" s="10">
        <f ca="1">VLOOKUP(dict_DQ_Meth_max[[#This Row],[ID_DataQualities]],table_DataQualities[],8,FALSE)</f>
        <v>0.5</v>
      </c>
      <c r="M749" s="10">
        <f ca="1">VLOOKUP(dict_DQ_Meth_max[[#This Row],[ID_DataQualities]],table_DataQualities[],9,FALSE)</f>
        <v>2</v>
      </c>
    </row>
    <row r="750" spans="1:13" x14ac:dyDescent="0.45">
      <c r="A750" s="10">
        <v>200</v>
      </c>
      <c r="B750" s="10">
        <v>20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1282.1748000000002</v>
      </c>
      <c r="G750" s="12">
        <f ca="1">(RANDBETWEEN(50,100)/100)*(dict_DQ_Meth_max[[#This Row],[Vergleich_ub]]-dict_DQ_Meth_max[[#This Row],[Vergleich_lb]])+dict_DQ_Meth_max[[#This Row],[Vergleich_lb]]</f>
        <v>5294.5619999999999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0.44</v>
      </c>
      <c r="M750" s="10">
        <f ca="1">VLOOKUP(dict_DQ_Meth_max[[#This Row],[ID_DataQualities]],table_DataQualities[],9,FALSE)</f>
        <v>5573.2</v>
      </c>
    </row>
    <row r="751" spans="1:13" x14ac:dyDescent="0.45">
      <c r="A751" s="10">
        <v>200</v>
      </c>
      <c r="B751" s="10">
        <v>271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446.26080000000002</v>
      </c>
      <c r="G751" s="12">
        <f ca="1">(RANDBETWEEN(50,100)/100)*(dict_DQ_Meth_max[[#This Row],[Vergleich_ub]]-dict_DQ_Meth_max[[#This Row],[Vergleich_lb]])+dict_DQ_Meth_max[[#This Row],[Vergleich_lb]]</f>
        <v>4235.7375999999995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0.44</v>
      </c>
      <c r="M751" s="10">
        <f ca="1">VLOOKUP(dict_DQ_Meth_max[[#This Row],[ID_DataQualities]],table_DataQualities[],9,FALSE)</f>
        <v>5573.2</v>
      </c>
    </row>
    <row r="752" spans="1:13" x14ac:dyDescent="0.45">
      <c r="A752" s="10">
        <v>200</v>
      </c>
      <c r="B752" s="10">
        <v>573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2675.3648000000003</v>
      </c>
      <c r="G752" s="12">
        <f ca="1">(RANDBETWEEN(50,100)/100)*(dict_DQ_Meth_max[[#This Row],[Vergleich_ub]]-dict_DQ_Meth_max[[#This Row],[Vergleich_lb]])+dict_DQ_Meth_max[[#This Row],[Vergleich_lb]]</f>
        <v>3065.4580000000005</v>
      </c>
      <c r="H752" s="11" t="str">
        <f ca="1">VLOOKUP(VLOOKUP(dict_DQ_Meth_max[[#This Row],[ID_DataQualities]],table_DataQualities[],3),table_Units[],2)</f>
        <v>Hz</v>
      </c>
      <c r="I752" s="10"/>
      <c r="J752" s="10"/>
      <c r="K752" s="10"/>
      <c r="L752" s="10">
        <f ca="1">VLOOKUP(dict_DQ_Meth_max[[#This Row],[ID_DataQualities]],table_DataQualities[],8,FALSE)</f>
        <v>0.44</v>
      </c>
      <c r="M752" s="10">
        <f ca="1">VLOOKUP(dict_DQ_Meth_max[[#This Row],[ID_DataQualities]],table_DataQualities[],9,FALSE)</f>
        <v>5573.2</v>
      </c>
    </row>
    <row r="753" spans="1:13" x14ac:dyDescent="0.45">
      <c r="A753" s="10">
        <v>201</v>
      </c>
      <c r="B753" s="10">
        <v>271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0.47270000000000001</v>
      </c>
      <c r="G753" s="12">
        <f ca="1">(RANDBETWEEN(50,100)/100)*(dict_DQ_Meth_max[[#This Row],[Vergleich_ub]]-dict_DQ_Meth_max[[#This Row],[Vergleich_lb]])+dict_DQ_Meth_max[[#This Row],[Vergleich_lb]]</f>
        <v>2.0908999999999995</v>
      </c>
      <c r="H753" s="11" t="str">
        <f ca="1">VLOOKUP(VLOOKUP(dict_DQ_Meth_max[[#This Row],[ID_DataQualities]],table_DataQualities[],3),table_Units[],2)</f>
        <v>+/- mm/s</v>
      </c>
      <c r="I753" s="10"/>
      <c r="J753" s="10"/>
      <c r="K753" s="10"/>
      <c r="L753" s="10">
        <f ca="1">VLOOKUP(dict_DQ_Meth_max[[#This Row],[ID_DataQualities]],table_DataQualities[],8,FALSE)</f>
        <v>0.28999999999999998</v>
      </c>
      <c r="M753" s="10">
        <f ca="1">VLOOKUP(dict_DQ_Meth_max[[#This Row],[ID_DataQualities]],table_DataQualities[],9,FALSE)</f>
        <v>2.9</v>
      </c>
    </row>
    <row r="754" spans="1:13" x14ac:dyDescent="0.45">
      <c r="A754" s="10">
        <v>201</v>
      </c>
      <c r="B754" s="10">
        <v>573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1.5427999999999999</v>
      </c>
      <c r="G754" s="12">
        <f ca="1">(RANDBETWEEN(50,100)/100)*(dict_DQ_Meth_max[[#This Row],[Vergleich_ub]]-dict_DQ_Meth_max[[#This Row],[Vergleich_lb]])+dict_DQ_Meth_max[[#This Row],[Vergleich_lb]]</f>
        <v>1.6994</v>
      </c>
      <c r="H754" s="11" t="str">
        <f ca="1">VLOOKUP(VLOOKUP(dict_DQ_Meth_max[[#This Row],[ID_DataQualities]],table_DataQualities[],3),table_Units[],2)</f>
        <v>+/- mm/s</v>
      </c>
      <c r="I754" s="10"/>
      <c r="J754" s="10"/>
      <c r="K754" s="10"/>
      <c r="L754" s="10">
        <f ca="1">VLOOKUP(dict_DQ_Meth_max[[#This Row],[ID_DataQualities]],table_DataQualities[],8,FALSE)</f>
        <v>0.28999999999999998</v>
      </c>
      <c r="M754" s="10">
        <f ca="1">VLOOKUP(dict_DQ_Meth_max[[#This Row],[ID_DataQualities]],table_DataQualities[],9,FALSE)</f>
        <v>2.9</v>
      </c>
    </row>
    <row r="755" spans="1:13" x14ac:dyDescent="0.45">
      <c r="A755" s="10">
        <v>201</v>
      </c>
      <c r="B755" s="10">
        <v>20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1.595</v>
      </c>
      <c r="G755" s="12">
        <f ca="1">(RANDBETWEEN(50,100)/100)*(dict_DQ_Meth_max[[#This Row],[Vergleich_ub]]-dict_DQ_Meth_max[[#This Row],[Vergleich_lb]])+dict_DQ_Meth_max[[#This Row],[Vergleich_lb]]</f>
        <v>2.0387</v>
      </c>
      <c r="H755" s="11" t="str">
        <f ca="1">VLOOKUP(VLOOKUP(dict_DQ_Meth_max[[#This Row],[ID_DataQualities]],table_DataQualities[],3),table_Units[],2)</f>
        <v>+/- mm/s</v>
      </c>
      <c r="I755" s="10"/>
      <c r="J755" s="10"/>
      <c r="K755" s="10"/>
      <c r="L755" s="10">
        <f ca="1">VLOOKUP(dict_DQ_Meth_max[[#This Row],[ID_DataQualities]],table_DataQualities[],8,FALSE)</f>
        <v>0.28999999999999998</v>
      </c>
      <c r="M755" s="10">
        <f ca="1">VLOOKUP(dict_DQ_Meth_max[[#This Row],[ID_DataQualities]],table_DataQualities[],9,FALSE)</f>
        <v>2.9</v>
      </c>
    </row>
    <row r="756" spans="1:13" x14ac:dyDescent="0.45">
      <c r="A756" s="10">
        <v>202</v>
      </c>
      <c r="B756" s="10">
        <v>579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224.7979</v>
      </c>
      <c r="G756" s="12">
        <f ca="1">(RANDBETWEEN(50,100)/100)*(dict_DQ_Meth_max[[#This Row],[Vergleich_ub]]-dict_DQ_Meth_max[[#This Row],[Vergleich_lb]])+dict_DQ_Meth_max[[#This Row],[Vergleich_lb]]</f>
        <v>486.24895000000004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0.69699999999999995</v>
      </c>
      <c r="M756" s="10">
        <f ca="1">VLOOKUP(dict_DQ_Meth_max[[#This Row],[ID_DataQualities]],table_DataQualities[],9,FALSE)</f>
        <v>747.7</v>
      </c>
    </row>
    <row r="757" spans="1:13" x14ac:dyDescent="0.45">
      <c r="A757" s="10">
        <v>202</v>
      </c>
      <c r="B757" s="10">
        <v>158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374.19850000000002</v>
      </c>
      <c r="G757" s="12">
        <f ca="1">(RANDBETWEEN(50,100)/100)*(dict_DQ_Meth_max[[#This Row],[Vergleich_ub]]-dict_DQ_Meth_max[[#This Row],[Vergleich_lb]])+dict_DQ_Meth_max[[#This Row],[Vergleich_lb]]</f>
        <v>635.64954999999998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0.69699999999999995</v>
      </c>
      <c r="M757" s="10">
        <f ca="1">VLOOKUP(dict_DQ_Meth_max[[#This Row],[ID_DataQualities]],table_DataQualities[],9,FALSE)</f>
        <v>747.7</v>
      </c>
    </row>
    <row r="758" spans="1:13" x14ac:dyDescent="0.45">
      <c r="A758" s="10">
        <v>202</v>
      </c>
      <c r="B758" s="10">
        <v>587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38.047150000000009</v>
      </c>
      <c r="G758" s="12">
        <f ca="1">(RANDBETWEEN(50,100)/100)*(dict_DQ_Meth_max[[#This Row],[Vergleich_ub]]-dict_DQ_Meth_max[[#This Row],[Vergleich_lb]])+dict_DQ_Meth_max[[#This Row],[Vergleich_lb]]</f>
        <v>396.60859000000005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0.69699999999999995</v>
      </c>
      <c r="M758" s="10">
        <f ca="1">VLOOKUP(dict_DQ_Meth_max[[#This Row],[ID_DataQualities]],table_DataQualities[],9,FALSE)</f>
        <v>747.7</v>
      </c>
    </row>
    <row r="759" spans="1:13" x14ac:dyDescent="0.45">
      <c r="A759" s="10">
        <v>202</v>
      </c>
      <c r="B759" s="10">
        <v>498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329.37832000000003</v>
      </c>
      <c r="G759" s="12">
        <f ca="1">(RANDBETWEEN(50,100)/100)*(dict_DQ_Meth_max[[#This Row],[Vergleich_ub]]-dict_DQ_Meth_max[[#This Row],[Vergleich_lb]])+dict_DQ_Meth_max[[#This Row],[Vergleich_lb]]</f>
        <v>740.22997000000009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0.69699999999999995</v>
      </c>
      <c r="M759" s="10">
        <f ca="1">VLOOKUP(dict_DQ_Meth_max[[#This Row],[ID_DataQualities]],table_DataQualities[],9,FALSE)</f>
        <v>747.7</v>
      </c>
    </row>
    <row r="760" spans="1:13" x14ac:dyDescent="0.45">
      <c r="A760" s="10">
        <v>203</v>
      </c>
      <c r="B760" s="10">
        <v>498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0.88500000000000001</v>
      </c>
      <c r="G760" s="12">
        <f ca="1">(RANDBETWEEN(50,100)/100)*(dict_DQ_Meth_max[[#This Row],[Vergleich_ub]]-dict_DQ_Meth_max[[#This Row],[Vergleich_lb]])+dict_DQ_Meth_max[[#This Row],[Vergleich_lb]]</f>
        <v>3.58</v>
      </c>
      <c r="H760" s="11" t="str">
        <f ca="1">VLOOKUP(VLOOKUP(dict_DQ_Meth_max[[#This Row],[ID_DataQualities]],table_DataQualities[],3),table_Units[],2)</f>
        <v>+/- °C</v>
      </c>
      <c r="I760" s="10"/>
      <c r="J760" s="10"/>
      <c r="K760" s="10"/>
      <c r="L760" s="10">
        <f ca="1">VLOOKUP(dict_DQ_Meth_max[[#This Row],[ID_DataQualities]],table_DataQualities[],8,FALSE)</f>
        <v>0.5</v>
      </c>
      <c r="M760" s="10">
        <f ca="1">VLOOKUP(dict_DQ_Meth_max[[#This Row],[ID_DataQualities]],table_DataQualities[],9,FALSE)</f>
        <v>6</v>
      </c>
    </row>
    <row r="761" spans="1:13" x14ac:dyDescent="0.45">
      <c r="A761" s="10">
        <v>203</v>
      </c>
      <c r="B761" s="10">
        <v>579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2.81</v>
      </c>
      <c r="G761" s="12">
        <f ca="1">(RANDBETWEEN(50,100)/100)*(dict_DQ_Meth_max[[#This Row],[Vergleich_ub]]-dict_DQ_Meth_max[[#This Row],[Vergleich_lb]])+dict_DQ_Meth_max[[#This Row],[Vergleich_lb]]</f>
        <v>4.46</v>
      </c>
      <c r="H761" s="11" t="str">
        <f ca="1">VLOOKUP(VLOOKUP(dict_DQ_Meth_max[[#This Row],[ID_DataQualities]],table_DataQualities[],3),table_Units[],2)</f>
        <v>+/- °C</v>
      </c>
      <c r="I761" s="10"/>
      <c r="J761" s="10"/>
      <c r="K761" s="10"/>
      <c r="L761" s="10">
        <f ca="1">VLOOKUP(dict_DQ_Meth_max[[#This Row],[ID_DataQualities]],table_DataQualities[],8,FALSE)</f>
        <v>0.5</v>
      </c>
      <c r="M761" s="10">
        <f ca="1">VLOOKUP(dict_DQ_Meth_max[[#This Row],[ID_DataQualities]],table_DataQualities[],9,FALSE)</f>
        <v>6</v>
      </c>
    </row>
    <row r="762" spans="1:13" x14ac:dyDescent="0.45">
      <c r="A762" s="10">
        <v>203</v>
      </c>
      <c r="B762" s="10">
        <v>587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2.48</v>
      </c>
      <c r="G762" s="12">
        <f ca="1">(RANDBETWEEN(50,100)/100)*(dict_DQ_Meth_max[[#This Row],[Vergleich_ub]]-dict_DQ_Meth_max[[#This Row],[Vergleich_lb]])+dict_DQ_Meth_max[[#This Row],[Vergleich_lb]]</f>
        <v>4.9000000000000004</v>
      </c>
      <c r="H762" s="11" t="str">
        <f ca="1">VLOOKUP(VLOOKUP(dict_DQ_Meth_max[[#This Row],[ID_DataQualities]],table_DataQualities[],3),table_Units[],2)</f>
        <v>+/- °C</v>
      </c>
      <c r="I762" s="10"/>
      <c r="J762" s="10"/>
      <c r="K762" s="10"/>
      <c r="L762" s="10">
        <f ca="1">VLOOKUP(dict_DQ_Meth_max[[#This Row],[ID_DataQualities]],table_DataQualities[],8,FALSE)</f>
        <v>0.5</v>
      </c>
      <c r="M762" s="10">
        <f ca="1">VLOOKUP(dict_DQ_Meth_max[[#This Row],[ID_DataQualities]],table_DataQualities[],9,FALSE)</f>
        <v>6</v>
      </c>
    </row>
    <row r="763" spans="1:13" x14ac:dyDescent="0.45">
      <c r="A763" s="10">
        <v>203</v>
      </c>
      <c r="B763" s="10">
        <v>158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0.995</v>
      </c>
      <c r="G763" s="12">
        <f ca="1">(RANDBETWEEN(50,100)/100)*(dict_DQ_Meth_max[[#This Row],[Vergleich_ub]]-dict_DQ_Meth_max[[#This Row],[Vergleich_lb]])+dict_DQ_Meth_max[[#This Row],[Vergleich_lb]]</f>
        <v>5.7249999999999996</v>
      </c>
      <c r="H763" s="11" t="str">
        <f ca="1">VLOOKUP(VLOOKUP(dict_DQ_Meth_max[[#This Row],[ID_DataQualities]],table_DataQualities[],3),table_Units[],2)</f>
        <v>+/- °C</v>
      </c>
      <c r="I763" s="10"/>
      <c r="J763" s="10"/>
      <c r="K763" s="10"/>
      <c r="L763" s="10">
        <f ca="1">VLOOKUP(dict_DQ_Meth_max[[#This Row],[ID_DataQualities]],table_DataQualities[],8,FALSE)</f>
        <v>0.5</v>
      </c>
      <c r="M763" s="10">
        <f ca="1">VLOOKUP(dict_DQ_Meth_max[[#This Row],[ID_DataQualities]],table_DataQualities[],9,FALSE)</f>
        <v>6</v>
      </c>
    </row>
    <row r="764" spans="1:13" x14ac:dyDescent="0.45">
      <c r="A764" s="10">
        <v>204</v>
      </c>
      <c r="B764" s="10">
        <v>463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40.403700000000008</v>
      </c>
      <c r="G764" s="12">
        <f ca="1">(RANDBETWEEN(50,100)/100)*(dict_DQ_Meth_max[[#This Row],[Vergleich_ub]]-dict_DQ_Meth_max[[#This Row],[Vergleich_lb]])+dict_DQ_Meth_max[[#This Row],[Vergleich_lb]]</f>
        <v>364.49036999999998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0.39300000000000002</v>
      </c>
      <c r="M764" s="10">
        <f ca="1">VLOOKUP(dict_DQ_Meth_max[[#This Row],[ID_DataQualities]],table_DataQualities[],9,FALSE)</f>
        <v>400.5</v>
      </c>
    </row>
    <row r="765" spans="1:13" x14ac:dyDescent="0.45">
      <c r="A765" s="10">
        <v>204</v>
      </c>
      <c r="B765" s="10">
        <v>404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132.42831000000001</v>
      </c>
      <c r="G765" s="12">
        <f ca="1">(RANDBETWEEN(50,100)/100)*(dict_DQ_Meth_max[[#This Row],[Vergleich_ub]]-dict_DQ_Meth_max[[#This Row],[Vergleich_lb]])+dict_DQ_Meth_max[[#This Row],[Vergleich_lb]]</f>
        <v>396.49892999999997</v>
      </c>
      <c r="H765" s="11" t="str">
        <f ca="1">VLOOKUP(VLOOKUP(dict_DQ_Meth_max[[#This Row],[ID_DataQualities]],table_DataQualities[],3),table_Units[],2)</f>
        <v>Hz</v>
      </c>
      <c r="I765" s="10"/>
      <c r="J765" s="10"/>
      <c r="K765" s="10"/>
      <c r="L765" s="10">
        <f ca="1">VLOOKUP(dict_DQ_Meth_max[[#This Row],[ID_DataQualities]],table_DataQualities[],8,FALSE)</f>
        <v>0.39300000000000002</v>
      </c>
      <c r="M765" s="10">
        <f ca="1">VLOOKUP(dict_DQ_Meth_max[[#This Row],[ID_DataQualities]],table_DataQualities[],9,FALSE)</f>
        <v>400.5</v>
      </c>
    </row>
    <row r="766" spans="1:13" x14ac:dyDescent="0.45">
      <c r="A766" s="10">
        <v>204</v>
      </c>
      <c r="B766" s="10">
        <v>699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96.418680000000009</v>
      </c>
      <c r="G766" s="12">
        <f ca="1">(RANDBETWEEN(50,100)/100)*(dict_DQ_Meth_max[[#This Row],[Vergleich_ub]]-dict_DQ_Meth_max[[#This Row],[Vergleich_lb]])+dict_DQ_Meth_max[[#This Row],[Vergleich_lb]]</f>
        <v>260.46255000000002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0.39300000000000002</v>
      </c>
      <c r="M766" s="10">
        <f ca="1">VLOOKUP(dict_DQ_Meth_max[[#This Row],[ID_DataQualities]],table_DataQualities[],9,FALSE)</f>
        <v>400.5</v>
      </c>
    </row>
    <row r="767" spans="1:13" x14ac:dyDescent="0.45">
      <c r="A767" s="10">
        <v>205</v>
      </c>
      <c r="B767" s="10">
        <v>404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2.2616100000000001</v>
      </c>
      <c r="G767" s="12">
        <f ca="1">(RANDBETWEEN(50,100)/100)*(dict_DQ_Meth_max[[#This Row],[Vergleich_ub]]-dict_DQ_Meth_max[[#This Row],[Vergleich_lb]])+dict_DQ_Meth_max[[#This Row],[Vergleich_lb]]</f>
        <v>3.23739</v>
      </c>
      <c r="H767" s="11" t="str">
        <f ca="1">VLOOKUP(VLOOKUP(dict_DQ_Meth_max[[#This Row],[ID_DataQualities]],table_DataQualities[],3),table_Units[],2)</f>
        <v>+/- W</v>
      </c>
      <c r="I767" s="10"/>
      <c r="J767" s="10"/>
      <c r="K767" s="10"/>
      <c r="L767" s="10">
        <f ca="1">VLOOKUP(dict_DQ_Meth_max[[#This Row],[ID_DataQualities]],table_DataQualities[],8,FALSE)</f>
        <v>3.9E-2</v>
      </c>
      <c r="M767" s="10">
        <f ca="1">VLOOKUP(dict_DQ_Meth_max[[#This Row],[ID_DataQualities]],table_DataQualities[],9,FALSE)</f>
        <v>5.46</v>
      </c>
    </row>
    <row r="768" spans="1:13" x14ac:dyDescent="0.45">
      <c r="A768" s="10">
        <v>205</v>
      </c>
      <c r="B768" s="10">
        <v>463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2.3700300000000003</v>
      </c>
      <c r="G768" s="12">
        <f ca="1">(RANDBETWEEN(50,100)/100)*(dict_DQ_Meth_max[[#This Row],[Vergleich_ub]]-dict_DQ_Meth_max[[#This Row],[Vergleich_lb]])+dict_DQ_Meth_max[[#This Row],[Vergleich_lb]]</f>
        <v>5.2973699999999999</v>
      </c>
      <c r="H768" s="11" t="str">
        <f ca="1">VLOOKUP(VLOOKUP(dict_DQ_Meth_max[[#This Row],[ID_DataQualities]],table_DataQualities[],3),table_Units[],2)</f>
        <v>+/- W</v>
      </c>
      <c r="I768" s="10"/>
      <c r="J768" s="10"/>
      <c r="K768" s="10"/>
      <c r="L768" s="10">
        <f ca="1">VLOOKUP(dict_DQ_Meth_max[[#This Row],[ID_DataQualities]],table_DataQualities[],8,FALSE)</f>
        <v>3.9E-2</v>
      </c>
      <c r="M768" s="10">
        <f ca="1">VLOOKUP(dict_DQ_Meth_max[[#This Row],[ID_DataQualities]],table_DataQualities[],9,FALSE)</f>
        <v>5.46</v>
      </c>
    </row>
    <row r="769" spans="1:13" x14ac:dyDescent="0.45">
      <c r="A769" s="10">
        <v>205</v>
      </c>
      <c r="B769" s="10">
        <v>699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2.0989800000000001</v>
      </c>
      <c r="G769" s="12">
        <f ca="1">(RANDBETWEEN(50,100)/100)*(dict_DQ_Meth_max[[#This Row],[Vergleich_ub]]-dict_DQ_Meth_max[[#This Row],[Vergleich_lb]])+dict_DQ_Meth_max[[#This Row],[Vergleich_lb]]</f>
        <v>3.7252800000000006</v>
      </c>
      <c r="H769" s="11" t="str">
        <f ca="1">VLOOKUP(VLOOKUP(dict_DQ_Meth_max[[#This Row],[ID_DataQualities]],table_DataQualities[],3),table_Units[],2)</f>
        <v>+/- W</v>
      </c>
      <c r="I769" s="10"/>
      <c r="J769" s="10"/>
      <c r="K769" s="10"/>
      <c r="L769" s="10">
        <f ca="1">VLOOKUP(dict_DQ_Meth_max[[#This Row],[ID_DataQualities]],table_DataQualities[],8,FALSE)</f>
        <v>3.9E-2</v>
      </c>
      <c r="M769" s="10">
        <f ca="1">VLOOKUP(dict_DQ_Meth_max[[#This Row],[ID_DataQualities]],table_DataQualities[],9,FALSE)</f>
        <v>5.46</v>
      </c>
    </row>
    <row r="770" spans="1:13" x14ac:dyDescent="0.45">
      <c r="A770" s="10">
        <v>206</v>
      </c>
      <c r="B770" s="10">
        <v>688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682.47120000000007</v>
      </c>
      <c r="G770" s="12">
        <f ca="1">(RANDBETWEEN(50,100)/100)*(dict_DQ_Meth_max[[#This Row],[Vergleich_ub]]-dict_DQ_Meth_max[[#This Row],[Vergleich_lb]])+dict_DQ_Meth_max[[#This Row],[Vergleich_lb]]</f>
        <v>3702.5407999999998</v>
      </c>
      <c r="H770" s="11" t="str">
        <f ca="1">VLOOKUP(VLOOKUP(dict_DQ_Meth_max[[#This Row],[ID_DataQualities]],table_DataQualities[],3),table_Units[],2)</f>
        <v>Hz</v>
      </c>
      <c r="I770" s="10"/>
      <c r="J770" s="10"/>
      <c r="K770" s="10"/>
      <c r="L770" s="10">
        <f ca="1">VLOOKUP(dict_DQ_Meth_max[[#This Row],[ID_DataQualities]],table_DataQualities[],8,FALSE)</f>
        <v>0.52</v>
      </c>
      <c r="M770" s="10">
        <f ca="1">VLOOKUP(dict_DQ_Meth_max[[#This Row],[ID_DataQualities]],table_DataQualities[],9,FALSE)</f>
        <v>4871.6000000000004</v>
      </c>
    </row>
    <row r="771" spans="1:13" x14ac:dyDescent="0.45">
      <c r="A771" s="10">
        <v>206</v>
      </c>
      <c r="B771" s="10">
        <v>563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2046.3735999999999</v>
      </c>
      <c r="G771" s="12">
        <f ca="1">(RANDBETWEEN(50,100)/100)*(dict_DQ_Meth_max[[#This Row],[Vergleich_ub]]-dict_DQ_Meth_max[[#This Row],[Vergleich_lb]])+dict_DQ_Meth_max[[#This Row],[Vergleich_lb]]</f>
        <v>2874.4571999999998</v>
      </c>
      <c r="H771" s="11" t="str">
        <f ca="1">VLOOKUP(VLOOKUP(dict_DQ_Meth_max[[#This Row],[ID_DataQualities]],table_DataQualities[],3),table_Units[],2)</f>
        <v>Hz</v>
      </c>
      <c r="I771" s="10"/>
      <c r="J771" s="10"/>
      <c r="K771" s="10"/>
      <c r="L771" s="10">
        <f ca="1">VLOOKUP(dict_DQ_Meth_max[[#This Row],[ID_DataQualities]],table_DataQualities[],8,FALSE)</f>
        <v>0.52</v>
      </c>
      <c r="M771" s="10">
        <f ca="1">VLOOKUP(dict_DQ_Meth_max[[#This Row],[ID_DataQualities]],table_DataQualities[],9,FALSE)</f>
        <v>4871.6000000000004</v>
      </c>
    </row>
    <row r="772" spans="1:13" x14ac:dyDescent="0.45">
      <c r="A772" s="10">
        <v>206</v>
      </c>
      <c r="B772" s="10">
        <v>197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438.91719999999998</v>
      </c>
      <c r="G772" s="12">
        <f ca="1">(RANDBETWEEN(50,100)/100)*(dict_DQ_Meth_max[[#This Row],[Vergleich_ub]]-dict_DQ_Meth_max[[#This Row],[Vergleich_lb]])+dict_DQ_Meth_max[[#This Row],[Vergleich_lb]]</f>
        <v>4725.4675999999999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0.52</v>
      </c>
      <c r="M772" s="10">
        <f ca="1">VLOOKUP(dict_DQ_Meth_max[[#This Row],[ID_DataQualities]],table_DataQualities[],9,FALSE)</f>
        <v>4871.6000000000004</v>
      </c>
    </row>
    <row r="773" spans="1:13" x14ac:dyDescent="0.45">
      <c r="A773" s="10">
        <v>206</v>
      </c>
      <c r="B773" s="10">
        <v>436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1656.6872000000001</v>
      </c>
      <c r="G773" s="12">
        <f ca="1">(RANDBETWEEN(50,100)/100)*(dict_DQ_Meth_max[[#This Row],[Vergleich_ub]]-dict_DQ_Meth_max[[#This Row],[Vergleich_lb]])+dict_DQ_Meth_max[[#This Row],[Vergleich_lb]]</f>
        <v>2436.06</v>
      </c>
      <c r="H773" s="11" t="str">
        <f ca="1">VLOOKUP(VLOOKUP(dict_DQ_Meth_max[[#This Row],[ID_DataQualities]],table_DataQualities[],3),table_Units[],2)</f>
        <v>Hz</v>
      </c>
      <c r="I773" s="10"/>
      <c r="J773" s="10"/>
      <c r="K773" s="10"/>
      <c r="L773" s="10">
        <f ca="1">VLOOKUP(dict_DQ_Meth_max[[#This Row],[ID_DataQualities]],table_DataQualities[],8,FALSE)</f>
        <v>0.52</v>
      </c>
      <c r="M773" s="10">
        <f ca="1">VLOOKUP(dict_DQ_Meth_max[[#This Row],[ID_DataQualities]],table_DataQualities[],9,FALSE)</f>
        <v>4871.6000000000004</v>
      </c>
    </row>
    <row r="774" spans="1:13" x14ac:dyDescent="0.45">
      <c r="A774" s="10">
        <v>207</v>
      </c>
      <c r="B774" s="10">
        <v>197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2.3879999999999995</v>
      </c>
      <c r="G774" s="12">
        <f ca="1">(RANDBETWEEN(50,100)/100)*(dict_DQ_Meth_max[[#This Row],[Vergleich_ub]]-dict_DQ_Meth_max[[#This Row],[Vergleich_lb]])+dict_DQ_Meth_max[[#This Row],[Vergleich_lb]]</f>
        <v>5.7809999999999997</v>
      </c>
      <c r="H774" s="11" t="str">
        <f ca="1">VLOOKUP(VLOOKUP(dict_DQ_Meth_max[[#This Row],[ID_DataQualities]],table_DataQualities[],3),table_Units[],2)</f>
        <v>+/- °C</v>
      </c>
      <c r="I774" s="10"/>
      <c r="J774" s="10"/>
      <c r="K774" s="10"/>
      <c r="L774" s="10">
        <f ca="1">VLOOKUP(dict_DQ_Meth_max[[#This Row],[ID_DataQualities]],table_DataQualities[],8,FALSE)</f>
        <v>0.3</v>
      </c>
      <c r="M774" s="10">
        <f ca="1">VLOOKUP(dict_DQ_Meth_max[[#This Row],[ID_DataQualities]],table_DataQualities[],9,FALSE)</f>
        <v>9</v>
      </c>
    </row>
    <row r="775" spans="1:13" x14ac:dyDescent="0.45">
      <c r="A775" s="10">
        <v>207</v>
      </c>
      <c r="B775" s="10">
        <v>688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2.8229999999999995</v>
      </c>
      <c r="G775" s="12">
        <f ca="1">(RANDBETWEEN(50,100)/100)*(dict_DQ_Meth_max[[#This Row],[Vergleich_ub]]-dict_DQ_Meth_max[[#This Row],[Vergleich_lb]])+dict_DQ_Meth_max[[#This Row],[Vergleich_lb]]</f>
        <v>6.8249999999999993</v>
      </c>
      <c r="H775" s="11" t="str">
        <f ca="1">VLOOKUP(VLOOKUP(dict_DQ_Meth_max[[#This Row],[ID_DataQualities]],table_DataQualities[],3),table_Units[],2)</f>
        <v>+/- °C</v>
      </c>
      <c r="I775" s="10"/>
      <c r="J775" s="10"/>
      <c r="K775" s="10"/>
      <c r="L775" s="10">
        <f ca="1">VLOOKUP(dict_DQ_Meth_max[[#This Row],[ID_DataQualities]],table_DataQualities[],8,FALSE)</f>
        <v>0.3</v>
      </c>
      <c r="M775" s="10">
        <f ca="1">VLOOKUP(dict_DQ_Meth_max[[#This Row],[ID_DataQualities]],table_DataQualities[],9,FALSE)</f>
        <v>9</v>
      </c>
    </row>
    <row r="776" spans="1:13" x14ac:dyDescent="0.45">
      <c r="A776" s="10">
        <v>207</v>
      </c>
      <c r="B776" s="10">
        <v>436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3.4319999999999995</v>
      </c>
      <c r="G776" s="12">
        <f ca="1">(RANDBETWEEN(50,100)/100)*(dict_DQ_Meth_max[[#This Row],[Vergleich_ub]]-dict_DQ_Meth_max[[#This Row],[Vergleich_lb]])+dict_DQ_Meth_max[[#This Row],[Vergleich_lb]]</f>
        <v>8.2170000000000005</v>
      </c>
      <c r="H776" s="11" t="str">
        <f ca="1">VLOOKUP(VLOOKUP(dict_DQ_Meth_max[[#This Row],[ID_DataQualities]],table_DataQualities[],3),table_Units[],2)</f>
        <v>+/- °C</v>
      </c>
      <c r="I776" s="10"/>
      <c r="J776" s="10"/>
      <c r="K776" s="10"/>
      <c r="L776" s="10">
        <f ca="1">VLOOKUP(dict_DQ_Meth_max[[#This Row],[ID_DataQualities]],table_DataQualities[],8,FALSE)</f>
        <v>0.3</v>
      </c>
      <c r="M776" s="10">
        <f ca="1">VLOOKUP(dict_DQ_Meth_max[[#This Row],[ID_DataQualities]],table_DataQualities[],9,FALSE)</f>
        <v>9</v>
      </c>
    </row>
    <row r="777" spans="1:13" x14ac:dyDescent="0.45">
      <c r="A777" s="10">
        <v>207</v>
      </c>
      <c r="B777" s="10">
        <v>563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1.2569999999999999</v>
      </c>
      <c r="G777" s="12">
        <f ca="1">(RANDBETWEEN(50,100)/100)*(dict_DQ_Meth_max[[#This Row],[Vergleich_ub]]-dict_DQ_Meth_max[[#This Row],[Vergleich_lb]])+dict_DQ_Meth_max[[#This Row],[Vergleich_lb]]</f>
        <v>5.4329999999999989</v>
      </c>
      <c r="H777" s="11" t="str">
        <f ca="1">VLOOKUP(VLOOKUP(dict_DQ_Meth_max[[#This Row],[ID_DataQualities]],table_DataQualities[],3),table_Units[],2)</f>
        <v>+/- °C</v>
      </c>
      <c r="I777" s="10"/>
      <c r="J777" s="10"/>
      <c r="K777" s="10"/>
      <c r="L777" s="10">
        <f ca="1">VLOOKUP(dict_DQ_Meth_max[[#This Row],[ID_DataQualities]],table_DataQualities[],8,FALSE)</f>
        <v>0.3</v>
      </c>
      <c r="M777" s="10">
        <f ca="1">VLOOKUP(dict_DQ_Meth_max[[#This Row],[ID_DataQualities]],table_DataQualities[],9,FALSE)</f>
        <v>9</v>
      </c>
    </row>
    <row r="778" spans="1:13" x14ac:dyDescent="0.45">
      <c r="A778" s="10">
        <v>208</v>
      </c>
      <c r="B778" s="10">
        <v>22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0.61799999999999999</v>
      </c>
      <c r="G778" s="12">
        <f ca="1">(RANDBETWEEN(50,100)/100)*(dict_DQ_Meth_max[[#This Row],[Vergleich_ub]]-dict_DQ_Meth_max[[#This Row],[Vergleich_lb]])+dict_DQ_Meth_max[[#This Row],[Vergleich_lb]]</f>
        <v>4620.5236000000004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0.61799999999999999</v>
      </c>
      <c r="M778" s="10">
        <f ca="1">VLOOKUP(dict_DQ_Meth_max[[#This Row],[ID_DataQualities]],table_DataQualities[],9,FALSE)</f>
        <v>5775.5</v>
      </c>
    </row>
    <row r="779" spans="1:13" x14ac:dyDescent="0.45">
      <c r="A779" s="10">
        <v>208</v>
      </c>
      <c r="B779" s="10">
        <v>190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116.11563999999998</v>
      </c>
      <c r="G779" s="12">
        <f ca="1">(RANDBETWEEN(50,100)/100)*(dict_DQ_Meth_max[[#This Row],[Vergleich_ub]]-dict_DQ_Meth_max[[#This Row],[Vergleich_lb]])+dict_DQ_Meth_max[[#This Row],[Vergleich_lb]]</f>
        <v>5544.5047199999999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0.61799999999999999</v>
      </c>
      <c r="M779" s="10">
        <f ca="1">VLOOKUP(dict_DQ_Meth_max[[#This Row],[ID_DataQualities]],table_DataQualities[],9,FALSE)</f>
        <v>5775.5</v>
      </c>
    </row>
    <row r="780" spans="1:13" x14ac:dyDescent="0.45">
      <c r="A780" s="10">
        <v>208</v>
      </c>
      <c r="B780" s="10">
        <v>172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866.85029999999995</v>
      </c>
      <c r="G780" s="12">
        <f ca="1">(RANDBETWEEN(50,100)/100)*(dict_DQ_Meth_max[[#This Row],[Vergleich_ub]]-dict_DQ_Meth_max[[#This Row],[Vergleich_lb]])+dict_DQ_Meth_max[[#This Row],[Vergleich_lb]]</f>
        <v>4100.7842199999996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0.61799999999999999</v>
      </c>
      <c r="M780" s="10">
        <f ca="1">VLOOKUP(dict_DQ_Meth_max[[#This Row],[ID_DataQualities]],table_DataQualities[],9,FALSE)</f>
        <v>5775.5</v>
      </c>
    </row>
    <row r="781" spans="1:13" x14ac:dyDescent="0.45">
      <c r="A781" s="10">
        <v>208</v>
      </c>
      <c r="B781" s="10">
        <v>13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2483.8172599999998</v>
      </c>
      <c r="G781" s="12">
        <f ca="1">(RANDBETWEEN(50,100)/100)*(dict_DQ_Meth_max[[#This Row],[Vergleich_ub]]-dict_DQ_Meth_max[[#This Row],[Vergleich_lb]])+dict_DQ_Meth_max[[#This Row],[Vergleich_lb]]</f>
        <v>5544.5047199999999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0.61799999999999999</v>
      </c>
      <c r="M781" s="10">
        <f ca="1">VLOOKUP(dict_DQ_Meth_max[[#This Row],[ID_DataQualities]],table_DataQualities[],9,FALSE)</f>
        <v>5775.5</v>
      </c>
    </row>
    <row r="782" spans="1:13" x14ac:dyDescent="0.45">
      <c r="A782" s="10">
        <v>208</v>
      </c>
      <c r="B782" s="10">
        <v>630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2426.0684399999996</v>
      </c>
      <c r="G782" s="12">
        <f ca="1">(RANDBETWEEN(50,100)/100)*(dict_DQ_Meth_max[[#This Row],[Vergleich_ub]]-dict_DQ_Meth_max[[#This Row],[Vergleich_lb]])+dict_DQ_Meth_max[[#This Row],[Vergleich_lb]]</f>
        <v>5082.5141599999997</v>
      </c>
      <c r="H782" s="11" t="str">
        <f ca="1">VLOOKUP(VLOOKUP(dict_DQ_Meth_max[[#This Row],[ID_DataQualities]],table_DataQualities[],3),table_Units[],2)</f>
        <v>Hz</v>
      </c>
      <c r="I782" s="10"/>
      <c r="J782" s="10"/>
      <c r="K782" s="10"/>
      <c r="L782" s="10">
        <f ca="1">VLOOKUP(dict_DQ_Meth_max[[#This Row],[ID_DataQualities]],table_DataQualities[],8,FALSE)</f>
        <v>0.61799999999999999</v>
      </c>
      <c r="M782" s="10">
        <f ca="1">VLOOKUP(dict_DQ_Meth_max[[#This Row],[ID_DataQualities]],table_DataQualities[],9,FALSE)</f>
        <v>5775.5</v>
      </c>
    </row>
    <row r="783" spans="1:13" x14ac:dyDescent="0.45">
      <c r="A783" s="10">
        <v>209</v>
      </c>
      <c r="B783" s="10">
        <v>13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2.0127999999999999</v>
      </c>
      <c r="G783" s="12">
        <f ca="1">(RANDBETWEEN(50,100)/100)*(dict_DQ_Meth_max[[#This Row],[Vergleich_ub]]-dict_DQ_Meth_max[[#This Row],[Vergleich_lb]])+dict_DQ_Meth_max[[#This Row],[Vergleich_lb]]</f>
        <v>3.4961500000000001</v>
      </c>
      <c r="H783" s="11" t="str">
        <f ca="1">VLOOKUP(VLOOKUP(dict_DQ_Meth_max[[#This Row],[ID_DataQualities]],table_DataQualities[],3),table_Units[],2)</f>
        <v>+/- mm</v>
      </c>
      <c r="I783" s="10"/>
      <c r="J783" s="10"/>
      <c r="K783" s="10"/>
      <c r="L783" s="10">
        <f ca="1">VLOOKUP(dict_DQ_Meth_max[[#This Row],[ID_DataQualities]],table_DataQualities[],8,FALSE)</f>
        <v>3.5000000000000003E-2</v>
      </c>
      <c r="M783" s="10">
        <f ca="1">VLOOKUP(dict_DQ_Meth_max[[#This Row],[ID_DataQualities]],table_DataQualities[],9,FALSE)</f>
        <v>4.53</v>
      </c>
    </row>
    <row r="784" spans="1:13" x14ac:dyDescent="0.45">
      <c r="A784" s="10">
        <v>209</v>
      </c>
      <c r="B784" s="10">
        <v>630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1.9678499999999999</v>
      </c>
      <c r="G784" s="12">
        <f ca="1">(RANDBETWEEN(50,100)/100)*(dict_DQ_Meth_max[[#This Row],[Vergleich_ub]]-dict_DQ_Meth_max[[#This Row],[Vergleich_lb]])+dict_DQ_Meth_max[[#This Row],[Vergleich_lb]]</f>
        <v>2.2825000000000002</v>
      </c>
      <c r="H784" s="11" t="str">
        <f ca="1">VLOOKUP(VLOOKUP(dict_DQ_Meth_max[[#This Row],[ID_DataQualities]],table_DataQualities[],3),table_Units[],2)</f>
        <v>+/- mm</v>
      </c>
      <c r="I784" s="10"/>
      <c r="J784" s="10"/>
      <c r="K784" s="10"/>
      <c r="L784" s="10">
        <f ca="1">VLOOKUP(dict_DQ_Meth_max[[#This Row],[ID_DataQualities]],table_DataQualities[],8,FALSE)</f>
        <v>3.5000000000000003E-2</v>
      </c>
      <c r="M784" s="10">
        <f ca="1">VLOOKUP(dict_DQ_Meth_max[[#This Row],[ID_DataQualities]],table_DataQualities[],9,FALSE)</f>
        <v>4.53</v>
      </c>
    </row>
    <row r="785" spans="1:13" x14ac:dyDescent="0.45">
      <c r="A785" s="10">
        <v>209</v>
      </c>
      <c r="B785" s="10">
        <v>22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1.833</v>
      </c>
      <c r="G785" s="12">
        <f ca="1">(RANDBETWEEN(50,100)/100)*(dict_DQ_Meth_max[[#This Row],[Vergleich_ub]]-dict_DQ_Meth_max[[#This Row],[Vergleich_lb]])+dict_DQ_Meth_max[[#This Row],[Vergleich_lb]]</f>
        <v>2.5522000000000005</v>
      </c>
      <c r="H785" s="11" t="str">
        <f ca="1">VLOOKUP(VLOOKUP(dict_DQ_Meth_max[[#This Row],[ID_DataQualities]],table_DataQualities[],3),table_Units[],2)</f>
        <v>+/- mm</v>
      </c>
      <c r="I785" s="10"/>
      <c r="J785" s="10"/>
      <c r="K785" s="10"/>
      <c r="L785" s="10">
        <f ca="1">VLOOKUP(dict_DQ_Meth_max[[#This Row],[ID_DataQualities]],table_DataQualities[],8,FALSE)</f>
        <v>3.5000000000000003E-2</v>
      </c>
      <c r="M785" s="10">
        <f ca="1">VLOOKUP(dict_DQ_Meth_max[[#This Row],[ID_DataQualities]],table_DataQualities[],9,FALSE)</f>
        <v>4.53</v>
      </c>
    </row>
    <row r="786" spans="1:13" x14ac:dyDescent="0.45">
      <c r="A786" s="10">
        <v>209</v>
      </c>
      <c r="B786" s="10">
        <v>172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2.1926000000000001</v>
      </c>
      <c r="G786" s="12">
        <f ca="1">(RANDBETWEEN(50,100)/100)*(dict_DQ_Meth_max[[#This Row],[Vergleich_ub]]-dict_DQ_Meth_max[[#This Row],[Vergleich_lb]])+dict_DQ_Meth_max[[#This Row],[Vergleich_lb]]</f>
        <v>2.4623000000000004</v>
      </c>
      <c r="H786" s="11" t="str">
        <f ca="1">VLOOKUP(VLOOKUP(dict_DQ_Meth_max[[#This Row],[ID_DataQualities]],table_DataQualities[],3),table_Units[],2)</f>
        <v>+/- mm</v>
      </c>
      <c r="I786" s="10"/>
      <c r="J786" s="10"/>
      <c r="K786" s="10"/>
      <c r="L786" s="10">
        <f ca="1">VLOOKUP(dict_DQ_Meth_max[[#This Row],[ID_DataQualities]],table_DataQualities[],8,FALSE)</f>
        <v>3.5000000000000003E-2</v>
      </c>
      <c r="M786" s="10">
        <f ca="1">VLOOKUP(dict_DQ_Meth_max[[#This Row],[ID_DataQualities]],table_DataQualities[],9,FALSE)</f>
        <v>4.53</v>
      </c>
    </row>
    <row r="787" spans="1:13" x14ac:dyDescent="0.45">
      <c r="A787" s="10">
        <v>209</v>
      </c>
      <c r="B787" s="10">
        <v>190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0.61935000000000007</v>
      </c>
      <c r="G787" s="12">
        <f ca="1">(RANDBETWEEN(50,100)/100)*(dict_DQ_Meth_max[[#This Row],[Vergleich_ub]]-dict_DQ_Meth_max[[#This Row],[Vergleich_lb]])+dict_DQ_Meth_max[[#This Row],[Vergleich_lb]]</f>
        <v>2.9118000000000004</v>
      </c>
      <c r="H787" s="11" t="str">
        <f ca="1">VLOOKUP(VLOOKUP(dict_DQ_Meth_max[[#This Row],[ID_DataQualities]],table_DataQualities[],3),table_Units[],2)</f>
        <v>+/- mm</v>
      </c>
      <c r="I787" s="10"/>
      <c r="J787" s="10"/>
      <c r="K787" s="10"/>
      <c r="L787" s="10">
        <f ca="1">VLOOKUP(dict_DQ_Meth_max[[#This Row],[ID_DataQualities]],table_DataQualities[],8,FALSE)</f>
        <v>3.5000000000000003E-2</v>
      </c>
      <c r="M787" s="10">
        <f ca="1">VLOOKUP(dict_DQ_Meth_max[[#This Row],[ID_DataQualities]],table_DataQualities[],9,FALSE)</f>
        <v>4.53</v>
      </c>
    </row>
    <row r="788" spans="1:13" x14ac:dyDescent="0.45">
      <c r="A788" s="10">
        <v>210</v>
      </c>
      <c r="B788" s="10">
        <v>440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252.3192</v>
      </c>
      <c r="G788" s="12">
        <f ca="1">(RANDBETWEEN(50,100)/100)*(dict_DQ_Meth_max[[#This Row],[Vergleich_ub]]-dict_DQ_Meth_max[[#This Row],[Vergleich_lb]])+dict_DQ_Meth_max[[#This Row],[Vergleich_lb]]</f>
        <v>2810.1367999999998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0.14000000000000001</v>
      </c>
      <c r="M788" s="10">
        <f ca="1">VLOOKUP(dict_DQ_Meth_max[[#This Row],[ID_DataQualities]],table_DataQualities[],9,FALSE)</f>
        <v>3602.7</v>
      </c>
    </row>
    <row r="789" spans="1:13" x14ac:dyDescent="0.45">
      <c r="A789" s="10">
        <v>210</v>
      </c>
      <c r="B789" s="10">
        <v>276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684.62639999999999</v>
      </c>
      <c r="G789" s="12">
        <f ca="1">(RANDBETWEEN(50,100)/100)*(dict_DQ_Meth_max[[#This Row],[Vergleich_ub]]-dict_DQ_Meth_max[[#This Row],[Vergleich_lb]])+dict_DQ_Meth_max[[#This Row],[Vergleich_lb]]</f>
        <v>3602.7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0.14000000000000001</v>
      </c>
      <c r="M789" s="10">
        <f ca="1">VLOOKUP(dict_DQ_Meth_max[[#This Row],[ID_DataQualities]],table_DataQualities[],9,FALSE)</f>
        <v>3602.7</v>
      </c>
    </row>
    <row r="790" spans="1:13" x14ac:dyDescent="0.45">
      <c r="A790" s="10">
        <v>210</v>
      </c>
      <c r="B790" s="10">
        <v>318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1621.2920000000001</v>
      </c>
      <c r="G790" s="12">
        <f ca="1">(RANDBETWEEN(50,100)/100)*(dict_DQ_Meth_max[[#This Row],[Vergleich_ub]]-dict_DQ_Meth_max[[#This Row],[Vergleich_lb]])+dict_DQ_Meth_max[[#This Row],[Vergleich_lb]]</f>
        <v>2882.1880000000001</v>
      </c>
      <c r="H790" s="11" t="str">
        <f ca="1">VLOOKUP(VLOOKUP(dict_DQ_Meth_max[[#This Row],[ID_DataQualities]],table_DataQualities[],3),table_Units[],2)</f>
        <v>Hz</v>
      </c>
      <c r="I790" s="10"/>
      <c r="J790" s="10"/>
      <c r="K790" s="10"/>
      <c r="L790" s="10">
        <f ca="1">VLOOKUP(dict_DQ_Meth_max[[#This Row],[ID_DataQualities]],table_DataQualities[],8,FALSE)</f>
        <v>0.14000000000000001</v>
      </c>
      <c r="M790" s="10">
        <f ca="1">VLOOKUP(dict_DQ_Meth_max[[#This Row],[ID_DataQualities]],table_DataQualities[],9,FALSE)</f>
        <v>3602.7</v>
      </c>
    </row>
    <row r="791" spans="1:13" x14ac:dyDescent="0.45">
      <c r="A791" s="10">
        <v>211</v>
      </c>
      <c r="B791" s="10">
        <v>318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0.86103999999999992</v>
      </c>
      <c r="G791" s="12">
        <f ca="1">(RANDBETWEEN(50,100)/100)*(dict_DQ_Meth_max[[#This Row],[Vergleich_ub]]-dict_DQ_Meth_max[[#This Row],[Vergleich_lb]])+dict_DQ_Meth_max[[#This Row],[Vergleich_lb]]</f>
        <v>9.82</v>
      </c>
      <c r="H791" s="11" t="str">
        <f ca="1">VLOOKUP(VLOOKUP(dict_DQ_Meth_max[[#This Row],[ID_DataQualities]],table_DataQualities[],3),table_Units[],2)</f>
        <v>+/- W</v>
      </c>
      <c r="I791" s="10"/>
      <c r="J791" s="10"/>
      <c r="K791" s="10"/>
      <c r="L791" s="10">
        <f ca="1">VLOOKUP(dict_DQ_Meth_max[[#This Row],[ID_DataQualities]],table_DataQualities[],8,FALSE)</f>
        <v>8.2000000000000003E-2</v>
      </c>
      <c r="M791" s="10">
        <f ca="1">VLOOKUP(dict_DQ_Meth_max[[#This Row],[ID_DataQualities]],table_DataQualities[],9,FALSE)</f>
        <v>9.82</v>
      </c>
    </row>
    <row r="792" spans="1:13" x14ac:dyDescent="0.45">
      <c r="A792" s="10">
        <v>211</v>
      </c>
      <c r="B792" s="10">
        <v>440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2.9060199999999994</v>
      </c>
      <c r="G792" s="12">
        <f ca="1">(RANDBETWEEN(50,100)/100)*(dict_DQ_Meth_max[[#This Row],[Vergleich_ub]]-dict_DQ_Meth_max[[#This Row],[Vergleich_lb]])+dict_DQ_Meth_max[[#This Row],[Vergleich_lb]]</f>
        <v>5.5352800000000002</v>
      </c>
      <c r="H792" s="11" t="str">
        <f ca="1">VLOOKUP(VLOOKUP(dict_DQ_Meth_max[[#This Row],[ID_DataQualities]],table_DataQualities[],3),table_Units[],2)</f>
        <v>+/- W</v>
      </c>
      <c r="I792" s="10"/>
      <c r="J792" s="10"/>
      <c r="K792" s="10"/>
      <c r="L792" s="10">
        <f ca="1">VLOOKUP(dict_DQ_Meth_max[[#This Row],[ID_DataQualities]],table_DataQualities[],8,FALSE)</f>
        <v>8.2000000000000003E-2</v>
      </c>
      <c r="M792" s="10">
        <f ca="1">VLOOKUP(dict_DQ_Meth_max[[#This Row],[ID_DataQualities]],table_DataQualities[],9,FALSE)</f>
        <v>9.82</v>
      </c>
    </row>
    <row r="793" spans="1:13" x14ac:dyDescent="0.45">
      <c r="A793" s="10">
        <v>211</v>
      </c>
      <c r="B793" s="10">
        <v>276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0.66627999999999987</v>
      </c>
      <c r="G793" s="12">
        <f ca="1">(RANDBETWEEN(50,100)/100)*(dict_DQ_Meth_max[[#This Row],[Vergleich_ub]]-dict_DQ_Meth_max[[#This Row],[Vergleich_lb]])+dict_DQ_Meth_max[[#This Row],[Vergleich_lb]]</f>
        <v>7.3854999999999995</v>
      </c>
      <c r="H793" s="11" t="str">
        <f ca="1">VLOOKUP(VLOOKUP(dict_DQ_Meth_max[[#This Row],[ID_DataQualities]],table_DataQualities[],3),table_Units[],2)</f>
        <v>+/- W</v>
      </c>
      <c r="I793" s="10"/>
      <c r="J793" s="10"/>
      <c r="K793" s="10"/>
      <c r="L793" s="10">
        <f ca="1">VLOOKUP(dict_DQ_Meth_max[[#This Row],[ID_DataQualities]],table_DataQualities[],8,FALSE)</f>
        <v>8.2000000000000003E-2</v>
      </c>
      <c r="M793" s="10">
        <f ca="1">VLOOKUP(dict_DQ_Meth_max[[#This Row],[ID_DataQualities]],table_DataQualities[],9,FALSE)</f>
        <v>9.82</v>
      </c>
    </row>
    <row r="794" spans="1:13" x14ac:dyDescent="0.45">
      <c r="A794" s="10">
        <v>212</v>
      </c>
      <c r="B794" s="10">
        <v>392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1594.5868800000003</v>
      </c>
      <c r="G794" s="12">
        <f ca="1">(RANDBETWEEN(50,100)/100)*(dict_DQ_Meth_max[[#This Row],[Vergleich_ub]]-dict_DQ_Meth_max[[#This Row],[Vergleich_lb]])+dict_DQ_Meth_max[[#This Row],[Vergleich_lb]]</f>
        <v>2878.8397000000004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0.34200000000000003</v>
      </c>
      <c r="M794" s="10">
        <f ca="1">VLOOKUP(dict_DQ_Meth_max[[#This Row],[ID_DataQualities]],table_DataQualities[],9,FALSE)</f>
        <v>4428.8</v>
      </c>
    </row>
    <row r="795" spans="1:13" x14ac:dyDescent="0.45">
      <c r="A795" s="10">
        <v>212</v>
      </c>
      <c r="B795" s="10">
        <v>49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354.61864000000003</v>
      </c>
      <c r="G795" s="12">
        <f ca="1">(RANDBETWEEN(50,100)/100)*(dict_DQ_Meth_max[[#This Row],[Vergleich_ub]]-dict_DQ_Meth_max[[#This Row],[Vergleich_lb]])+dict_DQ_Meth_max[[#This Row],[Vergleich_lb]]</f>
        <v>4207.3770999999997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0.34200000000000003</v>
      </c>
      <c r="M795" s="10">
        <f ca="1">VLOOKUP(dict_DQ_Meth_max[[#This Row],[ID_DataQualities]],table_DataQualities[],9,FALSE)</f>
        <v>4428.8</v>
      </c>
    </row>
    <row r="796" spans="1:13" x14ac:dyDescent="0.45">
      <c r="A796" s="10">
        <v>212</v>
      </c>
      <c r="B796" s="10">
        <v>333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1018.8873400000001</v>
      </c>
      <c r="G796" s="12">
        <f ca="1">(RANDBETWEEN(50,100)/100)*(dict_DQ_Meth_max[[#This Row],[Vergleich_ub]]-dict_DQ_Meth_max[[#This Row],[Vergleich_lb]])+dict_DQ_Meth_max[[#This Row],[Vergleich_lb]]</f>
        <v>2701.7013800000004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0.34200000000000003</v>
      </c>
      <c r="M796" s="10">
        <f ca="1">VLOOKUP(dict_DQ_Meth_max[[#This Row],[ID_DataQualities]],table_DataQualities[],9,FALSE)</f>
        <v>4428.8</v>
      </c>
    </row>
    <row r="797" spans="1:13" x14ac:dyDescent="0.45">
      <c r="A797" s="10">
        <v>213</v>
      </c>
      <c r="B797" s="10">
        <v>49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0.83000000000000007</v>
      </c>
      <c r="G797" s="12">
        <f ca="1">(RANDBETWEEN(50,100)/100)*(dict_DQ_Meth_max[[#This Row],[Vergleich_ub]]-dict_DQ_Meth_max[[#This Row],[Vergleich_lb]])+dict_DQ_Meth_max[[#This Row],[Vergleich_lb]]</f>
        <v>7.8819999999999997</v>
      </c>
      <c r="H797" s="11" t="str">
        <f ca="1">VLOOKUP(VLOOKUP(dict_DQ_Meth_max[[#This Row],[ID_DataQualities]],table_DataQualities[],3),table_Units[],2)</f>
        <v>+/- °C</v>
      </c>
      <c r="I797" s="10"/>
      <c r="J797" s="10"/>
      <c r="K797" s="10"/>
      <c r="L797" s="10">
        <f ca="1">VLOOKUP(dict_DQ_Meth_max[[#This Row],[ID_DataQualities]],table_DataQualities[],8,FALSE)</f>
        <v>0.4</v>
      </c>
      <c r="M797" s="10">
        <f ca="1">VLOOKUP(dict_DQ_Meth_max[[#This Row],[ID_DataQualities]],table_DataQualities[],9,FALSE)</f>
        <v>9</v>
      </c>
    </row>
    <row r="798" spans="1:13" x14ac:dyDescent="0.45">
      <c r="A798" s="10">
        <v>213</v>
      </c>
      <c r="B798" s="10">
        <v>392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4.1840000000000002</v>
      </c>
      <c r="G798" s="12">
        <f ca="1">(RANDBETWEEN(50,100)/100)*(dict_DQ_Meth_max[[#This Row],[Vergleich_ub]]-dict_DQ_Meth_max[[#This Row],[Vergleich_lb]])+dict_DQ_Meth_max[[#This Row],[Vergleich_lb]]</f>
        <v>8.8279999999999994</v>
      </c>
      <c r="H798" s="11" t="str">
        <f ca="1">VLOOKUP(VLOOKUP(dict_DQ_Meth_max[[#This Row],[ID_DataQualities]],table_DataQualities[],3),table_Units[],2)</f>
        <v>+/- °C</v>
      </c>
      <c r="I798" s="10"/>
      <c r="J798" s="10"/>
      <c r="K798" s="10"/>
      <c r="L798" s="10">
        <f ca="1">VLOOKUP(dict_DQ_Meth_max[[#This Row],[ID_DataQualities]],table_DataQualities[],8,FALSE)</f>
        <v>0.4</v>
      </c>
      <c r="M798" s="10">
        <f ca="1">VLOOKUP(dict_DQ_Meth_max[[#This Row],[ID_DataQualities]],table_DataQualities[],9,FALSE)</f>
        <v>9</v>
      </c>
    </row>
    <row r="799" spans="1:13" x14ac:dyDescent="0.45">
      <c r="A799" s="10">
        <v>213</v>
      </c>
      <c r="B799" s="10">
        <v>333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1.26</v>
      </c>
      <c r="G799" s="12">
        <f ca="1">(RANDBETWEEN(50,100)/100)*(dict_DQ_Meth_max[[#This Row],[Vergleich_ub]]-dict_DQ_Meth_max[[#This Row],[Vergleich_lb]])+dict_DQ_Meth_max[[#This Row],[Vergleich_lb]]</f>
        <v>6.7640000000000002</v>
      </c>
      <c r="H799" s="11" t="str">
        <f ca="1">VLOOKUP(VLOOKUP(dict_DQ_Meth_max[[#This Row],[ID_DataQualities]],table_DataQualities[],3),table_Units[],2)</f>
        <v>+/- °C</v>
      </c>
      <c r="I799" s="10"/>
      <c r="J799" s="10"/>
      <c r="K799" s="10"/>
      <c r="L799" s="10">
        <f ca="1">VLOOKUP(dict_DQ_Meth_max[[#This Row],[ID_DataQualities]],table_DataQualities[],8,FALSE)</f>
        <v>0.4</v>
      </c>
      <c r="M799" s="10">
        <f ca="1">VLOOKUP(dict_DQ_Meth_max[[#This Row],[ID_DataQualities]],table_DataQualities[],9,FALSE)</f>
        <v>9</v>
      </c>
    </row>
    <row r="800" spans="1:13" x14ac:dyDescent="0.45">
      <c r="A800" s="10">
        <v>214</v>
      </c>
      <c r="B800" s="10">
        <v>525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705.15463999999997</v>
      </c>
      <c r="G800" s="12">
        <f ca="1">(RANDBETWEEN(50,100)/100)*(dict_DQ_Meth_max[[#This Row],[Vergleich_ub]]-dict_DQ_Meth_max[[#This Row],[Vergleich_lb]])+dict_DQ_Meth_max[[#This Row],[Vergleich_lb]]</f>
        <v>5577.9576499999994</v>
      </c>
      <c r="H800" s="11" t="str">
        <f ca="1">VLOOKUP(VLOOKUP(dict_DQ_Meth_max[[#This Row],[ID_DataQualities]],table_DataQualities[],3),table_Units[],2)</f>
        <v>Hz</v>
      </c>
      <c r="I800" s="10"/>
      <c r="J800" s="10"/>
      <c r="K800" s="10"/>
      <c r="L800" s="10">
        <f ca="1">VLOOKUP(dict_DQ_Meth_max[[#This Row],[ID_DataQualities]],table_DataQualities[],8,FALSE)</f>
        <v>0.65300000000000002</v>
      </c>
      <c r="M800" s="10">
        <f ca="1">VLOOKUP(dict_DQ_Meth_max[[#This Row],[ID_DataQualities]],table_DataQualities[],9,FALSE)</f>
        <v>5871.5</v>
      </c>
    </row>
    <row r="801" spans="1:13" x14ac:dyDescent="0.45">
      <c r="A801" s="10">
        <v>214</v>
      </c>
      <c r="B801" s="10">
        <v>348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2466.4087399999994</v>
      </c>
      <c r="G801" s="12">
        <f ca="1">(RANDBETWEEN(50,100)/100)*(dict_DQ_Meth_max[[#This Row],[Vergleich_ub]]-dict_DQ_Meth_max[[#This Row],[Vergleich_lb]])+dict_DQ_Meth_max[[#This Row],[Vergleich_lb]]</f>
        <v>5284.4153000000006</v>
      </c>
      <c r="H801" s="11" t="str">
        <f ca="1">VLOOKUP(VLOOKUP(dict_DQ_Meth_max[[#This Row],[ID_DataQualities]],table_DataQualities[],3),table_Units[],2)</f>
        <v>Hz</v>
      </c>
      <c r="I801" s="10"/>
      <c r="J801" s="10"/>
      <c r="K801" s="10"/>
      <c r="L801" s="10">
        <f ca="1">VLOOKUP(dict_DQ_Meth_max[[#This Row],[ID_DataQualities]],table_DataQualities[],8,FALSE)</f>
        <v>0.65300000000000002</v>
      </c>
      <c r="M801" s="10">
        <f ca="1">VLOOKUP(dict_DQ_Meth_max[[#This Row],[ID_DataQualities]],table_DataQualities[],9,FALSE)</f>
        <v>5871.5</v>
      </c>
    </row>
    <row r="802" spans="1:13" x14ac:dyDescent="0.45">
      <c r="A802" s="10">
        <v>214</v>
      </c>
      <c r="B802" s="10">
        <v>155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2172.8663899999997</v>
      </c>
      <c r="G802" s="12">
        <f ca="1">(RANDBETWEEN(50,100)/100)*(dict_DQ_Meth_max[[#This Row],[Vergleich_ub]]-dict_DQ_Meth_max[[#This Row],[Vergleich_lb]])+dict_DQ_Meth_max[[#This Row],[Vergleich_lb]]</f>
        <v>3699.2866099999997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0.65300000000000002</v>
      </c>
      <c r="M802" s="10">
        <f ca="1">VLOOKUP(dict_DQ_Meth_max[[#This Row],[ID_DataQualities]],table_DataQualities[],9,FALSE)</f>
        <v>5871.5</v>
      </c>
    </row>
    <row r="803" spans="1:13" x14ac:dyDescent="0.45">
      <c r="A803" s="10">
        <v>215</v>
      </c>
      <c r="B803" s="10">
        <v>525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236.64000000000001</v>
      </c>
      <c r="G803" s="12">
        <f ca="1">(RANDBETWEEN(50,100)/100)*(dict_DQ_Meth_max[[#This Row],[Vergleich_ub]]-dict_DQ_Meth_max[[#This Row],[Vergleich_lb]])+dict_DQ_Meth_max[[#This Row],[Vergleich_lb]]</f>
        <v>7101.16</v>
      </c>
      <c r="H803" s="11" t="str">
        <f ca="1">VLOOKUP(VLOOKUP(dict_DQ_Meth_max[[#This Row],[ID_DataQualities]],table_DataQualities[],3),table_Units[],2)</f>
        <v>bit</v>
      </c>
      <c r="I803" s="10"/>
      <c r="J803" s="10"/>
      <c r="K803" s="10"/>
      <c r="L803" s="10">
        <f ca="1">VLOOKUP(dict_DQ_Meth_max[[#This Row],[ID_DataQualities]],table_DataQualities[],8,FALSE)</f>
        <v>77</v>
      </c>
      <c r="M803" s="10">
        <f ca="1">VLOOKUP(dict_DQ_Meth_max[[#This Row],[ID_DataQualities]],table_DataQualities[],9,FALSE)</f>
        <v>8059</v>
      </c>
    </row>
    <row r="804" spans="1:13" x14ac:dyDescent="0.45">
      <c r="A804" s="10">
        <v>215</v>
      </c>
      <c r="B804" s="10">
        <v>348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3349.62</v>
      </c>
      <c r="G804" s="12">
        <f ca="1">(RANDBETWEEN(50,100)/100)*(dict_DQ_Meth_max[[#This Row],[Vergleich_ub]]-dict_DQ_Meth_max[[#This Row],[Vergleich_lb]])+dict_DQ_Meth_max[[#This Row],[Vergleich_lb]]</f>
        <v>5664.4</v>
      </c>
      <c r="H804" s="11" t="str">
        <f ca="1">VLOOKUP(VLOOKUP(dict_DQ_Meth_max[[#This Row],[ID_DataQualities]],table_DataQualities[],3),table_Units[],2)</f>
        <v>bit</v>
      </c>
      <c r="I804" s="10"/>
      <c r="J804" s="10"/>
      <c r="K804" s="10"/>
      <c r="L804" s="10">
        <f ca="1">VLOOKUP(dict_DQ_Meth_max[[#This Row],[ID_DataQualities]],table_DataQualities[],8,FALSE)</f>
        <v>77</v>
      </c>
      <c r="M804" s="10">
        <f ca="1">VLOOKUP(dict_DQ_Meth_max[[#This Row],[ID_DataQualities]],table_DataQualities[],9,FALSE)</f>
        <v>8059</v>
      </c>
    </row>
    <row r="805" spans="1:13" x14ac:dyDescent="0.45">
      <c r="A805" s="10">
        <v>215</v>
      </c>
      <c r="B805" s="10">
        <v>155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1114.6600000000001</v>
      </c>
      <c r="G805" s="12">
        <f ca="1">(RANDBETWEEN(50,100)/100)*(dict_DQ_Meth_max[[#This Row],[Vergleich_ub]]-dict_DQ_Meth_max[[#This Row],[Vergleich_lb]])+dict_DQ_Meth_max[[#This Row],[Vergleich_lb]]</f>
        <v>5105.66</v>
      </c>
      <c r="H805" s="11" t="str">
        <f ca="1">VLOOKUP(VLOOKUP(dict_DQ_Meth_max[[#This Row],[ID_DataQualities]],table_DataQualities[],3),table_Units[],2)</f>
        <v>bit</v>
      </c>
      <c r="I805" s="10"/>
      <c r="J805" s="10"/>
      <c r="K805" s="10"/>
      <c r="L805" s="10">
        <f ca="1">VLOOKUP(dict_DQ_Meth_max[[#This Row],[ID_DataQualities]],table_DataQualities[],8,FALSE)</f>
        <v>77</v>
      </c>
      <c r="M805" s="10">
        <f ca="1">VLOOKUP(dict_DQ_Meth_max[[#This Row],[ID_DataQualities]],table_DataQualities[],9,FALSE)</f>
        <v>8059</v>
      </c>
    </row>
    <row r="806" spans="1:13" x14ac:dyDescent="0.45">
      <c r="A806" s="10">
        <v>216</v>
      </c>
      <c r="B806" s="10">
        <v>293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1154.81187</v>
      </c>
      <c r="G806" s="12">
        <f ca="1">(RANDBETWEEN(50,100)/100)*(dict_DQ_Meth_max[[#This Row],[Vergleich_ub]]-dict_DQ_Meth_max[[#This Row],[Vergleich_lb]])+dict_DQ_Meth_max[[#This Row],[Vergleich_lb]]</f>
        <v>1889.5260600000001</v>
      </c>
      <c r="H806" s="11" t="str">
        <f ca="1">VLOOKUP(VLOOKUP(dict_DQ_Meth_max[[#This Row],[ID_DataQualities]],table_DataQualities[],3),table_Units[],2)</f>
        <v>Hz</v>
      </c>
      <c r="I806" s="10"/>
      <c r="J806" s="10"/>
      <c r="K806" s="10"/>
      <c r="L806" s="10">
        <f ca="1">VLOOKUP(dict_DQ_Meth_max[[#This Row],[ID_DataQualities]],table_DataQualities[],8,FALSE)</f>
        <v>0.26100000000000001</v>
      </c>
      <c r="M806" s="10">
        <f ca="1">VLOOKUP(dict_DQ_Meth_max[[#This Row],[ID_DataQualities]],table_DataQualities[],9,FALSE)</f>
        <v>3498.9</v>
      </c>
    </row>
    <row r="807" spans="1:13" x14ac:dyDescent="0.45">
      <c r="A807" s="10">
        <v>216</v>
      </c>
      <c r="B807" s="10">
        <v>320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1574.6485500000001</v>
      </c>
      <c r="G807" s="12">
        <f ca="1">(RANDBETWEEN(50,100)/100)*(dict_DQ_Meth_max[[#This Row],[Vergleich_ub]]-dict_DQ_Meth_max[[#This Row],[Vergleich_lb]])+dict_DQ_Meth_max[[#This Row],[Vergleich_lb]]</f>
        <v>2974.1041500000001</v>
      </c>
      <c r="H807" s="11" t="str">
        <f ca="1">VLOOKUP(VLOOKUP(dict_DQ_Meth_max[[#This Row],[ID_DataQualities]],table_DataQualities[],3),table_Units[],2)</f>
        <v>Hz</v>
      </c>
      <c r="I807" s="10"/>
      <c r="J807" s="10"/>
      <c r="K807" s="10"/>
      <c r="L807" s="10">
        <f ca="1">VLOOKUP(dict_DQ_Meth_max[[#This Row],[ID_DataQualities]],table_DataQualities[],8,FALSE)</f>
        <v>0.26100000000000001</v>
      </c>
      <c r="M807" s="10">
        <f ca="1">VLOOKUP(dict_DQ_Meth_max[[#This Row],[ID_DataQualities]],table_DataQualities[],9,FALSE)</f>
        <v>3498.9</v>
      </c>
    </row>
    <row r="808" spans="1:13" x14ac:dyDescent="0.45">
      <c r="A808" s="10">
        <v>216</v>
      </c>
      <c r="B808" s="10">
        <v>163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245.16573000000002</v>
      </c>
      <c r="G808" s="12">
        <f ca="1">(RANDBETWEEN(50,100)/100)*(dict_DQ_Meth_max[[#This Row],[Vergleich_ub]]-dict_DQ_Meth_max[[#This Row],[Vergleich_lb]])+dict_DQ_Meth_max[[#This Row],[Vergleich_lb]]</f>
        <v>1889.5260600000001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0.26100000000000001</v>
      </c>
      <c r="M808" s="10">
        <f ca="1">VLOOKUP(dict_DQ_Meth_max[[#This Row],[ID_DataQualities]],table_DataQualities[],9,FALSE)</f>
        <v>3498.9</v>
      </c>
    </row>
    <row r="809" spans="1:13" x14ac:dyDescent="0.45">
      <c r="A809" s="10">
        <v>216</v>
      </c>
      <c r="B809" s="10">
        <v>609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1434.70299</v>
      </c>
      <c r="G809" s="12">
        <f ca="1">(RANDBETWEEN(50,100)/100)*(dict_DQ_Meth_max[[#This Row],[Vergleich_ub]]-dict_DQ_Meth_max[[#This Row],[Vergleich_lb]])+dict_DQ_Meth_max[[#This Row],[Vergleich_lb]]</f>
        <v>1924.5124500000002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0.26100000000000001</v>
      </c>
      <c r="M809" s="10">
        <f ca="1">VLOOKUP(dict_DQ_Meth_max[[#This Row],[ID_DataQualities]],table_DataQualities[],9,FALSE)</f>
        <v>3498.9</v>
      </c>
    </row>
    <row r="810" spans="1:13" x14ac:dyDescent="0.45">
      <c r="A810" s="10">
        <v>216</v>
      </c>
      <c r="B810" s="10">
        <v>73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210.17934</v>
      </c>
      <c r="G810" s="12">
        <f ca="1">(RANDBETWEEN(50,100)/100)*(dict_DQ_Meth_max[[#This Row],[Vergleich_ub]]-dict_DQ_Meth_max[[#This Row],[Vergleich_lb]])+dict_DQ_Meth_max[[#This Row],[Vergleich_lb]]</f>
        <v>2764.1858100000004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0.26100000000000001</v>
      </c>
      <c r="M810" s="10">
        <f ca="1">VLOOKUP(dict_DQ_Meth_max[[#This Row],[ID_DataQualities]],table_DataQualities[],9,FALSE)</f>
        <v>3498.9</v>
      </c>
    </row>
    <row r="811" spans="1:13" x14ac:dyDescent="0.45">
      <c r="A811" s="10">
        <v>217</v>
      </c>
      <c r="B811" s="10">
        <v>163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3043.1699999999996</v>
      </c>
      <c r="G811" s="12">
        <f ca="1">(RANDBETWEEN(50,100)/100)*(dict_DQ_Meth_max[[#This Row],[Vergleich_ub]]-dict_DQ_Meth_max[[#This Row],[Vergleich_lb]])+dict_DQ_Meth_max[[#This Row],[Vergleich_lb]]</f>
        <v>6806.4100000000008</v>
      </c>
      <c r="H811" s="11" t="str">
        <f ca="1">VLOOKUP(VLOOKUP(dict_DQ_Meth_max[[#This Row],[ID_DataQualities]],table_DataQualities[],3),table_Units[],2)</f>
        <v>bit</v>
      </c>
      <c r="I811" s="10"/>
      <c r="J811" s="10"/>
      <c r="K811" s="10"/>
      <c r="L811" s="10">
        <f ca="1">VLOOKUP(dict_DQ_Meth_max[[#This Row],[ID_DataQualities]],table_DataQualities[],8,FALSE)</f>
        <v>76</v>
      </c>
      <c r="M811" s="10">
        <f ca="1">VLOOKUP(dict_DQ_Meth_max[[#This Row],[ID_DataQualities]],table_DataQualities[],9,FALSE)</f>
        <v>7313</v>
      </c>
    </row>
    <row r="812" spans="1:13" x14ac:dyDescent="0.45">
      <c r="A812" s="10">
        <v>217</v>
      </c>
      <c r="B812" s="10">
        <v>73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3115.54</v>
      </c>
      <c r="G812" s="12">
        <f ca="1">(RANDBETWEEN(50,100)/100)*(dict_DQ_Meth_max[[#This Row],[Vergleich_ub]]-dict_DQ_Meth_max[[#This Row],[Vergleich_lb]])+dict_DQ_Meth_max[[#This Row],[Vergleich_lb]]</f>
        <v>7313</v>
      </c>
      <c r="H812" s="11" t="str">
        <f ca="1">VLOOKUP(VLOOKUP(dict_DQ_Meth_max[[#This Row],[ID_DataQualities]],table_DataQualities[],3),table_Units[],2)</f>
        <v>bit</v>
      </c>
      <c r="I812" s="10"/>
      <c r="J812" s="10"/>
      <c r="K812" s="10"/>
      <c r="L812" s="10">
        <f ca="1">VLOOKUP(dict_DQ_Meth_max[[#This Row],[ID_DataQualities]],table_DataQualities[],8,FALSE)</f>
        <v>76</v>
      </c>
      <c r="M812" s="10">
        <f ca="1">VLOOKUP(dict_DQ_Meth_max[[#This Row],[ID_DataQualities]],table_DataQualities[],9,FALSE)</f>
        <v>7313</v>
      </c>
    </row>
    <row r="813" spans="1:13" x14ac:dyDescent="0.45">
      <c r="A813" s="10">
        <v>217</v>
      </c>
      <c r="B813" s="10">
        <v>320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76</v>
      </c>
      <c r="G813" s="12">
        <f ca="1">(RANDBETWEEN(50,100)/100)*(dict_DQ_Meth_max[[#This Row],[Vergleich_ub]]-dict_DQ_Meth_max[[#This Row],[Vergleich_lb]])+dict_DQ_Meth_max[[#This Row],[Vergleich_lb]]</f>
        <v>5720.8600000000006</v>
      </c>
      <c r="H813" s="11" t="str">
        <f ca="1">VLOOKUP(VLOOKUP(dict_DQ_Meth_max[[#This Row],[ID_DataQualities]],table_DataQualities[],3),table_Units[],2)</f>
        <v>bit</v>
      </c>
      <c r="I813" s="10"/>
      <c r="J813" s="10"/>
      <c r="K813" s="10"/>
      <c r="L813" s="10">
        <f ca="1">VLOOKUP(dict_DQ_Meth_max[[#This Row],[ID_DataQualities]],table_DataQualities[],8,FALSE)</f>
        <v>76</v>
      </c>
      <c r="M813" s="10">
        <f ca="1">VLOOKUP(dict_DQ_Meth_max[[#This Row],[ID_DataQualities]],table_DataQualities[],9,FALSE)</f>
        <v>7313</v>
      </c>
    </row>
    <row r="814" spans="1:13" x14ac:dyDescent="0.45">
      <c r="A814" s="10">
        <v>217</v>
      </c>
      <c r="B814" s="10">
        <v>609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3332.65</v>
      </c>
      <c r="G814" s="12">
        <f ca="1">(RANDBETWEEN(50,100)/100)*(dict_DQ_Meth_max[[#This Row],[Vergleich_ub]]-dict_DQ_Meth_max[[#This Row],[Vergleich_lb]])+dict_DQ_Meth_max[[#This Row],[Vergleich_lb]]</f>
        <v>6299.82</v>
      </c>
      <c r="H814" s="11" t="str">
        <f ca="1">VLOOKUP(VLOOKUP(dict_DQ_Meth_max[[#This Row],[ID_DataQualities]],table_DataQualities[],3),table_Units[],2)</f>
        <v>bit</v>
      </c>
      <c r="I814" s="10"/>
      <c r="J814" s="10"/>
      <c r="K814" s="10"/>
      <c r="L814" s="10">
        <f ca="1">VLOOKUP(dict_DQ_Meth_max[[#This Row],[ID_DataQualities]],table_DataQualities[],8,FALSE)</f>
        <v>76</v>
      </c>
      <c r="M814" s="10">
        <f ca="1">VLOOKUP(dict_DQ_Meth_max[[#This Row],[ID_DataQualities]],table_DataQualities[],9,FALSE)</f>
        <v>7313</v>
      </c>
    </row>
    <row r="815" spans="1:13" x14ac:dyDescent="0.45">
      <c r="A815" s="10">
        <v>217</v>
      </c>
      <c r="B815" s="10">
        <v>293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1885.25</v>
      </c>
      <c r="G815" s="12">
        <f ca="1">(RANDBETWEEN(50,100)/100)*(dict_DQ_Meth_max[[#This Row],[Vergleich_ub]]-dict_DQ_Meth_max[[#This Row],[Vergleich_lb]])+dict_DQ_Meth_max[[#This Row],[Vergleich_lb]]</f>
        <v>3983.9800000000005</v>
      </c>
      <c r="H815" s="11" t="str">
        <f ca="1">VLOOKUP(VLOOKUP(dict_DQ_Meth_max[[#This Row],[ID_DataQualities]],table_DataQualities[],3),table_Units[],2)</f>
        <v>bit</v>
      </c>
      <c r="I815" s="10"/>
      <c r="J815" s="10"/>
      <c r="K815" s="10"/>
      <c r="L815" s="10">
        <f ca="1">VLOOKUP(dict_DQ_Meth_max[[#This Row],[ID_DataQualities]],table_DataQualities[],8,FALSE)</f>
        <v>76</v>
      </c>
      <c r="M815" s="10">
        <f ca="1">VLOOKUP(dict_DQ_Meth_max[[#This Row],[ID_DataQualities]],table_DataQualities[],9,FALSE)</f>
        <v>7313</v>
      </c>
    </row>
    <row r="816" spans="1:13" x14ac:dyDescent="0.45">
      <c r="A816" s="10">
        <v>218</v>
      </c>
      <c r="B816" s="10">
        <v>137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1744.7449600000002</v>
      </c>
      <c r="G816" s="12">
        <f ca="1">(RANDBETWEEN(50,100)/100)*(dict_DQ_Meth_max[[#This Row],[Vergleich_ub]]-dict_DQ_Meth_max[[#This Row],[Vergleich_lb]])+dict_DQ_Meth_max[[#This Row],[Vergleich_lb]]</f>
        <v>5126.5766400000002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0.98799999999999999</v>
      </c>
      <c r="M816" s="10">
        <f ca="1">VLOOKUP(dict_DQ_Meth_max[[#This Row],[ID_DataQualities]],table_DataQualities[],9,FALSE)</f>
        <v>5285.1</v>
      </c>
    </row>
    <row r="817" spans="1:13" x14ac:dyDescent="0.45">
      <c r="A817" s="10">
        <v>218</v>
      </c>
      <c r="B817" s="10">
        <v>81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635.08144000000004</v>
      </c>
      <c r="G817" s="12">
        <f ca="1">(RANDBETWEEN(50,100)/100)*(dict_DQ_Meth_max[[#This Row],[Vergleich_ub]]-dict_DQ_Meth_max[[#This Row],[Vergleich_lb]])+dict_DQ_Meth_max[[#This Row],[Vergleich_lb]]</f>
        <v>5232.2588800000003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0.98799999999999999</v>
      </c>
      <c r="M817" s="10">
        <f ca="1">VLOOKUP(dict_DQ_Meth_max[[#This Row],[ID_DataQualities]],table_DataQualities[],9,FALSE)</f>
        <v>5285.1</v>
      </c>
    </row>
    <row r="818" spans="1:13" x14ac:dyDescent="0.45">
      <c r="A818" s="10">
        <v>218</v>
      </c>
      <c r="B818" s="10">
        <v>479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1533.38048</v>
      </c>
      <c r="G818" s="12">
        <f ca="1">(RANDBETWEEN(50,100)/100)*(dict_DQ_Meth_max[[#This Row],[Vergleich_ub]]-dict_DQ_Meth_max[[#This Row],[Vergleich_lb]])+dict_DQ_Meth_max[[#This Row],[Vergleich_lb]]</f>
        <v>3224.2963199999999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0.98799999999999999</v>
      </c>
      <c r="M818" s="10">
        <f ca="1">VLOOKUP(dict_DQ_Meth_max[[#This Row],[ID_DataQualities]],table_DataQualities[],9,FALSE)</f>
        <v>5285.1</v>
      </c>
    </row>
    <row r="819" spans="1:13" x14ac:dyDescent="0.45">
      <c r="A819" s="10">
        <v>219</v>
      </c>
      <c r="B819" s="10">
        <v>81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0.22341</v>
      </c>
      <c r="G819" s="12">
        <f ca="1">(RANDBETWEEN(50,100)/100)*(dict_DQ_Meth_max[[#This Row],[Vergleich_ub]]-dict_DQ_Meth_max[[#This Row],[Vergleich_lb]])+dict_DQ_Meth_max[[#This Row],[Vergleich_lb]]</f>
        <v>1.1282099999999999</v>
      </c>
      <c r="H819" s="11" t="str">
        <f ca="1">VLOOKUP(VLOOKUP(dict_DQ_Meth_max[[#This Row],[ID_DataQualities]],table_DataQualities[],3),table_Units[],2)</f>
        <v>+/- mm</v>
      </c>
      <c r="I819" s="10"/>
      <c r="J819" s="10"/>
      <c r="K819" s="10"/>
      <c r="L819" s="10">
        <f ca="1">VLOOKUP(dict_DQ_Meth_max[[#This Row],[ID_DataQualities]],table_DataQualities[],8,FALSE)</f>
        <v>9.9000000000000005E-2</v>
      </c>
      <c r="M819" s="10">
        <f ca="1">VLOOKUP(dict_DQ_Meth_max[[#This Row],[ID_DataQualities]],table_DataQualities[],9,FALSE)</f>
        <v>1.23</v>
      </c>
    </row>
    <row r="820" spans="1:13" x14ac:dyDescent="0.45">
      <c r="A820" s="10">
        <v>219</v>
      </c>
      <c r="B820" s="10">
        <v>137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0.22341</v>
      </c>
      <c r="G820" s="12">
        <f ca="1">(RANDBETWEEN(50,100)/100)*(dict_DQ_Meth_max[[#This Row],[Vergleich_ub]]-dict_DQ_Meth_max[[#This Row],[Vergleich_lb]])+dict_DQ_Meth_max[[#This Row],[Vergleich_lb]]</f>
        <v>1.1282099999999999</v>
      </c>
      <c r="H820" s="11" t="str">
        <f ca="1">VLOOKUP(VLOOKUP(dict_DQ_Meth_max[[#This Row],[ID_DataQualities]],table_DataQualities[],3),table_Units[],2)</f>
        <v>+/- mm</v>
      </c>
      <c r="I820" s="10"/>
      <c r="J820" s="10"/>
      <c r="K820" s="10"/>
      <c r="L820" s="10">
        <f ca="1">VLOOKUP(dict_DQ_Meth_max[[#This Row],[ID_DataQualities]],table_DataQualities[],8,FALSE)</f>
        <v>9.9000000000000005E-2</v>
      </c>
      <c r="M820" s="10">
        <f ca="1">VLOOKUP(dict_DQ_Meth_max[[#This Row],[ID_DataQualities]],table_DataQualities[],9,FALSE)</f>
        <v>1.23</v>
      </c>
    </row>
    <row r="821" spans="1:13" x14ac:dyDescent="0.45">
      <c r="A821" s="10">
        <v>219</v>
      </c>
      <c r="B821" s="10">
        <v>479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0.56270999999999993</v>
      </c>
      <c r="G821" s="12">
        <f ca="1">(RANDBETWEEN(50,100)/100)*(dict_DQ_Meth_max[[#This Row],[Vergleich_ub]]-dict_DQ_Meth_max[[#This Row],[Vergleich_lb]])+dict_DQ_Meth_max[[#This Row],[Vergleich_lb]]</f>
        <v>0.82284000000000002</v>
      </c>
      <c r="H821" s="11" t="str">
        <f ca="1">VLOOKUP(VLOOKUP(dict_DQ_Meth_max[[#This Row],[ID_DataQualities]],table_DataQualities[],3),table_Units[],2)</f>
        <v>+/- mm</v>
      </c>
      <c r="I821" s="10"/>
      <c r="J821" s="10"/>
      <c r="K821" s="10"/>
      <c r="L821" s="10">
        <f ca="1">VLOOKUP(dict_DQ_Meth_max[[#This Row],[ID_DataQualities]],table_DataQualities[],8,FALSE)</f>
        <v>9.9000000000000005E-2</v>
      </c>
      <c r="M821" s="10">
        <f ca="1">VLOOKUP(dict_DQ_Meth_max[[#This Row],[ID_DataQualities]],table_DataQualities[],9,FALSE)</f>
        <v>1.23</v>
      </c>
    </row>
    <row r="822" spans="1:13" x14ac:dyDescent="0.45">
      <c r="A822" s="10">
        <v>220</v>
      </c>
      <c r="B822" s="10">
        <v>203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3573.3856799999999</v>
      </c>
      <c r="G822" s="12">
        <f ca="1">(RANDBETWEEN(50,100)/100)*(dict_DQ_Meth_max[[#This Row],[Vergleich_ub]]-dict_DQ_Meth_max[[#This Row],[Vergleich_lb]])+dict_DQ_Meth_max[[#This Row],[Vergleich_lb]]</f>
        <v>3796.70766</v>
      </c>
      <c r="H822" s="11" t="str">
        <f ca="1">VLOOKUP(VLOOKUP(dict_DQ_Meth_max[[#This Row],[ID_DataQualities]],table_DataQualities[],3),table_Units[],2)</f>
        <v>Hz</v>
      </c>
      <c r="I822" s="10"/>
      <c r="J822" s="10"/>
      <c r="K822" s="10"/>
      <c r="L822" s="10">
        <f ca="1">VLOOKUP(dict_DQ_Meth_max[[#This Row],[ID_DataQualities]],table_DataQualities[],8,FALSE)</f>
        <v>0.23400000000000001</v>
      </c>
      <c r="M822" s="10">
        <f ca="1">VLOOKUP(dict_DQ_Meth_max[[#This Row],[ID_DataQualities]],table_DataQualities[],9,FALSE)</f>
        <v>7444.3</v>
      </c>
    </row>
    <row r="823" spans="1:13" x14ac:dyDescent="0.45">
      <c r="A823" s="10">
        <v>220</v>
      </c>
      <c r="B823" s="10">
        <v>279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3498.9450199999997</v>
      </c>
      <c r="G823" s="12">
        <f ca="1">(RANDBETWEEN(50,100)/100)*(dict_DQ_Meth_max[[#This Row],[Vergleich_ub]]-dict_DQ_Meth_max[[#This Row],[Vergleich_lb]])+dict_DQ_Meth_max[[#This Row],[Vergleich_lb]]</f>
        <v>7444.3</v>
      </c>
      <c r="H823" s="11" t="str">
        <f ca="1">VLOOKUP(VLOOKUP(dict_DQ_Meth_max[[#This Row],[ID_DataQualities]],table_DataQualities[],3),table_Units[],2)</f>
        <v>Hz</v>
      </c>
      <c r="I823" s="10"/>
      <c r="J823" s="10"/>
      <c r="K823" s="10"/>
      <c r="L823" s="10">
        <f ca="1">VLOOKUP(dict_DQ_Meth_max[[#This Row],[ID_DataQualities]],table_DataQualities[],8,FALSE)</f>
        <v>0.23400000000000001</v>
      </c>
      <c r="M823" s="10">
        <f ca="1">VLOOKUP(dict_DQ_Meth_max[[#This Row],[ID_DataQualities]],table_DataQualities[],9,FALSE)</f>
        <v>7444.3</v>
      </c>
    </row>
    <row r="824" spans="1:13" x14ac:dyDescent="0.45">
      <c r="A824" s="10">
        <v>220</v>
      </c>
      <c r="B824" s="10">
        <v>675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2903.4197399999998</v>
      </c>
      <c r="G824" s="12">
        <f ca="1">(RANDBETWEEN(50,100)/100)*(dict_DQ_Meth_max[[#This Row],[Vergleich_ub]]-dict_DQ_Meth_max[[#This Row],[Vergleich_lb]])+dict_DQ_Meth_max[[#This Row],[Vergleich_lb]]</f>
        <v>7146.5373600000003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0.23400000000000001</v>
      </c>
      <c r="M824" s="10">
        <f ca="1">VLOOKUP(dict_DQ_Meth_max[[#This Row],[ID_DataQualities]],table_DataQualities[],9,FALSE)</f>
        <v>7444.3</v>
      </c>
    </row>
    <row r="825" spans="1:13" x14ac:dyDescent="0.45">
      <c r="A825" s="10">
        <v>220</v>
      </c>
      <c r="B825" s="10">
        <v>63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1712.3691799999999</v>
      </c>
      <c r="G825" s="12">
        <f ca="1">(RANDBETWEEN(50,100)/100)*(dict_DQ_Meth_max[[#This Row],[Vergleich_ub]]-dict_DQ_Meth_max[[#This Row],[Vergleich_lb]])+dict_DQ_Meth_max[[#This Row],[Vergleich_lb]]</f>
        <v>4615.5549200000005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0.23400000000000001</v>
      </c>
      <c r="M825" s="10">
        <f ca="1">VLOOKUP(dict_DQ_Meth_max[[#This Row],[ID_DataQualities]],table_DataQualities[],9,FALSE)</f>
        <v>7444.3</v>
      </c>
    </row>
    <row r="826" spans="1:13" x14ac:dyDescent="0.45">
      <c r="A826" s="10">
        <v>220</v>
      </c>
      <c r="B826" s="10">
        <v>250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2382.3351199999997</v>
      </c>
      <c r="G826" s="12">
        <f ca="1">(RANDBETWEEN(50,100)/100)*(dict_DQ_Meth_max[[#This Row],[Vergleich_ub]]-dict_DQ_Meth_max[[#This Row],[Vergleich_lb]])+dict_DQ_Meth_max[[#This Row],[Vergleich_lb]]</f>
        <v>5062.1988800000008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0.23400000000000001</v>
      </c>
      <c r="M826" s="10">
        <f ca="1">VLOOKUP(dict_DQ_Meth_max[[#This Row],[ID_DataQualities]],table_DataQualities[],9,FALSE)</f>
        <v>7444.3</v>
      </c>
    </row>
    <row r="827" spans="1:13" x14ac:dyDescent="0.45">
      <c r="A827" s="10">
        <v>220</v>
      </c>
      <c r="B827" s="10">
        <v>419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2754.5384199999999</v>
      </c>
      <c r="G827" s="12">
        <f ca="1">(RANDBETWEEN(50,100)/100)*(dict_DQ_Meth_max[[#This Row],[Vergleich_ub]]-dict_DQ_Meth_max[[#This Row],[Vergleich_lb]])+dict_DQ_Meth_max[[#This Row],[Vergleich_lb]]</f>
        <v>4913.3175600000004</v>
      </c>
      <c r="H827" s="11" t="str">
        <f ca="1">VLOOKUP(VLOOKUP(dict_DQ_Meth_max[[#This Row],[ID_DataQualities]],table_DataQualities[],3),table_Units[],2)</f>
        <v>Hz</v>
      </c>
      <c r="I827" s="10"/>
      <c r="J827" s="10"/>
      <c r="K827" s="10"/>
      <c r="L827" s="10">
        <f ca="1">VLOOKUP(dict_DQ_Meth_max[[#This Row],[ID_DataQualities]],table_DataQualities[],8,FALSE)</f>
        <v>0.23400000000000001</v>
      </c>
      <c r="M827" s="10">
        <f ca="1">VLOOKUP(dict_DQ_Meth_max[[#This Row],[ID_DataQualities]],table_DataQualities[],9,FALSE)</f>
        <v>7444.3</v>
      </c>
    </row>
    <row r="828" spans="1:13" x14ac:dyDescent="0.45">
      <c r="A828" s="10">
        <v>221</v>
      </c>
      <c r="B828" s="10">
        <v>203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893.41</v>
      </c>
      <c r="G828" s="12">
        <f ca="1">(RANDBETWEEN(50,100)/100)*(dict_DQ_Meth_max[[#This Row],[Vergleich_ub]]-dict_DQ_Meth_max[[#This Row],[Vergleich_lb]])+dict_DQ_Meth_max[[#This Row],[Vergleich_lb]]</f>
        <v>1201.03</v>
      </c>
      <c r="H828" s="11" t="str">
        <f ca="1">VLOOKUP(VLOOKUP(dict_DQ_Meth_max[[#This Row],[ID_DataQualities]],table_DataQualities[],3),table_Units[],2)</f>
        <v>bit</v>
      </c>
      <c r="I828" s="10"/>
      <c r="J828" s="10"/>
      <c r="K828" s="10"/>
      <c r="L828" s="10">
        <f ca="1">VLOOKUP(dict_DQ_Meth_max[[#This Row],[ID_DataQualities]],table_DataQualities[],8,FALSE)</f>
        <v>56</v>
      </c>
      <c r="M828" s="10">
        <f ca="1">VLOOKUP(dict_DQ_Meth_max[[#This Row],[ID_DataQualities]],table_DataQualities[],9,FALSE)</f>
        <v>1765</v>
      </c>
    </row>
    <row r="829" spans="1:13" x14ac:dyDescent="0.45">
      <c r="A829" s="10">
        <v>221</v>
      </c>
      <c r="B829" s="10">
        <v>419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363.62</v>
      </c>
      <c r="G829" s="12">
        <f ca="1">(RANDBETWEEN(50,100)/100)*(dict_DQ_Meth_max[[#This Row],[Vergleich_ub]]-dict_DQ_Meth_max[[#This Row],[Vergleich_lb]])+dict_DQ_Meth_max[[#This Row],[Vergleich_lb]]</f>
        <v>1047.2199999999998</v>
      </c>
      <c r="H829" s="11" t="str">
        <f ca="1">VLOOKUP(VLOOKUP(dict_DQ_Meth_max[[#This Row],[ID_DataQualities]],table_DataQualities[],3),table_Units[],2)</f>
        <v>bit</v>
      </c>
      <c r="I829" s="10"/>
      <c r="J829" s="10"/>
      <c r="K829" s="10"/>
      <c r="L829" s="10">
        <f ca="1">VLOOKUP(dict_DQ_Meth_max[[#This Row],[ID_DataQualities]],table_DataQualities[],8,FALSE)</f>
        <v>56</v>
      </c>
      <c r="M829" s="10">
        <f ca="1">VLOOKUP(dict_DQ_Meth_max[[#This Row],[ID_DataQualities]],table_DataQualities[],9,FALSE)</f>
        <v>1765</v>
      </c>
    </row>
    <row r="830" spans="1:13" x14ac:dyDescent="0.45">
      <c r="A830" s="10">
        <v>221</v>
      </c>
      <c r="B830" s="10">
        <v>279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192.72</v>
      </c>
      <c r="G830" s="12">
        <f ca="1">(RANDBETWEEN(50,100)/100)*(dict_DQ_Meth_max[[#This Row],[Vergleich_ub]]-dict_DQ_Meth_max[[#This Row],[Vergleich_lb]])+dict_DQ_Meth_max[[#This Row],[Vergleich_lb]]</f>
        <v>1047.2199999999998</v>
      </c>
      <c r="H830" s="11" t="str">
        <f ca="1">VLOOKUP(VLOOKUP(dict_DQ_Meth_max[[#This Row],[ID_DataQualities]],table_DataQualities[],3),table_Units[],2)</f>
        <v>bit</v>
      </c>
      <c r="I830" s="10"/>
      <c r="J830" s="10"/>
      <c r="K830" s="10"/>
      <c r="L830" s="10">
        <f ca="1">VLOOKUP(dict_DQ_Meth_max[[#This Row],[ID_DataQualities]],table_DataQualities[],8,FALSE)</f>
        <v>56</v>
      </c>
      <c r="M830" s="10">
        <f ca="1">VLOOKUP(dict_DQ_Meth_max[[#This Row],[ID_DataQualities]],table_DataQualities[],9,FALSE)</f>
        <v>1765</v>
      </c>
    </row>
    <row r="831" spans="1:13" x14ac:dyDescent="0.45">
      <c r="A831" s="10">
        <v>221</v>
      </c>
      <c r="B831" s="10">
        <v>250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671.24</v>
      </c>
      <c r="G831" s="12">
        <f ca="1">(RANDBETWEEN(50,100)/100)*(dict_DQ_Meth_max[[#This Row],[Vergleich_ub]]-dict_DQ_Meth_max[[#This Row],[Vergleich_lb]])+dict_DQ_Meth_max[[#This Row],[Vergleich_lb]]</f>
        <v>1252.3</v>
      </c>
      <c r="H831" s="11" t="str">
        <f ca="1">VLOOKUP(VLOOKUP(dict_DQ_Meth_max[[#This Row],[ID_DataQualities]],table_DataQualities[],3),table_Units[],2)</f>
        <v>bit</v>
      </c>
      <c r="I831" s="10"/>
      <c r="J831" s="10"/>
      <c r="K831" s="10"/>
      <c r="L831" s="10">
        <f ca="1">VLOOKUP(dict_DQ_Meth_max[[#This Row],[ID_DataQualities]],table_DataQualities[],8,FALSE)</f>
        <v>56</v>
      </c>
      <c r="M831" s="10">
        <f ca="1">VLOOKUP(dict_DQ_Meth_max[[#This Row],[ID_DataQualities]],table_DataQualities[],9,FALSE)</f>
        <v>1765</v>
      </c>
    </row>
    <row r="832" spans="1:13" x14ac:dyDescent="0.45">
      <c r="A832" s="10">
        <v>221</v>
      </c>
      <c r="B832" s="10">
        <v>675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773.78</v>
      </c>
      <c r="G832" s="12">
        <f ca="1">(RANDBETWEEN(50,100)/100)*(dict_DQ_Meth_max[[#This Row],[Vergleich_ub]]-dict_DQ_Meth_max[[#This Row],[Vergleich_lb]])+dict_DQ_Meth_max[[#This Row],[Vergleich_lb]]</f>
        <v>1474.47</v>
      </c>
      <c r="H832" s="11" t="str">
        <f ca="1">VLOOKUP(VLOOKUP(dict_DQ_Meth_max[[#This Row],[ID_DataQualities]],table_DataQualities[],3),table_Units[],2)</f>
        <v>bit</v>
      </c>
      <c r="I832" s="10"/>
      <c r="J832" s="10"/>
      <c r="K832" s="10"/>
      <c r="L832" s="10">
        <f ca="1">VLOOKUP(dict_DQ_Meth_max[[#This Row],[ID_DataQualities]],table_DataQualities[],8,FALSE)</f>
        <v>56</v>
      </c>
      <c r="M832" s="10">
        <f ca="1">VLOOKUP(dict_DQ_Meth_max[[#This Row],[ID_DataQualities]],table_DataQualities[],9,FALSE)</f>
        <v>1765</v>
      </c>
    </row>
    <row r="833" spans="1:13" x14ac:dyDescent="0.45">
      <c r="A833" s="10">
        <v>221</v>
      </c>
      <c r="B833" s="10">
        <v>63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517.43000000000006</v>
      </c>
      <c r="G833" s="12">
        <f ca="1">(RANDBETWEEN(50,100)/100)*(dict_DQ_Meth_max[[#This Row],[Vergleich_ub]]-dict_DQ_Meth_max[[#This Row],[Vergleich_lb]])+dict_DQ_Meth_max[[#This Row],[Vergleich_lb]]</f>
        <v>1542.83</v>
      </c>
      <c r="H833" s="11" t="str">
        <f ca="1">VLOOKUP(VLOOKUP(dict_DQ_Meth_max[[#This Row],[ID_DataQualities]],table_DataQualities[],3),table_Units[],2)</f>
        <v>bit</v>
      </c>
      <c r="I833" s="10"/>
      <c r="J833" s="10"/>
      <c r="K833" s="10"/>
      <c r="L833" s="10">
        <f ca="1">VLOOKUP(dict_DQ_Meth_max[[#This Row],[ID_DataQualities]],table_DataQualities[],8,FALSE)</f>
        <v>56</v>
      </c>
      <c r="M833" s="10">
        <f ca="1">VLOOKUP(dict_DQ_Meth_max[[#This Row],[ID_DataQualities]],table_DataQualities[],9,FALSE)</f>
        <v>1765</v>
      </c>
    </row>
    <row r="834" spans="1:13" x14ac:dyDescent="0.45">
      <c r="A834" s="10">
        <v>222</v>
      </c>
      <c r="B834" s="10">
        <v>395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3877.4473699999999</v>
      </c>
      <c r="G834" s="12">
        <f ca="1">(RANDBETWEEN(50,100)/100)*(dict_DQ_Meth_max[[#This Row],[Vergleich_ub]]-dict_DQ_Meth_max[[#This Row],[Vergleich_lb]])+dict_DQ_Meth_max[[#This Row],[Vergleich_lb]]</f>
        <v>7754.6537399999997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0.24099999999999999</v>
      </c>
      <c r="M834" s="10">
        <f ca="1">VLOOKUP(dict_DQ_Meth_max[[#This Row],[ID_DataQualities]],table_DataQualities[],9,FALSE)</f>
        <v>9017</v>
      </c>
    </row>
    <row r="835" spans="1:13" x14ac:dyDescent="0.45">
      <c r="A835" s="10">
        <v>223</v>
      </c>
      <c r="B835" s="10">
        <v>395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0.24545999999999998</v>
      </c>
      <c r="G835" s="12">
        <f ca="1">(RANDBETWEEN(50,100)/100)*(dict_DQ_Meth_max[[#This Row],[Vergleich_ub]]-dict_DQ_Meth_max[[#This Row],[Vergleich_lb]])+dict_DQ_Meth_max[[#This Row],[Vergleich_lb]]</f>
        <v>0.70709</v>
      </c>
      <c r="H835" s="11" t="str">
        <f ca="1">VLOOKUP(VLOOKUP(dict_DQ_Meth_max[[#This Row],[ID_DataQualities]],table_DataQualities[],3),table_Units[],2)</f>
        <v>+/- mm</v>
      </c>
      <c r="I835" s="10"/>
      <c r="J835" s="10"/>
      <c r="K835" s="10"/>
      <c r="L835" s="10">
        <f ca="1">VLOOKUP(dict_DQ_Meth_max[[#This Row],[ID_DataQualities]],table_DataQualities[],8,FALSE)</f>
        <v>1.9E-2</v>
      </c>
      <c r="M835" s="10">
        <f ca="1">VLOOKUP(dict_DQ_Meth_max[[#This Row],[ID_DataQualities]],table_DataQualities[],9,FALSE)</f>
        <v>0.89</v>
      </c>
    </row>
    <row r="836" spans="1:13" x14ac:dyDescent="0.45">
      <c r="A836" s="10">
        <v>224</v>
      </c>
      <c r="B836" s="10">
        <v>362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39.138760000000005</v>
      </c>
      <c r="G836" s="12">
        <f ca="1">(RANDBETWEEN(50,100)/100)*(dict_DQ_Meth_max[[#This Row],[Vergleich_ub]]-dict_DQ_Meth_max[[#This Row],[Vergleich_lb]])+dict_DQ_Meth_max[[#This Row],[Vergleich_lb]]</f>
        <v>1803.48134</v>
      </c>
      <c r="H836" s="11" t="str">
        <f ca="1">VLOOKUP(VLOOKUP(dict_DQ_Meth_max[[#This Row],[ID_DataQualities]],table_DataQualities[],3),table_Units[],2)</f>
        <v>Hz</v>
      </c>
      <c r="I836" s="10"/>
      <c r="J836" s="10"/>
      <c r="K836" s="10"/>
      <c r="L836" s="10">
        <f ca="1">VLOOKUP(dict_DQ_Meth_max[[#This Row],[ID_DataQualities]],table_DataQualities[],8,FALSE)</f>
        <v>0.36199999999999999</v>
      </c>
      <c r="M836" s="10">
        <f ca="1">VLOOKUP(dict_DQ_Meth_max[[#This Row],[ID_DataQualities]],table_DataQualities[],9,FALSE)</f>
        <v>1939.2</v>
      </c>
    </row>
    <row r="837" spans="1:13" x14ac:dyDescent="0.45">
      <c r="A837" s="10">
        <v>224</v>
      </c>
      <c r="B837" s="10">
        <v>378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562.62501999999995</v>
      </c>
      <c r="G837" s="12">
        <f ca="1">(RANDBETWEEN(50,100)/100)*(dict_DQ_Meth_max[[#This Row],[Vergleich_ub]]-dict_DQ_Meth_max[[#This Row],[Vergleich_lb]])+dict_DQ_Meth_max[[#This Row],[Vergleich_lb]]</f>
        <v>1318.7718400000001</v>
      </c>
      <c r="H837" s="11" t="str">
        <f ca="1">VLOOKUP(VLOOKUP(dict_DQ_Meth_max[[#This Row],[ID_DataQualities]],table_DataQualities[],3),table_Units[],2)</f>
        <v>Hz</v>
      </c>
      <c r="I837" s="10"/>
      <c r="J837" s="10"/>
      <c r="K837" s="10"/>
      <c r="L837" s="10">
        <f ca="1">VLOOKUP(dict_DQ_Meth_max[[#This Row],[ID_DataQualities]],table_DataQualities[],8,FALSE)</f>
        <v>0.36199999999999999</v>
      </c>
      <c r="M837" s="10">
        <f ca="1">VLOOKUP(dict_DQ_Meth_max[[#This Row],[ID_DataQualities]],table_DataQualities[],9,FALSE)</f>
        <v>1939.2</v>
      </c>
    </row>
    <row r="838" spans="1:13" x14ac:dyDescent="0.45">
      <c r="A838" s="10">
        <v>224</v>
      </c>
      <c r="B838" s="10">
        <v>175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446.29474000000005</v>
      </c>
      <c r="G838" s="12">
        <f ca="1">(RANDBETWEEN(50,100)/100)*(dict_DQ_Meth_max[[#This Row],[Vergleich_ub]]-dict_DQ_Meth_max[[#This Row],[Vergleich_lb]])+dict_DQ_Meth_max[[#This Row],[Vergleich_lb]]</f>
        <v>1725.9278200000001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0.36199999999999999</v>
      </c>
      <c r="M838" s="10">
        <f ca="1">VLOOKUP(dict_DQ_Meth_max[[#This Row],[ID_DataQualities]],table_DataQualities[],9,FALSE)</f>
        <v>1939.2</v>
      </c>
    </row>
    <row r="839" spans="1:13" x14ac:dyDescent="0.45">
      <c r="A839" s="10">
        <v>224</v>
      </c>
      <c r="B839" s="10">
        <v>341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950.39261999999997</v>
      </c>
      <c r="G839" s="12">
        <f ca="1">(RANDBETWEEN(50,100)/100)*(dict_DQ_Meth_max[[#This Row],[Vergleich_ub]]-dict_DQ_Meth_max[[#This Row],[Vergleich_lb]])+dict_DQ_Meth_max[[#This Row],[Vergleich_lb]]</f>
        <v>1512.6556400000002</v>
      </c>
      <c r="H839" s="11" t="str">
        <f ca="1">VLOOKUP(VLOOKUP(dict_DQ_Meth_max[[#This Row],[ID_DataQualities]],table_DataQualities[],3),table_Units[],2)</f>
        <v>Hz</v>
      </c>
      <c r="I839" s="10"/>
      <c r="J839" s="10"/>
      <c r="K839" s="10"/>
      <c r="L839" s="10">
        <f ca="1">VLOOKUP(dict_DQ_Meth_max[[#This Row],[ID_DataQualities]],table_DataQualities[],8,FALSE)</f>
        <v>0.36199999999999999</v>
      </c>
      <c r="M839" s="10">
        <f ca="1">VLOOKUP(dict_DQ_Meth_max[[#This Row],[ID_DataQualities]],table_DataQualities[],9,FALSE)</f>
        <v>1939.2</v>
      </c>
    </row>
    <row r="840" spans="1:13" x14ac:dyDescent="0.45">
      <c r="A840" s="10">
        <v>224</v>
      </c>
      <c r="B840" s="10">
        <v>275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698.34367999999995</v>
      </c>
      <c r="G840" s="12">
        <f ca="1">(RANDBETWEEN(50,100)/100)*(dict_DQ_Meth_max[[#This Row],[Vergleich_ub]]-dict_DQ_Meth_max[[#This Row],[Vergleich_lb]])+dict_DQ_Meth_max[[#This Row],[Vergleich_lb]]</f>
        <v>1435.10212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0.36199999999999999</v>
      </c>
      <c r="M840" s="10">
        <f ca="1">VLOOKUP(dict_DQ_Meth_max[[#This Row],[ID_DataQualities]],table_DataQualities[],9,FALSE)</f>
        <v>1939.2</v>
      </c>
    </row>
    <row r="841" spans="1:13" x14ac:dyDescent="0.45">
      <c r="A841" s="10">
        <v>225</v>
      </c>
      <c r="B841" s="10">
        <v>175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1.26328</v>
      </c>
      <c r="G841" s="12">
        <f ca="1">(RANDBETWEEN(50,100)/100)*(dict_DQ_Meth_max[[#This Row],[Vergleich_ub]]-dict_DQ_Meth_max[[#This Row],[Vergleich_lb]])+dict_DQ_Meth_max[[#This Row],[Vergleich_lb]]</f>
        <v>6.4269599999999993</v>
      </c>
      <c r="H841" s="11" t="str">
        <f ca="1">VLOOKUP(VLOOKUP(dict_DQ_Meth_max[[#This Row],[ID_DataQualities]],table_DataQualities[],3),table_Units[],2)</f>
        <v>+/- mm</v>
      </c>
      <c r="I841" s="10"/>
      <c r="J841" s="10"/>
      <c r="K841" s="10"/>
      <c r="L841" s="10">
        <f ca="1">VLOOKUP(dict_DQ_Meth_max[[#This Row],[ID_DataQualities]],table_DataQualities[],8,FALSE)</f>
        <v>3.7999999999999999E-2</v>
      </c>
      <c r="M841" s="10">
        <f ca="1">VLOOKUP(dict_DQ_Meth_max[[#This Row],[ID_DataQualities]],table_DataQualities[],9,FALSE)</f>
        <v>8.7899999999999991</v>
      </c>
    </row>
    <row r="842" spans="1:13" x14ac:dyDescent="0.45">
      <c r="A842" s="10">
        <v>225</v>
      </c>
      <c r="B842" s="10">
        <v>275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1.8759199999999998</v>
      </c>
      <c r="G842" s="12">
        <f ca="1">(RANDBETWEEN(50,100)/100)*(dict_DQ_Meth_max[[#This Row],[Vergleich_ub]]-dict_DQ_Meth_max[[#This Row],[Vergleich_lb]])+dict_DQ_Meth_max[[#This Row],[Vergleich_lb]]</f>
        <v>7.3896799999999994</v>
      </c>
      <c r="H842" s="11" t="str">
        <f ca="1">VLOOKUP(VLOOKUP(dict_DQ_Meth_max[[#This Row],[ID_DataQualities]],table_DataQualities[],3),table_Units[],2)</f>
        <v>+/- mm</v>
      </c>
      <c r="I842" s="10"/>
      <c r="J842" s="10"/>
      <c r="K842" s="10"/>
      <c r="L842" s="10">
        <f ca="1">VLOOKUP(dict_DQ_Meth_max[[#This Row],[ID_DataQualities]],table_DataQualities[],8,FALSE)</f>
        <v>3.7999999999999999E-2</v>
      </c>
      <c r="M842" s="10">
        <f ca="1">VLOOKUP(dict_DQ_Meth_max[[#This Row],[ID_DataQualities]],table_DataQualities[],9,FALSE)</f>
        <v>8.7899999999999991</v>
      </c>
    </row>
    <row r="843" spans="1:13" x14ac:dyDescent="0.45">
      <c r="A843" s="10">
        <v>225</v>
      </c>
      <c r="B843" s="10">
        <v>341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3.2762399999999992</v>
      </c>
      <c r="G843" s="12">
        <f ca="1">(RANDBETWEEN(50,100)/100)*(dict_DQ_Meth_max[[#This Row],[Vergleich_ub]]-dict_DQ_Meth_max[[#This Row],[Vergleich_lb]])+dict_DQ_Meth_max[[#This Row],[Vergleich_lb]]</f>
        <v>6.5144799999999989</v>
      </c>
      <c r="H843" s="11" t="str">
        <f ca="1">VLOOKUP(VLOOKUP(dict_DQ_Meth_max[[#This Row],[ID_DataQualities]],table_DataQualities[],3),table_Units[],2)</f>
        <v>+/- mm</v>
      </c>
      <c r="I843" s="10"/>
      <c r="J843" s="10"/>
      <c r="K843" s="10"/>
      <c r="L843" s="10">
        <f ca="1">VLOOKUP(dict_DQ_Meth_max[[#This Row],[ID_DataQualities]],table_DataQualities[],8,FALSE)</f>
        <v>3.7999999999999999E-2</v>
      </c>
      <c r="M843" s="10">
        <f ca="1">VLOOKUP(dict_DQ_Meth_max[[#This Row],[ID_DataQualities]],table_DataQualities[],9,FALSE)</f>
        <v>8.7899999999999991</v>
      </c>
    </row>
    <row r="844" spans="1:13" x14ac:dyDescent="0.45">
      <c r="A844" s="10">
        <v>225</v>
      </c>
      <c r="B844" s="10">
        <v>362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2.3135199999999996</v>
      </c>
      <c r="G844" s="12">
        <f ca="1">(RANDBETWEEN(50,100)/100)*(dict_DQ_Meth_max[[#This Row],[Vergleich_ub]]-dict_DQ_Meth_max[[#This Row],[Vergleich_lb]])+dict_DQ_Meth_max[[#This Row],[Vergleich_lb]]</f>
        <v>8.0898399999999988</v>
      </c>
      <c r="H844" s="11" t="str">
        <f ca="1">VLOOKUP(VLOOKUP(dict_DQ_Meth_max[[#This Row],[ID_DataQualities]],table_DataQualities[],3),table_Units[],2)</f>
        <v>+/- mm</v>
      </c>
      <c r="I844" s="10"/>
      <c r="J844" s="10"/>
      <c r="K844" s="10"/>
      <c r="L844" s="10">
        <f ca="1">VLOOKUP(dict_DQ_Meth_max[[#This Row],[ID_DataQualities]],table_DataQualities[],8,FALSE)</f>
        <v>3.7999999999999999E-2</v>
      </c>
      <c r="M844" s="10">
        <f ca="1">VLOOKUP(dict_DQ_Meth_max[[#This Row],[ID_DataQualities]],table_DataQualities[],9,FALSE)</f>
        <v>8.7899999999999991</v>
      </c>
    </row>
    <row r="845" spans="1:13" x14ac:dyDescent="0.45">
      <c r="A845" s="10">
        <v>225</v>
      </c>
      <c r="B845" s="10">
        <v>378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4.4139999999999997</v>
      </c>
      <c r="G845" s="12">
        <f ca="1">(RANDBETWEEN(50,100)/100)*(dict_DQ_Meth_max[[#This Row],[Vergleich_ub]]-dict_DQ_Meth_max[[#This Row],[Vergleich_lb]])+dict_DQ_Meth_max[[#This Row],[Vergleich_lb]]</f>
        <v>5.7267999999999999</v>
      </c>
      <c r="H845" s="11" t="str">
        <f ca="1">VLOOKUP(VLOOKUP(dict_DQ_Meth_max[[#This Row],[ID_DataQualities]],table_DataQualities[],3),table_Units[],2)</f>
        <v>+/- mm</v>
      </c>
      <c r="I845" s="10"/>
      <c r="J845" s="10"/>
      <c r="K845" s="10"/>
      <c r="L845" s="10">
        <f ca="1">VLOOKUP(dict_DQ_Meth_max[[#This Row],[ID_DataQualities]],table_DataQualities[],8,FALSE)</f>
        <v>3.7999999999999999E-2</v>
      </c>
      <c r="M845" s="10">
        <f ca="1">VLOOKUP(dict_DQ_Meth_max[[#This Row],[ID_DataQualities]],table_DataQualities[],9,FALSE)</f>
        <v>8.7899999999999991</v>
      </c>
    </row>
    <row r="846" spans="1:13" x14ac:dyDescent="0.45">
      <c r="A846" s="10">
        <v>226</v>
      </c>
      <c r="B846" s="10">
        <v>46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389.12400000000002</v>
      </c>
      <c r="G846" s="12">
        <f ca="1">(RANDBETWEEN(50,100)/100)*(dict_DQ_Meth_max[[#This Row],[Vergleich_ub]]-dict_DQ_Meth_max[[#This Row],[Vergleich_lb]])+dict_DQ_Meth_max[[#This Row],[Vergleich_lb]]</f>
        <v>971.34</v>
      </c>
      <c r="H846" s="11" t="str">
        <f ca="1">VLOOKUP(VLOOKUP(dict_DQ_Meth_max[[#This Row],[ID_DataQualities]],table_DataQualities[],3),table_Units[],2)</f>
        <v>Hz</v>
      </c>
      <c r="I846" s="10"/>
      <c r="J846" s="10"/>
      <c r="K846" s="10"/>
      <c r="L846" s="10">
        <f ca="1">VLOOKUP(dict_DQ_Meth_max[[#This Row],[ID_DataQualities]],table_DataQualities[],8,FALSE)</f>
        <v>0.98</v>
      </c>
      <c r="M846" s="10">
        <f ca="1">VLOOKUP(dict_DQ_Meth_max[[#This Row],[ID_DataQualities]],table_DataQualities[],9,FALSE)</f>
        <v>1941.7</v>
      </c>
    </row>
    <row r="847" spans="1:13" x14ac:dyDescent="0.45">
      <c r="A847" s="10">
        <v>226</v>
      </c>
      <c r="B847" s="10">
        <v>543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195.05199999999999</v>
      </c>
      <c r="G847" s="12">
        <f ca="1">(RANDBETWEEN(50,100)/100)*(dict_DQ_Meth_max[[#This Row],[Vergleich_ub]]-dict_DQ_Meth_max[[#This Row],[Vergleich_lb]])+dict_DQ_Meth_max[[#This Row],[Vergleich_lb]]</f>
        <v>1398.2983999999999</v>
      </c>
      <c r="H847" s="11" t="str">
        <f ca="1">VLOOKUP(VLOOKUP(dict_DQ_Meth_max[[#This Row],[ID_DataQualities]],table_DataQualities[],3),table_Units[],2)</f>
        <v>Hz</v>
      </c>
      <c r="I847" s="10"/>
      <c r="J847" s="10"/>
      <c r="K847" s="10"/>
      <c r="L847" s="10">
        <f ca="1">VLOOKUP(dict_DQ_Meth_max[[#This Row],[ID_DataQualities]],table_DataQualities[],8,FALSE)</f>
        <v>0.98</v>
      </c>
      <c r="M847" s="10">
        <f ca="1">VLOOKUP(dict_DQ_Meth_max[[#This Row],[ID_DataQualities]],table_DataQualities[],9,FALSE)</f>
        <v>1941.7</v>
      </c>
    </row>
    <row r="848" spans="1:13" x14ac:dyDescent="0.45">
      <c r="A848" s="10">
        <v>226</v>
      </c>
      <c r="B848" s="10">
        <v>604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835.4896</v>
      </c>
      <c r="G848" s="12">
        <f ca="1">(RANDBETWEEN(50,100)/100)*(dict_DQ_Meth_max[[#This Row],[Vergleich_ub]]-dict_DQ_Meth_max[[#This Row],[Vergleich_lb]])+dict_DQ_Meth_max[[#This Row],[Vergleich_lb]]</f>
        <v>1495.3344000000002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0.98</v>
      </c>
      <c r="M848" s="10">
        <f ca="1">VLOOKUP(dict_DQ_Meth_max[[#This Row],[ID_DataQualities]],table_DataQualities[],9,FALSE)</f>
        <v>1941.7</v>
      </c>
    </row>
    <row r="849" spans="1:13" x14ac:dyDescent="0.45">
      <c r="A849" s="10">
        <v>226</v>
      </c>
      <c r="B849" s="10">
        <v>602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932.52559999999994</v>
      </c>
      <c r="G849" s="12">
        <f ca="1">(RANDBETWEEN(50,100)/100)*(dict_DQ_Meth_max[[#This Row],[Vergleich_ub]]-dict_DQ_Meth_max[[#This Row],[Vergleich_lb]])+dict_DQ_Meth_max[[#This Row],[Vergleich_lb]]</f>
        <v>1592.3704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0.98</v>
      </c>
      <c r="M849" s="10">
        <f ca="1">VLOOKUP(dict_DQ_Meth_max[[#This Row],[ID_DataQualities]],table_DataQualities[],9,FALSE)</f>
        <v>1941.7</v>
      </c>
    </row>
    <row r="850" spans="1:13" x14ac:dyDescent="0.45">
      <c r="A850" s="10">
        <v>227</v>
      </c>
      <c r="B850" s="10">
        <v>543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4.3660000000000001E-3</v>
      </c>
      <c r="G850" s="12">
        <f ca="1">(RANDBETWEEN(50,100)/100)*(dict_DQ_Meth_max[[#This Row],[Vergleich_ub]]-dict_DQ_Meth_max[[#This Row],[Vergleich_lb]])+dict_DQ_Meth_max[[#This Row],[Vergleich_lb]]</f>
        <v>0.20308800000000002</v>
      </c>
      <c r="H850" s="11" t="str">
        <f ca="1">VLOOKUP(VLOOKUP(dict_DQ_Meth_max[[#This Row],[ID_DataQualities]],table_DataQualities[],3),table_Units[],2)</f>
        <v>+/- cm³/s</v>
      </c>
      <c r="I850" s="10"/>
      <c r="J850" s="10"/>
      <c r="K850" s="10"/>
      <c r="L850" s="10">
        <f ca="1">VLOOKUP(dict_DQ_Meth_max[[#This Row],[ID_DataQualities]],table_DataQualities[],8,FALSE)</f>
        <v>1.4E-3</v>
      </c>
      <c r="M850" s="10">
        <f ca="1">VLOOKUP(dict_DQ_Meth_max[[#This Row],[ID_DataQualities]],table_DataQualities[],9,FALSE)</f>
        <v>0.29799999999999999</v>
      </c>
    </row>
    <row r="851" spans="1:13" x14ac:dyDescent="0.45">
      <c r="A851" s="10">
        <v>227</v>
      </c>
      <c r="B851" s="10">
        <v>46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4.5889999999999993E-2</v>
      </c>
      <c r="G851" s="12">
        <f ca="1">(RANDBETWEEN(50,100)/100)*(dict_DQ_Meth_max[[#This Row],[Vergleich_ub]]-dict_DQ_Meth_max[[#This Row],[Vergleich_lb]])+dict_DQ_Meth_max[[#This Row],[Vergleich_lb]]</f>
        <v>0.217918</v>
      </c>
      <c r="H851" s="11" t="str">
        <f ca="1">VLOOKUP(VLOOKUP(dict_DQ_Meth_max[[#This Row],[ID_DataQualities]],table_DataQualities[],3),table_Units[],2)</f>
        <v>+/- cm³/s</v>
      </c>
      <c r="I851" s="10"/>
      <c r="J851" s="10"/>
      <c r="K851" s="10"/>
      <c r="L851" s="10">
        <f ca="1">VLOOKUP(dict_DQ_Meth_max[[#This Row],[ID_DataQualities]],table_DataQualities[],8,FALSE)</f>
        <v>1.4E-3</v>
      </c>
      <c r="M851" s="10">
        <f ca="1">VLOOKUP(dict_DQ_Meth_max[[#This Row],[ID_DataQualities]],table_DataQualities[],9,FALSE)</f>
        <v>0.29799999999999999</v>
      </c>
    </row>
    <row r="852" spans="1:13" x14ac:dyDescent="0.45">
      <c r="A852" s="10">
        <v>227</v>
      </c>
      <c r="B852" s="10">
        <v>604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8.7413999999999992E-2</v>
      </c>
      <c r="G852" s="12">
        <f ca="1">(RANDBETWEEN(50,100)/100)*(dict_DQ_Meth_max[[#This Row],[Vergleich_ub]]-dict_DQ_Meth_max[[#This Row],[Vergleich_lb]])+dict_DQ_Meth_max[[#This Row],[Vergleich_lb]]</f>
        <v>0.20605399999999999</v>
      </c>
      <c r="H852" s="11" t="str">
        <f ca="1">VLOOKUP(VLOOKUP(dict_DQ_Meth_max[[#This Row],[ID_DataQualities]],table_DataQualities[],3),table_Units[],2)</f>
        <v>+/- cm³/s</v>
      </c>
      <c r="I852" s="10"/>
      <c r="J852" s="10"/>
      <c r="K852" s="10"/>
      <c r="L852" s="10">
        <f ca="1">VLOOKUP(dict_DQ_Meth_max[[#This Row],[ID_DataQualities]],table_DataQualities[],8,FALSE)</f>
        <v>1.4E-3</v>
      </c>
      <c r="M852" s="10">
        <f ca="1">VLOOKUP(dict_DQ_Meth_max[[#This Row],[ID_DataQualities]],table_DataQualities[],9,FALSE)</f>
        <v>0.29799999999999999</v>
      </c>
    </row>
    <row r="853" spans="1:13" x14ac:dyDescent="0.45">
      <c r="A853" s="10">
        <v>227</v>
      </c>
      <c r="B853" s="10">
        <v>602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0.128938</v>
      </c>
      <c r="G853" s="12">
        <f ca="1">(RANDBETWEEN(50,100)/100)*(dict_DQ_Meth_max[[#This Row],[Vergleich_ub]]-dict_DQ_Meth_max[[#This Row],[Vergleich_lb]])+dict_DQ_Meth_max[[#This Row],[Vergleich_lb]]</f>
        <v>0.18825800000000001</v>
      </c>
      <c r="H853" s="11" t="str">
        <f ca="1">VLOOKUP(VLOOKUP(dict_DQ_Meth_max[[#This Row],[ID_DataQualities]],table_DataQualities[],3),table_Units[],2)</f>
        <v>+/- cm³/s</v>
      </c>
      <c r="I853" s="10"/>
      <c r="J853" s="10"/>
      <c r="K853" s="10"/>
      <c r="L853" s="10">
        <f ca="1">VLOOKUP(dict_DQ_Meth_max[[#This Row],[ID_DataQualities]],table_DataQualities[],8,FALSE)</f>
        <v>1.4E-3</v>
      </c>
      <c r="M853" s="10">
        <f ca="1">VLOOKUP(dict_DQ_Meth_max[[#This Row],[ID_DataQualities]],table_DataQualities[],9,FALSE)</f>
        <v>0.29799999999999999</v>
      </c>
    </row>
    <row r="854" spans="1:13" x14ac:dyDescent="0.45">
      <c r="A854" s="10">
        <v>228</v>
      </c>
      <c r="B854" s="10">
        <v>16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79.253399999999999</v>
      </c>
      <c r="G854" s="12">
        <f ca="1">(RANDBETWEEN(50,100)/100)*(dict_DQ_Meth_max[[#This Row],[Vergleich_ub]]-dict_DQ_Meth_max[[#This Row],[Vergleich_lb]])+dict_DQ_Meth_max[[#This Row],[Vergleich_lb]]</f>
        <v>144.56403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8.8999999999999996E-2</v>
      </c>
      <c r="M854" s="10">
        <f ca="1">VLOOKUP(dict_DQ_Meth_max[[#This Row],[ID_DataQualities]],table_DataQualities[],9,FALSE)</f>
        <v>198</v>
      </c>
    </row>
    <row r="855" spans="1:13" x14ac:dyDescent="0.45">
      <c r="A855" s="10">
        <v>228</v>
      </c>
      <c r="B855" s="10">
        <v>83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45.608530000000002</v>
      </c>
      <c r="G855" s="12">
        <f ca="1">(RANDBETWEEN(50,100)/100)*(dict_DQ_Meth_max[[#This Row],[Vergleich_ub]]-dict_DQ_Meth_max[[#This Row],[Vergleich_lb]])+dict_DQ_Meth_max[[#This Row],[Vergleich_lb]]</f>
        <v>122.79382</v>
      </c>
      <c r="H855" s="11" t="str">
        <f ca="1">VLOOKUP(VLOOKUP(dict_DQ_Meth_max[[#This Row],[ID_DataQualities]],table_DataQualities[],3),table_Units[],2)</f>
        <v>Hz</v>
      </c>
      <c r="I855" s="10"/>
      <c r="J855" s="10"/>
      <c r="K855" s="10"/>
      <c r="L855" s="10">
        <f ca="1">VLOOKUP(dict_DQ_Meth_max[[#This Row],[ID_DataQualities]],table_DataQualities[],8,FALSE)</f>
        <v>8.8999999999999996E-2</v>
      </c>
      <c r="M855" s="10">
        <f ca="1">VLOOKUP(dict_DQ_Meth_max[[#This Row],[ID_DataQualities]],table_DataQualities[],9,FALSE)</f>
        <v>198</v>
      </c>
    </row>
    <row r="856" spans="1:13" x14ac:dyDescent="0.45">
      <c r="A856" s="10">
        <v>228</v>
      </c>
      <c r="B856" s="10">
        <v>44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61.441409999999998</v>
      </c>
      <c r="G856" s="12">
        <f ca="1">(RANDBETWEEN(50,100)/100)*(dict_DQ_Meth_max[[#This Row],[Vergleich_ub]]-dict_DQ_Meth_max[[#This Row],[Vergleich_lb]])+dict_DQ_Meth_max[[#This Row],[Vergleich_lb]]</f>
        <v>154.45958000000002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8.8999999999999996E-2</v>
      </c>
      <c r="M856" s="10">
        <f ca="1">VLOOKUP(dict_DQ_Meth_max[[#This Row],[ID_DataQualities]],table_DataQualities[],9,FALSE)</f>
        <v>198</v>
      </c>
    </row>
    <row r="857" spans="1:13" x14ac:dyDescent="0.45">
      <c r="A857" s="10">
        <v>229</v>
      </c>
      <c r="B857" s="10">
        <v>83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2.3464999999999998</v>
      </c>
      <c r="G857" s="12">
        <f ca="1">(RANDBETWEEN(50,100)/100)*(dict_DQ_Meth_max[[#This Row],[Vergleich_ub]]-dict_DQ_Meth_max[[#This Row],[Vergleich_lb]])+dict_DQ_Meth_max[[#This Row],[Vergleich_lb]]</f>
        <v>2.4604999999999997</v>
      </c>
      <c r="H857" s="11" t="str">
        <f ca="1">VLOOKUP(VLOOKUP(dict_DQ_Meth_max[[#This Row],[ID_DataQualities]],table_DataQualities[],3),table_Units[],2)</f>
        <v>+/- mm/s</v>
      </c>
      <c r="I857" s="10"/>
      <c r="J857" s="10"/>
      <c r="K857" s="10"/>
      <c r="L857" s="10">
        <f ca="1">VLOOKUP(dict_DQ_Meth_max[[#This Row],[ID_DataQualities]],table_DataQualities[],8,FALSE)</f>
        <v>0.95</v>
      </c>
      <c r="M857" s="10">
        <f ca="1">VLOOKUP(dict_DQ_Meth_max[[#This Row],[ID_DataQualities]],table_DataQualities[],9,FALSE)</f>
        <v>3.8</v>
      </c>
    </row>
    <row r="858" spans="1:13" x14ac:dyDescent="0.45">
      <c r="A858" s="10">
        <v>229</v>
      </c>
      <c r="B858" s="10">
        <v>16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1.1779999999999999</v>
      </c>
      <c r="G858" s="12">
        <f ca="1">(RANDBETWEEN(50,100)/100)*(dict_DQ_Meth_max[[#This Row],[Vergleich_ub]]-dict_DQ_Meth_max[[#This Row],[Vergleich_lb]])+dict_DQ_Meth_max[[#This Row],[Vergleich_lb]]</f>
        <v>2.8024999999999998</v>
      </c>
      <c r="H858" s="11" t="str">
        <f ca="1">VLOOKUP(VLOOKUP(dict_DQ_Meth_max[[#This Row],[ID_DataQualities]],table_DataQualities[],3),table_Units[],2)</f>
        <v>+/- mm/s</v>
      </c>
      <c r="I858" s="10"/>
      <c r="J858" s="10"/>
      <c r="K858" s="10"/>
      <c r="L858" s="10">
        <f ca="1">VLOOKUP(dict_DQ_Meth_max[[#This Row],[ID_DataQualities]],table_DataQualities[],8,FALSE)</f>
        <v>0.95</v>
      </c>
      <c r="M858" s="10">
        <f ca="1">VLOOKUP(dict_DQ_Meth_max[[#This Row],[ID_DataQualities]],table_DataQualities[],9,FALSE)</f>
        <v>3.8</v>
      </c>
    </row>
    <row r="859" spans="1:13" x14ac:dyDescent="0.45">
      <c r="A859" s="10">
        <v>229</v>
      </c>
      <c r="B859" s="10">
        <v>44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1.2919999999999998</v>
      </c>
      <c r="G859" s="12">
        <f ca="1">(RANDBETWEEN(50,100)/100)*(dict_DQ_Meth_max[[#This Row],[Vergleich_ub]]-dict_DQ_Meth_max[[#This Row],[Vergleich_lb]])+dict_DQ_Meth_max[[#This Row],[Vergleich_lb]]</f>
        <v>3.2299999999999995</v>
      </c>
      <c r="H859" s="11" t="str">
        <f ca="1">VLOOKUP(VLOOKUP(dict_DQ_Meth_max[[#This Row],[ID_DataQualities]],table_DataQualities[],3),table_Units[],2)</f>
        <v>+/- mm/s</v>
      </c>
      <c r="I859" s="10"/>
      <c r="J859" s="10"/>
      <c r="K859" s="10"/>
      <c r="L859" s="10">
        <f ca="1">VLOOKUP(dict_DQ_Meth_max[[#This Row],[ID_DataQualities]],table_DataQualities[],8,FALSE)</f>
        <v>0.95</v>
      </c>
      <c r="M859" s="10">
        <f ca="1">VLOOKUP(dict_DQ_Meth_max[[#This Row],[ID_DataQualities]],table_DataQualities[],9,FALSE)</f>
        <v>3.8</v>
      </c>
    </row>
    <row r="860" spans="1:13" x14ac:dyDescent="0.45">
      <c r="A860" s="10">
        <v>230</v>
      </c>
      <c r="B860" s="10">
        <v>308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0.31</v>
      </c>
      <c r="G860" s="12">
        <f ca="1">(RANDBETWEEN(50,100)/100)*(dict_DQ_Meth_max[[#This Row],[Vergleich_ub]]-dict_DQ_Meth_max[[#This Row],[Vergleich_lb]])+dict_DQ_Meth_max[[#This Row],[Vergleich_lb]]</f>
        <v>4079.3673999999996</v>
      </c>
      <c r="H860" s="11" t="str">
        <f ca="1">VLOOKUP(VLOOKUP(dict_DQ_Meth_max[[#This Row],[ID_DataQualities]],table_DataQualities[],3),table_Units[],2)</f>
        <v>Hz</v>
      </c>
      <c r="I860" s="10"/>
      <c r="J860" s="10"/>
      <c r="K860" s="10"/>
      <c r="L860" s="10">
        <f ca="1">VLOOKUP(dict_DQ_Meth_max[[#This Row],[ID_DataQualities]],table_DataQualities[],8,FALSE)</f>
        <v>0.31</v>
      </c>
      <c r="M860" s="10">
        <f ca="1">VLOOKUP(dict_DQ_Meth_max[[#This Row],[ID_DataQualities]],table_DataQualities[],9,FALSE)</f>
        <v>6180.7</v>
      </c>
    </row>
    <row r="861" spans="1:13" x14ac:dyDescent="0.45">
      <c r="A861" s="10">
        <v>230</v>
      </c>
      <c r="B861" s="10">
        <v>195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556.54509999999982</v>
      </c>
      <c r="G861" s="12">
        <f ca="1">(RANDBETWEEN(50,100)/100)*(dict_DQ_Meth_max[[#This Row],[Vergleich_ub]]-dict_DQ_Meth_max[[#This Row],[Vergleich_lb]])+dict_DQ_Meth_max[[#This Row],[Vergleich_lb]]</f>
        <v>5315.4453999999996</v>
      </c>
      <c r="H861" s="11" t="str">
        <f ca="1">VLOOKUP(VLOOKUP(dict_DQ_Meth_max[[#This Row],[ID_DataQualities]],table_DataQualities[],3),table_Units[],2)</f>
        <v>Hz</v>
      </c>
      <c r="I861" s="10"/>
      <c r="J861" s="10"/>
      <c r="K861" s="10"/>
      <c r="L861" s="10">
        <f ca="1">VLOOKUP(dict_DQ_Meth_max[[#This Row],[ID_DataQualities]],table_DataQualities[],8,FALSE)</f>
        <v>0.31</v>
      </c>
      <c r="M861" s="10">
        <f ca="1">VLOOKUP(dict_DQ_Meth_max[[#This Row],[ID_DataQualities]],table_DataQualities[],9,FALSE)</f>
        <v>6180.7</v>
      </c>
    </row>
    <row r="862" spans="1:13" x14ac:dyDescent="0.45">
      <c r="A862" s="10">
        <v>230</v>
      </c>
      <c r="B862" s="10">
        <v>596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3090.5049999999997</v>
      </c>
      <c r="G862" s="12">
        <f ca="1">(RANDBETWEEN(50,100)/100)*(dict_DQ_Meth_max[[#This Row],[Vergleich_ub]]-dict_DQ_Meth_max[[#This Row],[Vergleich_lb]])+dict_DQ_Meth_max[[#This Row],[Vergleich_lb]]</f>
        <v>3893.9556999999995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0.31</v>
      </c>
      <c r="M862" s="10">
        <f ca="1">VLOOKUP(dict_DQ_Meth_max[[#This Row],[ID_DataQualities]],table_DataQualities[],9,FALSE)</f>
        <v>6180.7</v>
      </c>
    </row>
    <row r="863" spans="1:13" x14ac:dyDescent="0.45">
      <c r="A863" s="10">
        <v>230</v>
      </c>
      <c r="B863" s="10">
        <v>164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62.113900000000001</v>
      </c>
      <c r="G863" s="12">
        <f ca="1">(RANDBETWEEN(50,100)/100)*(dict_DQ_Meth_max[[#This Row],[Vergleich_ub]]-dict_DQ_Meth_max[[#This Row],[Vergleich_lb]])+dict_DQ_Meth_max[[#This Row],[Vergleich_lb]]</f>
        <v>5439.0532000000003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0.31</v>
      </c>
      <c r="M863" s="10">
        <f ca="1">VLOOKUP(dict_DQ_Meth_max[[#This Row],[ID_DataQualities]],table_DataQualities[],9,FALSE)</f>
        <v>6180.7</v>
      </c>
    </row>
    <row r="864" spans="1:13" x14ac:dyDescent="0.45">
      <c r="A864" s="10">
        <v>231</v>
      </c>
      <c r="B864" s="10">
        <v>596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0.21284000000000003</v>
      </c>
      <c r="G864" s="12">
        <f ca="1">(RANDBETWEEN(50,100)/100)*(dict_DQ_Meth_max[[#This Row],[Vergleich_ub]]-dict_DQ_Meth_max[[#This Row],[Vergleich_lb]])+dict_DQ_Meth_max[[#This Row],[Vergleich_lb]]</f>
        <v>4.7973999999999997</v>
      </c>
      <c r="H864" s="11" t="str">
        <f ca="1">VLOOKUP(VLOOKUP(dict_DQ_Meth_max[[#This Row],[ID_DataQualities]],table_DataQualities[],3),table_Units[],2)</f>
        <v>+/- W</v>
      </c>
      <c r="I864" s="10"/>
      <c r="J864" s="10"/>
      <c r="K864" s="10"/>
      <c r="L864" s="10">
        <f ca="1">VLOOKUP(dict_DQ_Meth_max[[#This Row],[ID_DataQualities]],table_DataQualities[],8,FALSE)</f>
        <v>7.8E-2</v>
      </c>
      <c r="M864" s="10">
        <f ca="1">VLOOKUP(dict_DQ_Meth_max[[#This Row],[ID_DataQualities]],table_DataQualities[],9,FALSE)</f>
        <v>6.82</v>
      </c>
    </row>
    <row r="865" spans="1:13" x14ac:dyDescent="0.45">
      <c r="A865" s="10">
        <v>231</v>
      </c>
      <c r="B865" s="10">
        <v>164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1.69608</v>
      </c>
      <c r="G865" s="12">
        <f ca="1">(RANDBETWEEN(50,100)/100)*(dict_DQ_Meth_max[[#This Row],[Vergleich_ub]]-dict_DQ_Meth_max[[#This Row],[Vergleich_lb]])+dict_DQ_Meth_max[[#This Row],[Vergleich_lb]]</f>
        <v>5.9435400000000005</v>
      </c>
      <c r="H865" s="11" t="str">
        <f ca="1">VLOOKUP(VLOOKUP(dict_DQ_Meth_max[[#This Row],[ID_DataQualities]],table_DataQualities[],3),table_Units[],2)</f>
        <v>+/- W</v>
      </c>
      <c r="I865" s="10"/>
      <c r="J865" s="10"/>
      <c r="K865" s="10"/>
      <c r="L865" s="10">
        <f ca="1">VLOOKUP(dict_DQ_Meth_max[[#This Row],[ID_DataQualities]],table_DataQualities[],8,FALSE)</f>
        <v>7.8E-2</v>
      </c>
      <c r="M865" s="10">
        <f ca="1">VLOOKUP(dict_DQ_Meth_max[[#This Row],[ID_DataQualities]],table_DataQualities[],9,FALSE)</f>
        <v>6.82</v>
      </c>
    </row>
    <row r="866" spans="1:13" x14ac:dyDescent="0.45">
      <c r="A866" s="10">
        <v>231</v>
      </c>
      <c r="B866" s="10">
        <v>308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2.1680199999999998</v>
      </c>
      <c r="G866" s="12">
        <f ca="1">(RANDBETWEEN(50,100)/100)*(dict_DQ_Meth_max[[#This Row],[Vergleich_ub]]-dict_DQ_Meth_max[[#This Row],[Vergleich_lb]])+dict_DQ_Meth_max[[#This Row],[Vergleich_lb]]</f>
        <v>5.5390200000000007</v>
      </c>
      <c r="H866" s="11" t="str">
        <f ca="1">VLOOKUP(VLOOKUP(dict_DQ_Meth_max[[#This Row],[ID_DataQualities]],table_DataQualities[],3),table_Units[],2)</f>
        <v>+/- W</v>
      </c>
      <c r="I866" s="10"/>
      <c r="J866" s="10"/>
      <c r="K866" s="10"/>
      <c r="L866" s="10">
        <f ca="1">VLOOKUP(dict_DQ_Meth_max[[#This Row],[ID_DataQualities]],table_DataQualities[],8,FALSE)</f>
        <v>7.8E-2</v>
      </c>
      <c r="M866" s="10">
        <f ca="1">VLOOKUP(dict_DQ_Meth_max[[#This Row],[ID_DataQualities]],table_DataQualities[],9,FALSE)</f>
        <v>6.82</v>
      </c>
    </row>
    <row r="867" spans="1:13" x14ac:dyDescent="0.45">
      <c r="A867" s="10">
        <v>231</v>
      </c>
      <c r="B867" s="10">
        <v>195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2.8422199999999997</v>
      </c>
      <c r="G867" s="12">
        <f ca="1">(RANDBETWEEN(50,100)/100)*(dict_DQ_Meth_max[[#This Row],[Vergleich_ub]]-dict_DQ_Meth_max[[#This Row],[Vergleich_lb]])+dict_DQ_Meth_max[[#This Row],[Vergleich_lb]]</f>
        <v>6.6177400000000004</v>
      </c>
      <c r="H867" s="11" t="str">
        <f ca="1">VLOOKUP(VLOOKUP(dict_DQ_Meth_max[[#This Row],[ID_DataQualities]],table_DataQualities[],3),table_Units[],2)</f>
        <v>+/- W</v>
      </c>
      <c r="I867" s="10"/>
      <c r="J867" s="10"/>
      <c r="K867" s="10"/>
      <c r="L867" s="10">
        <f ca="1">VLOOKUP(dict_DQ_Meth_max[[#This Row],[ID_DataQualities]],table_DataQualities[],8,FALSE)</f>
        <v>7.8E-2</v>
      </c>
      <c r="M867" s="10">
        <f ca="1">VLOOKUP(dict_DQ_Meth_max[[#This Row],[ID_DataQualities]],table_DataQualities[],9,FALSE)</f>
        <v>6.82</v>
      </c>
    </row>
    <row r="868" spans="1:13" x14ac:dyDescent="0.45">
      <c r="A868" s="10">
        <v>232</v>
      </c>
      <c r="B868" s="10">
        <v>412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3022.4921600000002</v>
      </c>
      <c r="G868" s="12">
        <f ca="1">(RANDBETWEEN(50,100)/100)*(dict_DQ_Meth_max[[#This Row],[Vergleich_ub]]-dict_DQ_Meth_max[[#This Row],[Vergleich_lb]])+dict_DQ_Meth_max[[#This Row],[Vergleich_lb]]</f>
        <v>4722.3559999999998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0.51200000000000001</v>
      </c>
      <c r="M868" s="10">
        <f ca="1">VLOOKUP(dict_DQ_Meth_max[[#This Row],[ID_DataQualities]],table_DataQualities[],9,FALSE)</f>
        <v>9444.2000000000007</v>
      </c>
    </row>
    <row r="869" spans="1:13" x14ac:dyDescent="0.45">
      <c r="A869" s="10">
        <v>232</v>
      </c>
      <c r="B869" s="10">
        <v>535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3872.4240799999998</v>
      </c>
      <c r="G869" s="12">
        <f ca="1">(RANDBETWEEN(50,100)/100)*(dict_DQ_Meth_max[[#This Row],[Vergleich_ub]]-dict_DQ_Meth_max[[#This Row],[Vergleich_lb]])+dict_DQ_Meth_max[[#This Row],[Vergleich_lb]]</f>
        <v>5288.9772800000001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0.51200000000000001</v>
      </c>
      <c r="M869" s="10">
        <f ca="1">VLOOKUP(dict_DQ_Meth_max[[#This Row],[ID_DataQualities]],table_DataQualities[],9,FALSE)</f>
        <v>9444.2000000000007</v>
      </c>
    </row>
    <row r="870" spans="1:13" x14ac:dyDescent="0.45">
      <c r="A870" s="10">
        <v>232</v>
      </c>
      <c r="B870" s="10">
        <v>389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1133.7545599999999</v>
      </c>
      <c r="G870" s="12">
        <f ca="1">(RANDBETWEEN(50,100)/100)*(dict_DQ_Meth_max[[#This Row],[Vergleich_ub]]-dict_DQ_Meth_max[[#This Row],[Vergleich_lb]])+dict_DQ_Meth_max[[#This Row],[Vergleich_lb]]</f>
        <v>5950.0354399999997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0.51200000000000001</v>
      </c>
      <c r="M870" s="10">
        <f ca="1">VLOOKUP(dict_DQ_Meth_max[[#This Row],[ID_DataQualities]],table_DataQualities[],9,FALSE)</f>
        <v>9444.2000000000007</v>
      </c>
    </row>
    <row r="871" spans="1:13" x14ac:dyDescent="0.45">
      <c r="A871" s="10">
        <v>233</v>
      </c>
      <c r="B871" s="10">
        <v>389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590.55999999999995</v>
      </c>
      <c r="G871" s="12">
        <f ca="1">(RANDBETWEEN(50,100)/100)*(dict_DQ_Meth_max[[#This Row],[Vergleich_ub]]-dict_DQ_Meth_max[[#This Row],[Vergleich_lb]])+dict_DQ_Meth_max[[#This Row],[Vergleich_lb]]</f>
        <v>1557.2</v>
      </c>
      <c r="H871" s="11" t="str">
        <f ca="1">VLOOKUP(VLOOKUP(dict_DQ_Meth_max[[#This Row],[ID_DataQualities]],table_DataQualities[],3),table_Units[],2)</f>
        <v>bit</v>
      </c>
      <c r="I871" s="10"/>
      <c r="J871" s="10"/>
      <c r="K871" s="10"/>
      <c r="L871" s="10">
        <f ca="1">VLOOKUP(dict_DQ_Meth_max[[#This Row],[ID_DataQualities]],table_DataQualities[],8,FALSE)</f>
        <v>96</v>
      </c>
      <c r="M871" s="10">
        <f ca="1">VLOOKUP(dict_DQ_Meth_max[[#This Row],[ID_DataQualities]],table_DataQualities[],9,FALSE)</f>
        <v>2344</v>
      </c>
    </row>
    <row r="872" spans="1:13" x14ac:dyDescent="0.45">
      <c r="A872" s="10">
        <v>233</v>
      </c>
      <c r="B872" s="10">
        <v>412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725.44</v>
      </c>
      <c r="G872" s="12">
        <f ca="1">(RANDBETWEEN(50,100)/100)*(dict_DQ_Meth_max[[#This Row],[Vergleich_ub]]-dict_DQ_Meth_max[[#This Row],[Vergleich_lb]])+dict_DQ_Meth_max[[#This Row],[Vergleich_lb]]</f>
        <v>1939.36</v>
      </c>
      <c r="H872" s="11" t="str">
        <f ca="1">VLOOKUP(VLOOKUP(dict_DQ_Meth_max[[#This Row],[ID_DataQualities]],table_DataQualities[],3),table_Units[],2)</f>
        <v>bit</v>
      </c>
      <c r="I872" s="10"/>
      <c r="J872" s="10"/>
      <c r="K872" s="10"/>
      <c r="L872" s="10">
        <f ca="1">VLOOKUP(dict_DQ_Meth_max[[#This Row],[ID_DataQualities]],table_DataQualities[],8,FALSE)</f>
        <v>96</v>
      </c>
      <c r="M872" s="10">
        <f ca="1">VLOOKUP(dict_DQ_Meth_max[[#This Row],[ID_DataQualities]],table_DataQualities[],9,FALSE)</f>
        <v>2344</v>
      </c>
    </row>
    <row r="873" spans="1:13" x14ac:dyDescent="0.45">
      <c r="A873" s="10">
        <v>233</v>
      </c>
      <c r="B873" s="10">
        <v>535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1062.6399999999999</v>
      </c>
      <c r="G873" s="12">
        <f ca="1">(RANDBETWEEN(50,100)/100)*(dict_DQ_Meth_max[[#This Row],[Vergleich_ub]]-dict_DQ_Meth_max[[#This Row],[Vergleich_lb]])+dict_DQ_Meth_max[[#This Row],[Vergleich_lb]]</f>
        <v>2164.1600000000003</v>
      </c>
      <c r="H873" s="11" t="str">
        <f ca="1">VLOOKUP(VLOOKUP(dict_DQ_Meth_max[[#This Row],[ID_DataQualities]],table_DataQualities[],3),table_Units[],2)</f>
        <v>bit</v>
      </c>
      <c r="I873" s="10"/>
      <c r="J873" s="10"/>
      <c r="K873" s="10"/>
      <c r="L873" s="10">
        <f ca="1">VLOOKUP(dict_DQ_Meth_max[[#This Row],[ID_DataQualities]],table_DataQualities[],8,FALSE)</f>
        <v>96</v>
      </c>
      <c r="M873" s="10">
        <f ca="1">VLOOKUP(dict_DQ_Meth_max[[#This Row],[ID_DataQualities]],table_DataQualities[],9,FALSE)</f>
        <v>2344</v>
      </c>
    </row>
    <row r="874" spans="1:13" x14ac:dyDescent="0.45">
      <c r="A874" s="10">
        <v>234</v>
      </c>
      <c r="B874" s="10">
        <v>221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510.86625000000009</v>
      </c>
      <c r="G874" s="12">
        <f ca="1">(RANDBETWEEN(50,100)/100)*(dict_DQ_Meth_max[[#This Row],[Vergleich_ub]]-dict_DQ_Meth_max[[#This Row],[Vergleich_lb]])+dict_DQ_Meth_max[[#This Row],[Vergleich_lb]]</f>
        <v>5982.0225</v>
      </c>
      <c r="H874" s="11" t="str">
        <f ca="1">VLOOKUP(VLOOKUP(dict_DQ_Meth_max[[#This Row],[ID_DataQualities]],table_DataQualities[],3),table_Units[],2)</f>
        <v>Hz</v>
      </c>
      <c r="I874" s="10"/>
      <c r="J874" s="10"/>
      <c r="K874" s="10"/>
      <c r="L874" s="10">
        <f ca="1">VLOOKUP(dict_DQ_Meth_max[[#This Row],[ID_DataQualities]],table_DataQualities[],8,FALSE)</f>
        <v>0.22500000000000001</v>
      </c>
      <c r="M874" s="10">
        <f ca="1">VLOOKUP(dict_DQ_Meth_max[[#This Row],[ID_DataQualities]],table_DataQualities[],9,FALSE)</f>
        <v>7295.1</v>
      </c>
    </row>
    <row r="875" spans="1:13" x14ac:dyDescent="0.45">
      <c r="A875" s="10">
        <v>234</v>
      </c>
      <c r="B875" s="10">
        <v>238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2042.7900000000002</v>
      </c>
      <c r="G875" s="12">
        <f ca="1">(RANDBETWEEN(50,100)/100)*(dict_DQ_Meth_max[[#This Row],[Vergleich_ub]]-dict_DQ_Meth_max[[#This Row],[Vergleich_lb]])+dict_DQ_Meth_max[[#This Row],[Vergleich_lb]]</f>
        <v>3793.56</v>
      </c>
      <c r="H875" s="11" t="str">
        <f ca="1">VLOOKUP(VLOOKUP(dict_DQ_Meth_max[[#This Row],[ID_DataQualities]],table_DataQualities[],3),table_Units[],2)</f>
        <v>Hz</v>
      </c>
      <c r="I875" s="10"/>
      <c r="J875" s="10"/>
      <c r="K875" s="10"/>
      <c r="L875" s="10">
        <f ca="1">VLOOKUP(dict_DQ_Meth_max[[#This Row],[ID_DataQualities]],table_DataQualities[],8,FALSE)</f>
        <v>0.22500000000000001</v>
      </c>
      <c r="M875" s="10">
        <f ca="1">VLOOKUP(dict_DQ_Meth_max[[#This Row],[ID_DataQualities]],table_DataQualities[],9,FALSE)</f>
        <v>7295.1</v>
      </c>
    </row>
    <row r="876" spans="1:13" x14ac:dyDescent="0.45">
      <c r="A876" s="10">
        <v>234</v>
      </c>
      <c r="B876" s="10">
        <v>335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2991.1237499999997</v>
      </c>
      <c r="G876" s="12">
        <f ca="1">(RANDBETWEEN(50,100)/100)*(dict_DQ_Meth_max[[#This Row],[Vergleich_ub]]-dict_DQ_Meth_max[[#This Row],[Vergleich_lb]])+dict_DQ_Meth_max[[#This Row],[Vergleich_lb]]</f>
        <v>5325.4837500000003</v>
      </c>
      <c r="H876" s="11" t="str">
        <f ca="1">VLOOKUP(VLOOKUP(dict_DQ_Meth_max[[#This Row],[ID_DataQualities]],table_DataQualities[],3),table_Units[],2)</f>
        <v>Hz</v>
      </c>
      <c r="I876" s="10"/>
      <c r="J876" s="10"/>
      <c r="K876" s="10"/>
      <c r="L876" s="10">
        <f ca="1">VLOOKUP(dict_DQ_Meth_max[[#This Row],[ID_DataQualities]],table_DataQualities[],8,FALSE)</f>
        <v>0.22500000000000001</v>
      </c>
      <c r="M876" s="10">
        <f ca="1">VLOOKUP(dict_DQ_Meth_max[[#This Row],[ID_DataQualities]],table_DataQualities[],9,FALSE)</f>
        <v>7295.1</v>
      </c>
    </row>
    <row r="877" spans="1:13" x14ac:dyDescent="0.45">
      <c r="A877" s="10">
        <v>234</v>
      </c>
      <c r="B877" s="10">
        <v>434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0.22500000000000001</v>
      </c>
      <c r="G877" s="12">
        <f ca="1">(RANDBETWEEN(50,100)/100)*(dict_DQ_Meth_max[[#This Row],[Vergleich_ub]]-dict_DQ_Meth_max[[#This Row],[Vergleich_lb]])+dict_DQ_Meth_max[[#This Row],[Vergleich_lb]]</f>
        <v>5763.1762500000004</v>
      </c>
      <c r="H877" s="11" t="str">
        <f ca="1">VLOOKUP(VLOOKUP(dict_DQ_Meth_max[[#This Row],[ID_DataQualities]],table_DataQualities[],3),table_Units[],2)</f>
        <v>Hz</v>
      </c>
      <c r="I877" s="10"/>
      <c r="J877" s="10"/>
      <c r="K877" s="10"/>
      <c r="L877" s="10">
        <f ca="1">VLOOKUP(dict_DQ_Meth_max[[#This Row],[ID_DataQualities]],table_DataQualities[],8,FALSE)</f>
        <v>0.22500000000000001</v>
      </c>
      <c r="M877" s="10">
        <f ca="1">VLOOKUP(dict_DQ_Meth_max[[#This Row],[ID_DataQualities]],table_DataQualities[],9,FALSE)</f>
        <v>7295.1</v>
      </c>
    </row>
    <row r="878" spans="1:13" x14ac:dyDescent="0.45">
      <c r="A878" s="10">
        <v>235</v>
      </c>
      <c r="B878" s="10">
        <v>335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2.7616000000000005</v>
      </c>
      <c r="G878" s="12">
        <f ca="1">(RANDBETWEEN(50,100)/100)*(dict_DQ_Meth_max[[#This Row],[Vergleich_ub]]-dict_DQ_Meth_max[[#This Row],[Vergleich_lb]])+dict_DQ_Meth_max[[#This Row],[Vergleich_lb]]</f>
        <v>5.7119999999999997</v>
      </c>
      <c r="H878" s="11" t="str">
        <f ca="1">VLOOKUP(VLOOKUP(dict_DQ_Meth_max[[#This Row],[ID_DataQualities]],table_DataQualities[],3),table_Units[],2)</f>
        <v>+/- mm/s</v>
      </c>
      <c r="I878" s="10"/>
      <c r="J878" s="10"/>
      <c r="K878" s="10"/>
      <c r="L878" s="10">
        <f ca="1">VLOOKUP(dict_DQ_Meth_max[[#This Row],[ID_DataQualities]],table_DataQualities[],8,FALSE)</f>
        <v>0.18</v>
      </c>
      <c r="M878" s="10">
        <f ca="1">VLOOKUP(dict_DQ_Meth_max[[#This Row],[ID_DataQualities]],table_DataQualities[],9,FALSE)</f>
        <v>9.4</v>
      </c>
    </row>
    <row r="879" spans="1:13" x14ac:dyDescent="0.45">
      <c r="A879" s="10">
        <v>235</v>
      </c>
      <c r="B879" s="10">
        <v>221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2.2084000000000001</v>
      </c>
      <c r="G879" s="12">
        <f ca="1">(RANDBETWEEN(50,100)/100)*(dict_DQ_Meth_max[[#This Row],[Vergleich_ub]]-dict_DQ_Meth_max[[#This Row],[Vergleich_lb]])+dict_DQ_Meth_max[[#This Row],[Vergleich_lb]]</f>
        <v>7.9248000000000003</v>
      </c>
      <c r="H879" s="11" t="str">
        <f ca="1">VLOOKUP(VLOOKUP(dict_DQ_Meth_max[[#This Row],[ID_DataQualities]],table_DataQualities[],3),table_Units[],2)</f>
        <v>+/- mm/s</v>
      </c>
      <c r="I879" s="10"/>
      <c r="J879" s="10"/>
      <c r="K879" s="10"/>
      <c r="L879" s="10">
        <f ca="1">VLOOKUP(dict_DQ_Meth_max[[#This Row],[ID_DataQualities]],table_DataQualities[],8,FALSE)</f>
        <v>0.18</v>
      </c>
      <c r="M879" s="10">
        <f ca="1">VLOOKUP(dict_DQ_Meth_max[[#This Row],[ID_DataQualities]],table_DataQualities[],9,FALSE)</f>
        <v>9.4</v>
      </c>
    </row>
    <row r="880" spans="1:13" x14ac:dyDescent="0.45">
      <c r="A880" s="10">
        <v>235</v>
      </c>
      <c r="B880" s="10">
        <v>238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3.7758000000000007</v>
      </c>
      <c r="G880" s="12">
        <f ca="1">(RANDBETWEEN(50,100)/100)*(dict_DQ_Meth_max[[#This Row],[Vergleich_ub]]-dict_DQ_Meth_max[[#This Row],[Vergleich_lb]])+dict_DQ_Meth_max[[#This Row],[Vergleich_lb]]</f>
        <v>6.5417999999999994</v>
      </c>
      <c r="H880" s="11" t="str">
        <f ca="1">VLOOKUP(VLOOKUP(dict_DQ_Meth_max[[#This Row],[ID_DataQualities]],table_DataQualities[],3),table_Units[],2)</f>
        <v>+/- mm/s</v>
      </c>
      <c r="I880" s="10"/>
      <c r="J880" s="10"/>
      <c r="K880" s="10"/>
      <c r="L880" s="10">
        <f ca="1">VLOOKUP(dict_DQ_Meth_max[[#This Row],[ID_DataQualities]],table_DataQualities[],8,FALSE)</f>
        <v>0.18</v>
      </c>
      <c r="M880" s="10">
        <f ca="1">VLOOKUP(dict_DQ_Meth_max[[#This Row],[ID_DataQualities]],table_DataQualities[],9,FALSE)</f>
        <v>9.4</v>
      </c>
    </row>
    <row r="881" spans="1:13" x14ac:dyDescent="0.45">
      <c r="A881" s="10">
        <v>235</v>
      </c>
      <c r="B881" s="10">
        <v>434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1.6552</v>
      </c>
      <c r="G881" s="12">
        <f ca="1">(RANDBETWEEN(50,100)/100)*(dict_DQ_Meth_max[[#This Row],[Vergleich_ub]]-dict_DQ_Meth_max[[#This Row],[Vergleich_lb]])+dict_DQ_Meth_max[[#This Row],[Vergleich_lb]]</f>
        <v>7.0027999999999997</v>
      </c>
      <c r="H881" s="11" t="str">
        <f ca="1">VLOOKUP(VLOOKUP(dict_DQ_Meth_max[[#This Row],[ID_DataQualities]],table_DataQualities[],3),table_Units[],2)</f>
        <v>+/- mm/s</v>
      </c>
      <c r="I881" s="10"/>
      <c r="J881" s="10"/>
      <c r="K881" s="10"/>
      <c r="L881" s="10">
        <f ca="1">VLOOKUP(dict_DQ_Meth_max[[#This Row],[ID_DataQualities]],table_DataQualities[],8,FALSE)</f>
        <v>0.18</v>
      </c>
      <c r="M881" s="10">
        <f ca="1">VLOOKUP(dict_DQ_Meth_max[[#This Row],[ID_DataQualities]],table_DataQualities[],9,FALSE)</f>
        <v>9.4</v>
      </c>
    </row>
    <row r="882" spans="1:13" x14ac:dyDescent="0.45">
      <c r="A882" s="10">
        <v>236</v>
      </c>
      <c r="B882" s="10">
        <v>414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61.757760000000005</v>
      </c>
      <c r="G882" s="12">
        <f ca="1">(RANDBETWEEN(50,100)/100)*(dict_DQ_Meth_max[[#This Row],[Vergleich_ub]]-dict_DQ_Meth_max[[#This Row],[Vergleich_lb]])+dict_DQ_Meth_max[[#This Row],[Vergleich_lb]]</f>
        <v>980.90916000000004</v>
      </c>
      <c r="H882" s="11" t="str">
        <f ca="1">VLOOKUP(VLOOKUP(dict_DQ_Meth_max[[#This Row],[ID_DataQualities]],table_DataQualities[],3),table_Units[],2)</f>
        <v>Hz</v>
      </c>
      <c r="I882" s="10"/>
      <c r="J882" s="10"/>
      <c r="K882" s="10"/>
      <c r="L882" s="10">
        <f ca="1">VLOOKUP(dict_DQ_Meth_max[[#This Row],[ID_DataQualities]],table_DataQualities[],8,FALSE)</f>
        <v>0.48099999999999998</v>
      </c>
      <c r="M882" s="10">
        <f ca="1">VLOOKUP(dict_DQ_Meth_max[[#This Row],[ID_DataQualities]],table_DataQualities[],9,FALSE)</f>
        <v>1532.4</v>
      </c>
    </row>
    <row r="883" spans="1:13" x14ac:dyDescent="0.45">
      <c r="A883" s="10">
        <v>236</v>
      </c>
      <c r="B883" s="10">
        <v>626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306.8648</v>
      </c>
      <c r="G883" s="12">
        <f ca="1">(RANDBETWEEN(50,100)/100)*(dict_DQ_Meth_max[[#This Row],[Vergleich_ub]]-dict_DQ_Meth_max[[#This Row],[Vergleich_lb]])+dict_DQ_Meth_max[[#This Row],[Vergleich_lb]]</f>
        <v>1134.10106</v>
      </c>
      <c r="H883" s="11" t="str">
        <f ca="1">VLOOKUP(VLOOKUP(dict_DQ_Meth_max[[#This Row],[ID_DataQualities]],table_DataQualities[],3),table_Units[],2)</f>
        <v>Hz</v>
      </c>
      <c r="I883" s="10"/>
      <c r="J883" s="10"/>
      <c r="K883" s="10"/>
      <c r="L883" s="10">
        <f ca="1">VLOOKUP(dict_DQ_Meth_max[[#This Row],[ID_DataQualities]],table_DataQualities[],8,FALSE)</f>
        <v>0.48099999999999998</v>
      </c>
      <c r="M883" s="10">
        <f ca="1">VLOOKUP(dict_DQ_Meth_max[[#This Row],[ID_DataQualities]],table_DataQualities[],9,FALSE)</f>
        <v>1532.4</v>
      </c>
    </row>
    <row r="884" spans="1:13" x14ac:dyDescent="0.45">
      <c r="A884" s="10">
        <v>236</v>
      </c>
      <c r="B884" s="10">
        <v>72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490.69508000000002</v>
      </c>
      <c r="G884" s="12">
        <f ca="1">(RANDBETWEEN(50,100)/100)*(dict_DQ_Meth_max[[#This Row],[Vergleich_ub]]-dict_DQ_Meth_max[[#This Row],[Vergleich_lb]])+dict_DQ_Meth_max[[#This Row],[Vergleich_lb]]</f>
        <v>1118.78187</v>
      </c>
      <c r="H884" s="11" t="str">
        <f ca="1">VLOOKUP(VLOOKUP(dict_DQ_Meth_max[[#This Row],[ID_DataQualities]],table_DataQualities[],3),table_Units[],2)</f>
        <v>Hz</v>
      </c>
      <c r="I884" s="10"/>
      <c r="J884" s="10"/>
      <c r="K884" s="10"/>
      <c r="L884" s="10">
        <f ca="1">VLOOKUP(dict_DQ_Meth_max[[#This Row],[ID_DataQualities]],table_DataQualities[],8,FALSE)</f>
        <v>0.48099999999999998</v>
      </c>
      <c r="M884" s="10">
        <f ca="1">VLOOKUP(dict_DQ_Meth_max[[#This Row],[ID_DataQualities]],table_DataQualities[],9,FALSE)</f>
        <v>1532.4</v>
      </c>
    </row>
    <row r="885" spans="1:13" x14ac:dyDescent="0.45">
      <c r="A885" s="10">
        <v>236</v>
      </c>
      <c r="B885" s="10">
        <v>86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199.63047</v>
      </c>
      <c r="G885" s="12">
        <f ca="1">(RANDBETWEEN(50,100)/100)*(dict_DQ_Meth_max[[#This Row],[Vergleich_ub]]-dict_DQ_Meth_max[[#This Row],[Vergleich_lb]])+dict_DQ_Meth_max[[#This Row],[Vergleich_lb]]</f>
        <v>919.63240000000008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0.48099999999999998</v>
      </c>
      <c r="M885" s="10">
        <f ca="1">VLOOKUP(dict_DQ_Meth_max[[#This Row],[ID_DataQualities]],table_DataQualities[],9,FALSE)</f>
        <v>1532.4</v>
      </c>
    </row>
    <row r="886" spans="1:13" x14ac:dyDescent="0.45">
      <c r="A886" s="10">
        <v>236</v>
      </c>
      <c r="B886" s="10">
        <v>295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306.8648</v>
      </c>
      <c r="G886" s="12">
        <f ca="1">(RANDBETWEEN(50,100)/100)*(dict_DQ_Meth_max[[#This Row],[Vergleich_ub]]-dict_DQ_Meth_max[[#This Row],[Vergleich_lb]])+dict_DQ_Meth_max[[#This Row],[Vergleich_lb]]</f>
        <v>812.39807000000008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0.48099999999999998</v>
      </c>
      <c r="M886" s="10">
        <f ca="1">VLOOKUP(dict_DQ_Meth_max[[#This Row],[ID_DataQualities]],table_DataQualities[],9,FALSE)</f>
        <v>1532.4</v>
      </c>
    </row>
    <row r="887" spans="1:13" x14ac:dyDescent="0.45">
      <c r="A887" s="10">
        <v>236</v>
      </c>
      <c r="B887" s="10">
        <v>648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659.20617000000004</v>
      </c>
      <c r="G887" s="12">
        <f ca="1">(RANDBETWEEN(50,100)/100)*(dict_DQ_Meth_max[[#This Row],[Vergleich_ub]]-dict_DQ_Meth_max[[#This Row],[Vergleich_lb]])+dict_DQ_Meth_max[[#This Row],[Vergleich_lb]]</f>
        <v>1241.3353900000002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0.48099999999999998</v>
      </c>
      <c r="M887" s="10">
        <f ca="1">VLOOKUP(dict_DQ_Meth_max[[#This Row],[ID_DataQualities]],table_DataQualities[],9,FALSE)</f>
        <v>1532.4</v>
      </c>
    </row>
    <row r="888" spans="1:13" x14ac:dyDescent="0.45">
      <c r="A888" s="10">
        <v>237</v>
      </c>
      <c r="B888" s="10">
        <v>414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6.1999999999999998E-3</v>
      </c>
      <c r="G888" s="12">
        <f ca="1">(RANDBETWEEN(50,100)/100)*(dict_DQ_Meth_max[[#This Row],[Vergleich_ub]]-dict_DQ_Meth_max[[#This Row],[Vergleich_lb]])+dict_DQ_Meth_max[[#This Row],[Vergleich_lb]]</f>
        <v>6.1999999999999998E-3</v>
      </c>
      <c r="H888" s="11" t="str">
        <f ca="1">VLOOKUP(VLOOKUP(dict_DQ_Meth_max[[#This Row],[ID_DataQualities]],table_DataQualities[],3),table_Units[],2)</f>
        <v>+/- cm³/s</v>
      </c>
      <c r="I888" s="10"/>
      <c r="J888" s="10"/>
      <c r="K888" s="10"/>
      <c r="L888" s="10">
        <f ca="1">VLOOKUP(dict_DQ_Meth_max[[#This Row],[ID_DataQualities]],table_DataQualities[],8,FALSE)</f>
        <v>6.1999999999999998E-3</v>
      </c>
      <c r="M888" s="10">
        <f ca="1">VLOOKUP(dict_DQ_Meth_max[[#This Row],[ID_DataQualities]],table_DataQualities[],9,FALSE)</f>
        <v>6.1999999999999998E-3</v>
      </c>
    </row>
    <row r="889" spans="1:13" x14ac:dyDescent="0.45">
      <c r="A889" s="10">
        <v>237</v>
      </c>
      <c r="B889" s="10">
        <v>86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6.1999999999999998E-3</v>
      </c>
      <c r="G889" s="12">
        <f ca="1">(RANDBETWEEN(50,100)/100)*(dict_DQ_Meth_max[[#This Row],[Vergleich_ub]]-dict_DQ_Meth_max[[#This Row],[Vergleich_lb]])+dict_DQ_Meth_max[[#This Row],[Vergleich_lb]]</f>
        <v>6.1999999999999998E-3</v>
      </c>
      <c r="H889" s="11" t="str">
        <f ca="1">VLOOKUP(VLOOKUP(dict_DQ_Meth_max[[#This Row],[ID_DataQualities]],table_DataQualities[],3),table_Units[],2)</f>
        <v>+/- cm³/s</v>
      </c>
      <c r="I889" s="10"/>
      <c r="J889" s="10"/>
      <c r="K889" s="10"/>
      <c r="L889" s="10">
        <f ca="1">VLOOKUP(dict_DQ_Meth_max[[#This Row],[ID_DataQualities]],table_DataQualities[],8,FALSE)</f>
        <v>6.1999999999999998E-3</v>
      </c>
      <c r="M889" s="10">
        <f ca="1">VLOOKUP(dict_DQ_Meth_max[[#This Row],[ID_DataQualities]],table_DataQualities[],9,FALSE)</f>
        <v>6.1999999999999998E-3</v>
      </c>
    </row>
    <row r="890" spans="1:13" x14ac:dyDescent="0.45">
      <c r="A890" s="10">
        <v>237</v>
      </c>
      <c r="B890" s="10">
        <v>626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6.1999999999999998E-3</v>
      </c>
      <c r="G890" s="12">
        <f ca="1">(RANDBETWEEN(50,100)/100)*(dict_DQ_Meth_max[[#This Row],[Vergleich_ub]]-dict_DQ_Meth_max[[#This Row],[Vergleich_lb]])+dict_DQ_Meth_max[[#This Row],[Vergleich_lb]]</f>
        <v>6.1999999999999998E-3</v>
      </c>
      <c r="H890" s="11" t="str">
        <f ca="1">VLOOKUP(VLOOKUP(dict_DQ_Meth_max[[#This Row],[ID_DataQualities]],table_DataQualities[],3),table_Units[],2)</f>
        <v>+/- cm³/s</v>
      </c>
      <c r="I890" s="10"/>
      <c r="J890" s="10"/>
      <c r="K890" s="10"/>
      <c r="L890" s="10">
        <f ca="1">VLOOKUP(dict_DQ_Meth_max[[#This Row],[ID_DataQualities]],table_DataQualities[],8,FALSE)</f>
        <v>6.1999999999999998E-3</v>
      </c>
      <c r="M890" s="10">
        <f ca="1">VLOOKUP(dict_DQ_Meth_max[[#This Row],[ID_DataQualities]],table_DataQualities[],9,FALSE)</f>
        <v>6.1999999999999998E-3</v>
      </c>
    </row>
    <row r="891" spans="1:13" x14ac:dyDescent="0.45">
      <c r="A891" s="10">
        <v>237</v>
      </c>
      <c r="B891" s="10">
        <v>648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6.1999999999999998E-3</v>
      </c>
      <c r="G891" s="12">
        <f ca="1">(RANDBETWEEN(50,100)/100)*(dict_DQ_Meth_max[[#This Row],[Vergleich_ub]]-dict_DQ_Meth_max[[#This Row],[Vergleich_lb]])+dict_DQ_Meth_max[[#This Row],[Vergleich_lb]]</f>
        <v>6.1999999999999998E-3</v>
      </c>
      <c r="H891" s="11" t="str">
        <f ca="1">VLOOKUP(VLOOKUP(dict_DQ_Meth_max[[#This Row],[ID_DataQualities]],table_DataQualities[],3),table_Units[],2)</f>
        <v>+/- cm³/s</v>
      </c>
      <c r="I891" s="10"/>
      <c r="J891" s="10"/>
      <c r="K891" s="10"/>
      <c r="L891" s="10">
        <f ca="1">VLOOKUP(dict_DQ_Meth_max[[#This Row],[ID_DataQualities]],table_DataQualities[],8,FALSE)</f>
        <v>6.1999999999999998E-3</v>
      </c>
      <c r="M891" s="10">
        <f ca="1">VLOOKUP(dict_DQ_Meth_max[[#This Row],[ID_DataQualities]],table_DataQualities[],9,FALSE)</f>
        <v>6.1999999999999998E-3</v>
      </c>
    </row>
    <row r="892" spans="1:13" x14ac:dyDescent="0.45">
      <c r="A892" s="10">
        <v>237</v>
      </c>
      <c r="B892" s="10">
        <v>72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6.1999999999999998E-3</v>
      </c>
      <c r="G892" s="12">
        <f ca="1">(RANDBETWEEN(50,100)/100)*(dict_DQ_Meth_max[[#This Row],[Vergleich_ub]]-dict_DQ_Meth_max[[#This Row],[Vergleich_lb]])+dict_DQ_Meth_max[[#This Row],[Vergleich_lb]]</f>
        <v>6.1999999999999998E-3</v>
      </c>
      <c r="H892" s="11" t="str">
        <f ca="1">VLOOKUP(VLOOKUP(dict_DQ_Meth_max[[#This Row],[ID_DataQualities]],table_DataQualities[],3),table_Units[],2)</f>
        <v>+/- cm³/s</v>
      </c>
      <c r="I892" s="10"/>
      <c r="J892" s="10"/>
      <c r="K892" s="10"/>
      <c r="L892" s="10">
        <f ca="1">VLOOKUP(dict_DQ_Meth_max[[#This Row],[ID_DataQualities]],table_DataQualities[],8,FALSE)</f>
        <v>6.1999999999999998E-3</v>
      </c>
      <c r="M892" s="10">
        <f ca="1">VLOOKUP(dict_DQ_Meth_max[[#This Row],[ID_DataQualities]],table_DataQualities[],9,FALSE)</f>
        <v>6.1999999999999998E-3</v>
      </c>
    </row>
    <row r="893" spans="1:13" x14ac:dyDescent="0.45">
      <c r="A893" s="10">
        <v>237</v>
      </c>
      <c r="B893" s="10">
        <v>295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6.1999999999999998E-3</v>
      </c>
      <c r="G893" s="12">
        <f ca="1">(RANDBETWEEN(50,100)/100)*(dict_DQ_Meth_max[[#This Row],[Vergleich_ub]]-dict_DQ_Meth_max[[#This Row],[Vergleich_lb]])+dict_DQ_Meth_max[[#This Row],[Vergleich_lb]]</f>
        <v>6.1999999999999998E-3</v>
      </c>
      <c r="H893" s="11" t="str">
        <f ca="1">VLOOKUP(VLOOKUP(dict_DQ_Meth_max[[#This Row],[ID_DataQualities]],table_DataQualities[],3),table_Units[],2)</f>
        <v>+/- cm³/s</v>
      </c>
      <c r="I893" s="10"/>
      <c r="J893" s="10"/>
      <c r="K893" s="10"/>
      <c r="L893" s="10">
        <f ca="1">VLOOKUP(dict_DQ_Meth_max[[#This Row],[ID_DataQualities]],table_DataQualities[],8,FALSE)</f>
        <v>6.1999999999999998E-3</v>
      </c>
      <c r="M893" s="10">
        <f ca="1">VLOOKUP(dict_DQ_Meth_max[[#This Row],[ID_DataQualities]],table_DataQualities[],9,FALSE)</f>
        <v>6.1999999999999998E-3</v>
      </c>
    </row>
    <row r="894" spans="1:13" x14ac:dyDescent="0.45">
      <c r="A894" s="10">
        <v>238</v>
      </c>
      <c r="B894" s="10">
        <v>146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1469.83573</v>
      </c>
      <c r="G894" s="12">
        <f ca="1">(RANDBETWEEN(50,100)/100)*(dict_DQ_Meth_max[[#This Row],[Vergleich_ub]]-dict_DQ_Meth_max[[#This Row],[Vergleich_lb]])+dict_DQ_Meth_max[[#This Row],[Vergleich_lb]]</f>
        <v>3265.2003999999997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0.90100000000000002</v>
      </c>
      <c r="M894" s="10">
        <f ca="1">VLOOKUP(dict_DQ_Meth_max[[#This Row],[ID_DataQualities]],table_DataQualities[],9,FALSE)</f>
        <v>5441.4</v>
      </c>
    </row>
    <row r="895" spans="1:13" x14ac:dyDescent="0.45">
      <c r="A895" s="10">
        <v>238</v>
      </c>
      <c r="B895" s="10">
        <v>667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1252.21577</v>
      </c>
      <c r="G895" s="12">
        <f ca="1">(RANDBETWEEN(50,100)/100)*(dict_DQ_Meth_max[[#This Row],[Vergleich_ub]]-dict_DQ_Meth_max[[#This Row],[Vergleich_lb]])+dict_DQ_Meth_max[[#This Row],[Vergleich_lb]]</f>
        <v>3646.0353299999997</v>
      </c>
      <c r="H895" s="11" t="str">
        <f ca="1">VLOOKUP(VLOOKUP(dict_DQ_Meth_max[[#This Row],[ID_DataQualities]],table_DataQualities[],3),table_Units[],2)</f>
        <v>Hz</v>
      </c>
      <c r="I895" s="10"/>
      <c r="J895" s="10"/>
      <c r="K895" s="10"/>
      <c r="L895" s="10">
        <f ca="1">VLOOKUP(dict_DQ_Meth_max[[#This Row],[ID_DataQualities]],table_DataQualities[],8,FALSE)</f>
        <v>0.90100000000000002</v>
      </c>
      <c r="M895" s="10">
        <f ca="1">VLOOKUP(dict_DQ_Meth_max[[#This Row],[ID_DataQualities]],table_DataQualities[],9,FALSE)</f>
        <v>5441.4</v>
      </c>
    </row>
    <row r="896" spans="1:13" x14ac:dyDescent="0.45">
      <c r="A896" s="10">
        <v>238</v>
      </c>
      <c r="B896" s="10">
        <v>122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490.54590999999999</v>
      </c>
      <c r="G896" s="12">
        <f ca="1">(RANDBETWEEN(50,100)/100)*(dict_DQ_Meth_max[[#This Row],[Vergleich_ub]]-dict_DQ_Meth_max[[#This Row],[Vergleich_lb]])+dict_DQ_Meth_max[[#This Row],[Vergleich_lb]]</f>
        <v>4026.8702599999997</v>
      </c>
      <c r="H896" s="11" t="str">
        <f ca="1">VLOOKUP(VLOOKUP(dict_DQ_Meth_max[[#This Row],[ID_DataQualities]],table_DataQualities[],3),table_Units[],2)</f>
        <v>Hz</v>
      </c>
      <c r="I896" s="10"/>
      <c r="J896" s="10"/>
      <c r="K896" s="10"/>
      <c r="L896" s="10">
        <f ca="1">VLOOKUP(dict_DQ_Meth_max[[#This Row],[ID_DataQualities]],table_DataQualities[],8,FALSE)</f>
        <v>0.90100000000000002</v>
      </c>
      <c r="M896" s="10">
        <f ca="1">VLOOKUP(dict_DQ_Meth_max[[#This Row],[ID_DataQualities]],table_DataQualities[],9,FALSE)</f>
        <v>5441.4</v>
      </c>
    </row>
    <row r="897" spans="1:13" x14ac:dyDescent="0.45">
      <c r="A897" s="10">
        <v>239</v>
      </c>
      <c r="B897" s="10">
        <v>146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0.43388000000000004</v>
      </c>
      <c r="G897" s="12">
        <f ca="1">(RANDBETWEEN(50,100)/100)*(dict_DQ_Meth_max[[#This Row],[Vergleich_ub]]-dict_DQ_Meth_max[[#This Row],[Vergleich_lb]])+dict_DQ_Meth_max[[#This Row],[Vergleich_lb]]</f>
        <v>0.63804000000000005</v>
      </c>
      <c r="H897" s="11" t="str">
        <f ca="1">VLOOKUP(VLOOKUP(dict_DQ_Meth_max[[#This Row],[ID_DataQualities]],table_DataQualities[],3),table_Units[],2)</f>
        <v>+/- cm³/s</v>
      </c>
      <c r="I897" s="10"/>
      <c r="J897" s="10"/>
      <c r="K897" s="10"/>
      <c r="L897" s="10">
        <f ca="1">VLOOKUP(dict_DQ_Meth_max[[#This Row],[ID_DataQualities]],table_DataQualities[],8,FALSE)</f>
        <v>7.0000000000000001E-3</v>
      </c>
      <c r="M897" s="10">
        <f ca="1">VLOOKUP(dict_DQ_Meth_max[[#This Row],[ID_DataQualities]],table_DataQualities[],9,FALSE)</f>
        <v>0.93500000000000005</v>
      </c>
    </row>
    <row r="898" spans="1:13" x14ac:dyDescent="0.45">
      <c r="A898" s="10">
        <v>239</v>
      </c>
      <c r="B898" s="10">
        <v>122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0.43388000000000004</v>
      </c>
      <c r="G898" s="12">
        <f ca="1">(RANDBETWEEN(50,100)/100)*(dict_DQ_Meth_max[[#This Row],[Vergleich_ub]]-dict_DQ_Meth_max[[#This Row],[Vergleich_lb]])+dict_DQ_Meth_max[[#This Row],[Vergleich_lb]]</f>
        <v>0.47100000000000003</v>
      </c>
      <c r="H898" s="11" t="str">
        <f ca="1">VLOOKUP(VLOOKUP(dict_DQ_Meth_max[[#This Row],[ID_DataQualities]],table_DataQualities[],3),table_Units[],2)</f>
        <v>+/- cm³/s</v>
      </c>
      <c r="I898" s="10"/>
      <c r="J898" s="10"/>
      <c r="K898" s="10"/>
      <c r="L898" s="10">
        <f ca="1">VLOOKUP(dict_DQ_Meth_max[[#This Row],[ID_DataQualities]],table_DataQualities[],8,FALSE)</f>
        <v>7.0000000000000001E-3</v>
      </c>
      <c r="M898" s="10">
        <f ca="1">VLOOKUP(dict_DQ_Meth_max[[#This Row],[ID_DataQualities]],table_DataQualities[],9,FALSE)</f>
        <v>0.93500000000000005</v>
      </c>
    </row>
    <row r="899" spans="1:13" x14ac:dyDescent="0.45">
      <c r="A899" s="10">
        <v>239</v>
      </c>
      <c r="B899" s="10">
        <v>667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0.16476000000000002</v>
      </c>
      <c r="G899" s="12">
        <f ca="1">(RANDBETWEEN(50,100)/100)*(dict_DQ_Meth_max[[#This Row],[Vergleich_ub]]-dict_DQ_Meth_max[[#This Row],[Vergleich_lb]])+dict_DQ_Meth_max[[#This Row],[Vergleich_lb]]</f>
        <v>0.75868000000000013</v>
      </c>
      <c r="H899" s="11" t="str">
        <f ca="1">VLOOKUP(VLOOKUP(dict_DQ_Meth_max[[#This Row],[ID_DataQualities]],table_DataQualities[],3),table_Units[],2)</f>
        <v>+/- cm³/s</v>
      </c>
      <c r="I899" s="10"/>
      <c r="J899" s="10"/>
      <c r="K899" s="10"/>
      <c r="L899" s="10">
        <f ca="1">VLOOKUP(dict_DQ_Meth_max[[#This Row],[ID_DataQualities]],table_DataQualities[],8,FALSE)</f>
        <v>7.0000000000000001E-3</v>
      </c>
      <c r="M899" s="10">
        <f ca="1">VLOOKUP(dict_DQ_Meth_max[[#This Row],[ID_DataQualities]],table_DataQualities[],9,FALSE)</f>
        <v>0.93500000000000005</v>
      </c>
    </row>
    <row r="900" spans="1:13" x14ac:dyDescent="0.45">
      <c r="A900" s="10">
        <v>240</v>
      </c>
      <c r="B900" s="10">
        <v>109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411.59615000000008</v>
      </c>
      <c r="G900" s="12">
        <f ca="1">(RANDBETWEEN(50,100)/100)*(dict_DQ_Meth_max[[#This Row],[Vergleich_ub]]-dict_DQ_Meth_max[[#This Row],[Vergleich_lb]])+dict_DQ_Meth_max[[#This Row],[Vergleich_lb]]</f>
        <v>7891.4166800000003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0.61699999999999999</v>
      </c>
      <c r="M900" s="10">
        <f ca="1">VLOOKUP(dict_DQ_Meth_max[[#This Row],[ID_DataQualities]],table_DataQualities[],9,FALSE)</f>
        <v>8220.2000000000007</v>
      </c>
    </row>
    <row r="901" spans="1:13" x14ac:dyDescent="0.45">
      <c r="A901" s="10">
        <v>240</v>
      </c>
      <c r="B901" s="10">
        <v>0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3206.2543700000006</v>
      </c>
      <c r="G901" s="12">
        <f ca="1">(RANDBETWEEN(50,100)/100)*(dict_DQ_Meth_max[[#This Row],[Vergleich_ub]]-dict_DQ_Meth_max[[#This Row],[Vergleich_lb]])+dict_DQ_Meth_max[[#This Row],[Vergleich_lb]]</f>
        <v>5507.737610000001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0.61699999999999999</v>
      </c>
      <c r="M901" s="10">
        <f ca="1">VLOOKUP(dict_DQ_Meth_max[[#This Row],[ID_DataQualities]],table_DataQualities[],9,FALSE)</f>
        <v>8220.2000000000007</v>
      </c>
    </row>
    <row r="902" spans="1:13" x14ac:dyDescent="0.45">
      <c r="A902" s="10">
        <v>240</v>
      </c>
      <c r="B902" s="10">
        <v>143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493.79198000000002</v>
      </c>
      <c r="G902" s="12">
        <f ca="1">(RANDBETWEEN(50,100)/100)*(dict_DQ_Meth_max[[#This Row],[Vergleich_ub]]-dict_DQ_Meth_max[[#This Row],[Vergleich_lb]])+dict_DQ_Meth_max[[#This Row],[Vergleich_lb]]</f>
        <v>5672.1292700000004</v>
      </c>
      <c r="H902" s="11" t="str">
        <f ca="1">VLOOKUP(VLOOKUP(dict_DQ_Meth_max[[#This Row],[ID_DataQualities]],table_DataQualities[],3),table_Units[],2)</f>
        <v>Hz</v>
      </c>
      <c r="I902" s="10"/>
      <c r="J902" s="10"/>
      <c r="K902" s="10"/>
      <c r="L902" s="10">
        <f ca="1">VLOOKUP(dict_DQ_Meth_max[[#This Row],[ID_DataQualities]],table_DataQualities[],8,FALSE)</f>
        <v>0.61699999999999999</v>
      </c>
      <c r="M902" s="10">
        <f ca="1">VLOOKUP(dict_DQ_Meth_max[[#This Row],[ID_DataQualities]],table_DataQualities[],9,FALSE)</f>
        <v>8220.2000000000007</v>
      </c>
    </row>
    <row r="903" spans="1:13" x14ac:dyDescent="0.45">
      <c r="A903" s="10">
        <v>241</v>
      </c>
      <c r="B903" s="10">
        <v>0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0.69399999999999995</v>
      </c>
      <c r="G903" s="12">
        <f ca="1">(RANDBETWEEN(50,100)/100)*(dict_DQ_Meth_max[[#This Row],[Vergleich_ub]]-dict_DQ_Meth_max[[#This Row],[Vergleich_lb]])+dict_DQ_Meth_max[[#This Row],[Vergleich_lb]]</f>
        <v>5.9579999999999993</v>
      </c>
      <c r="H903" s="11" t="str">
        <f ca="1">VLOOKUP(VLOOKUP(dict_DQ_Meth_max[[#This Row],[ID_DataQualities]],table_DataQualities[],3),table_Units[],2)</f>
        <v>+/- °C</v>
      </c>
      <c r="I903" s="10"/>
      <c r="J903" s="10"/>
      <c r="K903" s="10"/>
      <c r="L903" s="10">
        <f ca="1">VLOOKUP(dict_DQ_Meth_max[[#This Row],[ID_DataQualities]],table_DataQualities[],8,FALSE)</f>
        <v>0.6</v>
      </c>
      <c r="M903" s="10">
        <f ca="1">VLOOKUP(dict_DQ_Meth_max[[#This Row],[ID_DataQualities]],table_DataQualities[],9,FALSE)</f>
        <v>10</v>
      </c>
    </row>
    <row r="904" spans="1:13" x14ac:dyDescent="0.45">
      <c r="A904" s="10">
        <v>241</v>
      </c>
      <c r="B904" s="10">
        <v>109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2.95</v>
      </c>
      <c r="G904" s="12">
        <f ca="1">(RANDBETWEEN(50,100)/100)*(dict_DQ_Meth_max[[#This Row],[Vergleich_ub]]-dict_DQ_Meth_max[[#This Row],[Vergleich_lb]])+dict_DQ_Meth_max[[#This Row],[Vergleich_lb]]</f>
        <v>8.4019999999999992</v>
      </c>
      <c r="H904" s="11" t="str">
        <f ca="1">VLOOKUP(VLOOKUP(dict_DQ_Meth_max[[#This Row],[ID_DataQualities]],table_DataQualities[],3),table_Units[],2)</f>
        <v>+/- °C</v>
      </c>
      <c r="I904" s="10"/>
      <c r="J904" s="10"/>
      <c r="K904" s="10"/>
      <c r="L904" s="10">
        <f ca="1">VLOOKUP(dict_DQ_Meth_max[[#This Row],[ID_DataQualities]],table_DataQualities[],8,FALSE)</f>
        <v>0.6</v>
      </c>
      <c r="M904" s="10">
        <f ca="1">VLOOKUP(dict_DQ_Meth_max[[#This Row],[ID_DataQualities]],table_DataQualities[],9,FALSE)</f>
        <v>10</v>
      </c>
    </row>
    <row r="905" spans="1:13" x14ac:dyDescent="0.45">
      <c r="A905" s="10">
        <v>241</v>
      </c>
      <c r="B905" s="10">
        <v>143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4.4539999999999997</v>
      </c>
      <c r="G905" s="12">
        <f ca="1">(RANDBETWEEN(50,100)/100)*(dict_DQ_Meth_max[[#This Row],[Vergleich_ub]]-dict_DQ_Meth_max[[#This Row],[Vergleich_lb]])+dict_DQ_Meth_max[[#This Row],[Vergleich_lb]]</f>
        <v>7.65</v>
      </c>
      <c r="H905" s="11" t="str">
        <f ca="1">VLOOKUP(VLOOKUP(dict_DQ_Meth_max[[#This Row],[ID_DataQualities]],table_DataQualities[],3),table_Units[],2)</f>
        <v>+/- °C</v>
      </c>
      <c r="I905" s="10"/>
      <c r="J905" s="10"/>
      <c r="K905" s="10"/>
      <c r="L905" s="10">
        <f ca="1">VLOOKUP(dict_DQ_Meth_max[[#This Row],[ID_DataQualities]],table_DataQualities[],8,FALSE)</f>
        <v>0.6</v>
      </c>
      <c r="M905" s="10">
        <f ca="1">VLOOKUP(dict_DQ_Meth_max[[#This Row],[ID_DataQualities]],table_DataQualities[],9,FALSE)</f>
        <v>10</v>
      </c>
    </row>
    <row r="906" spans="1:13" x14ac:dyDescent="0.45">
      <c r="A906" s="10">
        <v>242</v>
      </c>
      <c r="B906" s="10">
        <v>642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2085.4771200000005</v>
      </c>
      <c r="G906" s="12">
        <f ca="1">(RANDBETWEEN(50,100)/100)*(dict_DQ_Meth_max[[#This Row],[Vergleich_ub]]-dict_DQ_Meth_max[[#This Row],[Vergleich_lb]])+dict_DQ_Meth_max[[#This Row],[Vergleich_lb]]</f>
        <v>4244.8182799999995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0.59599999999999997</v>
      </c>
      <c r="M906" s="10">
        <f ca="1">VLOOKUP(dict_DQ_Meth_max[[#This Row],[ID_DataQualities]],table_DataQualities[],9,FALSE)</f>
        <v>7446.6</v>
      </c>
    </row>
    <row r="907" spans="1:13" x14ac:dyDescent="0.45">
      <c r="A907" s="10">
        <v>242</v>
      </c>
      <c r="B907" s="10">
        <v>131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1340.8767200000002</v>
      </c>
      <c r="G907" s="12">
        <f ca="1">(RANDBETWEEN(50,100)/100)*(dict_DQ_Meth_max[[#This Row],[Vergleich_ub]]-dict_DQ_Meth_max[[#This Row],[Vergleich_lb]])+dict_DQ_Meth_max[[#This Row],[Vergleich_lb]]</f>
        <v>4468.1984000000002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0.59599999999999997</v>
      </c>
      <c r="M907" s="10">
        <f ca="1">VLOOKUP(dict_DQ_Meth_max[[#This Row],[ID_DataQualities]],table_DataQualities[],9,FALSE)</f>
        <v>7446.6</v>
      </c>
    </row>
    <row r="908" spans="1:13" x14ac:dyDescent="0.45">
      <c r="A908" s="10">
        <v>242</v>
      </c>
      <c r="B908" s="10">
        <v>54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1862.0970000000002</v>
      </c>
      <c r="G908" s="12">
        <f ca="1">(RANDBETWEEN(50,100)/100)*(dict_DQ_Meth_max[[#This Row],[Vergleich_ub]]-dict_DQ_Meth_max[[#This Row],[Vergleich_lb]])+dict_DQ_Meth_max[[#This Row],[Vergleich_lb]]</f>
        <v>6404.1594400000004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0.59599999999999997</v>
      </c>
      <c r="M908" s="10">
        <f ca="1">VLOOKUP(dict_DQ_Meth_max[[#This Row],[ID_DataQualities]],table_DataQualities[],9,FALSE)</f>
        <v>7446.6</v>
      </c>
    </row>
    <row r="909" spans="1:13" x14ac:dyDescent="0.45">
      <c r="A909" s="10">
        <v>243</v>
      </c>
      <c r="B909" s="10">
        <v>131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2.4571700000000001</v>
      </c>
      <c r="G909" s="12">
        <f ca="1">(RANDBETWEEN(50,100)/100)*(dict_DQ_Meth_max[[#This Row],[Vergleich_ub]]-dict_DQ_Meth_max[[#This Row],[Vergleich_lb]])+dict_DQ_Meth_max[[#This Row],[Vergleich_lb]]</f>
        <v>8.0706099999999985</v>
      </c>
      <c r="H909" s="11" t="str">
        <f ca="1">VLOOKUP(VLOOKUP(dict_DQ_Meth_max[[#This Row],[ID_DataQualities]],table_DataQualities[],3),table_Units[],2)</f>
        <v>+/- mm</v>
      </c>
      <c r="I909" s="10"/>
      <c r="J909" s="10"/>
      <c r="K909" s="10"/>
      <c r="L909" s="10">
        <f ca="1">VLOOKUP(dict_DQ_Meth_max[[#This Row],[ID_DataQualities]],table_DataQualities[],8,FALSE)</f>
        <v>8.8999999999999996E-2</v>
      </c>
      <c r="M909" s="10">
        <f ca="1">VLOOKUP(dict_DQ_Meth_max[[#This Row],[ID_DataQualities]],table_DataQualities[],9,FALSE)</f>
        <v>8.86</v>
      </c>
    </row>
    <row r="910" spans="1:13" x14ac:dyDescent="0.45">
      <c r="A910" s="10">
        <v>243</v>
      </c>
      <c r="B910" s="10">
        <v>642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4.0359499999999997</v>
      </c>
      <c r="G910" s="12">
        <f ca="1">(RANDBETWEEN(50,100)/100)*(dict_DQ_Meth_max[[#This Row],[Vergleich_ub]]-dict_DQ_Meth_max[[#This Row],[Vergleich_lb]])+dict_DQ_Meth_max[[#This Row],[Vergleich_lb]]</f>
        <v>6.1409899999999995</v>
      </c>
      <c r="H910" s="11" t="str">
        <f ca="1">VLOOKUP(VLOOKUP(dict_DQ_Meth_max[[#This Row],[ID_DataQualities]],table_DataQualities[],3),table_Units[],2)</f>
        <v>+/- mm</v>
      </c>
      <c r="I910" s="10"/>
      <c r="J910" s="10"/>
      <c r="K910" s="10"/>
      <c r="L910" s="10">
        <f ca="1">VLOOKUP(dict_DQ_Meth_max[[#This Row],[ID_DataQualities]],table_DataQualities[],8,FALSE)</f>
        <v>8.8999999999999996E-2</v>
      </c>
      <c r="M910" s="10">
        <f ca="1">VLOOKUP(dict_DQ_Meth_max[[#This Row],[ID_DataQualities]],table_DataQualities[],9,FALSE)</f>
        <v>8.86</v>
      </c>
    </row>
    <row r="911" spans="1:13" x14ac:dyDescent="0.45">
      <c r="A911" s="10">
        <v>243</v>
      </c>
      <c r="B911" s="10">
        <v>54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0.96609999999999996</v>
      </c>
      <c r="G911" s="12">
        <f ca="1">(RANDBETWEEN(50,100)/100)*(dict_DQ_Meth_max[[#This Row],[Vergleich_ub]]-dict_DQ_Meth_max[[#This Row],[Vergleich_lb]])+dict_DQ_Meth_max[[#This Row],[Vergleich_lb]]</f>
        <v>7.3689299999999989</v>
      </c>
      <c r="H911" s="11" t="str">
        <f ca="1">VLOOKUP(VLOOKUP(dict_DQ_Meth_max[[#This Row],[ID_DataQualities]],table_DataQualities[],3),table_Units[],2)</f>
        <v>+/- mm</v>
      </c>
      <c r="I911" s="10"/>
      <c r="J911" s="10"/>
      <c r="K911" s="10"/>
      <c r="L911" s="10">
        <f ca="1">VLOOKUP(dict_DQ_Meth_max[[#This Row],[ID_DataQualities]],table_DataQualities[],8,FALSE)</f>
        <v>8.8999999999999996E-2</v>
      </c>
      <c r="M911" s="10">
        <f ca="1">VLOOKUP(dict_DQ_Meth_max[[#This Row],[ID_DataQualities]],table_DataQualities[],9,FALSE)</f>
        <v>8.86</v>
      </c>
    </row>
    <row r="912" spans="1:13" x14ac:dyDescent="0.45">
      <c r="A912" s="10">
        <v>244</v>
      </c>
      <c r="B912" s="10">
        <v>416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842.86937</v>
      </c>
      <c r="G912" s="12">
        <f ca="1">(RANDBETWEEN(50,100)/100)*(dict_DQ_Meth_max[[#This Row],[Vergleich_ub]]-dict_DQ_Meth_max[[#This Row],[Vergleich_lb]])+dict_DQ_Meth_max[[#This Row],[Vergleich_lb]]</f>
        <v>6200.6462700000002</v>
      </c>
      <c r="H912" s="11" t="str">
        <f ca="1">VLOOKUP(VLOOKUP(dict_DQ_Meth_max[[#This Row],[ID_DataQualities]],table_DataQualities[],3),table_Units[],2)</f>
        <v>Hz</v>
      </c>
      <c r="I912" s="10"/>
      <c r="J912" s="10"/>
      <c r="K912" s="10"/>
      <c r="L912" s="10">
        <f ca="1">VLOOKUP(dict_DQ_Meth_max[[#This Row],[ID_DataQualities]],table_DataQualities[],8,FALSE)</f>
        <v>0.93300000000000005</v>
      </c>
      <c r="M912" s="10">
        <f ca="1">VLOOKUP(dict_DQ_Meth_max[[#This Row],[ID_DataQualities]],table_DataQualities[],9,FALSE)</f>
        <v>7654.9</v>
      </c>
    </row>
    <row r="913" spans="1:13" x14ac:dyDescent="0.45">
      <c r="A913" s="10">
        <v>244</v>
      </c>
      <c r="B913" s="10">
        <v>305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2832.9007899999997</v>
      </c>
      <c r="G913" s="12">
        <f ca="1">(RANDBETWEEN(50,100)/100)*(dict_DQ_Meth_max[[#This Row],[Vergleich_ub]]-dict_DQ_Meth_max[[#This Row],[Vergleich_lb]])+dict_DQ_Meth_max[[#This Row],[Vergleich_lb]]</f>
        <v>6277.1859399999994</v>
      </c>
      <c r="H913" s="11" t="str">
        <f ca="1">VLOOKUP(VLOOKUP(dict_DQ_Meth_max[[#This Row],[ID_DataQualities]],table_DataQualities[],3),table_Units[],2)</f>
        <v>Hz</v>
      </c>
      <c r="I913" s="10"/>
      <c r="J913" s="10"/>
      <c r="K913" s="10"/>
      <c r="L913" s="10">
        <f ca="1">VLOOKUP(dict_DQ_Meth_max[[#This Row],[ID_DataQualities]],table_DataQualities[],8,FALSE)</f>
        <v>0.93300000000000005</v>
      </c>
      <c r="M913" s="10">
        <f ca="1">VLOOKUP(dict_DQ_Meth_max[[#This Row],[ID_DataQualities]],table_DataQualities[],9,FALSE)</f>
        <v>7654.9</v>
      </c>
    </row>
    <row r="914" spans="1:13" x14ac:dyDescent="0.45">
      <c r="A914" s="10">
        <v>244</v>
      </c>
      <c r="B914" s="10">
        <v>37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1761.3454099999999</v>
      </c>
      <c r="G914" s="12">
        <f ca="1">(RANDBETWEEN(50,100)/100)*(dict_DQ_Meth_max[[#This Row],[Vergleich_ub]]-dict_DQ_Meth_max[[#This Row],[Vergleich_lb]])+dict_DQ_Meth_max[[#This Row],[Vergleich_lb]]</f>
        <v>5817.9479199999996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0.93300000000000005</v>
      </c>
      <c r="M914" s="10">
        <f ca="1">VLOOKUP(dict_DQ_Meth_max[[#This Row],[ID_DataQualities]],table_DataQualities[],9,FALSE)</f>
        <v>7654.9</v>
      </c>
    </row>
    <row r="915" spans="1:13" x14ac:dyDescent="0.45">
      <c r="A915" s="10">
        <v>244</v>
      </c>
      <c r="B915" s="10">
        <v>326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3062.5198</v>
      </c>
      <c r="G915" s="12">
        <f ca="1">(RANDBETWEEN(50,100)/100)*(dict_DQ_Meth_max[[#This Row],[Vergleich_ub]]-dict_DQ_Meth_max[[#This Row],[Vergleich_lb]])+dict_DQ_Meth_max[[#This Row],[Vergleich_lb]]</f>
        <v>6659.88429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0.93300000000000005</v>
      </c>
      <c r="M915" s="10">
        <f ca="1">VLOOKUP(dict_DQ_Meth_max[[#This Row],[ID_DataQualities]],table_DataQualities[],9,FALSE)</f>
        <v>7654.9</v>
      </c>
    </row>
    <row r="916" spans="1:13" x14ac:dyDescent="0.45">
      <c r="A916" s="10">
        <v>244</v>
      </c>
      <c r="B916" s="10">
        <v>364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3521.7578199999998</v>
      </c>
      <c r="G916" s="12">
        <f ca="1">(RANDBETWEEN(50,100)/100)*(dict_DQ_Meth_max[[#This Row],[Vergleich_ub]]-dict_DQ_Meth_max[[#This Row],[Vergleich_lb]])+dict_DQ_Meth_max[[#This Row],[Vergleich_lb]]</f>
        <v>5358.7098999999998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0.93300000000000005</v>
      </c>
      <c r="M916" s="10">
        <f ca="1">VLOOKUP(dict_DQ_Meth_max[[#This Row],[ID_DataQualities]],table_DataQualities[],9,FALSE)</f>
        <v>7654.9</v>
      </c>
    </row>
    <row r="917" spans="1:13" x14ac:dyDescent="0.45">
      <c r="A917" s="10">
        <v>245</v>
      </c>
      <c r="B917" s="10">
        <v>416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0.85348000000000013</v>
      </c>
      <c r="G917" s="12">
        <f ca="1">(RANDBETWEEN(50,100)/100)*(dict_DQ_Meth_max[[#This Row],[Vergleich_ub]]-dict_DQ_Meth_max[[#This Row],[Vergleich_lb]])+dict_DQ_Meth_max[[#This Row],[Vergleich_lb]]</f>
        <v>5.1149800000000001</v>
      </c>
      <c r="H917" s="11" t="str">
        <f ca="1">VLOOKUP(VLOOKUP(dict_DQ_Meth_max[[#This Row],[ID_DataQualities]],table_DataQualities[],3),table_Units[],2)</f>
        <v>+/- mm</v>
      </c>
      <c r="I917" s="10"/>
      <c r="J917" s="10"/>
      <c r="K917" s="10"/>
      <c r="L917" s="10">
        <f ca="1">VLOOKUP(dict_DQ_Meth_max[[#This Row],[ID_DataQualities]],table_DataQualities[],8,FALSE)</f>
        <v>5.8000000000000003E-2</v>
      </c>
      <c r="M917" s="10">
        <f ca="1">VLOOKUP(dict_DQ_Meth_max[[#This Row],[ID_DataQualities]],table_DataQualities[],9,FALSE)</f>
        <v>5.74</v>
      </c>
    </row>
    <row r="918" spans="1:13" x14ac:dyDescent="0.45">
      <c r="A918" s="10">
        <v>245</v>
      </c>
      <c r="B918" s="10">
        <v>326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1.3648600000000002</v>
      </c>
      <c r="G918" s="12">
        <f ca="1">(RANDBETWEEN(50,100)/100)*(dict_DQ_Meth_max[[#This Row],[Vergleich_ub]]-dict_DQ_Meth_max[[#This Row],[Vergleich_lb]])+dict_DQ_Meth_max[[#This Row],[Vergleich_lb]]</f>
        <v>5.3990799999999997</v>
      </c>
      <c r="H918" s="11" t="str">
        <f ca="1">VLOOKUP(VLOOKUP(dict_DQ_Meth_max[[#This Row],[ID_DataQualities]],table_DataQualities[],3),table_Units[],2)</f>
        <v>+/- mm</v>
      </c>
      <c r="I918" s="10"/>
      <c r="J918" s="10"/>
      <c r="K918" s="10"/>
      <c r="L918" s="10">
        <f ca="1">VLOOKUP(dict_DQ_Meth_max[[#This Row],[ID_DataQualities]],table_DataQualities[],8,FALSE)</f>
        <v>5.8000000000000003E-2</v>
      </c>
      <c r="M918" s="10">
        <f ca="1">VLOOKUP(dict_DQ_Meth_max[[#This Row],[ID_DataQualities]],table_DataQualities[],9,FALSE)</f>
        <v>5.74</v>
      </c>
    </row>
    <row r="919" spans="1:13" x14ac:dyDescent="0.45">
      <c r="A919" s="10">
        <v>245</v>
      </c>
      <c r="B919" s="10">
        <v>305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2.7853599999999998</v>
      </c>
      <c r="G919" s="12">
        <f ca="1">(RANDBETWEEN(50,100)/100)*(dict_DQ_Meth_max[[#This Row],[Vergleich_ub]]-dict_DQ_Meth_max[[#This Row],[Vergleich_lb]])+dict_DQ_Meth_max[[#This Row],[Vergleich_lb]]</f>
        <v>4.6036000000000001</v>
      </c>
      <c r="H919" s="11" t="str">
        <f ca="1">VLOOKUP(VLOOKUP(dict_DQ_Meth_max[[#This Row],[ID_DataQualities]],table_DataQualities[],3),table_Units[],2)</f>
        <v>+/- mm</v>
      </c>
      <c r="I919" s="10"/>
      <c r="J919" s="10"/>
      <c r="K919" s="10"/>
      <c r="L919" s="10">
        <f ca="1">VLOOKUP(dict_DQ_Meth_max[[#This Row],[ID_DataQualities]],table_DataQualities[],8,FALSE)</f>
        <v>5.8000000000000003E-2</v>
      </c>
      <c r="M919" s="10">
        <f ca="1">VLOOKUP(dict_DQ_Meth_max[[#This Row],[ID_DataQualities]],table_DataQualities[],9,FALSE)</f>
        <v>5.74</v>
      </c>
    </row>
    <row r="920" spans="1:13" x14ac:dyDescent="0.45">
      <c r="A920" s="10">
        <v>245</v>
      </c>
      <c r="B920" s="10">
        <v>37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0.68302000000000007</v>
      </c>
      <c r="G920" s="12">
        <f ca="1">(RANDBETWEEN(50,100)/100)*(dict_DQ_Meth_max[[#This Row],[Vergleich_ub]]-dict_DQ_Meth_max[[#This Row],[Vergleich_lb]])+dict_DQ_Meth_max[[#This Row],[Vergleich_lb]]</f>
        <v>4.3763199999999998</v>
      </c>
      <c r="H920" s="11" t="str">
        <f ca="1">VLOOKUP(VLOOKUP(dict_DQ_Meth_max[[#This Row],[ID_DataQualities]],table_DataQualities[],3),table_Units[],2)</f>
        <v>+/- mm</v>
      </c>
      <c r="I920" s="10"/>
      <c r="J920" s="10"/>
      <c r="K920" s="10"/>
      <c r="L920" s="10">
        <f ca="1">VLOOKUP(dict_DQ_Meth_max[[#This Row],[ID_DataQualities]],table_DataQualities[],8,FALSE)</f>
        <v>5.8000000000000003E-2</v>
      </c>
      <c r="M920" s="10">
        <f ca="1">VLOOKUP(dict_DQ_Meth_max[[#This Row],[ID_DataQualities]],table_DataQualities[],9,FALSE)</f>
        <v>5.74</v>
      </c>
    </row>
    <row r="921" spans="1:13" x14ac:dyDescent="0.45">
      <c r="A921" s="10">
        <v>245</v>
      </c>
      <c r="B921" s="10">
        <v>364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2.8421799999999999</v>
      </c>
      <c r="G921" s="12">
        <f ca="1">(RANDBETWEEN(50,100)/100)*(dict_DQ_Meth_max[[#This Row],[Vergleich_ub]]-dict_DQ_Meth_max[[#This Row],[Vergleich_lb]])+dict_DQ_Meth_max[[#This Row],[Vergleich_lb]]</f>
        <v>4.0922200000000002</v>
      </c>
      <c r="H921" s="11" t="str">
        <f ca="1">VLOOKUP(VLOOKUP(dict_DQ_Meth_max[[#This Row],[ID_DataQualities]],table_DataQualities[],3),table_Units[],2)</f>
        <v>+/- mm</v>
      </c>
      <c r="I921" s="10"/>
      <c r="J921" s="10"/>
      <c r="K921" s="10"/>
      <c r="L921" s="10">
        <f ca="1">VLOOKUP(dict_DQ_Meth_max[[#This Row],[ID_DataQualities]],table_DataQualities[],8,FALSE)</f>
        <v>5.8000000000000003E-2</v>
      </c>
      <c r="M921" s="10">
        <f ca="1">VLOOKUP(dict_DQ_Meth_max[[#This Row],[ID_DataQualities]],table_DataQualities[],9,FALSE)</f>
        <v>5.74</v>
      </c>
    </row>
    <row r="922" spans="1:13" x14ac:dyDescent="0.45">
      <c r="A922" s="10">
        <v>246</v>
      </c>
      <c r="B922" s="10">
        <v>407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1208.8132500000002</v>
      </c>
      <c r="G922" s="12">
        <f ca="1">(RANDBETWEEN(50,100)/100)*(dict_DQ_Meth_max[[#This Row],[Vergleich_ub]]-dict_DQ_Meth_max[[#This Row],[Vergleich_lb]])+dict_DQ_Meth_max[[#This Row],[Vergleich_lb]]</f>
        <v>2755.0049300000001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0.85099999999999998</v>
      </c>
      <c r="M922" s="10">
        <f ca="1">VLOOKUP(dict_DQ_Meth_max[[#This Row],[ID_DataQualities]],table_DataQualities[],9,FALSE)</f>
        <v>4832.7</v>
      </c>
    </row>
    <row r="923" spans="1:13" x14ac:dyDescent="0.45">
      <c r="A923" s="10">
        <v>246</v>
      </c>
      <c r="B923" s="10">
        <v>470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2368.4570100000001</v>
      </c>
      <c r="G923" s="12">
        <f ca="1">(RANDBETWEEN(50,100)/100)*(dict_DQ_Meth_max[[#This Row],[Vergleich_ub]]-dict_DQ_Meth_max[[#This Row],[Vergleich_lb]])+dict_DQ_Meth_max[[#This Row],[Vergleich_lb]]</f>
        <v>2561.7309700000005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0.85099999999999998</v>
      </c>
      <c r="M923" s="10">
        <f ca="1">VLOOKUP(dict_DQ_Meth_max[[#This Row],[ID_DataQualities]],table_DataQualities[],9,FALSE)</f>
        <v>4832.7</v>
      </c>
    </row>
    <row r="924" spans="1:13" x14ac:dyDescent="0.45">
      <c r="A924" s="10">
        <v>247</v>
      </c>
      <c r="B924" s="10">
        <v>407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4.2999999999999997E-2</v>
      </c>
      <c r="G924" s="12">
        <f ca="1">(RANDBETWEEN(50,100)/100)*(dict_DQ_Meth_max[[#This Row],[Vergleich_ub]]-dict_DQ_Meth_max[[#This Row],[Vergleich_lb]])+dict_DQ_Meth_max[[#This Row],[Vergleich_lb]]</f>
        <v>2.8910399999999998</v>
      </c>
      <c r="H924" s="11" t="str">
        <f ca="1">VLOOKUP(VLOOKUP(dict_DQ_Meth_max[[#This Row],[ID_DataQualities]],table_DataQualities[],3),table_Units[],2)</f>
        <v>+/- W</v>
      </c>
      <c r="I924" s="10"/>
      <c r="J924" s="10"/>
      <c r="K924" s="10"/>
      <c r="L924" s="10">
        <f ca="1">VLOOKUP(dict_DQ_Meth_max[[#This Row],[ID_DataQualities]],table_DataQualities[],8,FALSE)</f>
        <v>4.2999999999999997E-2</v>
      </c>
      <c r="M924" s="10">
        <f ca="1">VLOOKUP(dict_DQ_Meth_max[[#This Row],[ID_DataQualities]],table_DataQualities[],9,FALSE)</f>
        <v>5.52</v>
      </c>
    </row>
    <row r="925" spans="1:13" x14ac:dyDescent="0.45">
      <c r="A925" s="10">
        <v>247</v>
      </c>
      <c r="B925" s="10">
        <v>470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0.20730999999999999</v>
      </c>
      <c r="G925" s="12">
        <f ca="1">(RANDBETWEEN(50,100)/100)*(dict_DQ_Meth_max[[#This Row],[Vergleich_ub]]-dict_DQ_Meth_max[[#This Row],[Vergleich_lb]])+dict_DQ_Meth_max[[#This Row],[Vergleich_lb]]</f>
        <v>3.9316699999999996</v>
      </c>
      <c r="H925" s="11" t="str">
        <f ca="1">VLOOKUP(VLOOKUP(dict_DQ_Meth_max[[#This Row],[ID_DataQualities]],table_DataQualities[],3),table_Units[],2)</f>
        <v>+/- W</v>
      </c>
      <c r="I925" s="10"/>
      <c r="J925" s="10"/>
      <c r="K925" s="10"/>
      <c r="L925" s="10">
        <f ca="1">VLOOKUP(dict_DQ_Meth_max[[#This Row],[ID_DataQualities]],table_DataQualities[],8,FALSE)</f>
        <v>4.2999999999999997E-2</v>
      </c>
      <c r="M925" s="10">
        <f ca="1">VLOOKUP(dict_DQ_Meth_max[[#This Row],[ID_DataQualities]],table_DataQualities[],9,FALSE)</f>
        <v>5.52</v>
      </c>
    </row>
    <row r="926" spans="1:13" x14ac:dyDescent="0.45">
      <c r="A926" s="10">
        <v>248</v>
      </c>
      <c r="B926" s="10">
        <v>610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541.49589999999989</v>
      </c>
      <c r="G926" s="12">
        <f ca="1">(RANDBETWEEN(50,100)/100)*(dict_DQ_Meth_max[[#This Row],[Vergleich_ub]]-dict_DQ_Meth_max[[#This Row],[Vergleich_lb]])+dict_DQ_Meth_max[[#This Row],[Vergleich_lb]]</f>
        <v>1498.9705799999999</v>
      </c>
      <c r="H926" s="11" t="str">
        <f ca="1">VLOOKUP(VLOOKUP(dict_DQ_Meth_max[[#This Row],[ID_DataQualities]],table_DataQualities[],3),table_Units[],2)</f>
        <v>Hz</v>
      </c>
      <c r="I926" s="10"/>
      <c r="J926" s="10"/>
      <c r="K926" s="10"/>
      <c r="L926" s="10">
        <f ca="1">VLOOKUP(dict_DQ_Meth_max[[#This Row],[ID_DataQualities]],table_DataQualities[],8,FALSE)</f>
        <v>0.98599999999999999</v>
      </c>
      <c r="M926" s="10">
        <f ca="1">VLOOKUP(dict_DQ_Meth_max[[#This Row],[ID_DataQualities]],table_DataQualities[],9,FALSE)</f>
        <v>1545.3</v>
      </c>
    </row>
    <row r="927" spans="1:13" x14ac:dyDescent="0.45">
      <c r="A927" s="10">
        <v>248</v>
      </c>
      <c r="B927" s="10">
        <v>417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170.86053999999999</v>
      </c>
      <c r="G927" s="12">
        <f ca="1">(RANDBETWEEN(50,100)/100)*(dict_DQ_Meth_max[[#This Row],[Vergleich_ub]]-dict_DQ_Meth_max[[#This Row],[Vergleich_lb]])+dict_DQ_Meth_max[[#This Row],[Vergleich_lb]]</f>
        <v>1220.99406</v>
      </c>
      <c r="H927" s="11" t="str">
        <f ca="1">VLOOKUP(VLOOKUP(dict_DQ_Meth_max[[#This Row],[ID_DataQualities]],table_DataQualities[],3),table_Units[],2)</f>
        <v>Hz</v>
      </c>
      <c r="I927" s="10"/>
      <c r="J927" s="10"/>
      <c r="K927" s="10"/>
      <c r="L927" s="10">
        <f ca="1">VLOOKUP(dict_DQ_Meth_max[[#This Row],[ID_DataQualities]],table_DataQualities[],8,FALSE)</f>
        <v>0.98599999999999999</v>
      </c>
      <c r="M927" s="10">
        <f ca="1">VLOOKUP(dict_DQ_Meth_max[[#This Row],[ID_DataQualities]],table_DataQualities[],9,FALSE)</f>
        <v>1545.3</v>
      </c>
    </row>
    <row r="928" spans="1:13" x14ac:dyDescent="0.45">
      <c r="A928" s="10">
        <v>248</v>
      </c>
      <c r="B928" s="10">
        <v>330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217.18995999999999</v>
      </c>
      <c r="G928" s="12">
        <f ca="1">(RANDBETWEEN(50,100)/100)*(dict_DQ_Meth_max[[#This Row],[Vergleich_ub]]-dict_DQ_Meth_max[[#This Row],[Vergleich_lb]])+dict_DQ_Meth_max[[#This Row],[Vergleich_lb]]</f>
        <v>1468.0843</v>
      </c>
      <c r="H928" s="11" t="str">
        <f ca="1">VLOOKUP(VLOOKUP(dict_DQ_Meth_max[[#This Row],[ID_DataQualities]],table_DataQualities[],3),table_Units[],2)</f>
        <v>Hz</v>
      </c>
      <c r="I928" s="10"/>
      <c r="J928" s="10"/>
      <c r="K928" s="10"/>
      <c r="L928" s="10">
        <f ca="1">VLOOKUP(dict_DQ_Meth_max[[#This Row],[ID_DataQualities]],table_DataQualities[],8,FALSE)</f>
        <v>0.98599999999999999</v>
      </c>
      <c r="M928" s="10">
        <f ca="1">VLOOKUP(dict_DQ_Meth_max[[#This Row],[ID_DataQualities]],table_DataQualities[],9,FALSE)</f>
        <v>1545.3</v>
      </c>
    </row>
    <row r="929" spans="1:13" x14ac:dyDescent="0.45">
      <c r="A929" s="10">
        <v>248</v>
      </c>
      <c r="B929" s="10">
        <v>34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124.53112</v>
      </c>
      <c r="G929" s="12">
        <f ca="1">(RANDBETWEEN(50,100)/100)*(dict_DQ_Meth_max[[#This Row],[Vergleich_ub]]-dict_DQ_Meth_max[[#This Row],[Vergleich_lb]])+dict_DQ_Meth_max[[#This Row],[Vergleich_lb]]</f>
        <v>1035.6763800000001</v>
      </c>
      <c r="H929" s="11" t="str">
        <f ca="1">VLOOKUP(VLOOKUP(dict_DQ_Meth_max[[#This Row],[ID_DataQualities]],table_DataQualities[],3),table_Units[],2)</f>
        <v>Hz</v>
      </c>
      <c r="I929" s="10"/>
      <c r="J929" s="10"/>
      <c r="K929" s="10"/>
      <c r="L929" s="10">
        <f ca="1">VLOOKUP(dict_DQ_Meth_max[[#This Row],[ID_DataQualities]],table_DataQualities[],8,FALSE)</f>
        <v>0.98599999999999999</v>
      </c>
      <c r="M929" s="10">
        <f ca="1">VLOOKUP(dict_DQ_Meth_max[[#This Row],[ID_DataQualities]],table_DataQualities[],9,FALSE)</f>
        <v>1545.3</v>
      </c>
    </row>
    <row r="930" spans="1:13" x14ac:dyDescent="0.45">
      <c r="A930" s="10">
        <v>249</v>
      </c>
      <c r="B930" s="10">
        <v>417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2.0941999999999998</v>
      </c>
      <c r="G930" s="12">
        <f ca="1">(RANDBETWEEN(50,100)/100)*(dict_DQ_Meth_max[[#This Row],[Vergleich_ub]]-dict_DQ_Meth_max[[#This Row],[Vergleich_lb]])+dict_DQ_Meth_max[[#This Row],[Vergleich_lb]]</f>
        <v>7.1</v>
      </c>
      <c r="H930" s="11" t="str">
        <f ca="1">VLOOKUP(VLOOKUP(dict_DQ_Meth_max[[#This Row],[ID_DataQualities]],table_DataQualities[],3),table_Units[],2)</f>
        <v>+/- mm/s</v>
      </c>
      <c r="I930" s="10"/>
      <c r="J930" s="10"/>
      <c r="K930" s="10"/>
      <c r="L930" s="10">
        <f ca="1">VLOOKUP(dict_DQ_Meth_max[[#This Row],[ID_DataQualities]],table_DataQualities[],8,FALSE)</f>
        <v>0.92</v>
      </c>
      <c r="M930" s="10">
        <f ca="1">VLOOKUP(dict_DQ_Meth_max[[#This Row],[ID_DataQualities]],table_DataQualities[],9,FALSE)</f>
        <v>7.1</v>
      </c>
    </row>
    <row r="931" spans="1:13" x14ac:dyDescent="0.45">
      <c r="A931" s="10">
        <v>249</v>
      </c>
      <c r="B931" s="10">
        <v>610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3.6391999999999998</v>
      </c>
      <c r="G931" s="12">
        <f ca="1">(RANDBETWEEN(50,100)/100)*(dict_DQ_Meth_max[[#This Row],[Vergleich_ub]]-dict_DQ_Meth_max[[#This Row],[Vergleich_lb]])+dict_DQ_Meth_max[[#This Row],[Vergleich_lb]]</f>
        <v>4.5043999999999995</v>
      </c>
      <c r="H931" s="11" t="str">
        <f ca="1">VLOOKUP(VLOOKUP(dict_DQ_Meth_max[[#This Row],[ID_DataQualities]],table_DataQualities[],3),table_Units[],2)</f>
        <v>+/- mm/s</v>
      </c>
      <c r="I931" s="10"/>
      <c r="J931" s="10"/>
      <c r="K931" s="10"/>
      <c r="L931" s="10">
        <f ca="1">VLOOKUP(dict_DQ_Meth_max[[#This Row],[ID_DataQualities]],table_DataQualities[],8,FALSE)</f>
        <v>0.92</v>
      </c>
      <c r="M931" s="10">
        <f ca="1">VLOOKUP(dict_DQ_Meth_max[[#This Row],[ID_DataQualities]],table_DataQualities[],9,FALSE)</f>
        <v>7.1</v>
      </c>
    </row>
    <row r="932" spans="1:13" x14ac:dyDescent="0.45">
      <c r="A932" s="10">
        <v>249</v>
      </c>
      <c r="B932" s="10">
        <v>34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2.4649999999999999</v>
      </c>
      <c r="G932" s="12">
        <f ca="1">(RANDBETWEEN(50,100)/100)*(dict_DQ_Meth_max[[#This Row],[Vergleich_ub]]-dict_DQ_Meth_max[[#This Row],[Vergleich_lb]])+dict_DQ_Meth_max[[#This Row],[Vergleich_lb]]</f>
        <v>6.2965999999999998</v>
      </c>
      <c r="H932" s="11" t="str">
        <f ca="1">VLOOKUP(VLOOKUP(dict_DQ_Meth_max[[#This Row],[ID_DataQualities]],table_DataQualities[],3),table_Units[],2)</f>
        <v>+/- mm/s</v>
      </c>
      <c r="I932" s="10"/>
      <c r="J932" s="10"/>
      <c r="K932" s="10"/>
      <c r="L932" s="10">
        <f ca="1">VLOOKUP(dict_DQ_Meth_max[[#This Row],[ID_DataQualities]],table_DataQualities[],8,FALSE)</f>
        <v>0.92</v>
      </c>
      <c r="M932" s="10">
        <f ca="1">VLOOKUP(dict_DQ_Meth_max[[#This Row],[ID_DataQualities]],table_DataQualities[],9,FALSE)</f>
        <v>7.1</v>
      </c>
    </row>
    <row r="933" spans="1:13" x14ac:dyDescent="0.45">
      <c r="A933" s="10">
        <v>249</v>
      </c>
      <c r="B933" s="10">
        <v>330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1.1672</v>
      </c>
      <c r="G933" s="12">
        <f ca="1">(RANDBETWEEN(50,100)/100)*(dict_DQ_Meth_max[[#This Row],[Vergleich_ub]]-dict_DQ_Meth_max[[#This Row],[Vergleich_lb]])+dict_DQ_Meth_max[[#This Row],[Vergleich_lb]]</f>
        <v>6.1111999999999993</v>
      </c>
      <c r="H933" s="11" t="str">
        <f ca="1">VLOOKUP(VLOOKUP(dict_DQ_Meth_max[[#This Row],[ID_DataQualities]],table_DataQualities[],3),table_Units[],2)</f>
        <v>+/- mm/s</v>
      </c>
      <c r="I933" s="10"/>
      <c r="J933" s="10"/>
      <c r="K933" s="10"/>
      <c r="L933" s="10">
        <f ca="1">VLOOKUP(dict_DQ_Meth_max[[#This Row],[ID_DataQualities]],table_DataQualities[],8,FALSE)</f>
        <v>0.92</v>
      </c>
      <c r="M933" s="10">
        <f ca="1">VLOOKUP(dict_DQ_Meth_max[[#This Row],[ID_DataQualities]],table_DataQualities[],9,FALSE)</f>
        <v>7.1</v>
      </c>
    </row>
    <row r="934" spans="1:13" x14ac:dyDescent="0.45">
      <c r="A934" s="10">
        <v>250</v>
      </c>
      <c r="B934" s="10">
        <v>19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990.81056999999987</v>
      </c>
      <c r="G934" s="12">
        <f ca="1">(RANDBETWEEN(50,100)/100)*(dict_DQ_Meth_max[[#This Row],[Vergleich_ub]]-dict_DQ_Meth_max[[#This Row],[Vergleich_lb]])+dict_DQ_Meth_max[[#This Row],[Vergleich_lb]]</f>
        <v>4190.2399500000001</v>
      </c>
      <c r="H934" s="11" t="str">
        <f ca="1">VLOOKUP(VLOOKUP(dict_DQ_Meth_max[[#This Row],[ID_DataQualities]],table_DataQualities[],3),table_Units[],2)</f>
        <v>Hz</v>
      </c>
      <c r="I934" s="10"/>
      <c r="J934" s="10"/>
      <c r="K934" s="10"/>
      <c r="L934" s="10">
        <f ca="1">VLOOKUP(dict_DQ_Meth_max[[#This Row],[ID_DataQualities]],table_DataQualities[],8,FALSE)</f>
        <v>0.51100000000000001</v>
      </c>
      <c r="M934" s="10">
        <f ca="1">VLOOKUP(dict_DQ_Meth_max[[#This Row],[ID_DataQualities]],table_DataQualities[],9,FALSE)</f>
        <v>7618.2</v>
      </c>
    </row>
    <row r="935" spans="1:13" x14ac:dyDescent="0.45">
      <c r="A935" s="10">
        <v>250</v>
      </c>
      <c r="B935" s="10">
        <v>183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533.74923000000001</v>
      </c>
      <c r="G935" s="12">
        <f ca="1">(RANDBETWEEN(50,100)/100)*(dict_DQ_Meth_max[[#This Row],[Vergleich_ub]]-dict_DQ_Meth_max[[#This Row],[Vergleich_lb]])+dict_DQ_Meth_max[[#This Row],[Vergleich_lb]]</f>
        <v>4418.7706199999993</v>
      </c>
      <c r="H935" s="11" t="str">
        <f ca="1">VLOOKUP(VLOOKUP(dict_DQ_Meth_max[[#This Row],[ID_DataQualities]],table_DataQualities[],3),table_Units[],2)</f>
        <v>Hz</v>
      </c>
      <c r="I935" s="10"/>
      <c r="J935" s="10"/>
      <c r="K935" s="10"/>
      <c r="L935" s="10">
        <f ca="1">VLOOKUP(dict_DQ_Meth_max[[#This Row],[ID_DataQualities]],table_DataQualities[],8,FALSE)</f>
        <v>0.51100000000000001</v>
      </c>
      <c r="M935" s="10">
        <f ca="1">VLOOKUP(dict_DQ_Meth_max[[#This Row],[ID_DataQualities]],table_DataQualities[],9,FALSE)</f>
        <v>7618.2</v>
      </c>
    </row>
    <row r="936" spans="1:13" x14ac:dyDescent="0.45">
      <c r="A936" s="10">
        <v>250</v>
      </c>
      <c r="B936" s="10">
        <v>102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2133.4639200000001</v>
      </c>
      <c r="G936" s="12">
        <f ca="1">(RANDBETWEEN(50,100)/100)*(dict_DQ_Meth_max[[#This Row],[Vergleich_ub]]-dict_DQ_Meth_max[[#This Row],[Vergleich_lb]])+dict_DQ_Meth_max[[#This Row],[Vergleich_lb]]</f>
        <v>5561.4239699999998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0.51100000000000001</v>
      </c>
      <c r="M936" s="10">
        <f ca="1">VLOOKUP(dict_DQ_Meth_max[[#This Row],[ID_DataQualities]],table_DataQualities[],9,FALSE)</f>
        <v>7618.2</v>
      </c>
    </row>
    <row r="937" spans="1:13" x14ac:dyDescent="0.45">
      <c r="A937" s="10">
        <v>250</v>
      </c>
      <c r="B937" s="10">
        <v>544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533.74923000000001</v>
      </c>
      <c r="G937" s="12">
        <f ca="1">(RANDBETWEEN(50,100)/100)*(dict_DQ_Meth_max[[#This Row],[Vergleich_ub]]-dict_DQ_Meth_max[[#This Row],[Vergleich_lb]])+dict_DQ_Meth_max[[#This Row],[Vergleich_lb]]</f>
        <v>5942.3084200000003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0.51100000000000001</v>
      </c>
      <c r="M937" s="10">
        <f ca="1">VLOOKUP(dict_DQ_Meth_max[[#This Row],[ID_DataQualities]],table_DataQualities[],9,FALSE)</f>
        <v>7618.2</v>
      </c>
    </row>
    <row r="938" spans="1:13" x14ac:dyDescent="0.45">
      <c r="A938" s="10">
        <v>250</v>
      </c>
      <c r="B938" s="10">
        <v>577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838.45678999999996</v>
      </c>
      <c r="G938" s="12">
        <f ca="1">(RANDBETWEEN(50,100)/100)*(dict_DQ_Meth_max[[#This Row],[Vergleich_ub]]-dict_DQ_Meth_max[[#This Row],[Vergleich_lb]])+dict_DQ_Meth_max[[#This Row],[Vergleich_lb]]</f>
        <v>4114.0630600000004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0.51100000000000001</v>
      </c>
      <c r="M938" s="10">
        <f ca="1">VLOOKUP(dict_DQ_Meth_max[[#This Row],[ID_DataQualities]],table_DataQualities[],9,FALSE)</f>
        <v>7618.2</v>
      </c>
    </row>
    <row r="939" spans="1:13" x14ac:dyDescent="0.45">
      <c r="A939" s="10">
        <v>251</v>
      </c>
      <c r="B939" s="10">
        <v>102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2960.56</v>
      </c>
      <c r="G939" s="12">
        <f ca="1">(RANDBETWEEN(50,100)/100)*(dict_DQ_Meth_max[[#This Row],[Vergleich_ub]]-dict_DQ_Meth_max[[#This Row],[Vergleich_lb]])+dict_DQ_Meth_max[[#This Row],[Vergleich_lb]]</f>
        <v>6217.42</v>
      </c>
      <c r="H939" s="11" t="str">
        <f ca="1">VLOOKUP(VLOOKUP(dict_DQ_Meth_max[[#This Row],[ID_DataQualities]],table_DataQualities[],3),table_Units[],2)</f>
        <v>bit</v>
      </c>
      <c r="I939" s="10"/>
      <c r="J939" s="10"/>
      <c r="K939" s="10"/>
      <c r="L939" s="10">
        <f ca="1">VLOOKUP(dict_DQ_Meth_max[[#This Row],[ID_DataQualities]],table_DataQualities[],8,FALSE)</f>
        <v>23</v>
      </c>
      <c r="M939" s="10">
        <f ca="1">VLOOKUP(dict_DQ_Meth_max[[#This Row],[ID_DataQualities]],table_DataQualities[],9,FALSE)</f>
        <v>6409</v>
      </c>
    </row>
    <row r="940" spans="1:13" x14ac:dyDescent="0.45">
      <c r="A940" s="10">
        <v>251</v>
      </c>
      <c r="B940" s="10">
        <v>19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1172.48</v>
      </c>
      <c r="G940" s="12">
        <f ca="1">(RANDBETWEEN(50,100)/100)*(dict_DQ_Meth_max[[#This Row],[Vergleich_ub]]-dict_DQ_Meth_max[[#This Row],[Vergleich_lb]])+dict_DQ_Meth_max[[#This Row],[Vergleich_lb]]</f>
        <v>4748.6400000000003</v>
      </c>
      <c r="H940" s="11" t="str">
        <f ca="1">VLOOKUP(VLOOKUP(dict_DQ_Meth_max[[#This Row],[ID_DataQualities]],table_DataQualities[],3),table_Units[],2)</f>
        <v>bit</v>
      </c>
      <c r="I940" s="10"/>
      <c r="J940" s="10"/>
      <c r="K940" s="10"/>
      <c r="L940" s="10">
        <f ca="1">VLOOKUP(dict_DQ_Meth_max[[#This Row],[ID_DataQualities]],table_DataQualities[],8,FALSE)</f>
        <v>23</v>
      </c>
      <c r="M940" s="10">
        <f ca="1">VLOOKUP(dict_DQ_Meth_max[[#This Row],[ID_DataQualities]],table_DataQualities[],9,FALSE)</f>
        <v>6409</v>
      </c>
    </row>
    <row r="941" spans="1:13" x14ac:dyDescent="0.45">
      <c r="A941" s="10">
        <v>251</v>
      </c>
      <c r="B941" s="10">
        <v>183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406.15999999999997</v>
      </c>
      <c r="G941" s="12">
        <f ca="1">(RANDBETWEEN(50,100)/100)*(dict_DQ_Meth_max[[#This Row],[Vergleich_ub]]-dict_DQ_Meth_max[[#This Row],[Vergleich_lb]])+dict_DQ_Meth_max[[#This Row],[Vergleich_lb]]</f>
        <v>4110.04</v>
      </c>
      <c r="H941" s="11" t="str">
        <f ca="1">VLOOKUP(VLOOKUP(dict_DQ_Meth_max[[#This Row],[ID_DataQualities]],table_DataQualities[],3),table_Units[],2)</f>
        <v>bit</v>
      </c>
      <c r="I941" s="10"/>
      <c r="J941" s="10"/>
      <c r="K941" s="10"/>
      <c r="L941" s="10">
        <f ca="1">VLOOKUP(dict_DQ_Meth_max[[#This Row],[ID_DataQualities]],table_DataQualities[],8,FALSE)</f>
        <v>23</v>
      </c>
      <c r="M941" s="10">
        <f ca="1">VLOOKUP(dict_DQ_Meth_max[[#This Row],[ID_DataQualities]],table_DataQualities[],9,FALSE)</f>
        <v>6409</v>
      </c>
    </row>
    <row r="942" spans="1:13" x14ac:dyDescent="0.45">
      <c r="A942" s="10">
        <v>251</v>
      </c>
      <c r="B942" s="10">
        <v>577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278.44</v>
      </c>
      <c r="G942" s="12">
        <f ca="1">(RANDBETWEEN(50,100)/100)*(dict_DQ_Meth_max[[#This Row],[Vergleich_ub]]-dict_DQ_Meth_max[[#This Row],[Vergleich_lb]])+dict_DQ_Meth_max[[#This Row],[Vergleich_lb]]</f>
        <v>4237.76</v>
      </c>
      <c r="H942" s="11" t="str">
        <f ca="1">VLOOKUP(VLOOKUP(dict_DQ_Meth_max[[#This Row],[ID_DataQualities]],table_DataQualities[],3),table_Units[],2)</f>
        <v>bit</v>
      </c>
      <c r="I942" s="10"/>
      <c r="J942" s="10"/>
      <c r="K942" s="10"/>
      <c r="L942" s="10">
        <f ca="1">VLOOKUP(dict_DQ_Meth_max[[#This Row],[ID_DataQualities]],table_DataQualities[],8,FALSE)</f>
        <v>23</v>
      </c>
      <c r="M942" s="10">
        <f ca="1">VLOOKUP(dict_DQ_Meth_max[[#This Row],[ID_DataQualities]],table_DataQualities[],9,FALSE)</f>
        <v>6409</v>
      </c>
    </row>
    <row r="943" spans="1:13" x14ac:dyDescent="0.45">
      <c r="A943" s="10">
        <v>251</v>
      </c>
      <c r="B943" s="10">
        <v>544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2768.98</v>
      </c>
      <c r="G943" s="12">
        <f ca="1">(RANDBETWEEN(50,100)/100)*(dict_DQ_Meth_max[[#This Row],[Vergleich_ub]]-dict_DQ_Meth_max[[#This Row],[Vergleich_lb]])+dict_DQ_Meth_max[[#This Row],[Vergleich_lb]]</f>
        <v>5514.96</v>
      </c>
      <c r="H943" s="11" t="str">
        <f ca="1">VLOOKUP(VLOOKUP(dict_DQ_Meth_max[[#This Row],[ID_DataQualities]],table_DataQualities[],3),table_Units[],2)</f>
        <v>bit</v>
      </c>
      <c r="I943" s="10"/>
      <c r="J943" s="10"/>
      <c r="K943" s="10"/>
      <c r="L943" s="10">
        <f ca="1">VLOOKUP(dict_DQ_Meth_max[[#This Row],[ID_DataQualities]],table_DataQualities[],8,FALSE)</f>
        <v>23</v>
      </c>
      <c r="M943" s="10">
        <f ca="1">VLOOKUP(dict_DQ_Meth_max[[#This Row],[ID_DataQualities]],table_DataQualities[],9,FALSE)</f>
        <v>6409</v>
      </c>
    </row>
    <row r="944" spans="1:13" x14ac:dyDescent="0.45">
      <c r="A944" s="10">
        <v>252</v>
      </c>
      <c r="B944" s="10">
        <v>556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824.53649999999993</v>
      </c>
      <c r="G944" s="12">
        <f ca="1">(RANDBETWEEN(50,100)/100)*(dict_DQ_Meth_max[[#This Row],[Vergleich_ub]]-dict_DQ_Meth_max[[#This Row],[Vergleich_lb]])+dict_DQ_Meth_max[[#This Row],[Vergleich_lb]]</f>
        <v>873.95030999999994</v>
      </c>
      <c r="H944" s="11" t="str">
        <f ca="1">VLOOKUP(VLOOKUP(dict_DQ_Meth_max[[#This Row],[ID_DataQualities]],table_DataQualities[],3),table_Units[],2)</f>
        <v>Hz</v>
      </c>
      <c r="I944" s="10"/>
      <c r="J944" s="10"/>
      <c r="K944" s="10"/>
      <c r="L944" s="10">
        <f ca="1">VLOOKUP(dict_DQ_Meth_max[[#This Row],[ID_DataQualities]],table_DataQualities[],8,FALSE)</f>
        <v>0.97299999999999998</v>
      </c>
      <c r="M944" s="10">
        <f ca="1">VLOOKUP(dict_DQ_Meth_max[[#This Row],[ID_DataQualities]],table_DataQualities[],9,FALSE)</f>
        <v>1648.1</v>
      </c>
    </row>
    <row r="945" spans="1:13" x14ac:dyDescent="0.45">
      <c r="A945" s="10">
        <v>252</v>
      </c>
      <c r="B945" s="10">
        <v>344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182.15697</v>
      </c>
      <c r="G945" s="12">
        <f ca="1">(RANDBETWEEN(50,100)/100)*(dict_DQ_Meth_max[[#This Row],[Vergleich_ub]]-dict_DQ_Meth_max[[#This Row],[Vergleich_lb]])+dict_DQ_Meth_max[[#This Row],[Vergleich_lb]]</f>
        <v>906.89284999999995</v>
      </c>
      <c r="H945" s="11" t="str">
        <f ca="1">VLOOKUP(VLOOKUP(dict_DQ_Meth_max[[#This Row],[ID_DataQualities]],table_DataQualities[],3),table_Units[],2)</f>
        <v>Hz</v>
      </c>
      <c r="I945" s="10"/>
      <c r="J945" s="10"/>
      <c r="K945" s="10"/>
      <c r="L945" s="10">
        <f ca="1">VLOOKUP(dict_DQ_Meth_max[[#This Row],[ID_DataQualities]],table_DataQualities[],8,FALSE)</f>
        <v>0.97299999999999998</v>
      </c>
      <c r="M945" s="10">
        <f ca="1">VLOOKUP(dict_DQ_Meth_max[[#This Row],[ID_DataQualities]],table_DataQualities[],9,FALSE)</f>
        <v>1648.1</v>
      </c>
    </row>
    <row r="946" spans="1:13" x14ac:dyDescent="0.45">
      <c r="A946" s="10">
        <v>252</v>
      </c>
      <c r="B946" s="10">
        <v>89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758.65141999999992</v>
      </c>
      <c r="G946" s="12">
        <f ca="1">(RANDBETWEEN(50,100)/100)*(dict_DQ_Meth_max[[#This Row],[Vergleich_ub]]-dict_DQ_Meth_max[[#This Row],[Vergleich_lb]])+dict_DQ_Meth_max[[#This Row],[Vergleich_lb]]</f>
        <v>1203.3757099999998</v>
      </c>
      <c r="H946" s="11" t="str">
        <f ca="1">VLOOKUP(VLOOKUP(dict_DQ_Meth_max[[#This Row],[ID_DataQualities]],table_DataQualities[],3),table_Units[],2)</f>
        <v>Hz</v>
      </c>
      <c r="I946" s="10"/>
      <c r="J946" s="10"/>
      <c r="K946" s="10"/>
      <c r="L946" s="10">
        <f ca="1">VLOOKUP(dict_DQ_Meth_max[[#This Row],[ID_DataQualities]],table_DataQualities[],8,FALSE)</f>
        <v>0.97299999999999998</v>
      </c>
      <c r="M946" s="10">
        <f ca="1">VLOOKUP(dict_DQ_Meth_max[[#This Row],[ID_DataQualities]],table_DataQualities[],9,FALSE)</f>
        <v>1648.1</v>
      </c>
    </row>
    <row r="947" spans="1:13" x14ac:dyDescent="0.45">
      <c r="A947" s="10">
        <v>252</v>
      </c>
      <c r="B947" s="10">
        <v>62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643.35253</v>
      </c>
      <c r="G947" s="12">
        <f ca="1">(RANDBETWEEN(50,100)/100)*(dict_DQ_Meth_max[[#This Row],[Vergleich_ub]]-dict_DQ_Meth_max[[#This Row],[Vergleich_lb]])+dict_DQ_Meth_max[[#This Row],[Vergleich_lb]]</f>
        <v>1252.78952</v>
      </c>
      <c r="H947" s="11" t="str">
        <f ca="1">VLOOKUP(VLOOKUP(dict_DQ_Meth_max[[#This Row],[ID_DataQualities]],table_DataQualities[],3),table_Units[],2)</f>
        <v>Hz</v>
      </c>
      <c r="I947" s="10"/>
      <c r="J947" s="10"/>
      <c r="K947" s="10"/>
      <c r="L947" s="10">
        <f ca="1">VLOOKUP(dict_DQ_Meth_max[[#This Row],[ID_DataQualities]],table_DataQualities[],8,FALSE)</f>
        <v>0.97299999999999998</v>
      </c>
      <c r="M947" s="10">
        <f ca="1">VLOOKUP(dict_DQ_Meth_max[[#This Row],[ID_DataQualities]],table_DataQualities[],9,FALSE)</f>
        <v>1648.1</v>
      </c>
    </row>
    <row r="948" spans="1:13" x14ac:dyDescent="0.45">
      <c r="A948" s="10">
        <v>253</v>
      </c>
      <c r="B948" s="10">
        <v>556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1.1659000000000002</v>
      </c>
      <c r="G948" s="12">
        <f ca="1">(RANDBETWEEN(50,100)/100)*(dict_DQ_Meth_max[[#This Row],[Vergleich_ub]]-dict_DQ_Meth_max[[#This Row],[Vergleich_lb]])+dict_DQ_Meth_max[[#This Row],[Vergleich_lb]]</f>
        <v>4.0304000000000002</v>
      </c>
      <c r="H948" s="11" t="str">
        <f ca="1">VLOOKUP(VLOOKUP(dict_DQ_Meth_max[[#This Row],[ID_DataQualities]],table_DataQualities[],3),table_Units[],2)</f>
        <v>+/- mm/s</v>
      </c>
      <c r="I948" s="10"/>
      <c r="J948" s="10"/>
      <c r="K948" s="10"/>
      <c r="L948" s="10">
        <f ca="1">VLOOKUP(dict_DQ_Meth_max[[#This Row],[ID_DataQualities]],table_DataQualities[],8,FALSE)</f>
        <v>0.93</v>
      </c>
      <c r="M948" s="10">
        <f ca="1">VLOOKUP(dict_DQ_Meth_max[[#This Row],[ID_DataQualities]],table_DataQualities[],9,FALSE)</f>
        <v>4.3</v>
      </c>
    </row>
    <row r="949" spans="1:13" x14ac:dyDescent="0.45">
      <c r="A949" s="10">
        <v>253</v>
      </c>
      <c r="B949" s="10">
        <v>344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0.99740000000000006</v>
      </c>
      <c r="G949" s="12">
        <f ca="1">(RANDBETWEEN(50,100)/100)*(dict_DQ_Meth_max[[#This Row],[Vergleich_ub]]-dict_DQ_Meth_max[[#This Row],[Vergleich_lb]])+dict_DQ_Meth_max[[#This Row],[Vergleich_lb]]</f>
        <v>3.4238</v>
      </c>
      <c r="H949" s="11" t="str">
        <f ca="1">VLOOKUP(VLOOKUP(dict_DQ_Meth_max[[#This Row],[ID_DataQualities]],table_DataQualities[],3),table_Units[],2)</f>
        <v>+/- mm/s</v>
      </c>
      <c r="I949" s="10"/>
      <c r="J949" s="10"/>
      <c r="K949" s="10"/>
      <c r="L949" s="10">
        <f ca="1">VLOOKUP(dict_DQ_Meth_max[[#This Row],[ID_DataQualities]],table_DataQualities[],8,FALSE)</f>
        <v>0.93</v>
      </c>
      <c r="M949" s="10">
        <f ca="1">VLOOKUP(dict_DQ_Meth_max[[#This Row],[ID_DataQualities]],table_DataQualities[],9,FALSE)</f>
        <v>4.3</v>
      </c>
    </row>
    <row r="950" spans="1:13" x14ac:dyDescent="0.45">
      <c r="A950" s="10">
        <v>253</v>
      </c>
      <c r="B950" s="10">
        <v>89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2.3116999999999996</v>
      </c>
      <c r="G950" s="12">
        <f ca="1">(RANDBETWEEN(50,100)/100)*(dict_DQ_Meth_max[[#This Row],[Vergleich_ub]]-dict_DQ_Meth_max[[#This Row],[Vergleich_lb]])+dict_DQ_Meth_max[[#This Row],[Vergleich_lb]]</f>
        <v>3.6597</v>
      </c>
      <c r="H950" s="11" t="str">
        <f ca="1">VLOOKUP(VLOOKUP(dict_DQ_Meth_max[[#This Row],[ID_DataQualities]],table_DataQualities[],3),table_Units[],2)</f>
        <v>+/- mm/s</v>
      </c>
      <c r="I950" s="10"/>
      <c r="J950" s="10"/>
      <c r="K950" s="10"/>
      <c r="L950" s="10">
        <f ca="1">VLOOKUP(dict_DQ_Meth_max[[#This Row],[ID_DataQualities]],table_DataQualities[],8,FALSE)</f>
        <v>0.93</v>
      </c>
      <c r="M950" s="10">
        <f ca="1">VLOOKUP(dict_DQ_Meth_max[[#This Row],[ID_DataQualities]],table_DataQualities[],9,FALSE)</f>
        <v>4.3</v>
      </c>
    </row>
    <row r="951" spans="1:13" x14ac:dyDescent="0.45">
      <c r="A951" s="10">
        <v>253</v>
      </c>
      <c r="B951" s="10">
        <v>62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2.278</v>
      </c>
      <c r="G951" s="12">
        <f ca="1">(RANDBETWEEN(50,100)/100)*(dict_DQ_Meth_max[[#This Row],[Vergleich_ub]]-dict_DQ_Meth_max[[#This Row],[Vergleich_lb]])+dict_DQ_Meth_max[[#This Row],[Vergleich_lb]]</f>
        <v>3.2216</v>
      </c>
      <c r="H951" s="11" t="str">
        <f ca="1">VLOOKUP(VLOOKUP(dict_DQ_Meth_max[[#This Row],[ID_DataQualities]],table_DataQualities[],3),table_Units[],2)</f>
        <v>+/- mm/s</v>
      </c>
      <c r="I951" s="10"/>
      <c r="J951" s="10"/>
      <c r="K951" s="10"/>
      <c r="L951" s="10">
        <f ca="1">VLOOKUP(dict_DQ_Meth_max[[#This Row],[ID_DataQualities]],table_DataQualities[],8,FALSE)</f>
        <v>0.93</v>
      </c>
      <c r="M951" s="10">
        <f ca="1">VLOOKUP(dict_DQ_Meth_max[[#This Row],[ID_DataQualities]],table_DataQualities[],9,FALSE)</f>
        <v>4.3</v>
      </c>
    </row>
    <row r="952" spans="1:13" x14ac:dyDescent="0.45">
      <c r="A952" s="10">
        <v>254</v>
      </c>
      <c r="B952" s="10">
        <v>454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658.31664000000001</v>
      </c>
      <c r="G952" s="12">
        <f ca="1">(RANDBETWEEN(50,100)/100)*(dict_DQ_Meth_max[[#This Row],[Vergleich_ub]]-dict_DQ_Meth_max[[#This Row],[Vergleich_lb]])+dict_DQ_Meth_max[[#This Row],[Vergleich_lb]]</f>
        <v>4274.5261600000003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0.82399999999999995</v>
      </c>
      <c r="M952" s="10">
        <f ca="1">VLOOKUP(dict_DQ_Meth_max[[#This Row],[ID_DataQualities]],table_DataQualities[],9,FALSE)</f>
        <v>4697.2</v>
      </c>
    </row>
    <row r="953" spans="1:13" x14ac:dyDescent="0.45">
      <c r="A953" s="10">
        <v>254</v>
      </c>
      <c r="B953" s="10">
        <v>467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658.31664000000001</v>
      </c>
      <c r="G953" s="12">
        <f ca="1">(RANDBETWEEN(50,100)/100)*(dict_DQ_Meth_max[[#This Row],[Vergleich_ub]]-dict_DQ_Meth_max[[#This Row],[Vergleich_lb]])+dict_DQ_Meth_max[[#This Row],[Vergleich_lb]]</f>
        <v>2865.6133600000003</v>
      </c>
      <c r="H953" s="11" t="str">
        <f ca="1">VLOOKUP(VLOOKUP(dict_DQ_Meth_max[[#This Row],[ID_DataQualities]],table_DataQualities[],3),table_Units[],2)</f>
        <v>Hz</v>
      </c>
      <c r="I953" s="10"/>
      <c r="J953" s="10"/>
      <c r="K953" s="10"/>
      <c r="L953" s="10">
        <f ca="1">VLOOKUP(dict_DQ_Meth_max[[#This Row],[ID_DataQualities]],table_DataQualities[],8,FALSE)</f>
        <v>0.82399999999999995</v>
      </c>
      <c r="M953" s="10">
        <f ca="1">VLOOKUP(dict_DQ_Meth_max[[#This Row],[ID_DataQualities]],table_DataQualities[],9,FALSE)</f>
        <v>4697.2</v>
      </c>
    </row>
    <row r="954" spans="1:13" x14ac:dyDescent="0.45">
      <c r="A954" s="10">
        <v>254</v>
      </c>
      <c r="B954" s="10">
        <v>576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658.31664000000001</v>
      </c>
      <c r="G954" s="12">
        <f ca="1">(RANDBETWEEN(50,100)/100)*(dict_DQ_Meth_max[[#This Row],[Vergleich_ub]]-dict_DQ_Meth_max[[#This Row],[Vergleich_lb]])+dict_DQ_Meth_max[[#This Row],[Vergleich_lb]]</f>
        <v>4462.3811999999998</v>
      </c>
      <c r="H954" s="11" t="str">
        <f ca="1">VLOOKUP(VLOOKUP(dict_DQ_Meth_max[[#This Row],[ID_DataQualities]],table_DataQualities[],3),table_Units[],2)</f>
        <v>Hz</v>
      </c>
      <c r="I954" s="10"/>
      <c r="J954" s="10"/>
      <c r="K954" s="10"/>
      <c r="L954" s="10">
        <f ca="1">VLOOKUP(dict_DQ_Meth_max[[#This Row],[ID_DataQualities]],table_DataQualities[],8,FALSE)</f>
        <v>0.82399999999999995</v>
      </c>
      <c r="M954" s="10">
        <f ca="1">VLOOKUP(dict_DQ_Meth_max[[#This Row],[ID_DataQualities]],table_DataQualities[],9,FALSE)</f>
        <v>4697.2</v>
      </c>
    </row>
    <row r="955" spans="1:13" x14ac:dyDescent="0.45">
      <c r="A955" s="10">
        <v>254</v>
      </c>
      <c r="B955" s="10">
        <v>283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1268.8455200000003</v>
      </c>
      <c r="G955" s="12">
        <f ca="1">(RANDBETWEEN(50,100)/100)*(dict_DQ_Meth_max[[#This Row],[Vergleich_ub]]-dict_DQ_Meth_max[[#This Row],[Vergleich_lb]])+dict_DQ_Meth_max[[#This Row],[Vergleich_lb]]</f>
        <v>2583.8308000000002</v>
      </c>
      <c r="H955" s="11" t="str">
        <f ca="1">VLOOKUP(VLOOKUP(dict_DQ_Meth_max[[#This Row],[ID_DataQualities]],table_DataQualities[],3),table_Units[],2)</f>
        <v>Hz</v>
      </c>
      <c r="I955" s="10"/>
      <c r="J955" s="10"/>
      <c r="K955" s="10"/>
      <c r="L955" s="10">
        <f ca="1">VLOOKUP(dict_DQ_Meth_max[[#This Row],[ID_DataQualities]],table_DataQualities[],8,FALSE)</f>
        <v>0.82399999999999995</v>
      </c>
      <c r="M955" s="10">
        <f ca="1">VLOOKUP(dict_DQ_Meth_max[[#This Row],[ID_DataQualities]],table_DataQualities[],9,FALSE)</f>
        <v>4697.2</v>
      </c>
    </row>
    <row r="956" spans="1:13" x14ac:dyDescent="0.45">
      <c r="A956" s="10">
        <v>255</v>
      </c>
      <c r="B956" s="10">
        <v>454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1.6919999999999999</v>
      </c>
      <c r="G956" s="12">
        <f ca="1">(RANDBETWEEN(50,100)/100)*(dict_DQ_Meth_max[[#This Row],[Vergleich_ub]]-dict_DQ_Meth_max[[#This Row],[Vergleich_lb]])+dict_DQ_Meth_max[[#This Row],[Vergleich_lb]]</f>
        <v>5.6069999999999993</v>
      </c>
      <c r="H956" s="11" t="str">
        <f ca="1">VLOOKUP(VLOOKUP(dict_DQ_Meth_max[[#This Row],[ID_DataQualities]],table_DataQualities[],3),table_Units[],2)</f>
        <v>+/- °C</v>
      </c>
      <c r="I956" s="10"/>
      <c r="J956" s="10"/>
      <c r="K956" s="10"/>
      <c r="L956" s="10">
        <f ca="1">VLOOKUP(dict_DQ_Meth_max[[#This Row],[ID_DataQualities]],table_DataQualities[],8,FALSE)</f>
        <v>0.3</v>
      </c>
      <c r="M956" s="10">
        <f ca="1">VLOOKUP(dict_DQ_Meth_max[[#This Row],[ID_DataQualities]],table_DataQualities[],9,FALSE)</f>
        <v>9</v>
      </c>
    </row>
    <row r="957" spans="1:13" x14ac:dyDescent="0.45">
      <c r="A957" s="10">
        <v>255</v>
      </c>
      <c r="B957" s="10">
        <v>576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3.258</v>
      </c>
      <c r="G957" s="12">
        <f ca="1">(RANDBETWEEN(50,100)/100)*(dict_DQ_Meth_max[[#This Row],[Vergleich_ub]]-dict_DQ_Meth_max[[#This Row],[Vergleich_lb]])+dict_DQ_Meth_max[[#This Row],[Vergleich_lb]]</f>
        <v>9</v>
      </c>
      <c r="H957" s="11" t="str">
        <f ca="1">VLOOKUP(VLOOKUP(dict_DQ_Meth_max[[#This Row],[ID_DataQualities]],table_DataQualities[],3),table_Units[],2)</f>
        <v>+/- °C</v>
      </c>
      <c r="I957" s="10"/>
      <c r="J957" s="10"/>
      <c r="K957" s="10"/>
      <c r="L957" s="10">
        <f ca="1">VLOOKUP(dict_DQ_Meth_max[[#This Row],[ID_DataQualities]],table_DataQualities[],8,FALSE)</f>
        <v>0.3</v>
      </c>
      <c r="M957" s="10">
        <f ca="1">VLOOKUP(dict_DQ_Meth_max[[#This Row],[ID_DataQualities]],table_DataQualities[],9,FALSE)</f>
        <v>9</v>
      </c>
    </row>
    <row r="958" spans="1:13" x14ac:dyDescent="0.45">
      <c r="A958" s="10">
        <v>255</v>
      </c>
      <c r="B958" s="10">
        <v>467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2.4749999999999996</v>
      </c>
      <c r="G958" s="12">
        <f ca="1">(RANDBETWEEN(50,100)/100)*(dict_DQ_Meth_max[[#This Row],[Vergleich_ub]]-dict_DQ_Meth_max[[#This Row],[Vergleich_lb]])+dict_DQ_Meth_max[[#This Row],[Vergleich_lb]]</f>
        <v>5.1719999999999997</v>
      </c>
      <c r="H958" s="11" t="str">
        <f ca="1">VLOOKUP(VLOOKUP(dict_DQ_Meth_max[[#This Row],[ID_DataQualities]],table_DataQualities[],3),table_Units[],2)</f>
        <v>+/- °C</v>
      </c>
      <c r="I958" s="10"/>
      <c r="J958" s="10"/>
      <c r="K958" s="10"/>
      <c r="L958" s="10">
        <f ca="1">VLOOKUP(dict_DQ_Meth_max[[#This Row],[ID_DataQualities]],table_DataQualities[],8,FALSE)</f>
        <v>0.3</v>
      </c>
      <c r="M958" s="10">
        <f ca="1">VLOOKUP(dict_DQ_Meth_max[[#This Row],[ID_DataQualities]],table_DataQualities[],9,FALSE)</f>
        <v>9</v>
      </c>
    </row>
    <row r="959" spans="1:13" x14ac:dyDescent="0.45">
      <c r="A959" s="10">
        <v>255</v>
      </c>
      <c r="B959" s="10">
        <v>283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3.5189999999999997</v>
      </c>
      <c r="G959" s="12">
        <f ca="1">(RANDBETWEEN(50,100)/100)*(dict_DQ_Meth_max[[#This Row],[Vergleich_ub]]-dict_DQ_Meth_max[[#This Row],[Vergleich_lb]])+dict_DQ_Meth_max[[#This Row],[Vergleich_lb]]</f>
        <v>6.4769999999999994</v>
      </c>
      <c r="H959" s="11" t="str">
        <f ca="1">VLOOKUP(VLOOKUP(dict_DQ_Meth_max[[#This Row],[ID_DataQualities]],table_DataQualities[],3),table_Units[],2)</f>
        <v>+/- °C</v>
      </c>
      <c r="I959" s="10"/>
      <c r="J959" s="10"/>
      <c r="K959" s="10"/>
      <c r="L959" s="10">
        <f ca="1">VLOOKUP(dict_DQ_Meth_max[[#This Row],[ID_DataQualities]],table_DataQualities[],8,FALSE)</f>
        <v>0.3</v>
      </c>
      <c r="M959" s="10">
        <f ca="1">VLOOKUP(dict_DQ_Meth_max[[#This Row],[ID_DataQualities]],table_DataQualities[],9,FALSE)</f>
        <v>9</v>
      </c>
    </row>
    <row r="960" spans="1:13" x14ac:dyDescent="0.45">
      <c r="A960" s="10">
        <v>256</v>
      </c>
      <c r="B960" s="10">
        <v>426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3329.9286400000001</v>
      </c>
      <c r="G960" s="12">
        <f ca="1">(RANDBETWEEN(50,100)/100)*(dict_DQ_Meth_max[[#This Row],[Vergleich_ub]]-dict_DQ_Meth_max[[#This Row],[Vergleich_lb]])+dict_DQ_Meth_max[[#This Row],[Vergleich_lb]]</f>
        <v>6811.1193999999996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9.4E-2</v>
      </c>
      <c r="M960" s="10">
        <f ca="1">VLOOKUP(dict_DQ_Meth_max[[#This Row],[ID_DataQualities]],table_DataQualities[],9,FALSE)</f>
        <v>7567.9</v>
      </c>
    </row>
    <row r="961" spans="1:13" x14ac:dyDescent="0.45">
      <c r="A961" s="10">
        <v>256</v>
      </c>
      <c r="B961" s="10">
        <v>220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908.23072000000002</v>
      </c>
      <c r="G961" s="12">
        <f ca="1">(RANDBETWEEN(50,100)/100)*(dict_DQ_Meth_max[[#This Row],[Vergleich_ub]]-dict_DQ_Meth_max[[#This Row],[Vergleich_lb]])+dict_DQ_Meth_max[[#This Row],[Vergleich_lb]]</f>
        <v>4616.4556599999996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9.4E-2</v>
      </c>
      <c r="M961" s="10">
        <f ca="1">VLOOKUP(dict_DQ_Meth_max[[#This Row],[ID_DataQualities]],table_DataQualities[],9,FALSE)</f>
        <v>7567.9</v>
      </c>
    </row>
    <row r="962" spans="1:13" x14ac:dyDescent="0.45">
      <c r="A962" s="10">
        <v>257</v>
      </c>
      <c r="B962" s="10">
        <v>220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0.13322800000000004</v>
      </c>
      <c r="G962" s="12">
        <f ca="1">(RANDBETWEEN(50,100)/100)*(dict_DQ_Meth_max[[#This Row],[Vergleich_ub]]-dict_DQ_Meth_max[[#This Row],[Vergleich_lb]])+dict_DQ_Meth_max[[#This Row],[Vergleich_lb]]</f>
        <v>0.16040800000000005</v>
      </c>
      <c r="H962" s="11" t="str">
        <f ca="1">VLOOKUP(VLOOKUP(dict_DQ_Meth_max[[#This Row],[ID_DataQualities]],table_DataQualities[],3),table_Units[],2)</f>
        <v>+/- cm³/s</v>
      </c>
      <c r="I962" s="10"/>
      <c r="J962" s="10"/>
      <c r="K962" s="10"/>
      <c r="L962" s="10">
        <f ca="1">VLOOKUP(dict_DQ_Meth_max[[#This Row],[ID_DataQualities]],table_DataQualities[],8,FALSE)</f>
        <v>8.2000000000000007E-3</v>
      </c>
      <c r="M962" s="10">
        <f ca="1">VLOOKUP(dict_DQ_Meth_max[[#This Row],[ID_DataQualities]],table_DataQualities[],9,FALSE)</f>
        <v>0.28000000000000003</v>
      </c>
    </row>
    <row r="963" spans="1:13" x14ac:dyDescent="0.45">
      <c r="A963" s="10">
        <v>257</v>
      </c>
      <c r="B963" s="10">
        <v>426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0.10333000000000001</v>
      </c>
      <c r="G963" s="12">
        <f ca="1">(RANDBETWEEN(50,100)/100)*(dict_DQ_Meth_max[[#This Row],[Vergleich_ub]]-dict_DQ_Meth_max[[#This Row],[Vergleich_lb]])+dict_DQ_Meth_max[[#This Row],[Vergleich_lb]]</f>
        <v>0.20389600000000002</v>
      </c>
      <c r="H963" s="11" t="str">
        <f ca="1">VLOOKUP(VLOOKUP(dict_DQ_Meth_max[[#This Row],[ID_DataQualities]],table_DataQualities[],3),table_Units[],2)</f>
        <v>+/- cm³/s</v>
      </c>
      <c r="I963" s="10"/>
      <c r="J963" s="10"/>
      <c r="K963" s="10"/>
      <c r="L963" s="10">
        <f ca="1">VLOOKUP(dict_DQ_Meth_max[[#This Row],[ID_DataQualities]],table_DataQualities[],8,FALSE)</f>
        <v>8.2000000000000007E-3</v>
      </c>
      <c r="M963" s="10">
        <f ca="1">VLOOKUP(dict_DQ_Meth_max[[#This Row],[ID_DataQualities]],table_DataQualities[],9,FALSE)</f>
        <v>0.28000000000000003</v>
      </c>
    </row>
    <row r="964" spans="1:13" x14ac:dyDescent="0.45">
      <c r="A964" s="10">
        <v>258</v>
      </c>
      <c r="B964" s="10">
        <v>331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3966.8143600000008</v>
      </c>
      <c r="G964" s="12">
        <f ca="1">(RANDBETWEEN(50,100)/100)*(dict_DQ_Meth_max[[#This Row],[Vergleich_ub]]-dict_DQ_Meth_max[[#This Row],[Vergleich_lb]])+dict_DQ_Meth_max[[#This Row],[Vergleich_lb]]</f>
        <v>7588.2920800000011</v>
      </c>
      <c r="H964" s="11" t="str">
        <f ca="1">VLOOKUP(VLOOKUP(dict_DQ_Meth_max[[#This Row],[ID_DataQualities]],table_DataQualities[],3),table_Units[],2)</f>
        <v>Hz</v>
      </c>
      <c r="I964" s="10"/>
      <c r="J964" s="10"/>
      <c r="K964" s="10"/>
      <c r="L964" s="10">
        <f ca="1">VLOOKUP(dict_DQ_Meth_max[[#This Row],[ID_DataQualities]],table_DataQualities[],8,FALSE)</f>
        <v>0.434</v>
      </c>
      <c r="M964" s="10">
        <f ca="1">VLOOKUP(dict_DQ_Meth_max[[#This Row],[ID_DataQualities]],table_DataQualities[],9,FALSE)</f>
        <v>8623</v>
      </c>
    </row>
    <row r="965" spans="1:13" x14ac:dyDescent="0.45">
      <c r="A965" s="10">
        <v>258</v>
      </c>
      <c r="B965" s="10">
        <v>22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948.91626000000008</v>
      </c>
      <c r="G965" s="12">
        <f ca="1">(RANDBETWEEN(50,100)/100)*(dict_DQ_Meth_max[[#This Row],[Vergleich_ub]]-dict_DQ_Meth_max[[#This Row],[Vergleich_lb]])+dict_DQ_Meth_max[[#This Row],[Vergleich_lb]]</f>
        <v>6984.7124600000016</v>
      </c>
      <c r="H965" s="11" t="str">
        <f ca="1">VLOOKUP(VLOOKUP(dict_DQ_Meth_max[[#This Row],[ID_DataQualities]],table_DataQualities[],3),table_Units[],2)</f>
        <v>Hz</v>
      </c>
      <c r="I965" s="10"/>
      <c r="J965" s="10"/>
      <c r="K965" s="10"/>
      <c r="L965" s="10">
        <f ca="1">VLOOKUP(dict_DQ_Meth_max[[#This Row],[ID_DataQualities]],table_DataQualities[],8,FALSE)</f>
        <v>0.434</v>
      </c>
      <c r="M965" s="10">
        <f ca="1">VLOOKUP(dict_DQ_Meth_max[[#This Row],[ID_DataQualities]],table_DataQualities[],9,FALSE)</f>
        <v>8623</v>
      </c>
    </row>
    <row r="966" spans="1:13" x14ac:dyDescent="0.45">
      <c r="A966" s="10">
        <v>258</v>
      </c>
      <c r="B966" s="10">
        <v>51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1207.5932400000002</v>
      </c>
      <c r="G966" s="12">
        <f ca="1">(RANDBETWEEN(50,100)/100)*(dict_DQ_Meth_max[[#This Row],[Vergleich_ub]]-dict_DQ_Meth_max[[#This Row],[Vergleich_lb]])+dict_DQ_Meth_max[[#This Row],[Vergleich_lb]]</f>
        <v>4656.6196400000008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0.434</v>
      </c>
      <c r="M966" s="10">
        <f ca="1">VLOOKUP(dict_DQ_Meth_max[[#This Row],[ID_DataQualities]],table_DataQualities[],9,FALSE)</f>
        <v>8623</v>
      </c>
    </row>
    <row r="967" spans="1:13" x14ac:dyDescent="0.45">
      <c r="A967" s="10">
        <v>258</v>
      </c>
      <c r="B967" s="10">
        <v>697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1035.14192</v>
      </c>
      <c r="G967" s="12">
        <f ca="1">(RANDBETWEEN(50,100)/100)*(dict_DQ_Meth_max[[#This Row],[Vergleich_ub]]-dict_DQ_Meth_max[[#This Row],[Vergleich_lb]])+dict_DQ_Meth_max[[#This Row],[Vergleich_lb]]</f>
        <v>8278.0973599999998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0.434</v>
      </c>
      <c r="M967" s="10">
        <f ca="1">VLOOKUP(dict_DQ_Meth_max[[#This Row],[ID_DataQualities]],table_DataQualities[],9,FALSE)</f>
        <v>8623</v>
      </c>
    </row>
    <row r="968" spans="1:13" x14ac:dyDescent="0.45">
      <c r="A968" s="10">
        <v>258</v>
      </c>
      <c r="B968" s="10">
        <v>359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604.01362000000006</v>
      </c>
      <c r="G968" s="12">
        <f ca="1">(RANDBETWEEN(50,100)/100)*(dict_DQ_Meth_max[[#This Row],[Vergleich_ub]]-dict_DQ_Meth_max[[#This Row],[Vergleich_lb]])+dict_DQ_Meth_max[[#This Row],[Vergleich_lb]]</f>
        <v>6381.1328400000002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0.434</v>
      </c>
      <c r="M968" s="10">
        <f ca="1">VLOOKUP(dict_DQ_Meth_max[[#This Row],[ID_DataQualities]],table_DataQualities[],9,FALSE)</f>
        <v>8623</v>
      </c>
    </row>
    <row r="969" spans="1:13" x14ac:dyDescent="0.45">
      <c r="A969" s="10">
        <v>259</v>
      </c>
      <c r="B969" s="10">
        <v>697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2.9682999999999997</v>
      </c>
      <c r="G969" s="12">
        <f ca="1">(RANDBETWEEN(50,100)/100)*(dict_DQ_Meth_max[[#This Row],[Vergleich_ub]]-dict_DQ_Meth_max[[#This Row],[Vergleich_lb]])+dict_DQ_Meth_max[[#This Row],[Vergleich_lb]]</f>
        <v>4.0722800000000001</v>
      </c>
      <c r="H969" s="11" t="str">
        <f ca="1">VLOOKUP(VLOOKUP(dict_DQ_Meth_max[[#This Row],[ID_DataQualities]],table_DataQualities[],3),table_Units[],2)</f>
        <v>+/- mm</v>
      </c>
      <c r="I969" s="10"/>
      <c r="J969" s="10"/>
      <c r="K969" s="10"/>
      <c r="L969" s="10">
        <f ca="1">VLOOKUP(dict_DQ_Meth_max[[#This Row],[ID_DataQualities]],table_DataQualities[],8,FALSE)</f>
        <v>4.5999999999999999E-2</v>
      </c>
      <c r="M969" s="10">
        <f ca="1">VLOOKUP(dict_DQ_Meth_max[[#This Row],[ID_DataQualities]],table_DataQualities[],9,FALSE)</f>
        <v>6.54</v>
      </c>
    </row>
    <row r="970" spans="1:13" x14ac:dyDescent="0.45">
      <c r="A970" s="10">
        <v>259</v>
      </c>
      <c r="B970" s="10">
        <v>51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1.73444</v>
      </c>
      <c r="G970" s="12">
        <f ca="1">(RANDBETWEEN(50,100)/100)*(dict_DQ_Meth_max[[#This Row],[Vergleich_ub]]-dict_DQ_Meth_max[[#This Row],[Vergleich_lb]])+dict_DQ_Meth_max[[#This Row],[Vergleich_lb]]</f>
        <v>3.3579399999999997</v>
      </c>
      <c r="H970" s="11" t="str">
        <f ca="1">VLOOKUP(VLOOKUP(dict_DQ_Meth_max[[#This Row],[ID_DataQualities]],table_DataQualities[],3),table_Units[],2)</f>
        <v>+/- mm</v>
      </c>
      <c r="I970" s="10"/>
      <c r="J970" s="10"/>
      <c r="K970" s="10"/>
      <c r="L970" s="10">
        <f ca="1">VLOOKUP(dict_DQ_Meth_max[[#This Row],[ID_DataQualities]],table_DataQualities[],8,FALSE)</f>
        <v>4.5999999999999999E-2</v>
      </c>
      <c r="M970" s="10">
        <f ca="1">VLOOKUP(dict_DQ_Meth_max[[#This Row],[ID_DataQualities]],table_DataQualities[],9,FALSE)</f>
        <v>6.54</v>
      </c>
    </row>
    <row r="971" spans="1:13" x14ac:dyDescent="0.45">
      <c r="A971" s="10">
        <v>259</v>
      </c>
      <c r="B971" s="10">
        <v>22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1.21492</v>
      </c>
      <c r="G971" s="12">
        <f ca="1">(RANDBETWEEN(50,100)/100)*(dict_DQ_Meth_max[[#This Row],[Vergleich_ub]]-dict_DQ_Meth_max[[#This Row],[Vergleich_lb]])+dict_DQ_Meth_max[[#This Row],[Vergleich_lb]]</f>
        <v>4.7216800000000001</v>
      </c>
      <c r="H971" s="11" t="str">
        <f ca="1">VLOOKUP(VLOOKUP(dict_DQ_Meth_max[[#This Row],[ID_DataQualities]],table_DataQualities[],3),table_Units[],2)</f>
        <v>+/- mm</v>
      </c>
      <c r="I971" s="10"/>
      <c r="J971" s="10"/>
      <c r="K971" s="10"/>
      <c r="L971" s="10">
        <f ca="1">VLOOKUP(dict_DQ_Meth_max[[#This Row],[ID_DataQualities]],table_DataQualities[],8,FALSE)</f>
        <v>4.5999999999999999E-2</v>
      </c>
      <c r="M971" s="10">
        <f ca="1">VLOOKUP(dict_DQ_Meth_max[[#This Row],[ID_DataQualities]],table_DataQualities[],9,FALSE)</f>
        <v>6.54</v>
      </c>
    </row>
    <row r="972" spans="1:13" x14ac:dyDescent="0.45">
      <c r="A972" s="10">
        <v>259</v>
      </c>
      <c r="B972" s="10">
        <v>359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2.1890199999999997</v>
      </c>
      <c r="G972" s="12">
        <f ca="1">(RANDBETWEEN(50,100)/100)*(dict_DQ_Meth_max[[#This Row],[Vergleich_ub]]-dict_DQ_Meth_max[[#This Row],[Vergleich_lb]])+dict_DQ_Meth_max[[#This Row],[Vergleich_lb]]</f>
        <v>3.5527600000000001</v>
      </c>
      <c r="H972" s="11" t="str">
        <f ca="1">VLOOKUP(VLOOKUP(dict_DQ_Meth_max[[#This Row],[ID_DataQualities]],table_DataQualities[],3),table_Units[],2)</f>
        <v>+/- mm</v>
      </c>
      <c r="I972" s="10"/>
      <c r="J972" s="10"/>
      <c r="K972" s="10"/>
      <c r="L972" s="10">
        <f ca="1">VLOOKUP(dict_DQ_Meth_max[[#This Row],[ID_DataQualities]],table_DataQualities[],8,FALSE)</f>
        <v>4.5999999999999999E-2</v>
      </c>
      <c r="M972" s="10">
        <f ca="1">VLOOKUP(dict_DQ_Meth_max[[#This Row],[ID_DataQualities]],table_DataQualities[],9,FALSE)</f>
        <v>6.54</v>
      </c>
    </row>
    <row r="973" spans="1:13" x14ac:dyDescent="0.45">
      <c r="A973" s="10">
        <v>259</v>
      </c>
      <c r="B973" s="10">
        <v>331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0.69540000000000002</v>
      </c>
      <c r="G973" s="12">
        <f ca="1">(RANDBETWEEN(50,100)/100)*(dict_DQ_Meth_max[[#This Row],[Vergleich_ub]]-dict_DQ_Meth_max[[#This Row],[Vergleich_lb]])+dict_DQ_Meth_max[[#This Row],[Vergleich_lb]]</f>
        <v>6.2153</v>
      </c>
      <c r="H973" s="11" t="str">
        <f ca="1">VLOOKUP(VLOOKUP(dict_DQ_Meth_max[[#This Row],[ID_DataQualities]],table_DataQualities[],3),table_Units[],2)</f>
        <v>+/- mm</v>
      </c>
      <c r="I973" s="10"/>
      <c r="J973" s="10"/>
      <c r="K973" s="10"/>
      <c r="L973" s="10">
        <f ca="1">VLOOKUP(dict_DQ_Meth_max[[#This Row],[ID_DataQualities]],table_DataQualities[],8,FALSE)</f>
        <v>4.5999999999999999E-2</v>
      </c>
      <c r="M973" s="10">
        <f ca="1">VLOOKUP(dict_DQ_Meth_max[[#This Row],[ID_DataQualities]],table_DataQualities[],9,FALSE)</f>
        <v>6.54</v>
      </c>
    </row>
    <row r="974" spans="1:13" x14ac:dyDescent="0.45">
      <c r="A974" s="10">
        <v>260</v>
      </c>
      <c r="B974" s="10">
        <v>487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1107.8979999999999</v>
      </c>
      <c r="G974" s="12">
        <f ca="1">(RANDBETWEEN(50,100)/100)*(dict_DQ_Meth_max[[#This Row],[Vergleich_ub]]-dict_DQ_Meth_max[[#This Row],[Vergleich_lb]])+dict_DQ_Meth_max[[#This Row],[Vergleich_lb]]</f>
        <v>3587.8781600000002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0.76400000000000001</v>
      </c>
      <c r="M974" s="10">
        <f ca="1">VLOOKUP(dict_DQ_Meth_max[[#This Row],[ID_DataQualities]],table_DataQualities[],9,FALSE)</f>
        <v>4429.3</v>
      </c>
    </row>
    <row r="975" spans="1:13" x14ac:dyDescent="0.45">
      <c r="A975" s="10">
        <v>260</v>
      </c>
      <c r="B975" s="10">
        <v>578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1683.6076799999998</v>
      </c>
      <c r="G975" s="12">
        <f ca="1">(RANDBETWEEN(50,100)/100)*(dict_DQ_Meth_max[[#This Row],[Vergleich_ub]]-dict_DQ_Meth_max[[#This Row],[Vergleich_lb]])+dict_DQ_Meth_max[[#This Row],[Vergleich_lb]]</f>
        <v>3720.7342400000002</v>
      </c>
      <c r="H975" s="11" t="str">
        <f ca="1">VLOOKUP(VLOOKUP(dict_DQ_Meth_max[[#This Row],[ID_DataQualities]],table_DataQualities[],3),table_Units[],2)</f>
        <v>Hz</v>
      </c>
      <c r="I975" s="10"/>
      <c r="J975" s="10"/>
      <c r="K975" s="10"/>
      <c r="L975" s="10">
        <f ca="1">VLOOKUP(dict_DQ_Meth_max[[#This Row],[ID_DataQualities]],table_DataQualities[],8,FALSE)</f>
        <v>0.76400000000000001</v>
      </c>
      <c r="M975" s="10">
        <f ca="1">VLOOKUP(dict_DQ_Meth_max[[#This Row],[ID_DataQualities]],table_DataQualities[],9,FALSE)</f>
        <v>4429.3</v>
      </c>
    </row>
    <row r="976" spans="1:13" x14ac:dyDescent="0.45">
      <c r="A976" s="10">
        <v>260</v>
      </c>
      <c r="B976" s="10">
        <v>458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886.47120000000007</v>
      </c>
      <c r="G976" s="12">
        <f ca="1">(RANDBETWEEN(50,100)/100)*(dict_DQ_Meth_max[[#This Row],[Vergleich_ub]]-dict_DQ_Meth_max[[#This Row],[Vergleich_lb]])+dict_DQ_Meth_max[[#This Row],[Vergleich_lb]]</f>
        <v>2702.1709599999999</v>
      </c>
      <c r="H976" s="11" t="str">
        <f ca="1">VLOOKUP(VLOOKUP(dict_DQ_Meth_max[[#This Row],[ID_DataQualities]],table_DataQualities[],3),table_Units[],2)</f>
        <v>Hz</v>
      </c>
      <c r="I976" s="10"/>
      <c r="J976" s="10"/>
      <c r="K976" s="10"/>
      <c r="L976" s="10">
        <f ca="1">VLOOKUP(dict_DQ_Meth_max[[#This Row],[ID_DataQualities]],table_DataQualities[],8,FALSE)</f>
        <v>0.76400000000000001</v>
      </c>
      <c r="M976" s="10">
        <f ca="1">VLOOKUP(dict_DQ_Meth_max[[#This Row],[ID_DataQualities]],table_DataQualities[],9,FALSE)</f>
        <v>4429.3</v>
      </c>
    </row>
    <row r="977" spans="1:13" x14ac:dyDescent="0.45">
      <c r="A977" s="10">
        <v>260</v>
      </c>
      <c r="B977" s="10">
        <v>372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443.61760000000004</v>
      </c>
      <c r="G977" s="12">
        <f ca="1">(RANDBETWEEN(50,100)/100)*(dict_DQ_Meth_max[[#This Row],[Vergleich_ub]]-dict_DQ_Meth_max[[#This Row],[Vergleich_lb]])+dict_DQ_Meth_max[[#This Row],[Vergleich_lb]]</f>
        <v>4163.5878400000001</v>
      </c>
      <c r="H977" s="11" t="str">
        <f ca="1">VLOOKUP(VLOOKUP(dict_DQ_Meth_max[[#This Row],[ID_DataQualities]],table_DataQualities[],3),table_Units[],2)</f>
        <v>Hz</v>
      </c>
      <c r="I977" s="10"/>
      <c r="J977" s="10"/>
      <c r="K977" s="10"/>
      <c r="L977" s="10">
        <f ca="1">VLOOKUP(dict_DQ_Meth_max[[#This Row],[ID_DataQualities]],table_DataQualities[],8,FALSE)</f>
        <v>0.76400000000000001</v>
      </c>
      <c r="M977" s="10">
        <f ca="1">VLOOKUP(dict_DQ_Meth_max[[#This Row],[ID_DataQualities]],table_DataQualities[],9,FALSE)</f>
        <v>4429.3</v>
      </c>
    </row>
    <row r="978" spans="1:13" x14ac:dyDescent="0.45">
      <c r="A978" s="10">
        <v>261</v>
      </c>
      <c r="B978" s="10">
        <v>578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0.98519999999999996</v>
      </c>
      <c r="G978" s="12">
        <f ca="1">(RANDBETWEEN(50,100)/100)*(dict_DQ_Meth_max[[#This Row],[Vergleich_ub]]-dict_DQ_Meth_max[[#This Row],[Vergleich_lb]])+dict_DQ_Meth_max[[#This Row],[Vergleich_lb]]</f>
        <v>2.4994000000000001</v>
      </c>
      <c r="H978" s="11" t="str">
        <f ca="1">VLOOKUP(VLOOKUP(dict_DQ_Meth_max[[#This Row],[ID_DataQualities]],table_DataQualities[],3),table_Units[],2)</f>
        <v>+/- mm/s</v>
      </c>
      <c r="I978" s="10"/>
      <c r="J978" s="10"/>
      <c r="K978" s="10"/>
      <c r="L978" s="10">
        <f ca="1">VLOOKUP(dict_DQ_Meth_max[[#This Row],[ID_DataQualities]],table_DataQualities[],8,FALSE)</f>
        <v>0.94</v>
      </c>
      <c r="M978" s="10">
        <f ca="1">VLOOKUP(dict_DQ_Meth_max[[#This Row],[ID_DataQualities]],table_DataQualities[],9,FALSE)</f>
        <v>3.2</v>
      </c>
    </row>
    <row r="979" spans="1:13" x14ac:dyDescent="0.45">
      <c r="A979" s="10">
        <v>261</v>
      </c>
      <c r="B979" s="10">
        <v>458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1.7988</v>
      </c>
      <c r="G979" s="12">
        <f ca="1">(RANDBETWEEN(50,100)/100)*(dict_DQ_Meth_max[[#This Row],[Vergleich_ub]]-dict_DQ_Meth_max[[#This Row],[Vergleich_lb]])+dict_DQ_Meth_max[[#This Row],[Vergleich_lb]]</f>
        <v>2.6124000000000001</v>
      </c>
      <c r="H979" s="11" t="str">
        <f ca="1">VLOOKUP(VLOOKUP(dict_DQ_Meth_max[[#This Row],[ID_DataQualities]],table_DataQualities[],3),table_Units[],2)</f>
        <v>+/- mm/s</v>
      </c>
      <c r="I979" s="10"/>
      <c r="J979" s="10"/>
      <c r="K979" s="10"/>
      <c r="L979" s="10">
        <f ca="1">VLOOKUP(dict_DQ_Meth_max[[#This Row],[ID_DataQualities]],table_DataQualities[],8,FALSE)</f>
        <v>0.94</v>
      </c>
      <c r="M979" s="10">
        <f ca="1">VLOOKUP(dict_DQ_Meth_max[[#This Row],[ID_DataQualities]],table_DataQualities[],9,FALSE)</f>
        <v>3.2</v>
      </c>
    </row>
    <row r="980" spans="1:13" x14ac:dyDescent="0.45">
      <c r="A980" s="10">
        <v>261</v>
      </c>
      <c r="B980" s="10">
        <v>372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1.5953999999999999</v>
      </c>
      <c r="G980" s="12">
        <f ca="1">(RANDBETWEEN(50,100)/100)*(dict_DQ_Meth_max[[#This Row],[Vergleich_ub]]-dict_DQ_Meth_max[[#This Row],[Vergleich_lb]])+dict_DQ_Meth_max[[#This Row],[Vergleich_lb]]</f>
        <v>2.8384</v>
      </c>
      <c r="H980" s="11" t="str">
        <f ca="1">VLOOKUP(VLOOKUP(dict_DQ_Meth_max[[#This Row],[ID_DataQualities]],table_DataQualities[],3),table_Units[],2)</f>
        <v>+/- mm/s</v>
      </c>
      <c r="I980" s="10"/>
      <c r="J980" s="10"/>
      <c r="K980" s="10"/>
      <c r="L980" s="10">
        <f ca="1">VLOOKUP(dict_DQ_Meth_max[[#This Row],[ID_DataQualities]],table_DataQualities[],8,FALSE)</f>
        <v>0.94</v>
      </c>
      <c r="M980" s="10">
        <f ca="1">VLOOKUP(dict_DQ_Meth_max[[#This Row],[ID_DataQualities]],table_DataQualities[],9,FALSE)</f>
        <v>3.2</v>
      </c>
    </row>
    <row r="981" spans="1:13" x14ac:dyDescent="0.45">
      <c r="A981" s="10">
        <v>261</v>
      </c>
      <c r="B981" s="10">
        <v>487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0.94</v>
      </c>
      <c r="G981" s="12">
        <f ca="1">(RANDBETWEEN(50,100)/100)*(dict_DQ_Meth_max[[#This Row],[Vergleich_ub]]-dict_DQ_Meth_max[[#This Row],[Vergleich_lb]])+dict_DQ_Meth_max[[#This Row],[Vergleich_lb]]</f>
        <v>2.6802000000000001</v>
      </c>
      <c r="H981" s="11" t="str">
        <f ca="1">VLOOKUP(VLOOKUP(dict_DQ_Meth_max[[#This Row],[ID_DataQualities]],table_DataQualities[],3),table_Units[],2)</f>
        <v>+/- mm/s</v>
      </c>
      <c r="I981" s="10"/>
      <c r="J981" s="10"/>
      <c r="K981" s="10"/>
      <c r="L981" s="10">
        <f ca="1">VLOOKUP(dict_DQ_Meth_max[[#This Row],[ID_DataQualities]],table_DataQualities[],8,FALSE)</f>
        <v>0.94</v>
      </c>
      <c r="M981" s="10">
        <f ca="1">VLOOKUP(dict_DQ_Meth_max[[#This Row],[ID_DataQualities]],table_DataQualities[],9,FALSE)</f>
        <v>3.2</v>
      </c>
    </row>
    <row r="982" spans="1:13" x14ac:dyDescent="0.45">
      <c r="A982" s="10">
        <v>262</v>
      </c>
      <c r="B982" s="10">
        <v>691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4444.1872899999998</v>
      </c>
      <c r="G982" s="12">
        <f ca="1">(RANDBETWEEN(50,100)/100)*(dict_DQ_Meth_max[[#This Row],[Vergleich_ub]]-dict_DQ_Meth_max[[#This Row],[Vergleich_lb]])+dict_DQ_Meth_max[[#This Row],[Vergleich_lb]]</f>
        <v>8982.7346500000003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0.193</v>
      </c>
      <c r="M982" s="10">
        <f ca="1">VLOOKUP(dict_DQ_Meth_max[[#This Row],[ID_DataQualities]],table_DataQualities[],9,FALSE)</f>
        <v>9455.5</v>
      </c>
    </row>
    <row r="983" spans="1:13" x14ac:dyDescent="0.45">
      <c r="A983" s="10">
        <v>262</v>
      </c>
      <c r="B983" s="10">
        <v>325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4633.2934300000006</v>
      </c>
      <c r="G983" s="12">
        <f ca="1">(RANDBETWEEN(50,100)/100)*(dict_DQ_Meth_max[[#This Row],[Vergleich_ub]]-dict_DQ_Meth_max[[#This Row],[Vergleich_lb]])+dict_DQ_Meth_max[[#This Row],[Vergleich_lb]]</f>
        <v>9171.8407900000002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0.193</v>
      </c>
      <c r="M983" s="10">
        <f ca="1">VLOOKUP(dict_DQ_Meth_max[[#This Row],[ID_DataQualities]],table_DataQualities[],9,FALSE)</f>
        <v>9455.5</v>
      </c>
    </row>
    <row r="984" spans="1:13" x14ac:dyDescent="0.45">
      <c r="A984" s="10">
        <v>262</v>
      </c>
      <c r="B984" s="10">
        <v>521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3876.8688700000002</v>
      </c>
      <c r="G984" s="12">
        <f ca="1">(RANDBETWEEN(50,100)/100)*(dict_DQ_Meth_max[[#This Row],[Vergleich_ub]]-dict_DQ_Meth_max[[#This Row],[Vergleich_lb]])+dict_DQ_Meth_max[[#This Row],[Vergleich_lb]]</f>
        <v>6240.6956200000013</v>
      </c>
      <c r="H984" s="11" t="str">
        <f ca="1">VLOOKUP(VLOOKUP(dict_DQ_Meth_max[[#This Row],[ID_DataQualities]],table_DataQualities[],3),table_Units[],2)</f>
        <v>Hz</v>
      </c>
      <c r="I984" s="10"/>
      <c r="J984" s="10"/>
      <c r="K984" s="10"/>
      <c r="L984" s="10">
        <f ca="1">VLOOKUP(dict_DQ_Meth_max[[#This Row],[ID_DataQualities]],table_DataQualities[],8,FALSE)</f>
        <v>0.193</v>
      </c>
      <c r="M984" s="10">
        <f ca="1">VLOOKUP(dict_DQ_Meth_max[[#This Row],[ID_DataQualities]],table_DataQualities[],9,FALSE)</f>
        <v>9455.5</v>
      </c>
    </row>
    <row r="985" spans="1:13" x14ac:dyDescent="0.45">
      <c r="A985" s="10">
        <v>263</v>
      </c>
      <c r="B985" s="10">
        <v>691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0.58467999999999998</v>
      </c>
      <c r="G985" s="12">
        <f ca="1">(RANDBETWEEN(50,100)/100)*(dict_DQ_Meth_max[[#This Row],[Vergleich_ub]]-dict_DQ_Meth_max[[#This Row],[Vergleich_lb]])+dict_DQ_Meth_max[[#This Row],[Vergleich_lb]]</f>
        <v>3.62521</v>
      </c>
      <c r="H985" s="11" t="str">
        <f ca="1">VLOOKUP(VLOOKUP(dict_DQ_Meth_max[[#This Row],[ID_DataQualities]],table_DataQualities[],3),table_Units[],2)</f>
        <v>+/- W</v>
      </c>
      <c r="I985" s="10"/>
      <c r="J985" s="10"/>
      <c r="K985" s="10"/>
      <c r="L985" s="10">
        <f ca="1">VLOOKUP(dict_DQ_Meth_max[[#This Row],[ID_DataQualities]],table_DataQualities[],8,FALSE)</f>
        <v>1.9E-2</v>
      </c>
      <c r="M985" s="10">
        <f ca="1">VLOOKUP(dict_DQ_Meth_max[[#This Row],[ID_DataQualities]],table_DataQualities[],9,FALSE)</f>
        <v>7.09</v>
      </c>
    </row>
    <row r="986" spans="1:13" x14ac:dyDescent="0.45">
      <c r="A986" s="10">
        <v>263</v>
      </c>
      <c r="B986" s="10">
        <v>521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1.7160399999999998</v>
      </c>
      <c r="G986" s="12">
        <f ca="1">(RANDBETWEEN(50,100)/100)*(dict_DQ_Meth_max[[#This Row],[Vergleich_ub]]-dict_DQ_Meth_max[[#This Row],[Vergleich_lb]])+dict_DQ_Meth_max[[#This Row],[Vergleich_lb]]</f>
        <v>6.1707700000000001</v>
      </c>
      <c r="H986" s="11" t="str">
        <f ca="1">VLOOKUP(VLOOKUP(dict_DQ_Meth_max[[#This Row],[ID_DataQualities]],table_DataQualities[],3),table_Units[],2)</f>
        <v>+/- W</v>
      </c>
      <c r="I986" s="10"/>
      <c r="J986" s="10"/>
      <c r="K986" s="10"/>
      <c r="L986" s="10">
        <f ca="1">VLOOKUP(dict_DQ_Meth_max[[#This Row],[ID_DataQualities]],table_DataQualities[],8,FALSE)</f>
        <v>1.9E-2</v>
      </c>
      <c r="M986" s="10">
        <f ca="1">VLOOKUP(dict_DQ_Meth_max[[#This Row],[ID_DataQualities]],table_DataQualities[],9,FALSE)</f>
        <v>7.09</v>
      </c>
    </row>
    <row r="987" spans="1:13" x14ac:dyDescent="0.45">
      <c r="A987" s="10">
        <v>263</v>
      </c>
      <c r="B987" s="10">
        <v>325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1.0089399999999999</v>
      </c>
      <c r="G987" s="12">
        <f ca="1">(RANDBETWEEN(50,100)/100)*(dict_DQ_Meth_max[[#This Row],[Vergleich_ub]]-dict_DQ_Meth_max[[#This Row],[Vergleich_lb]])+dict_DQ_Meth_max[[#This Row],[Vergleich_lb]]</f>
        <v>4.1908899999999996</v>
      </c>
      <c r="H987" s="11" t="str">
        <f ca="1">VLOOKUP(VLOOKUP(dict_DQ_Meth_max[[#This Row],[ID_DataQualities]],table_DataQualities[],3),table_Units[],2)</f>
        <v>+/- W</v>
      </c>
      <c r="I987" s="10"/>
      <c r="J987" s="10"/>
      <c r="K987" s="10"/>
      <c r="L987" s="10">
        <f ca="1">VLOOKUP(dict_DQ_Meth_max[[#This Row],[ID_DataQualities]],table_DataQualities[],8,FALSE)</f>
        <v>1.9E-2</v>
      </c>
      <c r="M987" s="10">
        <f ca="1">VLOOKUP(dict_DQ_Meth_max[[#This Row],[ID_DataQualities]],table_DataQualities[],9,FALSE)</f>
        <v>7.09</v>
      </c>
    </row>
    <row r="988" spans="1:13" x14ac:dyDescent="0.45">
      <c r="A988" s="10">
        <v>264</v>
      </c>
      <c r="B988" s="10">
        <v>104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314.47773999999998</v>
      </c>
      <c r="G988" s="12">
        <f ca="1">(RANDBETWEEN(50,100)/100)*(dict_DQ_Meth_max[[#This Row],[Vergleich_ub]]-dict_DQ_Meth_max[[#This Row],[Vergleich_lb]])+dict_DQ_Meth_max[[#This Row],[Vergleich_lb]]</f>
        <v>517.48516000000006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0.73899999999999999</v>
      </c>
      <c r="M988" s="10">
        <f ca="1">VLOOKUP(dict_DQ_Meth_max[[#This Row],[ID_DataQualities]],table_DataQualities[],9,FALSE)</f>
        <v>923.5</v>
      </c>
    </row>
    <row r="989" spans="1:13" x14ac:dyDescent="0.45">
      <c r="A989" s="10">
        <v>264</v>
      </c>
      <c r="B989" s="10">
        <v>19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28.42183</v>
      </c>
      <c r="G989" s="12">
        <f ca="1">(RANDBETWEEN(50,100)/100)*(dict_DQ_Meth_max[[#This Row],[Vergleich_ub]]-dict_DQ_Meth_max[[#This Row],[Vergleich_lb]])+dict_DQ_Meth_max[[#This Row],[Vergleich_lb]]</f>
        <v>868.13433999999995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0.73899999999999999</v>
      </c>
      <c r="M989" s="10">
        <f ca="1">VLOOKUP(dict_DQ_Meth_max[[#This Row],[ID_DataQualities]],table_DataQualities[],9,FALSE)</f>
        <v>923.5</v>
      </c>
    </row>
    <row r="990" spans="1:13" x14ac:dyDescent="0.45">
      <c r="A990" s="10">
        <v>264</v>
      </c>
      <c r="B990" s="10">
        <v>173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379.07100999999994</v>
      </c>
      <c r="G990" s="12">
        <f ca="1">(RANDBETWEEN(50,100)/100)*(dict_DQ_Meth_max[[#This Row],[Vergleich_ub]]-dict_DQ_Meth_max[[#This Row],[Vergleich_lb]])+dict_DQ_Meth_max[[#This Row],[Vergleich_lb]]</f>
        <v>923.5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0.73899999999999999</v>
      </c>
      <c r="M990" s="10">
        <f ca="1">VLOOKUP(dict_DQ_Meth_max[[#This Row],[ID_DataQualities]],table_DataQualities[],9,FALSE)</f>
        <v>923.5</v>
      </c>
    </row>
    <row r="991" spans="1:13" x14ac:dyDescent="0.45">
      <c r="A991" s="10">
        <v>265</v>
      </c>
      <c r="B991" s="10">
        <v>104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1.65</v>
      </c>
      <c r="G991" s="12">
        <f ca="1">(RANDBETWEEN(50,100)/100)*(dict_DQ_Meth_max[[#This Row],[Vergleich_ub]]-dict_DQ_Meth_max[[#This Row],[Vergleich_lb]])+dict_DQ_Meth_max[[#This Row],[Vergleich_lb]]</f>
        <v>3.4480000000000004</v>
      </c>
      <c r="H991" s="11" t="str">
        <f ca="1">VLOOKUP(VLOOKUP(dict_DQ_Meth_max[[#This Row],[ID_DataQualities]],table_DataQualities[],3),table_Units[],2)</f>
        <v>+/- °C</v>
      </c>
      <c r="I991" s="10"/>
      <c r="J991" s="10"/>
      <c r="K991" s="10"/>
      <c r="L991" s="10">
        <f ca="1">VLOOKUP(dict_DQ_Meth_max[[#This Row],[ID_DataQualities]],table_DataQualities[],8,FALSE)</f>
        <v>0.2</v>
      </c>
      <c r="M991" s="10">
        <f ca="1">VLOOKUP(dict_DQ_Meth_max[[#This Row],[ID_DataQualities]],table_DataQualities[],9,FALSE)</f>
        <v>6</v>
      </c>
    </row>
    <row r="992" spans="1:13" x14ac:dyDescent="0.45">
      <c r="A992" s="10">
        <v>265</v>
      </c>
      <c r="B992" s="10">
        <v>173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1.4179999999999999</v>
      </c>
      <c r="G992" s="12">
        <f ca="1">(RANDBETWEEN(50,100)/100)*(dict_DQ_Meth_max[[#This Row],[Vergleich_ub]]-dict_DQ_Meth_max[[#This Row],[Vergleich_lb]])+dict_DQ_Meth_max[[#This Row],[Vergleich_lb]]</f>
        <v>5.3040000000000003</v>
      </c>
      <c r="H992" s="11" t="str">
        <f ca="1">VLOOKUP(VLOOKUP(dict_DQ_Meth_max[[#This Row],[ID_DataQualities]],table_DataQualities[],3),table_Units[],2)</f>
        <v>+/- °C</v>
      </c>
      <c r="I992" s="10"/>
      <c r="J992" s="10"/>
      <c r="K992" s="10"/>
      <c r="L992" s="10">
        <f ca="1">VLOOKUP(dict_DQ_Meth_max[[#This Row],[ID_DataQualities]],table_DataQualities[],8,FALSE)</f>
        <v>0.2</v>
      </c>
      <c r="M992" s="10">
        <f ca="1">VLOOKUP(dict_DQ_Meth_max[[#This Row],[ID_DataQualities]],table_DataQualities[],9,FALSE)</f>
        <v>6</v>
      </c>
    </row>
    <row r="993" spans="1:13" x14ac:dyDescent="0.45">
      <c r="A993" s="10">
        <v>265</v>
      </c>
      <c r="B993" s="10">
        <v>19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1.1859999999999999</v>
      </c>
      <c r="G993" s="12">
        <f ca="1">(RANDBETWEEN(50,100)/100)*(dict_DQ_Meth_max[[#This Row],[Vergleich_ub]]-dict_DQ_Meth_max[[#This Row],[Vergleich_lb]])+dict_DQ_Meth_max[[#This Row],[Vergleich_lb]]</f>
        <v>4.6660000000000004</v>
      </c>
      <c r="H993" s="11" t="str">
        <f ca="1">VLOOKUP(VLOOKUP(dict_DQ_Meth_max[[#This Row],[ID_DataQualities]],table_DataQualities[],3),table_Units[],2)</f>
        <v>+/- °C</v>
      </c>
      <c r="I993" s="10"/>
      <c r="J993" s="10"/>
      <c r="K993" s="10"/>
      <c r="L993" s="10">
        <f ca="1">VLOOKUP(dict_DQ_Meth_max[[#This Row],[ID_DataQualities]],table_DataQualities[],8,FALSE)</f>
        <v>0.2</v>
      </c>
      <c r="M993" s="10">
        <f ca="1">VLOOKUP(dict_DQ_Meth_max[[#This Row],[ID_DataQualities]],table_DataQualities[],9,FALSE)</f>
        <v>6</v>
      </c>
    </row>
    <row r="994" spans="1:13" x14ac:dyDescent="0.45">
      <c r="A994" s="10">
        <v>266</v>
      </c>
      <c r="B994" s="10">
        <v>539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395.45567999999997</v>
      </c>
      <c r="G994" s="12">
        <f ca="1">(RANDBETWEEN(50,100)/100)*(dict_DQ_Meth_max[[#This Row],[Vergleich_ub]]-dict_DQ_Meth_max[[#This Row],[Vergleich_lb]])+dict_DQ_Meth_max[[#This Row],[Vergleich_lb]]</f>
        <v>6320.4208799999988</v>
      </c>
      <c r="H994" s="11" t="str">
        <f ca="1">VLOOKUP(VLOOKUP(dict_DQ_Meth_max[[#This Row],[ID_DataQualities]],table_DataQualities[],3),table_Units[],2)</f>
        <v>Hz</v>
      </c>
      <c r="I994" s="10"/>
      <c r="J994" s="10"/>
      <c r="K994" s="10"/>
      <c r="L994" s="10">
        <f ca="1">VLOOKUP(dict_DQ_Meth_max[[#This Row],[ID_DataQualities]],table_DataQualities[],8,FALSE)</f>
        <v>0.45800000000000002</v>
      </c>
      <c r="M994" s="10">
        <f ca="1">VLOOKUP(dict_DQ_Meth_max[[#This Row],[ID_DataQualities]],table_DataQualities[],9,FALSE)</f>
        <v>9875.4</v>
      </c>
    </row>
    <row r="995" spans="1:13" x14ac:dyDescent="0.45">
      <c r="A995" s="10">
        <v>266</v>
      </c>
      <c r="B995" s="10">
        <v>526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2864.1911799999998</v>
      </c>
      <c r="G995" s="12">
        <f ca="1">(RANDBETWEEN(50,100)/100)*(dict_DQ_Meth_max[[#This Row],[Vergleich_ub]]-dict_DQ_Meth_max[[#This Row],[Vergleich_lb]])+dict_DQ_Meth_max[[#This Row],[Vergleich_lb]]</f>
        <v>7505.4139199999991</v>
      </c>
      <c r="H995" s="11" t="str">
        <f ca="1">VLOOKUP(VLOOKUP(dict_DQ_Meth_max[[#This Row],[ID_DataQualities]],table_DataQualities[],3),table_Units[],2)</f>
        <v>Hz</v>
      </c>
      <c r="I995" s="10"/>
      <c r="J995" s="10"/>
      <c r="K995" s="10"/>
      <c r="L995" s="10">
        <f ca="1">VLOOKUP(dict_DQ_Meth_max[[#This Row],[ID_DataQualities]],table_DataQualities[],8,FALSE)</f>
        <v>0.45800000000000002</v>
      </c>
      <c r="M995" s="10">
        <f ca="1">VLOOKUP(dict_DQ_Meth_max[[#This Row],[ID_DataQualities]],table_DataQualities[],9,FALSE)</f>
        <v>9875.4</v>
      </c>
    </row>
    <row r="996" spans="1:13" x14ac:dyDescent="0.45">
      <c r="A996" s="10">
        <v>266</v>
      </c>
      <c r="B996" s="10">
        <v>231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1284.20046</v>
      </c>
      <c r="G996" s="12">
        <f ca="1">(RANDBETWEEN(50,100)/100)*(dict_DQ_Meth_max[[#This Row],[Vergleich_ub]]-dict_DQ_Meth_max[[#This Row],[Vergleich_lb]])+dict_DQ_Meth_max[[#This Row],[Vergleich_lb]]</f>
        <v>8097.9104399999987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0.45800000000000002</v>
      </c>
      <c r="M996" s="10">
        <f ca="1">VLOOKUP(dict_DQ_Meth_max[[#This Row],[ID_DataQualities]],table_DataQualities[],9,FALSE)</f>
        <v>9875.4</v>
      </c>
    </row>
    <row r="997" spans="1:13" x14ac:dyDescent="0.45">
      <c r="A997" s="10">
        <v>266</v>
      </c>
      <c r="B997" s="10">
        <v>495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3259.1888599999997</v>
      </c>
      <c r="G997" s="12">
        <f ca="1">(RANDBETWEEN(50,100)/100)*(dict_DQ_Meth_max[[#This Row],[Vergleich_ub]]-dict_DQ_Meth_max[[#This Row],[Vergleich_lb]])+dict_DQ_Meth_max[[#This Row],[Vergleich_lb]]</f>
        <v>7209.1656599999988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0.45800000000000002</v>
      </c>
      <c r="M997" s="10">
        <f ca="1">VLOOKUP(dict_DQ_Meth_max[[#This Row],[ID_DataQualities]],table_DataQualities[],9,FALSE)</f>
        <v>9875.4</v>
      </c>
    </row>
    <row r="998" spans="1:13" x14ac:dyDescent="0.45">
      <c r="A998" s="10">
        <v>266</v>
      </c>
      <c r="B998" s="10">
        <v>674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2271.6946600000001</v>
      </c>
      <c r="G998" s="12">
        <f ca="1">(RANDBETWEEN(50,100)/100)*(dict_DQ_Meth_max[[#This Row],[Vergleich_ub]]-dict_DQ_Meth_max[[#This Row],[Vergleich_lb]])+dict_DQ_Meth_max[[#This Row],[Vergleich_lb]]</f>
        <v>6221.6714599999987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0.45800000000000002</v>
      </c>
      <c r="M998" s="10">
        <f ca="1">VLOOKUP(dict_DQ_Meth_max[[#This Row],[ID_DataQualities]],table_DataQualities[],9,FALSE)</f>
        <v>9875.4</v>
      </c>
    </row>
    <row r="999" spans="1:13" x14ac:dyDescent="0.45">
      <c r="A999" s="10">
        <v>267</v>
      </c>
      <c r="B999" s="10">
        <v>674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0.10670000000000002</v>
      </c>
      <c r="G999" s="12">
        <f ca="1">(RANDBETWEEN(50,100)/100)*(dict_DQ_Meth_max[[#This Row],[Vergleich_ub]]-dict_DQ_Meth_max[[#This Row],[Vergleich_lb]])+dict_DQ_Meth_max[[#This Row],[Vergleich_lb]]</f>
        <v>2.8620000000000005</v>
      </c>
      <c r="H999" s="11" t="str">
        <f ca="1">VLOOKUP(VLOOKUP(dict_DQ_Meth_max[[#This Row],[ID_DataQualities]],table_DataQualities[],3),table_Units[],2)</f>
        <v>+/- mm</v>
      </c>
      <c r="I999" s="10"/>
      <c r="J999" s="10"/>
      <c r="K999" s="10"/>
      <c r="L999" s="10">
        <f ca="1">VLOOKUP(dict_DQ_Meth_max[[#This Row],[ID_DataQualities]],table_DataQualities[],8,FALSE)</f>
        <v>0.06</v>
      </c>
      <c r="M999" s="10">
        <f ca="1">VLOOKUP(dict_DQ_Meth_max[[#This Row],[ID_DataQualities]],table_DataQualities[],9,FALSE)</f>
        <v>4.7300000000000004</v>
      </c>
    </row>
    <row r="1000" spans="1:13" x14ac:dyDescent="0.45">
      <c r="A1000" s="10">
        <v>267</v>
      </c>
      <c r="B1000" s="10">
        <v>495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0.90060000000000007</v>
      </c>
      <c r="G1000" s="12">
        <f ca="1">(RANDBETWEEN(50,100)/100)*(dict_DQ_Meth_max[[#This Row],[Vergleich_ub]]-dict_DQ_Meth_max[[#This Row],[Vergleich_lb]])+dict_DQ_Meth_max[[#This Row],[Vergleich_lb]]</f>
        <v>4.1229000000000005</v>
      </c>
      <c r="H1000" s="11" t="str">
        <f ca="1">VLOOKUP(VLOOKUP(dict_DQ_Meth_max[[#This Row],[ID_DataQualities]],table_DataQualities[],3),table_Units[],2)</f>
        <v>+/- mm</v>
      </c>
      <c r="I1000" s="10"/>
      <c r="J1000" s="10"/>
      <c r="K1000" s="10"/>
      <c r="L1000" s="10">
        <f ca="1">VLOOKUP(dict_DQ_Meth_max[[#This Row],[ID_DataQualities]],table_DataQualities[],8,FALSE)</f>
        <v>0.06</v>
      </c>
      <c r="M1000" s="10">
        <f ca="1">VLOOKUP(dict_DQ_Meth_max[[#This Row],[ID_DataQualities]],table_DataQualities[],9,FALSE)</f>
        <v>4.7300000000000004</v>
      </c>
    </row>
    <row r="1001" spans="1:13" x14ac:dyDescent="0.45">
      <c r="A1001" s="10">
        <v>267</v>
      </c>
      <c r="B1001" s="10">
        <v>231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1.6945000000000003</v>
      </c>
      <c r="G1001" s="12">
        <f ca="1">(RANDBETWEEN(50,100)/100)*(dict_DQ_Meth_max[[#This Row],[Vergleich_ub]]-dict_DQ_Meth_max[[#This Row],[Vergleich_lb]])+dict_DQ_Meth_max[[#This Row],[Vergleich_lb]]</f>
        <v>3.9361000000000006</v>
      </c>
      <c r="H1001" s="11" t="str">
        <f ca="1">VLOOKUP(VLOOKUP(dict_DQ_Meth_max[[#This Row],[ID_DataQualities]],table_DataQualities[],3),table_Units[],2)</f>
        <v>+/- mm</v>
      </c>
      <c r="I1001" s="10"/>
      <c r="J1001" s="10"/>
      <c r="K1001" s="10"/>
      <c r="L1001" s="10">
        <f ca="1">VLOOKUP(dict_DQ_Meth_max[[#This Row],[ID_DataQualities]],table_DataQualities[],8,FALSE)</f>
        <v>0.06</v>
      </c>
      <c r="M1001" s="10">
        <f ca="1">VLOOKUP(dict_DQ_Meth_max[[#This Row],[ID_DataQualities]],table_DataQualities[],9,FALSE)</f>
        <v>4.7300000000000004</v>
      </c>
    </row>
    <row r="1002" spans="1:13" x14ac:dyDescent="0.45">
      <c r="A1002" s="10">
        <v>267</v>
      </c>
      <c r="B1002" s="10">
        <v>526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1.9280000000000004</v>
      </c>
      <c r="G1002" s="12">
        <f ca="1">(RANDBETWEEN(50,100)/100)*(dict_DQ_Meth_max[[#This Row],[Vergleich_ub]]-dict_DQ_Meth_max[[#This Row],[Vergleich_lb]])+dict_DQ_Meth_max[[#This Row],[Vergleich_lb]]</f>
        <v>4.3564000000000007</v>
      </c>
      <c r="H1002" s="11" t="str">
        <f ca="1">VLOOKUP(VLOOKUP(dict_DQ_Meth_max[[#This Row],[ID_DataQualities]],table_DataQualities[],3),table_Units[],2)</f>
        <v>+/- mm</v>
      </c>
      <c r="I1002" s="10"/>
      <c r="J1002" s="10"/>
      <c r="K1002" s="10"/>
      <c r="L1002" s="10">
        <f ca="1">VLOOKUP(dict_DQ_Meth_max[[#This Row],[ID_DataQualities]],table_DataQualities[],8,FALSE)</f>
        <v>0.06</v>
      </c>
      <c r="M1002" s="10">
        <f ca="1">VLOOKUP(dict_DQ_Meth_max[[#This Row],[ID_DataQualities]],table_DataQualities[],9,FALSE)</f>
        <v>4.7300000000000004</v>
      </c>
    </row>
    <row r="1003" spans="1:13" x14ac:dyDescent="0.45">
      <c r="A1003" s="10">
        <v>267</v>
      </c>
      <c r="B1003" s="10">
        <v>539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0.34020000000000006</v>
      </c>
      <c r="G1003" s="12">
        <f ca="1">(RANDBETWEEN(50,100)/100)*(dict_DQ_Meth_max[[#This Row],[Vergleich_ub]]-dict_DQ_Meth_max[[#This Row],[Vergleich_lb]])+dict_DQ_Meth_max[[#This Row],[Vergleich_lb]]</f>
        <v>2.9554000000000005</v>
      </c>
      <c r="H1003" s="11" t="str">
        <f ca="1">VLOOKUP(VLOOKUP(dict_DQ_Meth_max[[#This Row],[ID_DataQualities]],table_DataQualities[],3),table_Units[],2)</f>
        <v>+/- mm</v>
      </c>
      <c r="I1003" s="10"/>
      <c r="J1003" s="10"/>
      <c r="K1003" s="10"/>
      <c r="L1003" s="10">
        <f ca="1">VLOOKUP(dict_DQ_Meth_max[[#This Row],[ID_DataQualities]],table_DataQualities[],8,FALSE)</f>
        <v>0.06</v>
      </c>
      <c r="M1003" s="10">
        <f ca="1">VLOOKUP(dict_DQ_Meth_max[[#This Row],[ID_DataQualities]],table_DataQualities[],9,FALSE)</f>
        <v>4.7300000000000004</v>
      </c>
    </row>
    <row r="1004" spans="1:13" x14ac:dyDescent="0.45">
      <c r="A1004" s="10">
        <v>268</v>
      </c>
      <c r="B1004" s="10">
        <v>453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2210.5658199999998</v>
      </c>
      <c r="G1004" s="12">
        <f ca="1">(RANDBETWEEN(50,100)/100)*(dict_DQ_Meth_max[[#This Row],[Vergleich_ub]]-dict_DQ_Meth_max[[#This Row],[Vergleich_lb]])+dict_DQ_Meth_max[[#This Row],[Vergleich_lb]]</f>
        <v>3574.3505599999999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0.29399999999999998</v>
      </c>
      <c r="M1004" s="10">
        <f ca="1">VLOOKUP(dict_DQ_Meth_max[[#This Row],[ID_DataQualities]],table_DataQualities[],9,FALSE)</f>
        <v>4703</v>
      </c>
    </row>
    <row r="1005" spans="1:13" x14ac:dyDescent="0.45">
      <c r="A1005" s="10">
        <v>268</v>
      </c>
      <c r="B1005" s="10">
        <v>15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1599.2140400000003</v>
      </c>
      <c r="G1005" s="12">
        <f ca="1">(RANDBETWEEN(50,100)/100)*(dict_DQ_Meth_max[[#This Row],[Vergleich_ub]]-dict_DQ_Meth_max[[#This Row],[Vergleich_lb]])+dict_DQ_Meth_max[[#This Row],[Vergleich_lb]]</f>
        <v>3856.5129199999997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0.29399999999999998</v>
      </c>
      <c r="M1005" s="10">
        <f ca="1">VLOOKUP(dict_DQ_Meth_max[[#This Row],[ID_DataQualities]],table_DataQualities[],9,FALSE)</f>
        <v>4703</v>
      </c>
    </row>
    <row r="1006" spans="1:13" x14ac:dyDescent="0.45">
      <c r="A1006" s="10">
        <v>268</v>
      </c>
      <c r="B1006" s="10">
        <v>606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1599.2140400000003</v>
      </c>
      <c r="G1006" s="12">
        <f ca="1">(RANDBETWEEN(50,100)/100)*(dict_DQ_Meth_max[[#This Row],[Vergleich_ub]]-dict_DQ_Meth_max[[#This Row],[Vergleich_lb]])+dict_DQ_Meth_max[[#This Row],[Vergleich_lb]]</f>
        <v>4420.8376399999997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0.29399999999999998</v>
      </c>
      <c r="M1006" s="10">
        <f ca="1">VLOOKUP(dict_DQ_Meth_max[[#This Row],[ID_DataQualities]],table_DataQualities[],9,FALSE)</f>
        <v>4703</v>
      </c>
    </row>
    <row r="1007" spans="1:13" x14ac:dyDescent="0.45">
      <c r="A1007" s="10">
        <v>269</v>
      </c>
      <c r="B1007" s="10">
        <v>606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855.16</v>
      </c>
      <c r="G1007" s="12">
        <f ca="1">(RANDBETWEEN(50,100)/100)*(dict_DQ_Meth_max[[#This Row],[Vergleich_ub]]-dict_DQ_Meth_max[[#This Row],[Vergleich_lb]])+dict_DQ_Meth_max[[#This Row],[Vergleich_lb]]</f>
        <v>6811</v>
      </c>
      <c r="H1007" s="11" t="str">
        <f ca="1">VLOOKUP(VLOOKUP(dict_DQ_Meth_max[[#This Row],[ID_DataQualities]],table_DataQualities[],3),table_Units[],2)</f>
        <v>bit</v>
      </c>
      <c r="I1007" s="10"/>
      <c r="J1007" s="10"/>
      <c r="K1007" s="10"/>
      <c r="L1007" s="10">
        <f ca="1">VLOOKUP(dict_DQ_Meth_max[[#This Row],[ID_DataQualities]],table_DataQualities[],8,FALSE)</f>
        <v>43</v>
      </c>
      <c r="M1007" s="10">
        <f ca="1">VLOOKUP(dict_DQ_Meth_max[[#This Row],[ID_DataQualities]],table_DataQualities[],9,FALSE)</f>
        <v>9067</v>
      </c>
    </row>
    <row r="1008" spans="1:13" x14ac:dyDescent="0.45">
      <c r="A1008" s="10">
        <v>269</v>
      </c>
      <c r="B1008" s="10">
        <v>453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2479.48</v>
      </c>
      <c r="G1008" s="12">
        <f ca="1">(RANDBETWEEN(50,100)/100)*(dict_DQ_Meth_max[[#This Row],[Vergleich_ub]]-dict_DQ_Meth_max[[#This Row],[Vergleich_lb]])+dict_DQ_Meth_max[[#This Row],[Vergleich_lb]]</f>
        <v>6450.04</v>
      </c>
      <c r="H1008" s="11" t="str">
        <f ca="1">VLOOKUP(VLOOKUP(dict_DQ_Meth_max[[#This Row],[ID_DataQualities]],table_DataQualities[],3),table_Units[],2)</f>
        <v>bit</v>
      </c>
      <c r="I1008" s="10"/>
      <c r="J1008" s="10"/>
      <c r="K1008" s="10"/>
      <c r="L1008" s="10">
        <f ca="1">VLOOKUP(dict_DQ_Meth_max[[#This Row],[ID_DataQualities]],table_DataQualities[],8,FALSE)</f>
        <v>43</v>
      </c>
      <c r="M1008" s="10">
        <f ca="1">VLOOKUP(dict_DQ_Meth_max[[#This Row],[ID_DataQualities]],table_DataQualities[],9,FALSE)</f>
        <v>9067</v>
      </c>
    </row>
    <row r="1009" spans="1:13" x14ac:dyDescent="0.45">
      <c r="A1009" s="10">
        <v>269</v>
      </c>
      <c r="B1009" s="10">
        <v>15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43</v>
      </c>
      <c r="G1009" s="12">
        <f ca="1">(RANDBETWEEN(50,100)/100)*(dict_DQ_Meth_max[[#This Row],[Vergleich_ub]]-dict_DQ_Meth_max[[#This Row],[Vergleich_lb]])+dict_DQ_Meth_max[[#This Row],[Vergleich_lb]]</f>
        <v>8164.6</v>
      </c>
      <c r="H1009" s="11" t="str">
        <f ca="1">VLOOKUP(VLOOKUP(dict_DQ_Meth_max[[#This Row],[ID_DataQualities]],table_DataQualities[],3),table_Units[],2)</f>
        <v>bit</v>
      </c>
      <c r="I1009" s="10"/>
      <c r="J1009" s="10"/>
      <c r="K1009" s="10"/>
      <c r="L1009" s="10">
        <f ca="1">VLOOKUP(dict_DQ_Meth_max[[#This Row],[ID_DataQualities]],table_DataQualities[],8,FALSE)</f>
        <v>43</v>
      </c>
      <c r="M1009" s="10">
        <f ca="1">VLOOKUP(dict_DQ_Meth_max[[#This Row],[ID_DataQualities]],table_DataQualities[],9,FALSE)</f>
        <v>9067</v>
      </c>
    </row>
    <row r="1010" spans="1:13" x14ac:dyDescent="0.45">
      <c r="A1010" s="10">
        <v>270</v>
      </c>
      <c r="B1010" s="10">
        <v>522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1431.63355</v>
      </c>
      <c r="G1010" s="12">
        <f ca="1">(RANDBETWEEN(50,100)/100)*(dict_DQ_Meth_max[[#This Row],[Vergleich_ub]]-dict_DQ_Meth_max[[#This Row],[Vergleich_lb]])+dict_DQ_Meth_max[[#This Row],[Vergleich_lb]]</f>
        <v>3766.8775000000001</v>
      </c>
      <c r="H1010" s="11" t="str">
        <f ca="1">VLOOKUP(VLOOKUP(dict_DQ_Meth_max[[#This Row],[ID_DataQualities]],table_DataQualities[],3),table_Units[],2)</f>
        <v>Hz</v>
      </c>
      <c r="I1010" s="10"/>
      <c r="J1010" s="10"/>
      <c r="K1010" s="10"/>
      <c r="L1010" s="10">
        <f ca="1">VLOOKUP(dict_DQ_Meth_max[[#This Row],[ID_DataQualities]],table_DataQualities[],8,FALSE)</f>
        <v>0.35499999999999998</v>
      </c>
      <c r="M1010" s="10">
        <f ca="1">VLOOKUP(dict_DQ_Meth_max[[#This Row],[ID_DataQualities]],table_DataQualities[],9,FALSE)</f>
        <v>7533.4</v>
      </c>
    </row>
    <row r="1011" spans="1:13" x14ac:dyDescent="0.45">
      <c r="A1011" s="10">
        <v>270</v>
      </c>
      <c r="B1011" s="10">
        <v>58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2109.6076000000003</v>
      </c>
      <c r="G1011" s="12">
        <f ca="1">(RANDBETWEEN(50,100)/100)*(dict_DQ_Meth_max[[#This Row],[Vergleich_ub]]-dict_DQ_Meth_max[[#This Row],[Vergleich_lb]])+dict_DQ_Meth_max[[#This Row],[Vergleich_lb]]</f>
        <v>3766.8775000000001</v>
      </c>
      <c r="H1011" s="11" t="str">
        <f ca="1">VLOOKUP(VLOOKUP(dict_DQ_Meth_max[[#This Row],[ID_DataQualities]],table_DataQualities[],3),table_Units[],2)</f>
        <v>Hz</v>
      </c>
      <c r="I1011" s="10"/>
      <c r="J1011" s="10"/>
      <c r="K1011" s="10"/>
      <c r="L1011" s="10">
        <f ca="1">VLOOKUP(dict_DQ_Meth_max[[#This Row],[ID_DataQualities]],table_DataQualities[],8,FALSE)</f>
        <v>0.35499999999999998</v>
      </c>
      <c r="M1011" s="10">
        <f ca="1">VLOOKUP(dict_DQ_Meth_max[[#This Row],[ID_DataQualities]],table_DataQualities[],9,FALSE)</f>
        <v>7533.4</v>
      </c>
    </row>
    <row r="1012" spans="1:13" x14ac:dyDescent="0.45">
      <c r="A1012" s="10">
        <v>270</v>
      </c>
      <c r="B1012" s="10">
        <v>490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753.65950000000009</v>
      </c>
      <c r="G1012" s="12">
        <f ca="1">(RANDBETWEEN(50,100)/100)*(dict_DQ_Meth_max[[#This Row],[Vergleich_ub]]-dict_DQ_Meth_max[[#This Row],[Vergleich_lb]])+dict_DQ_Meth_max[[#This Row],[Vergleich_lb]]</f>
        <v>5876.1300999999994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0.35499999999999998</v>
      </c>
      <c r="M1012" s="10">
        <f ca="1">VLOOKUP(dict_DQ_Meth_max[[#This Row],[ID_DataQualities]],table_DataQualities[],9,FALSE)</f>
        <v>7533.4</v>
      </c>
    </row>
    <row r="1013" spans="1:13" x14ac:dyDescent="0.45">
      <c r="A1013" s="10">
        <v>270</v>
      </c>
      <c r="B1013" s="10">
        <v>272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2260.2685000000001</v>
      </c>
      <c r="G1013" s="12">
        <f ca="1">(RANDBETWEEN(50,100)/100)*(dict_DQ_Meth_max[[#This Row],[Vergleich_ub]]-dict_DQ_Meth_max[[#This Row],[Vergleich_lb]])+dict_DQ_Meth_max[[#This Row],[Vergleich_lb]]</f>
        <v>4746.17335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0.35499999999999998</v>
      </c>
      <c r="M1013" s="10">
        <f ca="1">VLOOKUP(dict_DQ_Meth_max[[#This Row],[ID_DataQualities]],table_DataQualities[],9,FALSE)</f>
        <v>7533.4</v>
      </c>
    </row>
    <row r="1014" spans="1:13" x14ac:dyDescent="0.45">
      <c r="A1014" s="10">
        <v>271</v>
      </c>
      <c r="B1014" s="10">
        <v>490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1100.5</v>
      </c>
      <c r="G1014" s="12">
        <f ca="1">(RANDBETWEEN(50,100)/100)*(dict_DQ_Meth_max[[#This Row],[Vergleich_ub]]-dict_DQ_Meth_max[[#This Row],[Vergleich_lb]])+dict_DQ_Meth_max[[#This Row],[Vergleich_lb]]</f>
        <v>2160.37</v>
      </c>
      <c r="H1014" s="11" t="str">
        <f ca="1">VLOOKUP(VLOOKUP(dict_DQ_Meth_max[[#This Row],[ID_DataQualities]],table_DataQualities[],3),table_Units[],2)</f>
        <v>bit</v>
      </c>
      <c r="I1014" s="10"/>
      <c r="J1014" s="10"/>
      <c r="K1014" s="10"/>
      <c r="L1014" s="10">
        <f ca="1">VLOOKUP(dict_DQ_Meth_max[[#This Row],[ID_DataQualities]],table_DataQualities[],8,FALSE)</f>
        <v>19</v>
      </c>
      <c r="M1014" s="10">
        <f ca="1">VLOOKUP(dict_DQ_Meth_max[[#This Row],[ID_DataQualities]],table_DataQualities[],9,FALSE)</f>
        <v>2182</v>
      </c>
    </row>
    <row r="1015" spans="1:13" x14ac:dyDescent="0.45">
      <c r="A1015" s="10">
        <v>271</v>
      </c>
      <c r="B1015" s="10">
        <v>522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884.2</v>
      </c>
      <c r="G1015" s="12">
        <f ca="1">(RANDBETWEEN(50,100)/100)*(dict_DQ_Meth_max[[#This Row],[Vergleich_ub]]-dict_DQ_Meth_max[[#This Row],[Vergleich_lb]])+dict_DQ_Meth_max[[#This Row],[Vergleich_lb]]</f>
        <v>1208.6500000000001</v>
      </c>
      <c r="H1015" s="11" t="str">
        <f ca="1">VLOOKUP(VLOOKUP(dict_DQ_Meth_max[[#This Row],[ID_DataQualities]],table_DataQualities[],3),table_Units[],2)</f>
        <v>bit</v>
      </c>
      <c r="I1015" s="10"/>
      <c r="J1015" s="10"/>
      <c r="K1015" s="10"/>
      <c r="L1015" s="10">
        <f ca="1">VLOOKUP(dict_DQ_Meth_max[[#This Row],[ID_DataQualities]],table_DataQualities[],8,FALSE)</f>
        <v>19</v>
      </c>
      <c r="M1015" s="10">
        <f ca="1">VLOOKUP(dict_DQ_Meth_max[[#This Row],[ID_DataQualities]],table_DataQualities[],9,FALSE)</f>
        <v>2182</v>
      </c>
    </row>
    <row r="1016" spans="1:13" x14ac:dyDescent="0.45">
      <c r="A1016" s="10">
        <v>271</v>
      </c>
      <c r="B1016" s="10">
        <v>272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1057.24</v>
      </c>
      <c r="G1016" s="12">
        <f ca="1">(RANDBETWEEN(50,100)/100)*(dict_DQ_Meth_max[[#This Row],[Vergleich_ub]]-dict_DQ_Meth_max[[#This Row],[Vergleich_lb]])+dict_DQ_Meth_max[[#This Row],[Vergleich_lb]]</f>
        <v>1684.51</v>
      </c>
      <c r="H1016" s="11" t="str">
        <f ca="1">VLOOKUP(VLOOKUP(dict_DQ_Meth_max[[#This Row],[ID_DataQualities]],table_DataQualities[],3),table_Units[],2)</f>
        <v>bit</v>
      </c>
      <c r="I1016" s="10"/>
      <c r="J1016" s="10"/>
      <c r="K1016" s="10"/>
      <c r="L1016" s="10">
        <f ca="1">VLOOKUP(dict_DQ_Meth_max[[#This Row],[ID_DataQualities]],table_DataQualities[],8,FALSE)</f>
        <v>19</v>
      </c>
      <c r="M1016" s="10">
        <f ca="1">VLOOKUP(dict_DQ_Meth_max[[#This Row],[ID_DataQualities]],table_DataQualities[],9,FALSE)</f>
        <v>2182</v>
      </c>
    </row>
    <row r="1017" spans="1:13" x14ac:dyDescent="0.45">
      <c r="A1017" s="10">
        <v>271</v>
      </c>
      <c r="B1017" s="10">
        <v>58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1100.5</v>
      </c>
      <c r="G1017" s="12">
        <f ca="1">(RANDBETWEEN(50,100)/100)*(dict_DQ_Meth_max[[#This Row],[Vergleich_ub]]-dict_DQ_Meth_max[[#This Row],[Vergleich_lb]])+dict_DQ_Meth_max[[#This Row],[Vergleich_lb]]</f>
        <v>1360.06</v>
      </c>
      <c r="H1017" s="11" t="str">
        <f ca="1">VLOOKUP(VLOOKUP(dict_DQ_Meth_max[[#This Row],[ID_DataQualities]],table_DataQualities[],3),table_Units[],2)</f>
        <v>bit</v>
      </c>
      <c r="I1017" s="10"/>
      <c r="J1017" s="10"/>
      <c r="K1017" s="10"/>
      <c r="L1017" s="10">
        <f ca="1">VLOOKUP(dict_DQ_Meth_max[[#This Row],[ID_DataQualities]],table_DataQualities[],8,FALSE)</f>
        <v>19</v>
      </c>
      <c r="M1017" s="10">
        <f ca="1">VLOOKUP(dict_DQ_Meth_max[[#This Row],[ID_DataQualities]],table_DataQualities[],9,FALSE)</f>
        <v>2182</v>
      </c>
    </row>
    <row r="1018" spans="1:13" x14ac:dyDescent="0.45">
      <c r="A1018" s="10">
        <v>272</v>
      </c>
      <c r="B1018" s="10">
        <v>483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2832.8802499999997</v>
      </c>
      <c r="G1018" s="12">
        <f ca="1">(RANDBETWEEN(50,100)/100)*(dict_DQ_Meth_max[[#This Row],[Vergleich_ub]]-dict_DQ_Meth_max[[#This Row],[Vergleich_lb]])+dict_DQ_Meth_max[[#This Row],[Vergleich_lb]]</f>
        <v>5827.4438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0.185</v>
      </c>
      <c r="M1018" s="10">
        <f ca="1">VLOOKUP(dict_DQ_Meth_max[[#This Row],[ID_DataQualities]],table_DataQualities[],9,FALSE)</f>
        <v>8093.6</v>
      </c>
    </row>
    <row r="1019" spans="1:13" x14ac:dyDescent="0.45">
      <c r="A1019" s="10">
        <v>272</v>
      </c>
      <c r="B1019" s="10">
        <v>693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1537.9338499999999</v>
      </c>
      <c r="G1019" s="12">
        <f ca="1">(RANDBETWEEN(50,100)/100)*(dict_DQ_Meth_max[[#This Row],[Vergleich_ub]]-dict_DQ_Meth_max[[#This Row],[Vergleich_lb]])+dict_DQ_Meth_max[[#This Row],[Vergleich_lb]]</f>
        <v>7607.9951000000001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0.185</v>
      </c>
      <c r="M1019" s="10">
        <f ca="1">VLOOKUP(dict_DQ_Meth_max[[#This Row],[ID_DataQualities]],table_DataQualities[],9,FALSE)</f>
        <v>8093.6</v>
      </c>
    </row>
    <row r="1020" spans="1:13" x14ac:dyDescent="0.45">
      <c r="A1020" s="10">
        <v>272</v>
      </c>
      <c r="B1020" s="10">
        <v>607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3480.3534500000001</v>
      </c>
      <c r="G1020" s="12">
        <f ca="1">(RANDBETWEEN(50,100)/100)*(dict_DQ_Meth_max[[#This Row],[Vergleich_ub]]-dict_DQ_Meth_max[[#This Row],[Vergleich_lb]])+dict_DQ_Meth_max[[#This Row],[Vergleich_lb]]</f>
        <v>4370.629100000001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0.185</v>
      </c>
      <c r="M1020" s="10">
        <f ca="1">VLOOKUP(dict_DQ_Meth_max[[#This Row],[ID_DataQualities]],table_DataQualities[],9,FALSE)</f>
        <v>8093.6</v>
      </c>
    </row>
    <row r="1021" spans="1:13" x14ac:dyDescent="0.45">
      <c r="A1021" s="10">
        <v>272</v>
      </c>
      <c r="B1021" s="10">
        <v>663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3480.3534500000001</v>
      </c>
      <c r="G1021" s="12">
        <f ca="1">(RANDBETWEEN(50,100)/100)*(dict_DQ_Meth_max[[#This Row],[Vergleich_ub]]-dict_DQ_Meth_max[[#This Row],[Vergleich_lb]])+dict_DQ_Meth_max[[#This Row],[Vergleich_lb]]</f>
        <v>5746.50965</v>
      </c>
      <c r="H1021" s="11" t="str">
        <f ca="1">VLOOKUP(VLOOKUP(dict_DQ_Meth_max[[#This Row],[ID_DataQualities]],table_DataQualities[],3),table_Units[],2)</f>
        <v>Hz</v>
      </c>
      <c r="I1021" s="10"/>
      <c r="J1021" s="10"/>
      <c r="K1021" s="10"/>
      <c r="L1021" s="10">
        <f ca="1">VLOOKUP(dict_DQ_Meth_max[[#This Row],[ID_DataQualities]],table_DataQualities[],8,FALSE)</f>
        <v>0.185</v>
      </c>
      <c r="M1021" s="10">
        <f ca="1">VLOOKUP(dict_DQ_Meth_max[[#This Row],[ID_DataQualities]],table_DataQualities[],9,FALSE)</f>
        <v>8093.6</v>
      </c>
    </row>
    <row r="1022" spans="1:13" x14ac:dyDescent="0.45">
      <c r="A1022" s="10">
        <v>272</v>
      </c>
      <c r="B1022" s="10">
        <v>580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3480.3534500000001</v>
      </c>
      <c r="G1022" s="12">
        <f ca="1">(RANDBETWEEN(50,100)/100)*(dict_DQ_Meth_max[[#This Row],[Vergleich_ub]]-dict_DQ_Meth_max[[#This Row],[Vergleich_lb]])+dict_DQ_Meth_max[[#This Row],[Vergleich_lb]]</f>
        <v>4289.694950000001</v>
      </c>
      <c r="H1022" s="11" t="str">
        <f ca="1">VLOOKUP(VLOOKUP(dict_DQ_Meth_max[[#This Row],[ID_DataQualities]],table_DataQualities[],3),table_Units[],2)</f>
        <v>Hz</v>
      </c>
      <c r="I1022" s="10"/>
      <c r="J1022" s="10"/>
      <c r="K1022" s="10"/>
      <c r="L1022" s="10">
        <f ca="1">VLOOKUP(dict_DQ_Meth_max[[#This Row],[ID_DataQualities]],table_DataQualities[],8,FALSE)</f>
        <v>0.185</v>
      </c>
      <c r="M1022" s="10">
        <f ca="1">VLOOKUP(dict_DQ_Meth_max[[#This Row],[ID_DataQualities]],table_DataQualities[],9,FALSE)</f>
        <v>8093.6</v>
      </c>
    </row>
    <row r="1023" spans="1:13" x14ac:dyDescent="0.45">
      <c r="A1023" s="10">
        <v>273</v>
      </c>
      <c r="B1023" s="10">
        <v>663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0.15432499999999999</v>
      </c>
      <c r="G1023" s="12">
        <f ca="1">(RANDBETWEEN(50,100)/100)*(dict_DQ_Meth_max[[#This Row],[Vergleich_ub]]-dict_DQ_Meth_max[[#This Row],[Vergleich_lb]])+dict_DQ_Meth_max[[#This Row],[Vergleich_lb]]</f>
        <v>0.40182999999999996</v>
      </c>
      <c r="H1023" s="11" t="str">
        <f ca="1">VLOOKUP(VLOOKUP(dict_DQ_Meth_max[[#This Row],[ID_DataQualities]],table_DataQualities[],3),table_Units[],2)</f>
        <v>+/- cm³/s</v>
      </c>
      <c r="I1023" s="10"/>
      <c r="J1023" s="10"/>
      <c r="K1023" s="10"/>
      <c r="L1023" s="10">
        <f ca="1">VLOOKUP(dict_DQ_Meth_max[[#This Row],[ID_DataQualities]],table_DataQualities[],8,FALSE)</f>
        <v>7.4999999999999997E-3</v>
      </c>
      <c r="M1023" s="10">
        <f ca="1">VLOOKUP(dict_DQ_Meth_max[[#This Row],[ID_DataQualities]],table_DataQualities[],9,FALSE)</f>
        <v>0.42699999999999999</v>
      </c>
    </row>
    <row r="1024" spans="1:13" x14ac:dyDescent="0.45">
      <c r="A1024" s="10">
        <v>273</v>
      </c>
      <c r="B1024" s="10">
        <v>693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4.9450000000000001E-2</v>
      </c>
      <c r="G1024" s="12">
        <f ca="1">(RANDBETWEEN(50,100)/100)*(dict_DQ_Meth_max[[#This Row],[Vergleich_ub]]-dict_DQ_Meth_max[[#This Row],[Vergleich_lb]])+dict_DQ_Meth_max[[#This Row],[Vergleich_lb]]</f>
        <v>0.37665999999999999</v>
      </c>
      <c r="H1024" s="11" t="str">
        <f ca="1">VLOOKUP(VLOOKUP(dict_DQ_Meth_max[[#This Row],[ID_DataQualities]],table_DataQualities[],3),table_Units[],2)</f>
        <v>+/- cm³/s</v>
      </c>
      <c r="I1024" s="10"/>
      <c r="J1024" s="10"/>
      <c r="K1024" s="10"/>
      <c r="L1024" s="10">
        <f ca="1">VLOOKUP(dict_DQ_Meth_max[[#This Row],[ID_DataQualities]],table_DataQualities[],8,FALSE)</f>
        <v>7.4999999999999997E-3</v>
      </c>
      <c r="M1024" s="10">
        <f ca="1">VLOOKUP(dict_DQ_Meth_max[[#This Row],[ID_DataQualities]],table_DataQualities[],9,FALSE)</f>
        <v>0.42699999999999999</v>
      </c>
    </row>
    <row r="1025" spans="1:13" x14ac:dyDescent="0.45">
      <c r="A1025" s="10">
        <v>273</v>
      </c>
      <c r="B1025" s="10">
        <v>580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9.978999999999999E-2</v>
      </c>
      <c r="G1025" s="12">
        <f ca="1">(RANDBETWEEN(50,100)/100)*(dict_DQ_Meth_max[[#This Row],[Vergleich_ub]]-dict_DQ_Meth_max[[#This Row],[Vergleich_lb]])+dict_DQ_Meth_max[[#This Row],[Vergleich_lb]]</f>
        <v>0.30534499999999998</v>
      </c>
      <c r="H1025" s="11" t="str">
        <f ca="1">VLOOKUP(VLOOKUP(dict_DQ_Meth_max[[#This Row],[ID_DataQualities]],table_DataQualities[],3),table_Units[],2)</f>
        <v>+/- cm³/s</v>
      </c>
      <c r="I1025" s="10"/>
      <c r="J1025" s="10"/>
      <c r="K1025" s="10"/>
      <c r="L1025" s="10">
        <f ca="1">VLOOKUP(dict_DQ_Meth_max[[#This Row],[ID_DataQualities]],table_DataQualities[],8,FALSE)</f>
        <v>7.4999999999999997E-3</v>
      </c>
      <c r="M1025" s="10">
        <f ca="1">VLOOKUP(dict_DQ_Meth_max[[#This Row],[ID_DataQualities]],table_DataQualities[],9,FALSE)</f>
        <v>0.42699999999999999</v>
      </c>
    </row>
    <row r="1026" spans="1:13" x14ac:dyDescent="0.45">
      <c r="A1026" s="10">
        <v>273</v>
      </c>
      <c r="B1026" s="10">
        <v>607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4.5254999999999997E-2</v>
      </c>
      <c r="G1026" s="12">
        <f ca="1">(RANDBETWEEN(50,100)/100)*(dict_DQ_Meth_max[[#This Row],[Vergleich_ub]]-dict_DQ_Meth_max[[#This Row],[Vergleich_lb]])+dict_DQ_Meth_max[[#This Row],[Vergleich_lb]]</f>
        <v>0.35987999999999998</v>
      </c>
      <c r="H1026" s="11" t="str">
        <f ca="1">VLOOKUP(VLOOKUP(dict_DQ_Meth_max[[#This Row],[ID_DataQualities]],table_DataQualities[],3),table_Units[],2)</f>
        <v>+/- cm³/s</v>
      </c>
      <c r="I1026" s="10"/>
      <c r="J1026" s="10"/>
      <c r="K1026" s="10"/>
      <c r="L1026" s="10">
        <f ca="1">VLOOKUP(dict_DQ_Meth_max[[#This Row],[ID_DataQualities]],table_DataQualities[],8,FALSE)</f>
        <v>7.4999999999999997E-3</v>
      </c>
      <c r="M1026" s="10">
        <f ca="1">VLOOKUP(dict_DQ_Meth_max[[#This Row],[ID_DataQualities]],table_DataQualities[],9,FALSE)</f>
        <v>0.42699999999999999</v>
      </c>
    </row>
    <row r="1027" spans="1:13" x14ac:dyDescent="0.45">
      <c r="A1027" s="10">
        <v>273</v>
      </c>
      <c r="B1027" s="10">
        <v>483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8.301E-2</v>
      </c>
      <c r="G1027" s="12">
        <f ca="1">(RANDBETWEEN(50,100)/100)*(dict_DQ_Meth_max[[#This Row],[Vergleich_ub]]-dict_DQ_Meth_max[[#This Row],[Vergleich_lb]])+dict_DQ_Meth_max[[#This Row],[Vergleich_lb]]</f>
        <v>0.34729500000000002</v>
      </c>
      <c r="H1027" s="11" t="str">
        <f ca="1">VLOOKUP(VLOOKUP(dict_DQ_Meth_max[[#This Row],[ID_DataQualities]],table_DataQualities[],3),table_Units[],2)</f>
        <v>+/- cm³/s</v>
      </c>
      <c r="I1027" s="10"/>
      <c r="J1027" s="10"/>
      <c r="K1027" s="10"/>
      <c r="L1027" s="10">
        <f ca="1">VLOOKUP(dict_DQ_Meth_max[[#This Row],[ID_DataQualities]],table_DataQualities[],8,FALSE)</f>
        <v>7.4999999999999997E-3</v>
      </c>
      <c r="M1027" s="10">
        <f ca="1">VLOOKUP(dict_DQ_Meth_max[[#This Row],[ID_DataQualities]],table_DataQualities[],9,FALSE)</f>
        <v>0.42699999999999999</v>
      </c>
    </row>
    <row r="1028" spans="1:13" x14ac:dyDescent="0.45">
      <c r="A1028" s="10">
        <v>274</v>
      </c>
      <c r="B1028" s="10">
        <v>4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727.86335000000008</v>
      </c>
      <c r="G1028" s="12">
        <f ca="1">(RANDBETWEEN(50,100)/100)*(dict_DQ_Meth_max[[#This Row],[Vergleich_ub]]-dict_DQ_Meth_max[[#This Row],[Vergleich_lb]])+dict_DQ_Meth_max[[#This Row],[Vergleich_lb]]</f>
        <v>1147.94613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0.79700000000000004</v>
      </c>
      <c r="M1028" s="10">
        <f ca="1">VLOOKUP(dict_DQ_Meth_max[[#This Row],[ID_DataQualities]],table_DataQualities[],9,FALSE)</f>
        <v>1616.5</v>
      </c>
    </row>
    <row r="1029" spans="1:13" x14ac:dyDescent="0.45">
      <c r="A1029" s="10">
        <v>274</v>
      </c>
      <c r="B1029" s="10">
        <v>147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226.99542000000002</v>
      </c>
      <c r="G1029" s="12">
        <f ca="1">(RANDBETWEEN(50,100)/100)*(dict_DQ_Meth_max[[#This Row],[Vergleich_ub]]-dict_DQ_Meth_max[[#This Row],[Vergleich_lb]])+dict_DQ_Meth_max[[#This Row],[Vergleich_lb]]</f>
        <v>1228.73128</v>
      </c>
      <c r="H1029" s="11" t="str">
        <f ca="1">VLOOKUP(VLOOKUP(dict_DQ_Meth_max[[#This Row],[ID_DataQualities]],table_DataQualities[],3),table_Units[],2)</f>
        <v>Hz</v>
      </c>
      <c r="I1029" s="10"/>
      <c r="J1029" s="10"/>
      <c r="K1029" s="10"/>
      <c r="L1029" s="10">
        <f ca="1">VLOOKUP(dict_DQ_Meth_max[[#This Row],[ID_DataQualities]],table_DataQualities[],8,FALSE)</f>
        <v>0.79700000000000004</v>
      </c>
      <c r="M1029" s="10">
        <f ca="1">VLOOKUP(dict_DQ_Meth_max[[#This Row],[ID_DataQualities]],table_DataQualities[],9,FALSE)</f>
        <v>1616.5</v>
      </c>
    </row>
    <row r="1030" spans="1:13" x14ac:dyDescent="0.45">
      <c r="A1030" s="10">
        <v>274</v>
      </c>
      <c r="B1030" s="10">
        <v>524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388.56572</v>
      </c>
      <c r="G1030" s="12">
        <f ca="1">(RANDBETWEEN(50,100)/100)*(dict_DQ_Meth_max[[#This Row],[Vergleich_ub]]-dict_DQ_Meth_max[[#This Row],[Vergleich_lb]])+dict_DQ_Meth_max[[#This Row],[Vergleich_lb]]</f>
        <v>970.21879999999999</v>
      </c>
      <c r="H1030" s="11" t="str">
        <f ca="1">VLOOKUP(VLOOKUP(dict_DQ_Meth_max[[#This Row],[ID_DataQualities]],table_DataQualities[],3),table_Units[],2)</f>
        <v>Hz</v>
      </c>
      <c r="I1030" s="10"/>
      <c r="J1030" s="10"/>
      <c r="K1030" s="10"/>
      <c r="L1030" s="10">
        <f ca="1">VLOOKUP(dict_DQ_Meth_max[[#This Row],[ID_DataQualities]],table_DataQualities[],8,FALSE)</f>
        <v>0.79700000000000004</v>
      </c>
      <c r="M1030" s="10">
        <f ca="1">VLOOKUP(dict_DQ_Meth_max[[#This Row],[ID_DataQualities]],table_DataQualities[],9,FALSE)</f>
        <v>1616.5</v>
      </c>
    </row>
    <row r="1031" spans="1:13" x14ac:dyDescent="0.45">
      <c r="A1031" s="10">
        <v>274</v>
      </c>
      <c r="B1031" s="10">
        <v>14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647.07820000000004</v>
      </c>
      <c r="G1031" s="12">
        <f ca="1">(RANDBETWEEN(50,100)/100)*(dict_DQ_Meth_max[[#This Row],[Vergleich_ub]]-dict_DQ_Meth_max[[#This Row],[Vergleich_lb]])+dict_DQ_Meth_max[[#This Row],[Vergleich_lb]]</f>
        <v>824.80552999999998</v>
      </c>
      <c r="H1031" s="11" t="str">
        <f ca="1">VLOOKUP(VLOOKUP(dict_DQ_Meth_max[[#This Row],[ID_DataQualities]],table_DataQualities[],3),table_Units[],2)</f>
        <v>Hz</v>
      </c>
      <c r="I1031" s="10"/>
      <c r="J1031" s="10"/>
      <c r="K1031" s="10"/>
      <c r="L1031" s="10">
        <f ca="1">VLOOKUP(dict_DQ_Meth_max[[#This Row],[ID_DataQualities]],table_DataQualities[],8,FALSE)</f>
        <v>0.79700000000000004</v>
      </c>
      <c r="M1031" s="10">
        <f ca="1">VLOOKUP(dict_DQ_Meth_max[[#This Row],[ID_DataQualities]],table_DataQualities[],9,FALSE)</f>
        <v>1616.5</v>
      </c>
    </row>
    <row r="1032" spans="1:13" x14ac:dyDescent="0.45">
      <c r="A1032" s="10">
        <v>275</v>
      </c>
      <c r="B1032" s="10">
        <v>14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5.1358000000000001E-2</v>
      </c>
      <c r="G1032" s="12">
        <f ca="1">(RANDBETWEEN(50,100)/100)*(dict_DQ_Meth_max[[#This Row],[Vergleich_ub]]-dict_DQ_Meth_max[[#This Row],[Vergleich_lb]])+dict_DQ_Meth_max[[#This Row],[Vergleich_lb]]</f>
        <v>0.14358400000000002</v>
      </c>
      <c r="H1032" s="11" t="str">
        <f ca="1">VLOOKUP(VLOOKUP(dict_DQ_Meth_max[[#This Row],[ID_DataQualities]],table_DataQualities[],3),table_Units[],2)</f>
        <v>+/- cm³/s</v>
      </c>
      <c r="I1032" s="10"/>
      <c r="J1032" s="10"/>
      <c r="K1032" s="10"/>
      <c r="L1032" s="10">
        <f ca="1">VLOOKUP(dict_DQ_Meth_max[[#This Row],[ID_DataQualities]],table_DataQualities[],8,FALSE)</f>
        <v>1.1999999999999999E-3</v>
      </c>
      <c r="M1032" s="10">
        <f ca="1">VLOOKUP(dict_DQ_Meth_max[[#This Row],[ID_DataQualities]],table_DataQualities[],9,FALSE)</f>
        <v>0.16300000000000001</v>
      </c>
    </row>
    <row r="1033" spans="1:13" x14ac:dyDescent="0.45">
      <c r="A1033" s="10">
        <v>275</v>
      </c>
      <c r="B1033" s="10">
        <v>147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6.7538000000000001E-2</v>
      </c>
      <c r="G1033" s="12">
        <f ca="1">(RANDBETWEEN(50,100)/100)*(dict_DQ_Meth_max[[#This Row],[Vergleich_ub]]-dict_DQ_Meth_max[[#This Row],[Vergleich_lb]])+dict_DQ_Meth_max[[#This Row],[Vergleich_lb]]</f>
        <v>0.15329199999999998</v>
      </c>
      <c r="H1033" s="11" t="str">
        <f ca="1">VLOOKUP(VLOOKUP(dict_DQ_Meth_max[[#This Row],[ID_DataQualities]],table_DataQualities[],3),table_Units[],2)</f>
        <v>+/- cm³/s</v>
      </c>
      <c r="I1033" s="10"/>
      <c r="J1033" s="10"/>
      <c r="K1033" s="10"/>
      <c r="L1033" s="10">
        <f ca="1">VLOOKUP(dict_DQ_Meth_max[[#This Row],[ID_DataQualities]],table_DataQualities[],8,FALSE)</f>
        <v>1.1999999999999999E-3</v>
      </c>
      <c r="M1033" s="10">
        <f ca="1">VLOOKUP(dict_DQ_Meth_max[[#This Row],[ID_DataQualities]],table_DataQualities[],9,FALSE)</f>
        <v>0.16300000000000001</v>
      </c>
    </row>
    <row r="1034" spans="1:13" x14ac:dyDescent="0.45">
      <c r="A1034" s="10">
        <v>275</v>
      </c>
      <c r="B1034" s="10">
        <v>4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2.8706000000000002E-2</v>
      </c>
      <c r="G1034" s="12">
        <f ca="1">(RANDBETWEEN(50,100)/100)*(dict_DQ_Meth_max[[#This Row],[Vergleich_ub]]-dict_DQ_Meth_max[[#This Row],[Vergleich_lb]])+dict_DQ_Meth_max[[#This Row],[Vergleich_lb]]</f>
        <v>9.8280000000000006E-2</v>
      </c>
      <c r="H1034" s="11" t="str">
        <f ca="1">VLOOKUP(VLOOKUP(dict_DQ_Meth_max[[#This Row],[ID_DataQualities]],table_DataQualities[],3),table_Units[],2)</f>
        <v>+/- cm³/s</v>
      </c>
      <c r="I1034" s="10"/>
      <c r="J1034" s="10"/>
      <c r="K1034" s="10"/>
      <c r="L1034" s="10">
        <f ca="1">VLOOKUP(dict_DQ_Meth_max[[#This Row],[ID_DataQualities]],table_DataQualities[],8,FALSE)</f>
        <v>1.1999999999999999E-3</v>
      </c>
      <c r="M1034" s="10">
        <f ca="1">VLOOKUP(dict_DQ_Meth_max[[#This Row],[ID_DataQualities]],table_DataQualities[],9,FALSE)</f>
        <v>0.16300000000000001</v>
      </c>
    </row>
    <row r="1035" spans="1:13" x14ac:dyDescent="0.45">
      <c r="A1035" s="10">
        <v>275</v>
      </c>
      <c r="B1035" s="10">
        <v>524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7.7245999999999995E-2</v>
      </c>
      <c r="G1035" s="12">
        <f ca="1">(RANDBETWEEN(50,100)/100)*(dict_DQ_Meth_max[[#This Row],[Vergleich_ub]]-dict_DQ_Meth_max[[#This Row],[Vergleich_lb]])+dict_DQ_Meth_max[[#This Row],[Vergleich_lb]]</f>
        <v>0.12416800000000001</v>
      </c>
      <c r="H1035" s="11" t="str">
        <f ca="1">VLOOKUP(VLOOKUP(dict_DQ_Meth_max[[#This Row],[ID_DataQualities]],table_DataQualities[],3),table_Units[],2)</f>
        <v>+/- cm³/s</v>
      </c>
      <c r="I1035" s="10"/>
      <c r="J1035" s="10"/>
      <c r="K1035" s="10"/>
      <c r="L1035" s="10">
        <f ca="1">VLOOKUP(dict_DQ_Meth_max[[#This Row],[ID_DataQualities]],table_DataQualities[],8,FALSE)</f>
        <v>1.1999999999999999E-3</v>
      </c>
      <c r="M1035" s="10">
        <f ca="1">VLOOKUP(dict_DQ_Meth_max[[#This Row],[ID_DataQualities]],table_DataQualities[],9,FALSE)</f>
        <v>0.16300000000000001</v>
      </c>
    </row>
    <row r="1036" spans="1:13" x14ac:dyDescent="0.45">
      <c r="A1036" s="10">
        <v>276</v>
      </c>
      <c r="B1036" s="10">
        <v>64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460.39974999999993</v>
      </c>
      <c r="G1036" s="12">
        <f ca="1">(RANDBETWEEN(50,100)/100)*(dict_DQ_Meth_max[[#This Row],[Vergleich_ub]]-dict_DQ_Meth_max[[#This Row],[Vergleich_lb]])+dict_DQ_Meth_max[[#This Row],[Vergleich_lb]]</f>
        <v>3064.6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0.83499999999999996</v>
      </c>
      <c r="M1036" s="10">
        <f ca="1">VLOOKUP(dict_DQ_Meth_max[[#This Row],[ID_DataQualities]],table_DataQualities[],9,FALSE)</f>
        <v>3064.6</v>
      </c>
    </row>
    <row r="1037" spans="1:13" x14ac:dyDescent="0.45">
      <c r="A1037" s="10">
        <v>277</v>
      </c>
      <c r="B1037" s="10">
        <v>64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1.0591999999999999</v>
      </c>
      <c r="G1037" s="12">
        <f ca="1">(RANDBETWEEN(50,100)/100)*(dict_DQ_Meth_max[[#This Row],[Vergleich_ub]]-dict_DQ_Meth_max[[#This Row],[Vergleich_lb]])+dict_DQ_Meth_max[[#This Row],[Vergleich_lb]]</f>
        <v>1.462</v>
      </c>
      <c r="H1037" s="11" t="str">
        <f ca="1">VLOOKUP(VLOOKUP(dict_DQ_Meth_max[[#This Row],[ID_DataQualities]],table_DataQualities[],3),table_Units[],2)</f>
        <v>+/- mm/s</v>
      </c>
      <c r="I1037" s="10"/>
      <c r="J1037" s="10"/>
      <c r="K1037" s="10"/>
      <c r="L1037" s="10">
        <f ca="1">VLOOKUP(dict_DQ_Meth_max[[#This Row],[ID_DataQualities]],table_DataQualities[],8,FALSE)</f>
        <v>0.74</v>
      </c>
      <c r="M1037" s="10">
        <f ca="1">VLOOKUP(dict_DQ_Meth_max[[#This Row],[ID_DataQualities]],table_DataQualities[],9,FALSE)</f>
        <v>1.5</v>
      </c>
    </row>
    <row r="1038" spans="1:13" x14ac:dyDescent="0.45">
      <c r="A1038" s="10">
        <v>278</v>
      </c>
      <c r="B1038" s="10">
        <v>368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2136.5600600000002</v>
      </c>
      <c r="G1038" s="12">
        <f ca="1">(RANDBETWEEN(50,100)/100)*(dict_DQ_Meth_max[[#This Row],[Vergleich_ub]]-dict_DQ_Meth_max[[#This Row],[Vergleich_lb]])+dict_DQ_Meth_max[[#This Row],[Vergleich_lb]]</f>
        <v>6820.296229999999</v>
      </c>
      <c r="H1038" s="11" t="str">
        <f ca="1">VLOOKUP(VLOOKUP(dict_DQ_Meth_max[[#This Row],[ID_DataQualities]],table_DataQualities[],3),table_Units[],2)</f>
        <v>Hz</v>
      </c>
      <c r="I1038" s="10"/>
      <c r="J1038" s="10"/>
      <c r="K1038" s="10"/>
      <c r="L1038" s="10">
        <f ca="1">VLOOKUP(dict_DQ_Meth_max[[#This Row],[ID_DataQualities]],table_DataQualities[],8,FALSE)</f>
        <v>0.11899999999999999</v>
      </c>
      <c r="M1038" s="10">
        <f ca="1">VLOOKUP(dict_DQ_Meth_max[[#This Row],[ID_DataQualities]],table_DataQualities[],9,FALSE)</f>
        <v>8217.2000000000007</v>
      </c>
    </row>
    <row r="1039" spans="1:13" x14ac:dyDescent="0.45">
      <c r="A1039" s="10">
        <v>278</v>
      </c>
      <c r="B1039" s="10">
        <v>425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903.99791000000005</v>
      </c>
      <c r="G1039" s="12">
        <f ca="1">(RANDBETWEEN(50,100)/100)*(dict_DQ_Meth_max[[#This Row],[Vergleich_ub]]-dict_DQ_Meth_max[[#This Row],[Vergleich_lb]])+dict_DQ_Meth_max[[#This Row],[Vergleich_lb]]</f>
        <v>4190.8303100000003</v>
      </c>
      <c r="H1039" s="11" t="str">
        <f ca="1">VLOOKUP(VLOOKUP(dict_DQ_Meth_max[[#This Row],[ID_DataQualities]],table_DataQualities[],3),table_Units[],2)</f>
        <v>Hz</v>
      </c>
      <c r="I1039" s="10"/>
      <c r="J1039" s="10"/>
      <c r="K1039" s="10"/>
      <c r="L1039" s="10">
        <f ca="1">VLOOKUP(dict_DQ_Meth_max[[#This Row],[ID_DataQualities]],table_DataQualities[],8,FALSE)</f>
        <v>0.11899999999999999</v>
      </c>
      <c r="M1039" s="10">
        <f ca="1">VLOOKUP(dict_DQ_Meth_max[[#This Row],[ID_DataQualities]],table_DataQualities[],9,FALSE)</f>
        <v>8217.2000000000007</v>
      </c>
    </row>
    <row r="1040" spans="1:13" x14ac:dyDescent="0.45">
      <c r="A1040" s="10">
        <v>278</v>
      </c>
      <c r="B1040" s="10">
        <v>411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575.31467000000009</v>
      </c>
      <c r="G1040" s="12">
        <f ca="1">(RANDBETWEEN(50,100)/100)*(dict_DQ_Meth_max[[#This Row],[Vergleich_ub]]-dict_DQ_Meth_max[[#This Row],[Vergleich_lb]])+dict_DQ_Meth_max[[#This Row],[Vergleich_lb]]</f>
        <v>5176.8800299999994</v>
      </c>
      <c r="H1040" s="11" t="str">
        <f ca="1">VLOOKUP(VLOOKUP(dict_DQ_Meth_max[[#This Row],[ID_DataQualities]],table_DataQualities[],3),table_Units[],2)</f>
        <v>Hz</v>
      </c>
      <c r="I1040" s="10"/>
      <c r="J1040" s="10"/>
      <c r="K1040" s="10"/>
      <c r="L1040" s="10">
        <f ca="1">VLOOKUP(dict_DQ_Meth_max[[#This Row],[ID_DataQualities]],table_DataQualities[],8,FALSE)</f>
        <v>0.11899999999999999</v>
      </c>
      <c r="M1040" s="10">
        <f ca="1">VLOOKUP(dict_DQ_Meth_max[[#This Row],[ID_DataQualities]],table_DataQualities[],9,FALSE)</f>
        <v>8217.2000000000007</v>
      </c>
    </row>
    <row r="1041" spans="1:13" x14ac:dyDescent="0.45">
      <c r="A1041" s="10">
        <v>278</v>
      </c>
      <c r="B1041" s="10">
        <v>35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2793.9265400000004</v>
      </c>
      <c r="G1041" s="12">
        <f ca="1">(RANDBETWEEN(50,100)/100)*(dict_DQ_Meth_max[[#This Row],[Vergleich_ub]]-dict_DQ_Meth_max[[#This Row],[Vergleich_lb]])+dict_DQ_Meth_max[[#This Row],[Vergleich_lb]]</f>
        <v>4601.6843600000002</v>
      </c>
      <c r="H1041" s="11" t="str">
        <f ca="1">VLOOKUP(VLOOKUP(dict_DQ_Meth_max[[#This Row],[ID_DataQualities]],table_DataQualities[],3),table_Units[],2)</f>
        <v>Hz</v>
      </c>
      <c r="I1041" s="10"/>
      <c r="J1041" s="10"/>
      <c r="K1041" s="10"/>
      <c r="L1041" s="10">
        <f ca="1">VLOOKUP(dict_DQ_Meth_max[[#This Row],[ID_DataQualities]],table_DataQualities[],8,FALSE)</f>
        <v>0.11899999999999999</v>
      </c>
      <c r="M1041" s="10">
        <f ca="1">VLOOKUP(dict_DQ_Meth_max[[#This Row],[ID_DataQualities]],table_DataQualities[],9,FALSE)</f>
        <v>8217.2000000000007</v>
      </c>
    </row>
    <row r="1042" spans="1:13" x14ac:dyDescent="0.45">
      <c r="A1042" s="10">
        <v>278</v>
      </c>
      <c r="B1042" s="10">
        <v>337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575.31467000000009</v>
      </c>
      <c r="G1042" s="12">
        <f ca="1">(RANDBETWEEN(50,100)/100)*(dict_DQ_Meth_max[[#This Row],[Vergleich_ub]]-dict_DQ_Meth_max[[#This Row],[Vergleich_lb]])+dict_DQ_Meth_max[[#This Row],[Vergleich_lb]]</f>
        <v>7066.8086599999997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0.11899999999999999</v>
      </c>
      <c r="M1042" s="10">
        <f ca="1">VLOOKUP(dict_DQ_Meth_max[[#This Row],[ID_DataQualities]],table_DataQualities[],9,FALSE)</f>
        <v>8217.2000000000007</v>
      </c>
    </row>
    <row r="1043" spans="1:13" x14ac:dyDescent="0.45">
      <c r="A1043" s="10">
        <v>279</v>
      </c>
      <c r="B1043" s="10">
        <v>368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5.3088000000000003E-2</v>
      </c>
      <c r="G1043" s="12">
        <f ca="1">(RANDBETWEEN(50,100)/100)*(dict_DQ_Meth_max[[#This Row],[Vergleich_ub]]-dict_DQ_Meth_max[[#This Row],[Vergleich_lb]])+dict_DQ_Meth_max[[#This Row],[Vergleich_lb]]</f>
        <v>8.8396000000000002E-2</v>
      </c>
      <c r="H1043" s="11" t="str">
        <f ca="1">VLOOKUP(VLOOKUP(dict_DQ_Meth_max[[#This Row],[ID_DataQualities]],table_DataQualities[],3),table_Units[],2)</f>
        <v>+/- cm³/s</v>
      </c>
      <c r="I1043" s="10"/>
      <c r="J1043" s="10"/>
      <c r="K1043" s="10"/>
      <c r="L1043" s="10">
        <f ca="1">VLOOKUP(dict_DQ_Meth_max[[#This Row],[ID_DataQualities]],table_DataQualities[],8,FALSE)</f>
        <v>4.1999999999999997E-3</v>
      </c>
      <c r="M1043" s="10">
        <f ca="1">VLOOKUP(dict_DQ_Meth_max[[#This Row],[ID_DataQualities]],table_DataQualities[],9,FALSE)</f>
        <v>0.14000000000000001</v>
      </c>
    </row>
    <row r="1044" spans="1:13" x14ac:dyDescent="0.45">
      <c r="A1044" s="10">
        <v>279</v>
      </c>
      <c r="B1044" s="10">
        <v>411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3.6792000000000005E-2</v>
      </c>
      <c r="G1044" s="12">
        <f ca="1">(RANDBETWEEN(50,100)/100)*(dict_DQ_Meth_max[[#This Row],[Vergleich_ub]]-dict_DQ_Meth_max[[#This Row],[Vergleich_lb]])+dict_DQ_Meth_max[[#This Row],[Vergleich_lb]]</f>
        <v>0.120988</v>
      </c>
      <c r="H1044" s="11" t="str">
        <f ca="1">VLOOKUP(VLOOKUP(dict_DQ_Meth_max[[#This Row],[ID_DataQualities]],table_DataQualities[],3),table_Units[],2)</f>
        <v>+/- cm³/s</v>
      </c>
      <c r="I1044" s="10"/>
      <c r="J1044" s="10"/>
      <c r="K1044" s="10"/>
      <c r="L1044" s="10">
        <f ca="1">VLOOKUP(dict_DQ_Meth_max[[#This Row],[ID_DataQualities]],table_DataQualities[],8,FALSE)</f>
        <v>4.1999999999999997E-3</v>
      </c>
      <c r="M1044" s="10">
        <f ca="1">VLOOKUP(dict_DQ_Meth_max[[#This Row],[ID_DataQualities]],table_DataQualities[],9,FALSE)</f>
        <v>0.14000000000000001</v>
      </c>
    </row>
    <row r="1045" spans="1:13" x14ac:dyDescent="0.45">
      <c r="A1045" s="10">
        <v>279</v>
      </c>
      <c r="B1045" s="10">
        <v>425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4.6298000000000006E-2</v>
      </c>
      <c r="G1045" s="12">
        <f ca="1">(RANDBETWEEN(50,100)/100)*(dict_DQ_Meth_max[[#This Row],[Vergleich_ub]]-dict_DQ_Meth_max[[#This Row],[Vergleich_lb]])+dict_DQ_Meth_max[[#This Row],[Vergleich_lb]]</f>
        <v>8.4321999999999994E-2</v>
      </c>
      <c r="H1045" s="11" t="str">
        <f ca="1">VLOOKUP(VLOOKUP(dict_DQ_Meth_max[[#This Row],[ID_DataQualities]],table_DataQualities[],3),table_Units[],2)</f>
        <v>+/- cm³/s</v>
      </c>
      <c r="I1045" s="10"/>
      <c r="J1045" s="10"/>
      <c r="K1045" s="10"/>
      <c r="L1045" s="10">
        <f ca="1">VLOOKUP(dict_DQ_Meth_max[[#This Row],[ID_DataQualities]],table_DataQualities[],8,FALSE)</f>
        <v>4.1999999999999997E-3</v>
      </c>
      <c r="M1045" s="10">
        <f ca="1">VLOOKUP(dict_DQ_Meth_max[[#This Row],[ID_DataQualities]],table_DataQualities[],9,FALSE)</f>
        <v>0.14000000000000001</v>
      </c>
    </row>
    <row r="1046" spans="1:13" x14ac:dyDescent="0.45">
      <c r="A1046" s="10">
        <v>279</v>
      </c>
      <c r="B1046" s="10">
        <v>35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6.8025999999999989E-2</v>
      </c>
      <c r="G1046" s="12">
        <f ca="1">(RANDBETWEEN(50,100)/100)*(dict_DQ_Meth_max[[#This Row],[Vergleich_ub]]-dict_DQ_Meth_max[[#This Row],[Vergleich_lb]])+dict_DQ_Meth_max[[#This Row],[Vergleich_lb]]</f>
        <v>0.101976</v>
      </c>
      <c r="H1046" s="11" t="str">
        <f ca="1">VLOOKUP(VLOOKUP(dict_DQ_Meth_max[[#This Row],[ID_DataQualities]],table_DataQualities[],3),table_Units[],2)</f>
        <v>+/- cm³/s</v>
      </c>
      <c r="I1046" s="10"/>
      <c r="J1046" s="10"/>
      <c r="K1046" s="10"/>
      <c r="L1046" s="10">
        <f ca="1">VLOOKUP(dict_DQ_Meth_max[[#This Row],[ID_DataQualities]],table_DataQualities[],8,FALSE)</f>
        <v>4.1999999999999997E-3</v>
      </c>
      <c r="M1046" s="10">
        <f ca="1">VLOOKUP(dict_DQ_Meth_max[[#This Row],[ID_DataQualities]],table_DataQualities[],9,FALSE)</f>
        <v>0.14000000000000001</v>
      </c>
    </row>
    <row r="1047" spans="1:13" x14ac:dyDescent="0.45">
      <c r="A1047" s="10">
        <v>279</v>
      </c>
      <c r="B1047" s="10">
        <v>337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3.9508000000000001E-2</v>
      </c>
      <c r="G1047" s="12">
        <f ca="1">(RANDBETWEEN(50,100)/100)*(dict_DQ_Meth_max[[#This Row],[Vergleich_ub]]-dict_DQ_Meth_max[[#This Row],[Vergleich_lb]])+dict_DQ_Meth_max[[#This Row],[Vergleich_lb]]</f>
        <v>9.1111999999999999E-2</v>
      </c>
      <c r="H1047" s="11" t="str">
        <f ca="1">VLOOKUP(VLOOKUP(dict_DQ_Meth_max[[#This Row],[ID_DataQualities]],table_DataQualities[],3),table_Units[],2)</f>
        <v>+/- cm³/s</v>
      </c>
      <c r="I1047" s="10"/>
      <c r="J1047" s="10"/>
      <c r="K1047" s="10"/>
      <c r="L1047" s="10">
        <f ca="1">VLOOKUP(dict_DQ_Meth_max[[#This Row],[ID_DataQualities]],table_DataQualities[],8,FALSE)</f>
        <v>4.1999999999999997E-3</v>
      </c>
      <c r="M1047" s="10">
        <f ca="1">VLOOKUP(dict_DQ_Meth_max[[#This Row],[ID_DataQualities]],table_DataQualities[],9,FALSE)</f>
        <v>0.14000000000000001</v>
      </c>
    </row>
    <row r="1048" spans="1:13" x14ac:dyDescent="0.45">
      <c r="A1048" s="10">
        <v>280</v>
      </c>
      <c r="B1048" s="10">
        <v>209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155.33475000000001</v>
      </c>
      <c r="G1048" s="12">
        <f ca="1">(RANDBETWEEN(50,100)/100)*(dict_DQ_Meth_max[[#This Row],[Vergleich_ub]]-dict_DQ_Meth_max[[#This Row],[Vergleich_lb]])+dict_DQ_Meth_max[[#This Row],[Vergleich_lb]]</f>
        <v>514.75320999999997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0.41299999999999998</v>
      </c>
      <c r="M1048" s="10">
        <f ca="1">VLOOKUP(dict_DQ_Meth_max[[#This Row],[ID_DataQualities]],table_DataQualities[],9,FALSE)</f>
        <v>620.1</v>
      </c>
    </row>
    <row r="1049" spans="1:13" x14ac:dyDescent="0.45">
      <c r="A1049" s="10">
        <v>280</v>
      </c>
      <c r="B1049" s="10">
        <v>184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142.94101000000001</v>
      </c>
      <c r="G1049" s="12">
        <f ca="1">(RANDBETWEEN(50,100)/100)*(dict_DQ_Meth_max[[#This Row],[Vergleich_ub]]-dict_DQ_Meth_max[[#This Row],[Vergleich_lb]])+dict_DQ_Meth_max[[#This Row],[Vergleich_lb]]</f>
        <v>471.37512000000004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0.41299999999999998</v>
      </c>
      <c r="M1049" s="10">
        <f ca="1">VLOOKUP(dict_DQ_Meth_max[[#This Row],[ID_DataQualities]],table_DataQualities[],9,FALSE)</f>
        <v>620.1</v>
      </c>
    </row>
    <row r="1050" spans="1:13" x14ac:dyDescent="0.45">
      <c r="A1050" s="10">
        <v>280</v>
      </c>
      <c r="B1050" s="10">
        <v>211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136.74414000000002</v>
      </c>
      <c r="G1050" s="12">
        <f ca="1">(RANDBETWEEN(50,100)/100)*(dict_DQ_Meth_max[[#This Row],[Vergleich_ub]]-dict_DQ_Meth_max[[#This Row],[Vergleich_lb]])+dict_DQ_Meth_max[[#This Row],[Vergleich_lb]]</f>
        <v>415.60329000000002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0.41299999999999998</v>
      </c>
      <c r="M1050" s="10">
        <f ca="1">VLOOKUP(dict_DQ_Meth_max[[#This Row],[ID_DataQualities]],table_DataQualities[],9,FALSE)</f>
        <v>620.1</v>
      </c>
    </row>
    <row r="1051" spans="1:13" x14ac:dyDescent="0.45">
      <c r="A1051" s="10">
        <v>281</v>
      </c>
      <c r="B1051" s="10">
        <v>211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975.55</v>
      </c>
      <c r="G1051" s="12">
        <f ca="1">(RANDBETWEEN(50,100)/100)*(dict_DQ_Meth_max[[#This Row],[Vergleich_ub]]-dict_DQ_Meth_max[[#This Row],[Vergleich_lb]])+dict_DQ_Meth_max[[#This Row],[Vergleich_lb]]</f>
        <v>5871.6100000000006</v>
      </c>
      <c r="H1051" s="11" t="str">
        <f ca="1">VLOOKUP(VLOOKUP(dict_DQ_Meth_max[[#This Row],[ID_DataQualities]],table_DataQualities[],3),table_Units[],2)</f>
        <v>bit</v>
      </c>
      <c r="I1051" s="10"/>
      <c r="J1051" s="10"/>
      <c r="K1051" s="10"/>
      <c r="L1051" s="10">
        <f ca="1">VLOOKUP(dict_DQ_Meth_max[[#This Row],[ID_DataQualities]],table_DataQualities[],8,FALSE)</f>
        <v>34</v>
      </c>
      <c r="M1051" s="10">
        <f ca="1">VLOOKUP(dict_DQ_Meth_max[[#This Row],[ID_DataQualities]],table_DataQualities[],9,FALSE)</f>
        <v>6311</v>
      </c>
    </row>
    <row r="1052" spans="1:13" x14ac:dyDescent="0.45">
      <c r="A1052" s="10">
        <v>281</v>
      </c>
      <c r="B1052" s="10">
        <v>209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2230.9499999999998</v>
      </c>
      <c r="G1052" s="12">
        <f ca="1">(RANDBETWEEN(50,100)/100)*(dict_DQ_Meth_max[[#This Row],[Vergleich_ub]]-dict_DQ_Meth_max[[#This Row],[Vergleich_lb]])+dict_DQ_Meth_max[[#This Row],[Vergleich_lb]]</f>
        <v>4176.8200000000006</v>
      </c>
      <c r="H1052" s="11" t="str">
        <f ca="1">VLOOKUP(VLOOKUP(dict_DQ_Meth_max[[#This Row],[ID_DataQualities]],table_DataQualities[],3),table_Units[],2)</f>
        <v>bit</v>
      </c>
      <c r="I1052" s="10"/>
      <c r="J1052" s="10"/>
      <c r="K1052" s="10"/>
      <c r="L1052" s="10">
        <f ca="1">VLOOKUP(dict_DQ_Meth_max[[#This Row],[ID_DataQualities]],table_DataQualities[],8,FALSE)</f>
        <v>34</v>
      </c>
      <c r="M1052" s="10">
        <f ca="1">VLOOKUP(dict_DQ_Meth_max[[#This Row],[ID_DataQualities]],table_DataQualities[],9,FALSE)</f>
        <v>6311</v>
      </c>
    </row>
    <row r="1053" spans="1:13" x14ac:dyDescent="0.45">
      <c r="A1053" s="10">
        <v>281</v>
      </c>
      <c r="B1053" s="10">
        <v>184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1854.33</v>
      </c>
      <c r="G1053" s="12">
        <f ca="1">(RANDBETWEEN(50,100)/100)*(dict_DQ_Meth_max[[#This Row],[Vergleich_ub]]-dict_DQ_Meth_max[[#This Row],[Vergleich_lb]])+dict_DQ_Meth_max[[#This Row],[Vergleich_lb]]</f>
        <v>4553.4399999999996</v>
      </c>
      <c r="H1053" s="11" t="str">
        <f ca="1">VLOOKUP(VLOOKUP(dict_DQ_Meth_max[[#This Row],[ID_DataQualities]],table_DataQualities[],3),table_Units[],2)</f>
        <v>bit</v>
      </c>
      <c r="I1053" s="10"/>
      <c r="J1053" s="10"/>
      <c r="K1053" s="10"/>
      <c r="L1053" s="10">
        <f ca="1">VLOOKUP(dict_DQ_Meth_max[[#This Row],[ID_DataQualities]],table_DataQualities[],8,FALSE)</f>
        <v>34</v>
      </c>
      <c r="M1053" s="10">
        <f ca="1">VLOOKUP(dict_DQ_Meth_max[[#This Row],[ID_DataQualities]],table_DataQualities[],9,FALSE)</f>
        <v>6311</v>
      </c>
    </row>
    <row r="1054" spans="1:13" x14ac:dyDescent="0.45">
      <c r="A1054" s="10">
        <v>282</v>
      </c>
      <c r="B1054" s="10">
        <v>356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506.88159999999999</v>
      </c>
      <c r="G1054" s="12">
        <f ca="1">(RANDBETWEEN(50,100)/100)*(dict_DQ_Meth_max[[#This Row],[Vergleich_ub]]-dict_DQ_Meth_max[[#This Row],[Vergleich_lb]])+dict_DQ_Meth_max[[#This Row],[Vergleich_lb]]</f>
        <v>4002.8190400000003</v>
      </c>
      <c r="H1054" s="11" t="str">
        <f ca="1">VLOOKUP(VLOOKUP(dict_DQ_Meth_max[[#This Row],[ID_DataQualities]],table_DataQualities[],3),table_Units[],2)</f>
        <v>Hz</v>
      </c>
      <c r="I1054" s="10"/>
      <c r="J1054" s="10"/>
      <c r="K1054" s="10"/>
      <c r="L1054" s="10">
        <f ca="1">VLOOKUP(dict_DQ_Meth_max[[#This Row],[ID_DataQualities]],table_DataQualities[],8,FALSE)</f>
        <v>0.224</v>
      </c>
      <c r="M1054" s="10">
        <f ca="1">VLOOKUP(dict_DQ_Meth_max[[#This Row],[ID_DataQualities]],table_DataQualities[],9,FALSE)</f>
        <v>5066.8</v>
      </c>
    </row>
    <row r="1055" spans="1:13" x14ac:dyDescent="0.45">
      <c r="A1055" s="10">
        <v>282</v>
      </c>
      <c r="B1055" s="10">
        <v>61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760.21040000000005</v>
      </c>
      <c r="G1055" s="12">
        <f ca="1">(RANDBETWEEN(50,100)/100)*(dict_DQ_Meth_max[[#This Row],[Vergleich_ub]]-dict_DQ_Meth_max[[#This Row],[Vergleich_lb]])+dict_DQ_Meth_max[[#This Row],[Vergleich_lb]]</f>
        <v>2736.1750400000005</v>
      </c>
      <c r="H1055" s="11" t="str">
        <f ca="1">VLOOKUP(VLOOKUP(dict_DQ_Meth_max[[#This Row],[ID_DataQualities]],table_DataQualities[],3),table_Units[],2)</f>
        <v>Hz</v>
      </c>
      <c r="I1055" s="10"/>
      <c r="J1055" s="10"/>
      <c r="K1055" s="10"/>
      <c r="L1055" s="10">
        <f ca="1">VLOOKUP(dict_DQ_Meth_max[[#This Row],[ID_DataQualities]],table_DataQualities[],8,FALSE)</f>
        <v>0.224</v>
      </c>
      <c r="M1055" s="10">
        <f ca="1">VLOOKUP(dict_DQ_Meth_max[[#This Row],[ID_DataQualities]],table_DataQualities[],9,FALSE)</f>
        <v>5066.8</v>
      </c>
    </row>
    <row r="1056" spans="1:13" x14ac:dyDescent="0.45">
      <c r="A1056" s="10">
        <v>282</v>
      </c>
      <c r="B1056" s="10">
        <v>633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709.54464000000007</v>
      </c>
      <c r="G1056" s="12">
        <f ca="1">(RANDBETWEEN(50,100)/100)*(dict_DQ_Meth_max[[#This Row],[Vergleich_ub]]-dict_DQ_Meth_max[[#This Row],[Vergleich_lb]])+dict_DQ_Meth_max[[#This Row],[Vergleich_lb]]</f>
        <v>3648.1587199999999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0.224</v>
      </c>
      <c r="M1056" s="10">
        <f ca="1">VLOOKUP(dict_DQ_Meth_max[[#This Row],[ID_DataQualities]],table_DataQualities[],9,FALSE)</f>
        <v>5066.8</v>
      </c>
    </row>
    <row r="1057" spans="1:13" x14ac:dyDescent="0.45">
      <c r="A1057" s="10">
        <v>282</v>
      </c>
      <c r="B1057" s="10">
        <v>571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861.54192000000012</v>
      </c>
      <c r="G1057" s="12">
        <f ca="1">(RANDBETWEEN(50,100)/100)*(dict_DQ_Meth_max[[#This Row],[Vergleich_ub]]-dict_DQ_Meth_max[[#This Row],[Vergleich_lb]])+dict_DQ_Meth_max[[#This Row],[Vergleich_lb]]</f>
        <v>3192.1668800000002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0.224</v>
      </c>
      <c r="M1057" s="10">
        <f ca="1">VLOOKUP(dict_DQ_Meth_max[[#This Row],[ID_DataQualities]],table_DataQualities[],9,FALSE)</f>
        <v>5066.8</v>
      </c>
    </row>
    <row r="1058" spans="1:13" x14ac:dyDescent="0.45">
      <c r="A1058" s="10">
        <v>282</v>
      </c>
      <c r="B1058" s="10">
        <v>381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760.21040000000005</v>
      </c>
      <c r="G1058" s="12">
        <f ca="1">(RANDBETWEEN(50,100)/100)*(dict_DQ_Meth_max[[#This Row],[Vergleich_ub]]-dict_DQ_Meth_max[[#This Row],[Vergleich_lb]])+dict_DQ_Meth_max[[#This Row],[Vergleich_lb]]</f>
        <v>4813.4712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0.224</v>
      </c>
      <c r="M1058" s="10">
        <f ca="1">VLOOKUP(dict_DQ_Meth_max[[#This Row],[ID_DataQualities]],table_DataQualities[],9,FALSE)</f>
        <v>5066.8</v>
      </c>
    </row>
    <row r="1059" spans="1:13" x14ac:dyDescent="0.45">
      <c r="A1059" s="10">
        <v>283</v>
      </c>
      <c r="B1059" s="10">
        <v>571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0.999</v>
      </c>
      <c r="G1059" s="12">
        <f ca="1">(RANDBETWEEN(50,100)/100)*(dict_DQ_Meth_max[[#This Row],[Vergleich_ub]]-dict_DQ_Meth_max[[#This Row],[Vergleich_lb]])+dict_DQ_Meth_max[[#This Row],[Vergleich_lb]]</f>
        <v>2.2383000000000002</v>
      </c>
      <c r="H1059" s="11" t="str">
        <f ca="1">VLOOKUP(VLOOKUP(dict_DQ_Meth_max[[#This Row],[ID_DataQualities]],table_DataQualities[],3),table_Units[],2)</f>
        <v>+/- mm/s</v>
      </c>
      <c r="I1059" s="10"/>
      <c r="J1059" s="10"/>
      <c r="K1059" s="10"/>
      <c r="L1059" s="10">
        <f ca="1">VLOOKUP(dict_DQ_Meth_max[[#This Row],[ID_DataQualities]],table_DataQualities[],8,FALSE)</f>
        <v>0.27</v>
      </c>
      <c r="M1059" s="10">
        <f ca="1">VLOOKUP(dict_DQ_Meth_max[[#This Row],[ID_DataQualities]],table_DataQualities[],9,FALSE)</f>
        <v>2.7</v>
      </c>
    </row>
    <row r="1060" spans="1:13" x14ac:dyDescent="0.45">
      <c r="A1060" s="10">
        <v>283</v>
      </c>
      <c r="B1060" s="10">
        <v>633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0.48870000000000002</v>
      </c>
      <c r="G1060" s="12">
        <f ca="1">(RANDBETWEEN(50,100)/100)*(dict_DQ_Meth_max[[#This Row],[Vergleich_ub]]-dict_DQ_Meth_max[[#This Row],[Vergleich_lb]])+dict_DQ_Meth_max[[#This Row],[Vergleich_lb]]</f>
        <v>2.6514000000000002</v>
      </c>
      <c r="H1060" s="11" t="str">
        <f ca="1">VLOOKUP(VLOOKUP(dict_DQ_Meth_max[[#This Row],[ID_DataQualities]],table_DataQualities[],3),table_Units[],2)</f>
        <v>+/- mm/s</v>
      </c>
      <c r="I1060" s="10"/>
      <c r="J1060" s="10"/>
      <c r="K1060" s="10"/>
      <c r="L1060" s="10">
        <f ca="1">VLOOKUP(dict_DQ_Meth_max[[#This Row],[ID_DataQualities]],table_DataQualities[],8,FALSE)</f>
        <v>0.27</v>
      </c>
      <c r="M1060" s="10">
        <f ca="1">VLOOKUP(dict_DQ_Meth_max[[#This Row],[ID_DataQualities]],table_DataQualities[],9,FALSE)</f>
        <v>2.7</v>
      </c>
    </row>
    <row r="1061" spans="1:13" x14ac:dyDescent="0.45">
      <c r="A1061" s="10">
        <v>283</v>
      </c>
      <c r="B1061" s="10">
        <v>356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1.0719000000000001</v>
      </c>
      <c r="G1061" s="12">
        <f ca="1">(RANDBETWEEN(50,100)/100)*(dict_DQ_Meth_max[[#This Row],[Vergleich_ub]]-dict_DQ_Meth_max[[#This Row],[Vergleich_lb]])+dict_DQ_Meth_max[[#This Row],[Vergleich_lb]]</f>
        <v>1.9224000000000003</v>
      </c>
      <c r="H1061" s="11" t="str">
        <f ca="1">VLOOKUP(VLOOKUP(dict_DQ_Meth_max[[#This Row],[ID_DataQualities]],table_DataQualities[],3),table_Units[],2)</f>
        <v>+/- mm/s</v>
      </c>
      <c r="I1061" s="10"/>
      <c r="J1061" s="10"/>
      <c r="K1061" s="10"/>
      <c r="L1061" s="10">
        <f ca="1">VLOOKUP(dict_DQ_Meth_max[[#This Row],[ID_DataQualities]],table_DataQualities[],8,FALSE)</f>
        <v>0.27</v>
      </c>
      <c r="M1061" s="10">
        <f ca="1">VLOOKUP(dict_DQ_Meth_max[[#This Row],[ID_DataQualities]],table_DataQualities[],9,FALSE)</f>
        <v>2.7</v>
      </c>
    </row>
    <row r="1062" spans="1:13" x14ac:dyDescent="0.45">
      <c r="A1062" s="10">
        <v>283</v>
      </c>
      <c r="B1062" s="10">
        <v>61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0.90180000000000005</v>
      </c>
      <c r="G1062" s="12">
        <f ca="1">(RANDBETWEEN(50,100)/100)*(dict_DQ_Meth_max[[#This Row],[Vergleich_ub]]-dict_DQ_Meth_max[[#This Row],[Vergleich_lb]])+dict_DQ_Meth_max[[#This Row],[Vergleich_lb]]</f>
        <v>1.6794</v>
      </c>
      <c r="H1062" s="11" t="str">
        <f ca="1">VLOOKUP(VLOOKUP(dict_DQ_Meth_max[[#This Row],[ID_DataQualities]],table_DataQualities[],3),table_Units[],2)</f>
        <v>+/- mm/s</v>
      </c>
      <c r="I1062" s="10"/>
      <c r="J1062" s="10"/>
      <c r="K1062" s="10"/>
      <c r="L1062" s="10">
        <f ca="1">VLOOKUP(dict_DQ_Meth_max[[#This Row],[ID_DataQualities]],table_DataQualities[],8,FALSE)</f>
        <v>0.27</v>
      </c>
      <c r="M1062" s="10">
        <f ca="1">VLOOKUP(dict_DQ_Meth_max[[#This Row],[ID_DataQualities]],table_DataQualities[],9,FALSE)</f>
        <v>2.7</v>
      </c>
    </row>
    <row r="1063" spans="1:13" x14ac:dyDescent="0.45">
      <c r="A1063" s="10">
        <v>283</v>
      </c>
      <c r="B1063" s="10">
        <v>381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1.242</v>
      </c>
      <c r="G1063" s="12">
        <f ca="1">(RANDBETWEEN(50,100)/100)*(dict_DQ_Meth_max[[#This Row],[Vergleich_ub]]-dict_DQ_Meth_max[[#This Row],[Vergleich_lb]])+dict_DQ_Meth_max[[#This Row],[Vergleich_lb]]</f>
        <v>2.0682</v>
      </c>
      <c r="H1063" s="11" t="str">
        <f ca="1">VLOOKUP(VLOOKUP(dict_DQ_Meth_max[[#This Row],[ID_DataQualities]],table_DataQualities[],3),table_Units[],2)</f>
        <v>+/- mm/s</v>
      </c>
      <c r="I1063" s="10"/>
      <c r="J1063" s="10"/>
      <c r="K1063" s="10"/>
      <c r="L1063" s="10">
        <f ca="1">VLOOKUP(dict_DQ_Meth_max[[#This Row],[ID_DataQualities]],table_DataQualities[],8,FALSE)</f>
        <v>0.27</v>
      </c>
      <c r="M1063" s="10">
        <f ca="1">VLOOKUP(dict_DQ_Meth_max[[#This Row],[ID_DataQualities]],table_DataQualities[],9,FALSE)</f>
        <v>2.7</v>
      </c>
    </row>
    <row r="1064" spans="1:13" x14ac:dyDescent="0.45">
      <c r="A1064" s="10">
        <v>284</v>
      </c>
      <c r="B1064" s="10">
        <v>562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378.82443000000001</v>
      </c>
      <c r="G1064" s="12">
        <f ca="1">(RANDBETWEEN(50,100)/100)*(dict_DQ_Meth_max[[#This Row],[Vergleich_ub]]-dict_DQ_Meth_max[[#This Row],[Vergleich_lb]])+dict_DQ_Meth_max[[#This Row],[Vergleich_lb]]</f>
        <v>3679.5643200000004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5.0999999999999997E-2</v>
      </c>
      <c r="M1064" s="10">
        <f ca="1">VLOOKUP(dict_DQ_Meth_max[[#This Row],[ID_DataQualities]],table_DataQualities[],9,FALSE)</f>
        <v>5411.1</v>
      </c>
    </row>
    <row r="1065" spans="1:13" x14ac:dyDescent="0.45">
      <c r="A1065" s="10">
        <v>284</v>
      </c>
      <c r="B1065" s="10">
        <v>50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1515.14472</v>
      </c>
      <c r="G1065" s="12">
        <f ca="1">(RANDBETWEEN(50,100)/100)*(dict_DQ_Meth_max[[#This Row],[Vergleich_ub]]-dict_DQ_Meth_max[[#This Row],[Vergleich_lb]])+dict_DQ_Meth_max[[#This Row],[Vergleich_lb]]</f>
        <v>2813.79648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5.0999999999999997E-2</v>
      </c>
      <c r="M1065" s="10">
        <f ca="1">VLOOKUP(dict_DQ_Meth_max[[#This Row],[ID_DataQualities]],table_DataQualities[],9,FALSE)</f>
        <v>5411.1</v>
      </c>
    </row>
    <row r="1066" spans="1:13" x14ac:dyDescent="0.45">
      <c r="A1066" s="10">
        <v>285</v>
      </c>
      <c r="B1066" s="10">
        <v>562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1103.5</v>
      </c>
      <c r="G1066" s="12">
        <f ca="1">(RANDBETWEEN(50,100)/100)*(dict_DQ_Meth_max[[#This Row],[Vergleich_ub]]-dict_DQ_Meth_max[[#This Row],[Vergleich_lb]])+dict_DQ_Meth_max[[#This Row],[Vergleich_lb]]</f>
        <v>1600.07</v>
      </c>
      <c r="H1066" s="11" t="str">
        <f ca="1">VLOOKUP(VLOOKUP(dict_DQ_Meth_max[[#This Row],[ID_DataQualities]],table_DataQualities[],3),table_Units[],2)</f>
        <v>bit</v>
      </c>
      <c r="I1066" s="10"/>
      <c r="J1066" s="10"/>
      <c r="K1066" s="10"/>
      <c r="L1066" s="10">
        <f ca="1">VLOOKUP(dict_DQ_Meth_max[[#This Row],[ID_DataQualities]],table_DataQualities[],8,FALSE)</f>
        <v>24</v>
      </c>
      <c r="M1066" s="10">
        <f ca="1">VLOOKUP(dict_DQ_Meth_max[[#This Row],[ID_DataQualities]],table_DataQualities[],9,FALSE)</f>
        <v>2183</v>
      </c>
    </row>
    <row r="1067" spans="1:13" x14ac:dyDescent="0.45">
      <c r="A1067" s="10">
        <v>285</v>
      </c>
      <c r="B1067" s="10">
        <v>50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391.03000000000003</v>
      </c>
      <c r="G1067" s="12">
        <f ca="1">(RANDBETWEEN(50,100)/100)*(dict_DQ_Meth_max[[#This Row],[Vergleich_ub]]-dict_DQ_Meth_max[[#This Row],[Vergleich_lb]])+dict_DQ_Meth_max[[#This Row],[Vergleich_lb]]</f>
        <v>1146.68</v>
      </c>
      <c r="H1067" s="11" t="str">
        <f ca="1">VLOOKUP(VLOOKUP(dict_DQ_Meth_max[[#This Row],[ID_DataQualities]],table_DataQualities[],3),table_Units[],2)</f>
        <v>bit</v>
      </c>
      <c r="I1067" s="10"/>
      <c r="J1067" s="10"/>
      <c r="K1067" s="10"/>
      <c r="L1067" s="10">
        <f ca="1">VLOOKUP(dict_DQ_Meth_max[[#This Row],[ID_DataQualities]],table_DataQualities[],8,FALSE)</f>
        <v>24</v>
      </c>
      <c r="M1067" s="10">
        <f ca="1">VLOOKUP(dict_DQ_Meth_max[[#This Row],[ID_DataQualities]],table_DataQualities[],9,FALSE)</f>
        <v>2183</v>
      </c>
    </row>
    <row r="1068" spans="1:13" x14ac:dyDescent="0.45">
      <c r="A1068" s="10">
        <v>286</v>
      </c>
      <c r="B1068" s="10">
        <v>661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1117.34257</v>
      </c>
      <c r="G1068" s="12">
        <f ca="1">(RANDBETWEEN(50,100)/100)*(dict_DQ_Meth_max[[#This Row],[Vergleich_ub]]-dict_DQ_Meth_max[[#This Row],[Vergleich_lb]])+dict_DQ_Meth_max[[#This Row],[Vergleich_lb]]</f>
        <v>5242.5052900000001</v>
      </c>
      <c r="H1068" s="11" t="str">
        <f ca="1">VLOOKUP(VLOOKUP(dict_DQ_Meth_max[[#This Row],[ID_DataQualities]],table_DataQualities[],3),table_Units[],2)</f>
        <v>Hz</v>
      </c>
      <c r="I1068" s="10"/>
      <c r="J1068" s="10"/>
      <c r="K1068" s="10"/>
      <c r="L1068" s="10">
        <f ca="1">VLOOKUP(dict_DQ_Meth_max[[#This Row],[ID_DataQualities]],table_DataQualities[],8,FALSE)</f>
        <v>0.111</v>
      </c>
      <c r="M1068" s="10">
        <f ca="1">VLOOKUP(dict_DQ_Meth_max[[#This Row],[ID_DataQualities]],table_DataQualities[],9,FALSE)</f>
        <v>8594.2000000000007</v>
      </c>
    </row>
    <row r="1069" spans="1:13" x14ac:dyDescent="0.45">
      <c r="A1069" s="10">
        <v>286</v>
      </c>
      <c r="B1069" s="10">
        <v>290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773.57900999999993</v>
      </c>
      <c r="G1069" s="12">
        <f ca="1">(RANDBETWEEN(50,100)/100)*(dict_DQ_Meth_max[[#This Row],[Vergleich_ub]]-dict_DQ_Meth_max[[#This Row],[Vergleich_lb]])+dict_DQ_Meth_max[[#This Row],[Vergleich_lb]]</f>
        <v>5156.5643999999993</v>
      </c>
      <c r="H1069" s="11" t="str">
        <f ca="1">VLOOKUP(VLOOKUP(dict_DQ_Meth_max[[#This Row],[ID_DataQualities]],table_DataQualities[],3),table_Units[],2)</f>
        <v>Hz</v>
      </c>
      <c r="I1069" s="10"/>
      <c r="J1069" s="10"/>
      <c r="K1069" s="10"/>
      <c r="L1069" s="10">
        <f ca="1">VLOOKUP(dict_DQ_Meth_max[[#This Row],[ID_DataQualities]],table_DataQualities[],8,FALSE)</f>
        <v>0.111</v>
      </c>
      <c r="M1069" s="10">
        <f ca="1">VLOOKUP(dict_DQ_Meth_max[[#This Row],[ID_DataQualities]],table_DataQualities[],9,FALSE)</f>
        <v>8594.2000000000007</v>
      </c>
    </row>
    <row r="1070" spans="1:13" x14ac:dyDescent="0.45">
      <c r="A1070" s="10">
        <v>286</v>
      </c>
      <c r="B1070" s="10">
        <v>170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2578.3376999999996</v>
      </c>
      <c r="G1070" s="12">
        <f ca="1">(RANDBETWEEN(50,100)/100)*(dict_DQ_Meth_max[[#This Row],[Vergleich_ub]]-dict_DQ_Meth_max[[#This Row],[Vergleich_lb]])+dict_DQ_Meth_max[[#This Row],[Vergleich_lb]]</f>
        <v>7133.2048699999996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0.111</v>
      </c>
      <c r="M1070" s="10">
        <f ca="1">VLOOKUP(dict_DQ_Meth_max[[#This Row],[ID_DataQualities]],table_DataQualities[],9,FALSE)</f>
        <v>8594.2000000000007</v>
      </c>
    </row>
    <row r="1071" spans="1:13" x14ac:dyDescent="0.45">
      <c r="A1071" s="10">
        <v>286</v>
      </c>
      <c r="B1071" s="10">
        <v>152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3265.8648199999998</v>
      </c>
      <c r="G1071" s="12">
        <f ca="1">(RANDBETWEEN(50,100)/100)*(dict_DQ_Meth_max[[#This Row],[Vergleich_ub]]-dict_DQ_Meth_max[[#This Row],[Vergleich_lb]])+dict_DQ_Meth_max[[#This Row],[Vergleich_lb]]</f>
        <v>4469.0372799999996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0.111</v>
      </c>
      <c r="M1071" s="10">
        <f ca="1">VLOOKUP(dict_DQ_Meth_max[[#This Row],[ID_DataQualities]],table_DataQualities[],9,FALSE)</f>
        <v>8594.2000000000007</v>
      </c>
    </row>
    <row r="1072" spans="1:13" x14ac:dyDescent="0.45">
      <c r="A1072" s="10">
        <v>286</v>
      </c>
      <c r="B1072" s="10">
        <v>248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4297.1554999999998</v>
      </c>
      <c r="G1072" s="12">
        <f ca="1">(RANDBETWEEN(50,100)/100)*(dict_DQ_Meth_max[[#This Row],[Vergleich_ub]]-dict_DQ_Meth_max[[#This Row],[Vergleich_lb]])+dict_DQ_Meth_max[[#This Row],[Vergleich_lb]]</f>
        <v>5500.3279599999996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0.111</v>
      </c>
      <c r="M1072" s="10">
        <f ca="1">VLOOKUP(dict_DQ_Meth_max[[#This Row],[ID_DataQualities]],table_DataQualities[],9,FALSE)</f>
        <v>8594.2000000000007</v>
      </c>
    </row>
    <row r="1073" spans="1:13" x14ac:dyDescent="0.45">
      <c r="A1073" s="10">
        <v>287</v>
      </c>
      <c r="B1073" s="10">
        <v>152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0.16536000000000001</v>
      </c>
      <c r="G1073" s="12">
        <f ca="1">(RANDBETWEEN(50,100)/100)*(dict_DQ_Meth_max[[#This Row],[Vergleich_ub]]-dict_DQ_Meth_max[[#This Row],[Vergleich_lb]])+dict_DQ_Meth_max[[#This Row],[Vergleich_lb]]</f>
        <v>0.45377999999999996</v>
      </c>
      <c r="H1073" s="11" t="str">
        <f ca="1">VLOOKUP(VLOOKUP(dict_DQ_Meth_max[[#This Row],[ID_DataQualities]],table_DataQualities[],3),table_Units[],2)</f>
        <v>+/- mm</v>
      </c>
      <c r="I1073" s="10"/>
      <c r="J1073" s="10"/>
      <c r="K1073" s="10"/>
      <c r="L1073" s="10">
        <f ca="1">VLOOKUP(dict_DQ_Meth_max[[#This Row],[ID_DataQualities]],table_DataQualities[],8,FALSE)</f>
        <v>4.2999999999999997E-2</v>
      </c>
      <c r="M1073" s="10">
        <f ca="1">VLOOKUP(dict_DQ_Meth_max[[#This Row],[ID_DataQualities]],table_DataQualities[],9,FALSE)</f>
        <v>0.48</v>
      </c>
    </row>
    <row r="1074" spans="1:13" x14ac:dyDescent="0.45">
      <c r="A1074" s="10">
        <v>287</v>
      </c>
      <c r="B1074" s="10">
        <v>290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9.9809999999999996E-2</v>
      </c>
      <c r="G1074" s="12">
        <f ca="1">(RANDBETWEEN(50,100)/100)*(dict_DQ_Meth_max[[#This Row],[Vergleich_ub]]-dict_DQ_Meth_max[[#This Row],[Vergleich_lb]])+dict_DQ_Meth_max[[#This Row],[Vergleich_lb]]</f>
        <v>0.37512000000000001</v>
      </c>
      <c r="H1074" s="11" t="str">
        <f ca="1">VLOOKUP(VLOOKUP(dict_DQ_Meth_max[[#This Row],[ID_DataQualities]],table_DataQualities[],3),table_Units[],2)</f>
        <v>+/- mm</v>
      </c>
      <c r="I1074" s="10"/>
      <c r="J1074" s="10"/>
      <c r="K1074" s="10"/>
      <c r="L1074" s="10">
        <f ca="1">VLOOKUP(dict_DQ_Meth_max[[#This Row],[ID_DataQualities]],table_DataQualities[],8,FALSE)</f>
        <v>4.2999999999999997E-2</v>
      </c>
      <c r="M1074" s="10">
        <f ca="1">VLOOKUP(dict_DQ_Meth_max[[#This Row],[ID_DataQualities]],table_DataQualities[],9,FALSE)</f>
        <v>0.48</v>
      </c>
    </row>
    <row r="1075" spans="1:13" x14ac:dyDescent="0.45">
      <c r="A1075" s="10">
        <v>287</v>
      </c>
      <c r="B1075" s="10">
        <v>661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0.20032</v>
      </c>
      <c r="G1075" s="12">
        <f ca="1">(RANDBETWEEN(50,100)/100)*(dict_DQ_Meth_max[[#This Row],[Vergleich_ub]]-dict_DQ_Meth_max[[#This Row],[Vergleich_lb]])+dict_DQ_Meth_max[[#This Row],[Vergleich_lb]]</f>
        <v>0.44503999999999999</v>
      </c>
      <c r="H1075" s="11" t="str">
        <f ca="1">VLOOKUP(VLOOKUP(dict_DQ_Meth_max[[#This Row],[ID_DataQualities]],table_DataQualities[],3),table_Units[],2)</f>
        <v>+/- mm</v>
      </c>
      <c r="I1075" s="10"/>
      <c r="J1075" s="10"/>
      <c r="K1075" s="10"/>
      <c r="L1075" s="10">
        <f ca="1">VLOOKUP(dict_DQ_Meth_max[[#This Row],[ID_DataQualities]],table_DataQualities[],8,FALSE)</f>
        <v>4.2999999999999997E-2</v>
      </c>
      <c r="M1075" s="10">
        <f ca="1">VLOOKUP(dict_DQ_Meth_max[[#This Row],[ID_DataQualities]],table_DataQualities[],9,FALSE)</f>
        <v>0.48</v>
      </c>
    </row>
    <row r="1076" spans="1:13" x14ac:dyDescent="0.45">
      <c r="A1076" s="10">
        <v>287</v>
      </c>
      <c r="B1076" s="10">
        <v>170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0.20906000000000002</v>
      </c>
      <c r="G1076" s="12">
        <f ca="1">(RANDBETWEEN(50,100)/100)*(dict_DQ_Meth_max[[#This Row],[Vergleich_ub]]-dict_DQ_Meth_max[[#This Row],[Vergleich_lb]])+dict_DQ_Meth_max[[#This Row],[Vergleich_lb]]</f>
        <v>0.31394</v>
      </c>
      <c r="H1076" s="11" t="str">
        <f ca="1">VLOOKUP(VLOOKUP(dict_DQ_Meth_max[[#This Row],[ID_DataQualities]],table_DataQualities[],3),table_Units[],2)</f>
        <v>+/- mm</v>
      </c>
      <c r="I1076" s="10"/>
      <c r="J1076" s="10"/>
      <c r="K1076" s="10"/>
      <c r="L1076" s="10">
        <f ca="1">VLOOKUP(dict_DQ_Meth_max[[#This Row],[ID_DataQualities]],table_DataQualities[],8,FALSE)</f>
        <v>4.2999999999999997E-2</v>
      </c>
      <c r="M1076" s="10">
        <f ca="1">VLOOKUP(dict_DQ_Meth_max[[#This Row],[ID_DataQualities]],table_DataQualities[],9,FALSE)</f>
        <v>0.48</v>
      </c>
    </row>
    <row r="1077" spans="1:13" x14ac:dyDescent="0.45">
      <c r="A1077" s="10">
        <v>287</v>
      </c>
      <c r="B1077" s="10">
        <v>248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5.1739999999999994E-2</v>
      </c>
      <c r="G1077" s="12">
        <f ca="1">(RANDBETWEEN(50,100)/100)*(dict_DQ_Meth_max[[#This Row],[Vergleich_ub]]-dict_DQ_Meth_max[[#This Row],[Vergleich_lb]])+dict_DQ_Meth_max[[#This Row],[Vergleich_lb]]</f>
        <v>0.45377999999999996</v>
      </c>
      <c r="H1077" s="11" t="str">
        <f ca="1">VLOOKUP(VLOOKUP(dict_DQ_Meth_max[[#This Row],[ID_DataQualities]],table_DataQualities[],3),table_Units[],2)</f>
        <v>+/- mm</v>
      </c>
      <c r="I1077" s="10"/>
      <c r="J1077" s="10"/>
      <c r="K1077" s="10"/>
      <c r="L1077" s="10">
        <f ca="1">VLOOKUP(dict_DQ_Meth_max[[#This Row],[ID_DataQualities]],table_DataQualities[],8,FALSE)</f>
        <v>4.2999999999999997E-2</v>
      </c>
      <c r="M1077" s="10">
        <f ca="1">VLOOKUP(dict_DQ_Meth_max[[#This Row],[ID_DataQualities]],table_DataQualities[],9,FALSE)</f>
        <v>0.48</v>
      </c>
    </row>
    <row r="1078" spans="1:13" x14ac:dyDescent="0.45">
      <c r="A1078" s="10">
        <v>288</v>
      </c>
      <c r="B1078" s="10">
        <v>386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1003.4571199999999</v>
      </c>
      <c r="G1078" s="12">
        <f ca="1">(RANDBETWEEN(50,100)/100)*(dict_DQ_Meth_max[[#This Row],[Vergleich_ub]]-dict_DQ_Meth_max[[#This Row],[Vergleich_lb]])+dict_DQ_Meth_max[[#This Row],[Vergleich_lb]]</f>
        <v>2033.93191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0.83299999999999996</v>
      </c>
      <c r="M1078" s="10">
        <f ca="1">VLOOKUP(dict_DQ_Meth_max[[#This Row],[ID_DataQualities]],table_DataQualities[],9,FALSE)</f>
        <v>2785.9</v>
      </c>
    </row>
    <row r="1079" spans="1:13" x14ac:dyDescent="0.45">
      <c r="A1079" s="10">
        <v>288</v>
      </c>
      <c r="B1079" s="10">
        <v>489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919.90511000000004</v>
      </c>
      <c r="G1079" s="12">
        <f ca="1">(RANDBETWEEN(50,100)/100)*(dict_DQ_Meth_max[[#This Row],[Vergleich_ub]]-dict_DQ_Meth_max[[#This Row],[Vergleich_lb]])+dict_DQ_Meth_max[[#This Row],[Vergleich_lb]]</f>
        <v>1866.8278900000003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0.83299999999999996</v>
      </c>
      <c r="M1079" s="10">
        <f ca="1">VLOOKUP(dict_DQ_Meth_max[[#This Row],[ID_DataQualities]],table_DataQualities[],9,FALSE)</f>
        <v>2785.9</v>
      </c>
    </row>
    <row r="1080" spans="1:13" x14ac:dyDescent="0.45">
      <c r="A1080" s="10">
        <v>288</v>
      </c>
      <c r="B1080" s="10">
        <v>33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1226.2624800000001</v>
      </c>
      <c r="G1080" s="12">
        <f ca="1">(RANDBETWEEN(50,100)/100)*(dict_DQ_Meth_max[[#This Row],[Vergleich_ub]]-dict_DQ_Meth_max[[#This Row],[Vergleich_lb]])+dict_DQ_Meth_max[[#This Row],[Vergleich_lb]]</f>
        <v>2006.08124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0.83299999999999996</v>
      </c>
      <c r="M1080" s="10">
        <f ca="1">VLOOKUP(dict_DQ_Meth_max[[#This Row],[ID_DataQualities]],table_DataQualities[],9,FALSE)</f>
        <v>2785.9</v>
      </c>
    </row>
    <row r="1081" spans="1:13" x14ac:dyDescent="0.45">
      <c r="A1081" s="10">
        <v>288</v>
      </c>
      <c r="B1081" s="10">
        <v>282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474.29439000000008</v>
      </c>
      <c r="G1081" s="12">
        <f ca="1">(RANDBETWEEN(50,100)/100)*(dict_DQ_Meth_max[[#This Row],[Vergleich_ub]]-dict_DQ_Meth_max[[#This Row],[Vergleich_lb]])+dict_DQ_Meth_max[[#This Row],[Vergleich_lb]]</f>
        <v>1532.6198500000003</v>
      </c>
      <c r="H1081" s="11" t="str">
        <f ca="1">VLOOKUP(VLOOKUP(dict_DQ_Meth_max[[#This Row],[ID_DataQualities]],table_DataQualities[],3),table_Units[],2)</f>
        <v>Hz</v>
      </c>
      <c r="I1081" s="10"/>
      <c r="J1081" s="10"/>
      <c r="K1081" s="10"/>
      <c r="L1081" s="10">
        <f ca="1">VLOOKUP(dict_DQ_Meth_max[[#This Row],[ID_DataQualities]],table_DataQualities[],8,FALSE)</f>
        <v>0.83299999999999996</v>
      </c>
      <c r="M1081" s="10">
        <f ca="1">VLOOKUP(dict_DQ_Meth_max[[#This Row],[ID_DataQualities]],table_DataQualities[],9,FALSE)</f>
        <v>2785.9</v>
      </c>
    </row>
    <row r="1082" spans="1:13" x14ac:dyDescent="0.45">
      <c r="A1082" s="10">
        <v>289</v>
      </c>
      <c r="B1082" s="10">
        <v>489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1150.96</v>
      </c>
      <c r="G1082" s="12">
        <f ca="1">(RANDBETWEEN(50,100)/100)*(dict_DQ_Meth_max[[#This Row],[Vergleich_ub]]-dict_DQ_Meth_max[[#This Row],[Vergleich_lb]])+dict_DQ_Meth_max[[#This Row],[Vergleich_lb]]</f>
        <v>2359.5100000000002</v>
      </c>
      <c r="H1082" s="11" t="str">
        <f ca="1">VLOOKUP(VLOOKUP(dict_DQ_Meth_max[[#This Row],[ID_DataQualities]],table_DataQualities[],3),table_Units[],2)</f>
        <v>bit</v>
      </c>
      <c r="I1082" s="10"/>
      <c r="J1082" s="10"/>
      <c r="K1082" s="10"/>
      <c r="L1082" s="10">
        <f ca="1">VLOOKUP(dict_DQ_Meth_max[[#This Row],[ID_DataQualities]],table_DataQualities[],8,FALSE)</f>
        <v>46</v>
      </c>
      <c r="M1082" s="10">
        <f ca="1">VLOOKUP(dict_DQ_Meth_max[[#This Row],[ID_DataQualities]],table_DataQualities[],9,FALSE)</f>
        <v>3499</v>
      </c>
    </row>
    <row r="1083" spans="1:13" x14ac:dyDescent="0.45">
      <c r="A1083" s="10">
        <v>289</v>
      </c>
      <c r="B1083" s="10">
        <v>386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80.53</v>
      </c>
      <c r="G1083" s="12">
        <f ca="1">(RANDBETWEEN(50,100)/100)*(dict_DQ_Meth_max[[#This Row],[Vergleich_ub]]-dict_DQ_Meth_max[[#This Row],[Vergleich_lb]])+dict_DQ_Meth_max[[#This Row],[Vergleich_lb]]</f>
        <v>2532.16</v>
      </c>
      <c r="H1083" s="11" t="str">
        <f ca="1">VLOOKUP(VLOOKUP(dict_DQ_Meth_max[[#This Row],[ID_DataQualities]],table_DataQualities[],3),table_Units[],2)</f>
        <v>bit</v>
      </c>
      <c r="I1083" s="10"/>
      <c r="J1083" s="10"/>
      <c r="K1083" s="10"/>
      <c r="L1083" s="10">
        <f ca="1">VLOOKUP(dict_DQ_Meth_max[[#This Row],[ID_DataQualities]],table_DataQualities[],8,FALSE)</f>
        <v>46</v>
      </c>
      <c r="M1083" s="10">
        <f ca="1">VLOOKUP(dict_DQ_Meth_max[[#This Row],[ID_DataQualities]],table_DataQualities[],9,FALSE)</f>
        <v>3499</v>
      </c>
    </row>
    <row r="1084" spans="1:13" x14ac:dyDescent="0.45">
      <c r="A1084" s="10">
        <v>289</v>
      </c>
      <c r="B1084" s="10">
        <v>282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1150.96</v>
      </c>
      <c r="G1084" s="12">
        <f ca="1">(RANDBETWEEN(50,100)/100)*(dict_DQ_Meth_max[[#This Row],[Vergleich_ub]]-dict_DQ_Meth_max[[#This Row],[Vergleich_lb]])+dict_DQ_Meth_max[[#This Row],[Vergleich_lb]]</f>
        <v>1945.15</v>
      </c>
      <c r="H1084" s="11" t="str">
        <f ca="1">VLOOKUP(VLOOKUP(dict_DQ_Meth_max[[#This Row],[ID_DataQualities]],table_DataQualities[],3),table_Units[],2)</f>
        <v>bit</v>
      </c>
      <c r="I1084" s="10"/>
      <c r="J1084" s="10"/>
      <c r="K1084" s="10"/>
      <c r="L1084" s="10">
        <f ca="1">VLOOKUP(dict_DQ_Meth_max[[#This Row],[ID_DataQualities]],table_DataQualities[],8,FALSE)</f>
        <v>46</v>
      </c>
      <c r="M1084" s="10">
        <f ca="1">VLOOKUP(dict_DQ_Meth_max[[#This Row],[ID_DataQualities]],table_DataQualities[],9,FALSE)</f>
        <v>3499</v>
      </c>
    </row>
    <row r="1085" spans="1:13" x14ac:dyDescent="0.45">
      <c r="A1085" s="10">
        <v>289</v>
      </c>
      <c r="B1085" s="10">
        <v>33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322.24</v>
      </c>
      <c r="G1085" s="12">
        <f ca="1">(RANDBETWEEN(50,100)/100)*(dict_DQ_Meth_max[[#This Row],[Vergleich_ub]]-dict_DQ_Meth_max[[#This Row],[Vergleich_lb]])+dict_DQ_Meth_max[[#This Row],[Vergleich_lb]]</f>
        <v>2048.7399999999998</v>
      </c>
      <c r="H1085" s="11" t="str">
        <f ca="1">VLOOKUP(VLOOKUP(dict_DQ_Meth_max[[#This Row],[ID_DataQualities]],table_DataQualities[],3),table_Units[],2)</f>
        <v>bit</v>
      </c>
      <c r="I1085" s="10"/>
      <c r="J1085" s="10"/>
      <c r="K1085" s="10"/>
      <c r="L1085" s="10">
        <f ca="1">VLOOKUP(dict_DQ_Meth_max[[#This Row],[ID_DataQualities]],table_DataQualities[],8,FALSE)</f>
        <v>46</v>
      </c>
      <c r="M1085" s="10">
        <f ca="1">VLOOKUP(dict_DQ_Meth_max[[#This Row],[ID_DataQualities]],table_DataQualities[],9,FALSE)</f>
        <v>3499</v>
      </c>
    </row>
    <row r="1086" spans="1:13" x14ac:dyDescent="0.45">
      <c r="A1086" s="10">
        <v>290</v>
      </c>
      <c r="B1086" s="10">
        <v>360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1518.0893599999997</v>
      </c>
      <c r="G1086" s="12">
        <f ca="1">(RANDBETWEEN(50,100)/100)*(dict_DQ_Meth_max[[#This Row],[Vergleich_ub]]-dict_DQ_Meth_max[[#This Row],[Vergleich_lb]])+dict_DQ_Meth_max[[#This Row],[Vergleich_lb]]</f>
        <v>2454.4668799999999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0.51200000000000001</v>
      </c>
      <c r="M1086" s="10">
        <f ca="1">VLOOKUP(dict_DQ_Meth_max[[#This Row],[ID_DataQualities]],table_DataQualities[],9,FALSE)</f>
        <v>3229.4</v>
      </c>
    </row>
    <row r="1087" spans="1:13" x14ac:dyDescent="0.45">
      <c r="A1087" s="10">
        <v>290</v>
      </c>
      <c r="B1087" s="10">
        <v>657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323.4008</v>
      </c>
      <c r="G1087" s="12">
        <f ca="1">(RANDBETWEEN(50,100)/100)*(dict_DQ_Meth_max[[#This Row],[Vergleich_ub]]-dict_DQ_Meth_max[[#This Row],[Vergleich_lb]])+dict_DQ_Meth_max[[#This Row],[Vergleich_lb]]</f>
        <v>2841.9334400000002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0.51200000000000001</v>
      </c>
      <c r="M1087" s="10">
        <f ca="1">VLOOKUP(dict_DQ_Meth_max[[#This Row],[ID_DataQualities]],table_DataQualities[],9,FALSE)</f>
        <v>3229.4</v>
      </c>
    </row>
    <row r="1088" spans="1:13" x14ac:dyDescent="0.45">
      <c r="A1088" s="10">
        <v>290</v>
      </c>
      <c r="B1088" s="10">
        <v>340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581.71183999999994</v>
      </c>
      <c r="G1088" s="12">
        <f ca="1">(RANDBETWEEN(50,100)/100)*(dict_DQ_Meth_max[[#This Row],[Vergleich_ub]]-dict_DQ_Meth_max[[#This Row],[Vergleich_lb]])+dict_DQ_Meth_max[[#This Row],[Vergleich_lb]]</f>
        <v>2519.0446400000001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0.51200000000000001</v>
      </c>
      <c r="M1088" s="10">
        <f ca="1">VLOOKUP(dict_DQ_Meth_max[[#This Row],[ID_DataQualities]],table_DataQualities[],9,FALSE)</f>
        <v>3229.4</v>
      </c>
    </row>
    <row r="1089" spans="1:13" x14ac:dyDescent="0.45">
      <c r="A1089" s="10">
        <v>290</v>
      </c>
      <c r="B1089" s="10">
        <v>66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1001.46728</v>
      </c>
      <c r="G1089" s="12">
        <f ca="1">(RANDBETWEEN(50,100)/100)*(dict_DQ_Meth_max[[#This Row],[Vergleich_ub]]-dict_DQ_Meth_max[[#This Row],[Vergleich_lb]])+dict_DQ_Meth_max[[#This Row],[Vergleich_lb]]</f>
        <v>2422.1780000000003</v>
      </c>
      <c r="H1089" s="11" t="str">
        <f ca="1">VLOOKUP(VLOOKUP(dict_DQ_Meth_max[[#This Row],[ID_DataQualities]],table_DataQualities[],3),table_Units[],2)</f>
        <v>Hz</v>
      </c>
      <c r="I1089" s="10"/>
      <c r="J1089" s="10"/>
      <c r="K1089" s="10"/>
      <c r="L1089" s="10">
        <f ca="1">VLOOKUP(dict_DQ_Meth_max[[#This Row],[ID_DataQualities]],table_DataQualities[],8,FALSE)</f>
        <v>0.51200000000000001</v>
      </c>
      <c r="M1089" s="10">
        <f ca="1">VLOOKUP(dict_DQ_Meth_max[[#This Row],[ID_DataQualities]],table_DataQualities[],9,FALSE)</f>
        <v>3229.4</v>
      </c>
    </row>
    <row r="1090" spans="1:13" x14ac:dyDescent="0.45">
      <c r="A1090" s="10">
        <v>290</v>
      </c>
      <c r="B1090" s="10">
        <v>550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323.4008</v>
      </c>
      <c r="G1090" s="12">
        <f ca="1">(RANDBETWEEN(50,100)/100)*(dict_DQ_Meth_max[[#This Row],[Vergleich_ub]]-dict_DQ_Meth_max[[#This Row],[Vergleich_lb]])+dict_DQ_Meth_max[[#This Row],[Vergleich_lb]]</f>
        <v>2389.8891200000003</v>
      </c>
      <c r="H1090" s="11" t="str">
        <f ca="1">VLOOKUP(VLOOKUP(dict_DQ_Meth_max[[#This Row],[ID_DataQualities]],table_DataQualities[],3),table_Units[],2)</f>
        <v>Hz</v>
      </c>
      <c r="I1090" s="10"/>
      <c r="J1090" s="10"/>
      <c r="K1090" s="10"/>
      <c r="L1090" s="10">
        <f ca="1">VLOOKUP(dict_DQ_Meth_max[[#This Row],[ID_DataQualities]],table_DataQualities[],8,FALSE)</f>
        <v>0.51200000000000001</v>
      </c>
      <c r="M1090" s="10">
        <f ca="1">VLOOKUP(dict_DQ_Meth_max[[#This Row],[ID_DataQualities]],table_DataQualities[],9,FALSE)</f>
        <v>3229.4</v>
      </c>
    </row>
    <row r="1091" spans="1:13" x14ac:dyDescent="0.45">
      <c r="A1091" s="10">
        <v>291</v>
      </c>
      <c r="B1091" s="10">
        <v>340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2.52</v>
      </c>
      <c r="G1091" s="12">
        <f ca="1">(RANDBETWEEN(50,100)/100)*(dict_DQ_Meth_max[[#This Row],[Vergleich_ub]]-dict_DQ_Meth_max[[#This Row],[Vergleich_lb]])+dict_DQ_Meth_max[[#This Row],[Vergleich_lb]]</f>
        <v>6.92</v>
      </c>
      <c r="H1091" s="11" t="str">
        <f ca="1">VLOOKUP(VLOOKUP(dict_DQ_Meth_max[[#This Row],[ID_DataQualities]],table_DataQualities[],3),table_Units[],2)</f>
        <v>+/- °C</v>
      </c>
      <c r="I1091" s="10"/>
      <c r="J1091" s="10"/>
      <c r="K1091" s="10"/>
      <c r="L1091" s="10">
        <f ca="1">VLOOKUP(dict_DQ_Meth_max[[#This Row],[ID_DataQualities]],table_DataQualities[],8,FALSE)</f>
        <v>1</v>
      </c>
      <c r="M1091" s="10">
        <f ca="1">VLOOKUP(dict_DQ_Meth_max[[#This Row],[ID_DataQualities]],table_DataQualities[],9,FALSE)</f>
        <v>9</v>
      </c>
    </row>
    <row r="1092" spans="1:13" x14ac:dyDescent="0.45">
      <c r="A1092" s="10">
        <v>291</v>
      </c>
      <c r="B1092" s="10">
        <v>360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4.2799999999999994</v>
      </c>
      <c r="G1092" s="12">
        <f ca="1">(RANDBETWEEN(50,100)/100)*(dict_DQ_Meth_max[[#This Row],[Vergleich_ub]]-dict_DQ_Meth_max[[#This Row],[Vergleich_lb]])+dict_DQ_Meth_max[[#This Row],[Vergleich_lb]]</f>
        <v>5.72</v>
      </c>
      <c r="H1092" s="11" t="str">
        <f ca="1">VLOOKUP(VLOOKUP(dict_DQ_Meth_max[[#This Row],[ID_DataQualities]],table_DataQualities[],3),table_Units[],2)</f>
        <v>+/- °C</v>
      </c>
      <c r="I1092" s="10"/>
      <c r="J1092" s="10"/>
      <c r="K1092" s="10"/>
      <c r="L1092" s="10">
        <f ca="1">VLOOKUP(dict_DQ_Meth_max[[#This Row],[ID_DataQualities]],table_DataQualities[],8,FALSE)</f>
        <v>1</v>
      </c>
      <c r="M1092" s="10">
        <f ca="1">VLOOKUP(dict_DQ_Meth_max[[#This Row],[ID_DataQualities]],table_DataQualities[],9,FALSE)</f>
        <v>9</v>
      </c>
    </row>
    <row r="1093" spans="1:13" x14ac:dyDescent="0.45">
      <c r="A1093" s="10">
        <v>291</v>
      </c>
      <c r="B1093" s="10">
        <v>657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4.84</v>
      </c>
      <c r="G1093" s="12">
        <f ca="1">(RANDBETWEEN(50,100)/100)*(dict_DQ_Meth_max[[#This Row],[Vergleich_ub]]-dict_DQ_Meth_max[[#This Row],[Vergleich_lb]])+dict_DQ_Meth_max[[#This Row],[Vergleich_lb]]</f>
        <v>5</v>
      </c>
      <c r="H1093" s="11" t="str">
        <f ca="1">VLOOKUP(VLOOKUP(dict_DQ_Meth_max[[#This Row],[ID_DataQualities]],table_DataQualities[],3),table_Units[],2)</f>
        <v>+/- °C</v>
      </c>
      <c r="I1093" s="10"/>
      <c r="J1093" s="10"/>
      <c r="K1093" s="10"/>
      <c r="L1093" s="10">
        <f ca="1">VLOOKUP(dict_DQ_Meth_max[[#This Row],[ID_DataQualities]],table_DataQualities[],8,FALSE)</f>
        <v>1</v>
      </c>
      <c r="M1093" s="10">
        <f ca="1">VLOOKUP(dict_DQ_Meth_max[[#This Row],[ID_DataQualities]],table_DataQualities[],9,FALSE)</f>
        <v>9</v>
      </c>
    </row>
    <row r="1094" spans="1:13" x14ac:dyDescent="0.45">
      <c r="A1094" s="10">
        <v>291</v>
      </c>
      <c r="B1094" s="10">
        <v>66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2.44</v>
      </c>
      <c r="G1094" s="12">
        <f ca="1">(RANDBETWEEN(50,100)/100)*(dict_DQ_Meth_max[[#This Row],[Vergleich_ub]]-dict_DQ_Meth_max[[#This Row],[Vergleich_lb]])+dict_DQ_Meth_max[[#This Row],[Vergleich_lb]]</f>
        <v>5.64</v>
      </c>
      <c r="H1094" s="11" t="str">
        <f ca="1">VLOOKUP(VLOOKUP(dict_DQ_Meth_max[[#This Row],[ID_DataQualities]],table_DataQualities[],3),table_Units[],2)</f>
        <v>+/- °C</v>
      </c>
      <c r="I1094" s="10"/>
      <c r="J1094" s="10"/>
      <c r="K1094" s="10"/>
      <c r="L1094" s="10">
        <f ca="1">VLOOKUP(dict_DQ_Meth_max[[#This Row],[ID_DataQualities]],table_DataQualities[],8,FALSE)</f>
        <v>1</v>
      </c>
      <c r="M1094" s="10">
        <f ca="1">VLOOKUP(dict_DQ_Meth_max[[#This Row],[ID_DataQualities]],table_DataQualities[],9,FALSE)</f>
        <v>9</v>
      </c>
    </row>
    <row r="1095" spans="1:13" x14ac:dyDescent="0.45">
      <c r="A1095" s="10">
        <v>291</v>
      </c>
      <c r="B1095" s="10">
        <v>550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2.6799999999999997</v>
      </c>
      <c r="G1095" s="12">
        <f ca="1">(RANDBETWEEN(50,100)/100)*(dict_DQ_Meth_max[[#This Row],[Vergleich_ub]]-dict_DQ_Meth_max[[#This Row],[Vergleich_lb]])+dict_DQ_Meth_max[[#This Row],[Vergleich_lb]]</f>
        <v>7.56</v>
      </c>
      <c r="H1095" s="11" t="str">
        <f ca="1">VLOOKUP(VLOOKUP(dict_DQ_Meth_max[[#This Row],[ID_DataQualities]],table_DataQualities[],3),table_Units[],2)</f>
        <v>+/- °C</v>
      </c>
      <c r="I1095" s="10"/>
      <c r="J1095" s="10"/>
      <c r="K1095" s="10"/>
      <c r="L1095" s="10">
        <f ca="1">VLOOKUP(dict_DQ_Meth_max[[#This Row],[ID_DataQualities]],table_DataQualities[],8,FALSE)</f>
        <v>1</v>
      </c>
      <c r="M1095" s="10">
        <f ca="1">VLOOKUP(dict_DQ_Meth_max[[#This Row],[ID_DataQualities]],table_DataQualities[],9,FALSE)</f>
        <v>9</v>
      </c>
    </row>
    <row r="1096" spans="1:13" x14ac:dyDescent="0.45">
      <c r="A1096" s="10">
        <v>292</v>
      </c>
      <c r="B1096" s="10">
        <v>206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1590.9809700000001</v>
      </c>
      <c r="G1096" s="12">
        <f ca="1">(RANDBETWEEN(50,100)/100)*(dict_DQ_Meth_max[[#This Row],[Vergleich_ub]]-dict_DQ_Meth_max[[#This Row],[Vergleich_lb]])+dict_DQ_Meth_max[[#This Row],[Vergleich_lb]]</f>
        <v>2478.5679300000002</v>
      </c>
      <c r="H1096" s="11" t="str">
        <f ca="1">VLOOKUP(VLOOKUP(dict_DQ_Meth_max[[#This Row],[ID_DataQualities]],table_DataQualities[],3),table_Units[],2)</f>
        <v>Hz</v>
      </c>
      <c r="I1096" s="10"/>
      <c r="J1096" s="10"/>
      <c r="K1096" s="10"/>
      <c r="L1096" s="10">
        <f ca="1">VLOOKUP(dict_DQ_Meth_max[[#This Row],[ID_DataQualities]],table_DataQualities[],8,FALSE)</f>
        <v>0.72099999999999997</v>
      </c>
      <c r="M1096" s="10">
        <f ca="1">VLOOKUP(dict_DQ_Meth_max[[#This Row],[ID_DataQualities]],table_DataQualities[],9,FALSE)</f>
        <v>3699</v>
      </c>
    </row>
    <row r="1097" spans="1:13" x14ac:dyDescent="0.45">
      <c r="A1097" s="10">
        <v>292</v>
      </c>
      <c r="B1097" s="10">
        <v>20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666.41121999999996</v>
      </c>
      <c r="G1097" s="12">
        <f ca="1">(RANDBETWEEN(50,100)/100)*(dict_DQ_Meth_max[[#This Row],[Vergleich_ub]]-dict_DQ_Meth_max[[#This Row],[Vergleich_lb]])+dict_DQ_Meth_max[[#This Row],[Vergleich_lb]]</f>
        <v>3551.0688399999999</v>
      </c>
      <c r="H1097" s="11" t="str">
        <f ca="1">VLOOKUP(VLOOKUP(dict_DQ_Meth_max[[#This Row],[ID_DataQualities]],table_DataQualities[],3),table_Units[],2)</f>
        <v>Hz</v>
      </c>
      <c r="I1097" s="10"/>
      <c r="J1097" s="10"/>
      <c r="K1097" s="10"/>
      <c r="L1097" s="10">
        <f ca="1">VLOOKUP(dict_DQ_Meth_max[[#This Row],[ID_DataQualities]],table_DataQualities[],8,FALSE)</f>
        <v>0.72099999999999997</v>
      </c>
      <c r="M1097" s="10">
        <f ca="1">VLOOKUP(dict_DQ_Meth_max[[#This Row],[ID_DataQualities]],table_DataQualities[],9,FALSE)</f>
        <v>3699</v>
      </c>
    </row>
    <row r="1098" spans="1:13" x14ac:dyDescent="0.45">
      <c r="A1098" s="10">
        <v>293</v>
      </c>
      <c r="B1098" s="10">
        <v>20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3040.33</v>
      </c>
      <c r="G1098" s="12">
        <f ca="1">(RANDBETWEEN(50,100)/100)*(dict_DQ_Meth_max[[#This Row],[Vergleich_ub]]-dict_DQ_Meth_max[[#This Row],[Vergleich_lb]])+dict_DQ_Meth_max[[#This Row],[Vergleich_lb]]</f>
        <v>5410.9</v>
      </c>
      <c r="H1098" s="11" t="str">
        <f ca="1">VLOOKUP(VLOOKUP(dict_DQ_Meth_max[[#This Row],[ID_DataQualities]],table_DataQualities[],3),table_Units[],2)</f>
        <v>bit</v>
      </c>
      <c r="I1098" s="10"/>
      <c r="J1098" s="10"/>
      <c r="K1098" s="10"/>
      <c r="L1098" s="10">
        <f ca="1">VLOOKUP(dict_DQ_Meth_max[[#This Row],[ID_DataQualities]],table_DataQualities[],8,FALSE)</f>
        <v>58</v>
      </c>
      <c r="M1098" s="10">
        <f ca="1">VLOOKUP(dict_DQ_Meth_max[[#This Row],[ID_DataQualities]],table_DataQualities[],9,FALSE)</f>
        <v>7705</v>
      </c>
    </row>
    <row r="1099" spans="1:13" x14ac:dyDescent="0.45">
      <c r="A1099" s="10">
        <v>293</v>
      </c>
      <c r="B1099" s="10">
        <v>206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3499.15</v>
      </c>
      <c r="G1099" s="12">
        <f ca="1">(RANDBETWEEN(50,100)/100)*(dict_DQ_Meth_max[[#This Row],[Vergleich_ub]]-dict_DQ_Meth_max[[#This Row],[Vergleich_lb]])+dict_DQ_Meth_max[[#This Row],[Vergleich_lb]]</f>
        <v>4340.3200000000006</v>
      </c>
      <c r="H1099" s="11" t="str">
        <f ca="1">VLOOKUP(VLOOKUP(dict_DQ_Meth_max[[#This Row],[ID_DataQualities]],table_DataQualities[],3),table_Units[],2)</f>
        <v>bit</v>
      </c>
      <c r="I1099" s="10"/>
      <c r="J1099" s="10"/>
      <c r="K1099" s="10"/>
      <c r="L1099" s="10">
        <f ca="1">VLOOKUP(dict_DQ_Meth_max[[#This Row],[ID_DataQualities]],table_DataQualities[],8,FALSE)</f>
        <v>58</v>
      </c>
      <c r="M1099" s="10">
        <f ca="1">VLOOKUP(dict_DQ_Meth_max[[#This Row],[ID_DataQualities]],table_DataQualities[],9,FALSE)</f>
        <v>7705</v>
      </c>
    </row>
    <row r="1100" spans="1:13" x14ac:dyDescent="0.45">
      <c r="A1100" s="10">
        <v>294</v>
      </c>
      <c r="B1100" s="10">
        <v>652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2251.2999</v>
      </c>
      <c r="G1100" s="12">
        <f ca="1">(RANDBETWEEN(50,100)/100)*(dict_DQ_Meth_max[[#This Row],[Vergleich_ub]]-dict_DQ_Meth_max[[#This Row],[Vergleich_lb]])+dict_DQ_Meth_max[[#This Row],[Vergleich_lb]]</f>
        <v>3751.5284999999999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0.95699999999999996</v>
      </c>
      <c r="M1100" s="10">
        <f ca="1">VLOOKUP(dict_DQ_Meth_max[[#This Row],[ID_DataQualities]],table_DataQualities[],9,FALSE)</f>
        <v>7502.1</v>
      </c>
    </row>
    <row r="1101" spans="1:13" x14ac:dyDescent="0.45">
      <c r="A1101" s="10">
        <v>294</v>
      </c>
      <c r="B1101" s="10">
        <v>449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1651.2084600000001</v>
      </c>
      <c r="G1101" s="12">
        <f ca="1">(RANDBETWEEN(50,100)/100)*(dict_DQ_Meth_max[[#This Row],[Vergleich_ub]]-dict_DQ_Meth_max[[#This Row],[Vergleich_lb]])+dict_DQ_Meth_max[[#This Row],[Vergleich_lb]]</f>
        <v>4726.6770900000001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0.95699999999999996</v>
      </c>
      <c r="M1101" s="10">
        <f ca="1">VLOOKUP(dict_DQ_Meth_max[[#This Row],[ID_DataQualities]],table_DataQualities[],9,FALSE)</f>
        <v>7502.1</v>
      </c>
    </row>
    <row r="1102" spans="1:13" x14ac:dyDescent="0.45">
      <c r="A1102" s="10">
        <v>294</v>
      </c>
      <c r="B1102" s="10">
        <v>12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976.10559000000001</v>
      </c>
      <c r="G1102" s="12">
        <f ca="1">(RANDBETWEEN(50,100)/100)*(dict_DQ_Meth_max[[#This Row],[Vergleich_ub]]-dict_DQ_Meth_max[[#This Row],[Vergleich_lb]])+dict_DQ_Meth_max[[#This Row],[Vergleich_lb]]</f>
        <v>6451.9399800000001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0.95699999999999996</v>
      </c>
      <c r="M1102" s="10">
        <f ca="1">VLOOKUP(dict_DQ_Meth_max[[#This Row],[ID_DataQualities]],table_DataQualities[],9,FALSE)</f>
        <v>7502.1</v>
      </c>
    </row>
    <row r="1103" spans="1:13" x14ac:dyDescent="0.45">
      <c r="A1103" s="10">
        <v>294</v>
      </c>
      <c r="B1103" s="10">
        <v>260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3226.4484899999998</v>
      </c>
      <c r="G1103" s="12">
        <f ca="1">(RANDBETWEEN(50,100)/100)*(dict_DQ_Meth_max[[#This Row],[Vergleich_ub]]-dict_DQ_Meth_max[[#This Row],[Vergleich_lb]])+dict_DQ_Meth_max[[#This Row],[Vergleich_lb]]</f>
        <v>7277.0657099999999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0.95699999999999996</v>
      </c>
      <c r="M1103" s="10">
        <f ca="1">VLOOKUP(dict_DQ_Meth_max[[#This Row],[ID_DataQualities]],table_DataQualities[],9,FALSE)</f>
        <v>7502.1</v>
      </c>
    </row>
    <row r="1104" spans="1:13" x14ac:dyDescent="0.45">
      <c r="A1104" s="10">
        <v>295</v>
      </c>
      <c r="B1104" s="10">
        <v>449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0.44408000000000003</v>
      </c>
      <c r="G1104" s="12">
        <f ca="1">(RANDBETWEEN(50,100)/100)*(dict_DQ_Meth_max[[#This Row],[Vergleich_ub]]-dict_DQ_Meth_max[[#This Row],[Vergleich_lb]])+dict_DQ_Meth_max[[#This Row],[Vergleich_lb]]</f>
        <v>7.5865600000000013</v>
      </c>
      <c r="H1104" s="11" t="str">
        <f ca="1">VLOOKUP(VLOOKUP(dict_DQ_Meth_max[[#This Row],[ID_DataQualities]],table_DataQualities[],3),table_Units[],2)</f>
        <v>+/- W</v>
      </c>
      <c r="I1104" s="10"/>
      <c r="J1104" s="10"/>
      <c r="K1104" s="10"/>
      <c r="L1104" s="10">
        <f ca="1">VLOOKUP(dict_DQ_Meth_max[[#This Row],[ID_DataQualities]],table_DataQualities[],8,FALSE)</f>
        <v>5.8000000000000003E-2</v>
      </c>
      <c r="M1104" s="10">
        <f ca="1">VLOOKUP(dict_DQ_Meth_max[[#This Row],[ID_DataQualities]],table_DataQualities[],9,FALSE)</f>
        <v>9.7100000000000009</v>
      </c>
    </row>
    <row r="1105" spans="1:13" x14ac:dyDescent="0.45">
      <c r="A1105" s="10">
        <v>295</v>
      </c>
      <c r="B1105" s="10">
        <v>652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2.0849199999999999</v>
      </c>
      <c r="G1105" s="12">
        <f ca="1">(RANDBETWEEN(50,100)/100)*(dict_DQ_Meth_max[[#This Row],[Vergleich_ub]]-dict_DQ_Meth_max[[#This Row],[Vergleich_lb]])+dict_DQ_Meth_max[[#This Row],[Vergleich_lb]]</f>
        <v>8.5517600000000016</v>
      </c>
      <c r="H1105" s="11" t="str">
        <f ca="1">VLOOKUP(VLOOKUP(dict_DQ_Meth_max[[#This Row],[ID_DataQualities]],table_DataQualities[],3),table_Units[],2)</f>
        <v>+/- W</v>
      </c>
      <c r="I1105" s="10"/>
      <c r="J1105" s="10"/>
      <c r="K1105" s="10"/>
      <c r="L1105" s="10">
        <f ca="1">VLOOKUP(dict_DQ_Meth_max[[#This Row],[ID_DataQualities]],table_DataQualities[],8,FALSE)</f>
        <v>5.8000000000000003E-2</v>
      </c>
      <c r="M1105" s="10">
        <f ca="1">VLOOKUP(dict_DQ_Meth_max[[#This Row],[ID_DataQualities]],table_DataQualities[],9,FALSE)</f>
        <v>9.7100000000000009</v>
      </c>
    </row>
    <row r="1106" spans="1:13" x14ac:dyDescent="0.45">
      <c r="A1106" s="10">
        <v>295</v>
      </c>
      <c r="B1106" s="10">
        <v>260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0.83016000000000012</v>
      </c>
      <c r="G1106" s="12">
        <f ca="1">(RANDBETWEEN(50,100)/100)*(dict_DQ_Meth_max[[#This Row],[Vergleich_ub]]-dict_DQ_Meth_max[[#This Row],[Vergleich_lb]])+dict_DQ_Meth_max[[#This Row],[Vergleich_lb]]</f>
        <v>5.7526799999999998</v>
      </c>
      <c r="H1106" s="11" t="str">
        <f ca="1">VLOOKUP(VLOOKUP(dict_DQ_Meth_max[[#This Row],[ID_DataQualities]],table_DataQualities[],3),table_Units[],2)</f>
        <v>+/- W</v>
      </c>
      <c r="I1106" s="10"/>
      <c r="J1106" s="10"/>
      <c r="K1106" s="10"/>
      <c r="L1106" s="10">
        <f ca="1">VLOOKUP(dict_DQ_Meth_max[[#This Row],[ID_DataQualities]],table_DataQualities[],8,FALSE)</f>
        <v>5.8000000000000003E-2</v>
      </c>
      <c r="M1106" s="10">
        <f ca="1">VLOOKUP(dict_DQ_Meth_max[[#This Row],[ID_DataQualities]],table_DataQualities[],9,FALSE)</f>
        <v>9.7100000000000009</v>
      </c>
    </row>
    <row r="1107" spans="1:13" x14ac:dyDescent="0.45">
      <c r="A1107" s="10">
        <v>295</v>
      </c>
      <c r="B1107" s="10">
        <v>12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3.1466400000000001</v>
      </c>
      <c r="G1107" s="12">
        <f ca="1">(RANDBETWEEN(50,100)/100)*(dict_DQ_Meth_max[[#This Row],[Vergleich_ub]]-dict_DQ_Meth_max[[#This Row],[Vergleich_lb]])+dict_DQ_Meth_max[[#This Row],[Vergleich_lb]]</f>
        <v>6.8144</v>
      </c>
      <c r="H1107" s="11" t="str">
        <f ca="1">VLOOKUP(VLOOKUP(dict_DQ_Meth_max[[#This Row],[ID_DataQualities]],table_DataQualities[],3),table_Units[],2)</f>
        <v>+/- W</v>
      </c>
      <c r="I1107" s="10"/>
      <c r="J1107" s="10"/>
      <c r="K1107" s="10"/>
      <c r="L1107" s="10">
        <f ca="1">VLOOKUP(dict_DQ_Meth_max[[#This Row],[ID_DataQualities]],table_DataQualities[],8,FALSE)</f>
        <v>5.8000000000000003E-2</v>
      </c>
      <c r="M1107" s="10">
        <f ca="1">VLOOKUP(dict_DQ_Meth_max[[#This Row],[ID_DataQualities]],table_DataQualities[],9,FALSE)</f>
        <v>9.7100000000000009</v>
      </c>
    </row>
    <row r="1108" spans="1:13" x14ac:dyDescent="0.45">
      <c r="A1108" s="10">
        <v>296</v>
      </c>
      <c r="B1108" s="10">
        <v>557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849.51185999999984</v>
      </c>
      <c r="G1108" s="12">
        <f ca="1">(RANDBETWEEN(50,100)/100)*(dict_DQ_Meth_max[[#This Row],[Vergleich_ub]]-dict_DQ_Meth_max[[#This Row],[Vergleich_lb]])+dict_DQ_Meth_max[[#This Row],[Vergleich_lb]]</f>
        <v>2134.9235400000002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0.222</v>
      </c>
      <c r="M1108" s="10">
        <f ca="1">VLOOKUP(dict_DQ_Meth_max[[#This Row],[ID_DataQualities]],table_DataQualities[],9,FALSE)</f>
        <v>2295.6</v>
      </c>
    </row>
    <row r="1109" spans="1:13" x14ac:dyDescent="0.45">
      <c r="A1109" s="10">
        <v>296</v>
      </c>
      <c r="B1109" s="10">
        <v>660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1010.1883199999999</v>
      </c>
      <c r="G1109" s="12">
        <f ca="1">(RANDBETWEEN(50,100)/100)*(dict_DQ_Meth_max[[#This Row],[Vergleich_ub]]-dict_DQ_Meth_max[[#This Row],[Vergleich_lb]])+dict_DQ_Meth_max[[#This Row],[Vergleich_lb]]</f>
        <v>1675.8479399999997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0.222</v>
      </c>
      <c r="M1109" s="10">
        <f ca="1">VLOOKUP(dict_DQ_Meth_max[[#This Row],[ID_DataQualities]],table_DataQualities[],9,FALSE)</f>
        <v>2295.6</v>
      </c>
    </row>
    <row r="1110" spans="1:13" x14ac:dyDescent="0.45">
      <c r="A1110" s="10">
        <v>296</v>
      </c>
      <c r="B1110" s="10">
        <v>533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160.89846</v>
      </c>
      <c r="G1110" s="12">
        <f ca="1">(RANDBETWEEN(50,100)/100)*(dict_DQ_Meth_max[[#This Row],[Vergleich_ub]]-dict_DQ_Meth_max[[#This Row],[Vergleich_lb]])+dict_DQ_Meth_max[[#This Row],[Vergleich_lb]]</f>
        <v>1928.3395199999998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0.222</v>
      </c>
      <c r="M1110" s="10">
        <f ca="1">VLOOKUP(dict_DQ_Meth_max[[#This Row],[ID_DataQualities]],table_DataQualities[],9,FALSE)</f>
        <v>2295.6</v>
      </c>
    </row>
    <row r="1111" spans="1:13" x14ac:dyDescent="0.45">
      <c r="A1111" s="10">
        <v>296</v>
      </c>
      <c r="B1111" s="10">
        <v>530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1033.1420999999998</v>
      </c>
      <c r="G1111" s="12">
        <f ca="1">(RANDBETWEEN(50,100)/100)*(dict_DQ_Meth_max[[#This Row],[Vergleich_ub]]-dict_DQ_Meth_max[[#This Row],[Vergleich_lb]])+dict_DQ_Meth_max[[#This Row],[Vergleich_lb]]</f>
        <v>1377.4487999999997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0.222</v>
      </c>
      <c r="M1111" s="10">
        <f ca="1">VLOOKUP(dict_DQ_Meth_max[[#This Row],[ID_DataQualities]],table_DataQualities[],9,FALSE)</f>
        <v>2295.6</v>
      </c>
    </row>
    <row r="1112" spans="1:13" x14ac:dyDescent="0.45">
      <c r="A1112" s="10">
        <v>296</v>
      </c>
      <c r="B1112" s="10">
        <v>44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367.48247999999995</v>
      </c>
      <c r="G1112" s="12">
        <f ca="1">(RANDBETWEEN(50,100)/100)*(dict_DQ_Meth_max[[#This Row],[Vergleich_ub]]-dict_DQ_Meth_max[[#This Row],[Vergleich_lb]])+dict_DQ_Meth_max[[#This Row],[Vergleich_lb]]</f>
        <v>1262.6798999999999</v>
      </c>
      <c r="H1112" s="11" t="str">
        <f ca="1">VLOOKUP(VLOOKUP(dict_DQ_Meth_max[[#This Row],[ID_DataQualities]],table_DataQualities[],3),table_Units[],2)</f>
        <v>Hz</v>
      </c>
      <c r="I1112" s="10"/>
      <c r="J1112" s="10"/>
      <c r="K1112" s="10"/>
      <c r="L1112" s="10">
        <f ca="1">VLOOKUP(dict_DQ_Meth_max[[#This Row],[ID_DataQualities]],table_DataQualities[],8,FALSE)</f>
        <v>0.222</v>
      </c>
      <c r="M1112" s="10">
        <f ca="1">VLOOKUP(dict_DQ_Meth_max[[#This Row],[ID_DataQualities]],table_DataQualities[],9,FALSE)</f>
        <v>2295.6</v>
      </c>
    </row>
    <row r="1113" spans="1:13" x14ac:dyDescent="0.45">
      <c r="A1113" s="10">
        <v>297</v>
      </c>
      <c r="B1113" s="10">
        <v>557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371.6</v>
      </c>
      <c r="G1113" s="12">
        <f ca="1">(RANDBETWEEN(50,100)/100)*(dict_DQ_Meth_max[[#This Row],[Vergleich_ub]]-dict_DQ_Meth_max[[#This Row],[Vergleich_lb]])+dict_DQ_Meth_max[[#This Row],[Vergleich_lb]]</f>
        <v>1665.56</v>
      </c>
      <c r="H1113" s="11" t="str">
        <f ca="1">VLOOKUP(VLOOKUP(dict_DQ_Meth_max[[#This Row],[ID_DataQualities]],table_DataQualities[],3),table_Units[],2)</f>
        <v>bit</v>
      </c>
      <c r="I1113" s="10"/>
      <c r="J1113" s="10"/>
      <c r="K1113" s="10"/>
      <c r="L1113" s="10">
        <f ca="1">VLOOKUP(dict_DQ_Meth_max[[#This Row],[ID_DataQualities]],table_DataQualities[],8,FALSE)</f>
        <v>56</v>
      </c>
      <c r="M1113" s="10">
        <f ca="1">VLOOKUP(dict_DQ_Meth_max[[#This Row],[ID_DataQualities]],table_DataQualities[],9,FALSE)</f>
        <v>3212</v>
      </c>
    </row>
    <row r="1114" spans="1:13" x14ac:dyDescent="0.45">
      <c r="A1114" s="10">
        <v>297</v>
      </c>
      <c r="B1114" s="10">
        <v>660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1507.76</v>
      </c>
      <c r="G1114" s="12">
        <f ca="1">(RANDBETWEEN(50,100)/100)*(dict_DQ_Meth_max[[#This Row],[Vergleich_ub]]-dict_DQ_Meth_max[[#This Row],[Vergleich_lb]])+dict_DQ_Meth_max[[#This Row],[Vergleich_lb]]</f>
        <v>1854.9199999999998</v>
      </c>
      <c r="H1114" s="11" t="str">
        <f ca="1">VLOOKUP(VLOOKUP(dict_DQ_Meth_max[[#This Row],[ID_DataQualities]],table_DataQualities[],3),table_Units[],2)</f>
        <v>bit</v>
      </c>
      <c r="I1114" s="10"/>
      <c r="J1114" s="10"/>
      <c r="K1114" s="10"/>
      <c r="L1114" s="10">
        <f ca="1">VLOOKUP(dict_DQ_Meth_max[[#This Row],[ID_DataQualities]],table_DataQualities[],8,FALSE)</f>
        <v>56</v>
      </c>
      <c r="M1114" s="10">
        <f ca="1">VLOOKUP(dict_DQ_Meth_max[[#This Row],[ID_DataQualities]],table_DataQualities[],9,FALSE)</f>
        <v>3212</v>
      </c>
    </row>
    <row r="1115" spans="1:13" x14ac:dyDescent="0.45">
      <c r="A1115" s="10">
        <v>297</v>
      </c>
      <c r="B1115" s="10">
        <v>533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592.52</v>
      </c>
      <c r="G1115" s="12">
        <f ca="1">(RANDBETWEEN(50,100)/100)*(dict_DQ_Meth_max[[#This Row],[Vergleich_ub]]-dict_DQ_Meth_max[[#This Row],[Vergleich_lb]])+dict_DQ_Meth_max[[#This Row],[Vergleich_lb]]</f>
        <v>2044.28</v>
      </c>
      <c r="H1115" s="11" t="str">
        <f ca="1">VLOOKUP(VLOOKUP(dict_DQ_Meth_max[[#This Row],[ID_DataQualities]],table_DataQualities[],3),table_Units[],2)</f>
        <v>bit</v>
      </c>
      <c r="I1115" s="10"/>
      <c r="J1115" s="10"/>
      <c r="K1115" s="10"/>
      <c r="L1115" s="10">
        <f ca="1">VLOOKUP(dict_DQ_Meth_max[[#This Row],[ID_DataQualities]],table_DataQualities[],8,FALSE)</f>
        <v>56</v>
      </c>
      <c r="M1115" s="10">
        <f ca="1">VLOOKUP(dict_DQ_Meth_max[[#This Row],[ID_DataQualities]],table_DataQualities[],9,FALSE)</f>
        <v>3212</v>
      </c>
    </row>
    <row r="1116" spans="1:13" x14ac:dyDescent="0.45">
      <c r="A1116" s="10">
        <v>297</v>
      </c>
      <c r="B1116" s="10">
        <v>530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1444.64</v>
      </c>
      <c r="G1116" s="12">
        <f ca="1">(RANDBETWEEN(50,100)/100)*(dict_DQ_Meth_max[[#This Row],[Vergleich_ub]]-dict_DQ_Meth_max[[#This Row],[Vergleich_lb]])+dict_DQ_Meth_max[[#This Row],[Vergleich_lb]]</f>
        <v>3022.64</v>
      </c>
      <c r="H1116" s="11" t="str">
        <f ca="1">VLOOKUP(VLOOKUP(dict_DQ_Meth_max[[#This Row],[ID_DataQualities]],table_DataQualities[],3),table_Units[],2)</f>
        <v>bit</v>
      </c>
      <c r="I1116" s="10"/>
      <c r="J1116" s="10"/>
      <c r="K1116" s="10"/>
      <c r="L1116" s="10">
        <f ca="1">VLOOKUP(dict_DQ_Meth_max[[#This Row],[ID_DataQualities]],table_DataQualities[],8,FALSE)</f>
        <v>56</v>
      </c>
      <c r="M1116" s="10">
        <f ca="1">VLOOKUP(dict_DQ_Meth_max[[#This Row],[ID_DataQualities]],table_DataQualities[],9,FALSE)</f>
        <v>3212</v>
      </c>
    </row>
    <row r="1117" spans="1:13" x14ac:dyDescent="0.45">
      <c r="A1117" s="10">
        <v>297</v>
      </c>
      <c r="B1117" s="10">
        <v>44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1476.2</v>
      </c>
      <c r="G1117" s="12">
        <f ca="1">(RANDBETWEEN(50,100)/100)*(dict_DQ_Meth_max[[#This Row],[Vergleich_ub]]-dict_DQ_Meth_max[[#This Row],[Vergleich_lb]])+dict_DQ_Meth_max[[#This Row],[Vergleich_lb]]</f>
        <v>1918.04</v>
      </c>
      <c r="H1117" s="11" t="str">
        <f ca="1">VLOOKUP(VLOOKUP(dict_DQ_Meth_max[[#This Row],[ID_DataQualities]],table_DataQualities[],3),table_Units[],2)</f>
        <v>bit</v>
      </c>
      <c r="I1117" s="10"/>
      <c r="J1117" s="10"/>
      <c r="K1117" s="10"/>
      <c r="L1117" s="10">
        <f ca="1">VLOOKUP(dict_DQ_Meth_max[[#This Row],[ID_DataQualities]],table_DataQualities[],8,FALSE)</f>
        <v>56</v>
      </c>
      <c r="M1117" s="10">
        <f ca="1">VLOOKUP(dict_DQ_Meth_max[[#This Row],[ID_DataQualities]],table_DataQualities[],9,FALSE)</f>
        <v>3212</v>
      </c>
    </row>
    <row r="1118" spans="1:13" x14ac:dyDescent="0.45">
      <c r="A1118" s="10">
        <v>298</v>
      </c>
      <c r="B1118" s="10">
        <v>585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2884.8173499999994</v>
      </c>
      <c r="G1118" s="12">
        <f ca="1">(RANDBETWEEN(50,100)/100)*(dict_DQ_Meth_max[[#This Row],[Vergleich_ub]]-dict_DQ_Meth_max[[#This Row],[Vergleich_lb]])+dict_DQ_Meth_max[[#This Row],[Vergleich_lb]]</f>
        <v>4368.4279299999998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1.9E-2</v>
      </c>
      <c r="M1118" s="10">
        <f ca="1">VLOOKUP(dict_DQ_Meth_max[[#This Row],[ID_DataQualities]],table_DataQualities[],9,FALSE)</f>
        <v>8242.2999999999993</v>
      </c>
    </row>
    <row r="1119" spans="1:13" x14ac:dyDescent="0.45">
      <c r="A1119" s="10">
        <v>298</v>
      </c>
      <c r="B1119" s="10">
        <v>154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3873.8910699999992</v>
      </c>
      <c r="G1119" s="12">
        <f ca="1">(RANDBETWEEN(50,100)/100)*(dict_DQ_Meth_max[[#This Row],[Vergleich_ub]]-dict_DQ_Meth_max[[#This Row],[Vergleich_lb]])+dict_DQ_Meth_max[[#This Row],[Vergleich_lb]]</f>
        <v>4203.5823099999998</v>
      </c>
      <c r="H1119" s="11" t="str">
        <f ca="1">VLOOKUP(VLOOKUP(dict_DQ_Meth_max[[#This Row],[ID_DataQualities]],table_DataQualities[],3),table_Units[],2)</f>
        <v>Hz</v>
      </c>
      <c r="I1119" s="10"/>
      <c r="J1119" s="10"/>
      <c r="K1119" s="10"/>
      <c r="L1119" s="10">
        <f ca="1">VLOOKUP(dict_DQ_Meth_max[[#This Row],[ID_DataQualities]],table_DataQualities[],8,FALSE)</f>
        <v>1.9E-2</v>
      </c>
      <c r="M1119" s="10">
        <f ca="1">VLOOKUP(dict_DQ_Meth_max[[#This Row],[ID_DataQualities]],table_DataQualities[],9,FALSE)</f>
        <v>8242.2999999999993</v>
      </c>
    </row>
    <row r="1120" spans="1:13" x14ac:dyDescent="0.45">
      <c r="A1120" s="10">
        <v>299</v>
      </c>
      <c r="B1120" s="10">
        <v>585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2.4175999999999997</v>
      </c>
      <c r="G1120" s="12">
        <f ca="1">(RANDBETWEEN(50,100)/100)*(dict_DQ_Meth_max[[#This Row],[Vergleich_ub]]-dict_DQ_Meth_max[[#This Row],[Vergleich_lb]])+dict_DQ_Meth_max[[#This Row],[Vergleich_lb]]</f>
        <v>3.1053999999999999</v>
      </c>
      <c r="H1120" s="11" t="str">
        <f ca="1">VLOOKUP(VLOOKUP(dict_DQ_Meth_max[[#This Row],[ID_DataQualities]],table_DataQualities[],3),table_Units[],2)</f>
        <v>+/- mm/s</v>
      </c>
      <c r="I1120" s="10"/>
      <c r="J1120" s="10"/>
      <c r="K1120" s="10"/>
      <c r="L1120" s="10">
        <f ca="1">VLOOKUP(dict_DQ_Meth_max[[#This Row],[ID_DataQualities]],table_DataQualities[],8,FALSE)</f>
        <v>0.68</v>
      </c>
      <c r="M1120" s="10">
        <f ca="1">VLOOKUP(dict_DQ_Meth_max[[#This Row],[ID_DataQualities]],table_DataQualities[],9,FALSE)</f>
        <v>4.3</v>
      </c>
    </row>
    <row r="1121" spans="1:13" x14ac:dyDescent="0.45">
      <c r="A1121" s="10">
        <v>299</v>
      </c>
      <c r="B1121" s="10">
        <v>154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1.4039999999999999</v>
      </c>
      <c r="G1121" s="12">
        <f ca="1">(RANDBETWEEN(50,100)/100)*(dict_DQ_Meth_max[[#This Row],[Vergleich_ub]]-dict_DQ_Meth_max[[#This Row],[Vergleich_lb]])+dict_DQ_Meth_max[[#This Row],[Vergleich_lb]]</f>
        <v>2.6709999999999998</v>
      </c>
      <c r="H1121" s="11" t="str">
        <f ca="1">VLOOKUP(VLOOKUP(dict_DQ_Meth_max[[#This Row],[ID_DataQualities]],table_DataQualities[],3),table_Units[],2)</f>
        <v>+/- mm/s</v>
      </c>
      <c r="I1121" s="10"/>
      <c r="J1121" s="10"/>
      <c r="K1121" s="10"/>
      <c r="L1121" s="10">
        <f ca="1">VLOOKUP(dict_DQ_Meth_max[[#This Row],[ID_DataQualities]],table_DataQualities[],8,FALSE)</f>
        <v>0.68</v>
      </c>
      <c r="M1121" s="10">
        <f ca="1">VLOOKUP(dict_DQ_Meth_max[[#This Row],[ID_DataQualities]],table_DataQualities[],9,FALSE)</f>
        <v>4.3</v>
      </c>
    </row>
    <row r="1122" spans="1:13" x14ac:dyDescent="0.45">
      <c r="A1122" s="10">
        <v>300</v>
      </c>
      <c r="B1122" s="10">
        <v>263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2517.7288700000004</v>
      </c>
      <c r="G1122" s="12">
        <f ca="1">(RANDBETWEEN(50,100)/100)*(dict_DQ_Meth_max[[#This Row],[Vergleich_ub]]-dict_DQ_Meth_max[[#This Row],[Vergleich_lb]])+dict_DQ_Meth_max[[#This Row],[Vergleich_lb]]</f>
        <v>4662.3594999999996</v>
      </c>
      <c r="H1122" s="11" t="str">
        <f ca="1">VLOOKUP(VLOOKUP(dict_DQ_Meth_max[[#This Row],[ID_DataQualities]],table_DataQualities[],3),table_Units[],2)</f>
        <v>Hz</v>
      </c>
      <c r="I1122" s="10"/>
      <c r="J1122" s="10"/>
      <c r="K1122" s="10"/>
      <c r="L1122" s="10">
        <f ca="1">VLOOKUP(dict_DQ_Meth_max[[#This Row],[ID_DataQualities]],table_DataQualities[],8,FALSE)</f>
        <v>0.11899999999999999</v>
      </c>
      <c r="M1122" s="10">
        <f ca="1">VLOOKUP(dict_DQ_Meth_max[[#This Row],[ID_DataQualities]],table_DataQualities[],9,FALSE)</f>
        <v>9324.6</v>
      </c>
    </row>
    <row r="1123" spans="1:13" x14ac:dyDescent="0.45">
      <c r="A1123" s="10">
        <v>300</v>
      </c>
      <c r="B1123" s="10">
        <v>80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4475.8698799999993</v>
      </c>
      <c r="G1123" s="12">
        <f ca="1">(RANDBETWEEN(50,100)/100)*(dict_DQ_Meth_max[[#This Row],[Vergleich_ub]]-dict_DQ_Meth_max[[#This Row],[Vergleich_lb]])+dict_DQ_Meth_max[[#This Row],[Vergleich_lb]]</f>
        <v>5408.3179799999989</v>
      </c>
      <c r="H1123" s="11" t="str">
        <f ca="1">VLOOKUP(VLOOKUP(dict_DQ_Meth_max[[#This Row],[ID_DataQualities]],table_DataQualities[],3),table_Units[],2)</f>
        <v>Hz</v>
      </c>
      <c r="I1123" s="10"/>
      <c r="J1123" s="10"/>
      <c r="K1123" s="10"/>
      <c r="L1123" s="10">
        <f ca="1">VLOOKUP(dict_DQ_Meth_max[[#This Row],[ID_DataQualities]],table_DataQualities[],8,FALSE)</f>
        <v>0.11899999999999999</v>
      </c>
      <c r="M1123" s="10">
        <f ca="1">VLOOKUP(dict_DQ_Meth_max[[#This Row],[ID_DataQualities]],table_DataQualities[],9,FALSE)</f>
        <v>9324.6</v>
      </c>
    </row>
    <row r="1124" spans="1:13" x14ac:dyDescent="0.45">
      <c r="A1124" s="10">
        <v>300</v>
      </c>
      <c r="B1124" s="10">
        <v>21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559.58785999999998</v>
      </c>
      <c r="G1124" s="12">
        <f ca="1">(RANDBETWEEN(50,100)/100)*(dict_DQ_Meth_max[[#This Row],[Vergleich_ub]]-dict_DQ_Meth_max[[#This Row],[Vergleich_lb]])+dict_DQ_Meth_max[[#This Row],[Vergleich_lb]]</f>
        <v>8392.1519000000008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0.11899999999999999</v>
      </c>
      <c r="M1124" s="10">
        <f ca="1">VLOOKUP(dict_DQ_Meth_max[[#This Row],[ID_DataQualities]],table_DataQualities[],9,FALSE)</f>
        <v>9324.6</v>
      </c>
    </row>
    <row r="1125" spans="1:13" x14ac:dyDescent="0.45">
      <c r="A1125" s="10">
        <v>300</v>
      </c>
      <c r="B1125" s="10">
        <v>491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3170.4425400000005</v>
      </c>
      <c r="G1125" s="12">
        <f ca="1">(RANDBETWEEN(50,100)/100)*(dict_DQ_Meth_max[[#This Row],[Vergleich_ub]]-dict_DQ_Meth_max[[#This Row],[Vergleich_lb]])+dict_DQ_Meth_max[[#This Row],[Vergleich_lb]]</f>
        <v>6247.5212700000002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0.11899999999999999</v>
      </c>
      <c r="M1125" s="10">
        <f ca="1">VLOOKUP(dict_DQ_Meth_max[[#This Row],[ID_DataQualities]],table_DataQualities[],9,FALSE)</f>
        <v>9324.6</v>
      </c>
    </row>
    <row r="1126" spans="1:13" x14ac:dyDescent="0.45">
      <c r="A1126" s="10">
        <v>301</v>
      </c>
      <c r="B1126" s="10">
        <v>80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1.0446000000000002</v>
      </c>
      <c r="G1126" s="12">
        <f ca="1">(RANDBETWEEN(50,100)/100)*(dict_DQ_Meth_max[[#This Row],[Vergleich_ub]]-dict_DQ_Meth_max[[#This Row],[Vergleich_lb]])+dict_DQ_Meth_max[[#This Row],[Vergleich_lb]]</f>
        <v>5.1397500000000003</v>
      </c>
      <c r="H1126" s="11" t="str">
        <f ca="1">VLOOKUP(VLOOKUP(dict_DQ_Meth_max[[#This Row],[ID_DataQualities]],table_DataQualities[],3),table_Units[],2)</f>
        <v>+/- W</v>
      </c>
      <c r="I1126" s="10"/>
      <c r="J1126" s="10"/>
      <c r="K1126" s="10"/>
      <c r="L1126" s="10">
        <f ca="1">VLOOKUP(dict_DQ_Meth_max[[#This Row],[ID_DataQualities]],table_DataQualities[],8,FALSE)</f>
        <v>9.5000000000000001E-2</v>
      </c>
      <c r="M1126" s="10">
        <f ca="1">VLOOKUP(dict_DQ_Meth_max[[#This Row],[ID_DataQualities]],table_DataQualities[],9,FALSE)</f>
        <v>6.03</v>
      </c>
    </row>
    <row r="1127" spans="1:13" x14ac:dyDescent="0.45">
      <c r="A1127" s="10">
        <v>301</v>
      </c>
      <c r="B1127" s="10">
        <v>263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0.92590000000000017</v>
      </c>
      <c r="G1127" s="12">
        <f ca="1">(RANDBETWEEN(50,100)/100)*(dict_DQ_Meth_max[[#This Row],[Vergleich_ub]]-dict_DQ_Meth_max[[#This Row],[Vergleich_lb]])+dict_DQ_Meth_max[[#This Row],[Vergleich_lb]]</f>
        <v>3.2405500000000007</v>
      </c>
      <c r="H1127" s="11" t="str">
        <f ca="1">VLOOKUP(VLOOKUP(dict_DQ_Meth_max[[#This Row],[ID_DataQualities]],table_DataQualities[],3),table_Units[],2)</f>
        <v>+/- W</v>
      </c>
      <c r="I1127" s="10"/>
      <c r="J1127" s="10"/>
      <c r="K1127" s="10"/>
      <c r="L1127" s="10">
        <f ca="1">VLOOKUP(dict_DQ_Meth_max[[#This Row],[ID_DataQualities]],table_DataQualities[],8,FALSE)</f>
        <v>9.5000000000000001E-2</v>
      </c>
      <c r="M1127" s="10">
        <f ca="1">VLOOKUP(dict_DQ_Meth_max[[#This Row],[ID_DataQualities]],table_DataQualities[],9,FALSE)</f>
        <v>6.03</v>
      </c>
    </row>
    <row r="1128" spans="1:13" x14ac:dyDescent="0.45">
      <c r="A1128" s="10">
        <v>301</v>
      </c>
      <c r="B1128" s="10">
        <v>21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0.51045000000000007</v>
      </c>
      <c r="G1128" s="12">
        <f ca="1">(RANDBETWEEN(50,100)/100)*(dict_DQ_Meth_max[[#This Row],[Vergleich_ub]]-dict_DQ_Meth_max[[#This Row],[Vergleich_lb]])+dict_DQ_Meth_max[[#This Row],[Vergleich_lb]]</f>
        <v>4.5462499999999997</v>
      </c>
      <c r="H1128" s="11" t="str">
        <f ca="1">VLOOKUP(VLOOKUP(dict_DQ_Meth_max[[#This Row],[ID_DataQualities]],table_DataQualities[],3),table_Units[],2)</f>
        <v>+/- W</v>
      </c>
      <c r="I1128" s="10"/>
      <c r="J1128" s="10"/>
      <c r="K1128" s="10"/>
      <c r="L1128" s="10">
        <f ca="1">VLOOKUP(dict_DQ_Meth_max[[#This Row],[ID_DataQualities]],table_DataQualities[],8,FALSE)</f>
        <v>9.5000000000000001E-2</v>
      </c>
      <c r="M1128" s="10">
        <f ca="1">VLOOKUP(dict_DQ_Meth_max[[#This Row],[ID_DataQualities]],table_DataQualities[],9,FALSE)</f>
        <v>6.03</v>
      </c>
    </row>
    <row r="1129" spans="1:13" x14ac:dyDescent="0.45">
      <c r="A1129" s="10">
        <v>301</v>
      </c>
      <c r="B1129" s="10">
        <v>491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2.7657500000000006</v>
      </c>
      <c r="G1129" s="12">
        <f ca="1">(RANDBETWEEN(50,100)/100)*(dict_DQ_Meth_max[[#This Row],[Vergleich_ub]]-dict_DQ_Meth_max[[#This Row],[Vergleich_lb]])+dict_DQ_Meth_max[[#This Row],[Vergleich_lb]]</f>
        <v>4.19015</v>
      </c>
      <c r="H1129" s="11" t="str">
        <f ca="1">VLOOKUP(VLOOKUP(dict_DQ_Meth_max[[#This Row],[ID_DataQualities]],table_DataQualities[],3),table_Units[],2)</f>
        <v>+/- W</v>
      </c>
      <c r="I1129" s="10"/>
      <c r="J1129" s="10"/>
      <c r="K1129" s="10"/>
      <c r="L1129" s="10">
        <f ca="1">VLOOKUP(dict_DQ_Meth_max[[#This Row],[ID_DataQualities]],table_DataQualities[],8,FALSE)</f>
        <v>9.5000000000000001E-2</v>
      </c>
      <c r="M1129" s="10">
        <f ca="1">VLOOKUP(dict_DQ_Meth_max[[#This Row],[ID_DataQualities]],table_DataQualities[],9,FALSE)</f>
        <v>6.03</v>
      </c>
    </row>
    <row r="1130" spans="1:13" x14ac:dyDescent="0.45">
      <c r="A1130" s="10">
        <v>302</v>
      </c>
      <c r="B1130" s="10">
        <v>334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692.5920000000001</v>
      </c>
      <c r="G1130" s="12">
        <f ca="1">(RANDBETWEEN(50,100)/100)*(dict_DQ_Meth_max[[#This Row],[Vergleich_ub]]-dict_DQ_Meth_max[[#This Row],[Vergleich_lb]])+dict_DQ_Meth_max[[#This Row],[Vergleich_lb]]</f>
        <v>2839.1156999999998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0.16500000000000001</v>
      </c>
      <c r="M1130" s="10">
        <f ca="1">VLOOKUP(dict_DQ_Meth_max[[#This Row],[ID_DataQualities]],table_DataQualities[],9,FALSE)</f>
        <v>3462.3</v>
      </c>
    </row>
    <row r="1131" spans="1:13" x14ac:dyDescent="0.45">
      <c r="A1131" s="10">
        <v>302</v>
      </c>
      <c r="B1131" s="10">
        <v>145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1108.0482</v>
      </c>
      <c r="G1131" s="12">
        <f ca="1">(RANDBETWEEN(50,100)/100)*(dict_DQ_Meth_max[[#This Row],[Vergleich_ub]]-dict_DQ_Meth_max[[#This Row],[Vergleich_lb]])+dict_DQ_Meth_max[[#This Row],[Vergleich_lb]]</f>
        <v>2285.1741000000002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0.16500000000000001</v>
      </c>
      <c r="M1131" s="10">
        <f ca="1">VLOOKUP(dict_DQ_Meth_max[[#This Row],[ID_DataQualities]],table_DataQualities[],9,FALSE)</f>
        <v>3462.3</v>
      </c>
    </row>
    <row r="1132" spans="1:13" x14ac:dyDescent="0.45">
      <c r="A1132" s="10">
        <v>302</v>
      </c>
      <c r="B1132" s="10">
        <v>23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796.45605</v>
      </c>
      <c r="G1132" s="12">
        <f ca="1">(RANDBETWEEN(50,100)/100)*(dict_DQ_Meth_max[[#This Row],[Vergleich_ub]]-dict_DQ_Meth_max[[#This Row],[Vergleich_lb]])+dict_DQ_Meth_max[[#This Row],[Vergleich_lb]]</f>
        <v>2077.4459999999999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0.16500000000000001</v>
      </c>
      <c r="M1132" s="10">
        <f ca="1">VLOOKUP(dict_DQ_Meth_max[[#This Row],[ID_DataQualities]],table_DataQualities[],9,FALSE)</f>
        <v>3462.3</v>
      </c>
    </row>
    <row r="1133" spans="1:13" x14ac:dyDescent="0.45">
      <c r="A1133" s="10">
        <v>302</v>
      </c>
      <c r="B1133" s="10">
        <v>465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692.5920000000001</v>
      </c>
      <c r="G1133" s="12">
        <f ca="1">(RANDBETWEEN(50,100)/100)*(dict_DQ_Meth_max[[#This Row],[Vergleich_ub]]-dict_DQ_Meth_max[[#This Row],[Vergleich_lb]])+dict_DQ_Meth_max[[#This Row],[Vergleich_lb]]</f>
        <v>3185.3292000000001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0.16500000000000001</v>
      </c>
      <c r="M1133" s="10">
        <f ca="1">VLOOKUP(dict_DQ_Meth_max[[#This Row],[ID_DataQualities]],table_DataQualities[],9,FALSE)</f>
        <v>3462.3</v>
      </c>
    </row>
    <row r="1134" spans="1:13" x14ac:dyDescent="0.45">
      <c r="A1134" s="10">
        <v>302</v>
      </c>
      <c r="B1134" s="10">
        <v>424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519.48524999999995</v>
      </c>
      <c r="G1134" s="12">
        <f ca="1">(RANDBETWEEN(50,100)/100)*(dict_DQ_Meth_max[[#This Row],[Vergleich_ub]]-dict_DQ_Meth_max[[#This Row],[Vergleich_lb]])+dict_DQ_Meth_max[[#This Row],[Vergleich_lb]]</f>
        <v>3358.43595</v>
      </c>
      <c r="H1134" s="11" t="str">
        <f ca="1">VLOOKUP(VLOOKUP(dict_DQ_Meth_max[[#This Row],[ID_DataQualities]],table_DataQualities[],3),table_Units[],2)</f>
        <v>Hz</v>
      </c>
      <c r="I1134" s="10"/>
      <c r="J1134" s="10"/>
      <c r="K1134" s="10"/>
      <c r="L1134" s="10">
        <f ca="1">VLOOKUP(dict_DQ_Meth_max[[#This Row],[ID_DataQualities]],table_DataQualities[],8,FALSE)</f>
        <v>0.16500000000000001</v>
      </c>
      <c r="M1134" s="10">
        <f ca="1">VLOOKUP(dict_DQ_Meth_max[[#This Row],[ID_DataQualities]],table_DataQualities[],9,FALSE)</f>
        <v>3462.3</v>
      </c>
    </row>
    <row r="1135" spans="1:13" x14ac:dyDescent="0.45">
      <c r="A1135" s="10">
        <v>303</v>
      </c>
      <c r="B1135" s="10">
        <v>465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1.4159999999999999</v>
      </c>
      <c r="G1135" s="12">
        <f ca="1">(RANDBETWEEN(50,100)/100)*(dict_DQ_Meth_max[[#This Row],[Vergleich_ub]]-dict_DQ_Meth_max[[#This Row],[Vergleich_lb]])+dict_DQ_Meth_max[[#This Row],[Vergleich_lb]]</f>
        <v>3.048</v>
      </c>
      <c r="H1135" s="11" t="str">
        <f ca="1">VLOOKUP(VLOOKUP(dict_DQ_Meth_max[[#This Row],[ID_DataQualities]],table_DataQualities[],3),table_Units[],2)</f>
        <v>+/- °C</v>
      </c>
      <c r="I1135" s="10"/>
      <c r="J1135" s="10"/>
      <c r="K1135" s="10"/>
      <c r="L1135" s="10">
        <f ca="1">VLOOKUP(dict_DQ_Meth_max[[#This Row],[ID_DataQualities]],table_DataQualities[],8,FALSE)</f>
        <v>0.6</v>
      </c>
      <c r="M1135" s="10">
        <f ca="1">VLOOKUP(dict_DQ_Meth_max[[#This Row],[ID_DataQualities]],table_DataQualities[],9,FALSE)</f>
        <v>4</v>
      </c>
    </row>
    <row r="1136" spans="1:13" x14ac:dyDescent="0.45">
      <c r="A1136" s="10">
        <v>303</v>
      </c>
      <c r="B1136" s="10">
        <v>334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2.13</v>
      </c>
      <c r="G1136" s="12">
        <f ca="1">(RANDBETWEEN(50,100)/100)*(dict_DQ_Meth_max[[#This Row],[Vergleich_ub]]-dict_DQ_Meth_max[[#This Row],[Vergleich_lb]])+dict_DQ_Meth_max[[#This Row],[Vergleich_lb]]</f>
        <v>3.694</v>
      </c>
      <c r="H1136" s="11" t="str">
        <f ca="1">VLOOKUP(VLOOKUP(dict_DQ_Meth_max[[#This Row],[ID_DataQualities]],table_DataQualities[],3),table_Units[],2)</f>
        <v>+/- °C</v>
      </c>
      <c r="I1136" s="10"/>
      <c r="J1136" s="10"/>
      <c r="K1136" s="10"/>
      <c r="L1136" s="10">
        <f ca="1">VLOOKUP(dict_DQ_Meth_max[[#This Row],[ID_DataQualities]],table_DataQualities[],8,FALSE)</f>
        <v>0.6</v>
      </c>
      <c r="M1136" s="10">
        <f ca="1">VLOOKUP(dict_DQ_Meth_max[[#This Row],[ID_DataQualities]],table_DataQualities[],9,FALSE)</f>
        <v>4</v>
      </c>
    </row>
    <row r="1137" spans="1:13" x14ac:dyDescent="0.45">
      <c r="A1137" s="10">
        <v>303</v>
      </c>
      <c r="B1137" s="10">
        <v>23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0.83799999999999997</v>
      </c>
      <c r="G1137" s="12">
        <f ca="1">(RANDBETWEEN(50,100)/100)*(dict_DQ_Meth_max[[#This Row],[Vergleich_ub]]-dict_DQ_Meth_max[[#This Row],[Vergleich_lb]])+dict_DQ_Meth_max[[#This Row],[Vergleich_lb]]</f>
        <v>3.9660000000000002</v>
      </c>
      <c r="H1137" s="11" t="str">
        <f ca="1">VLOOKUP(VLOOKUP(dict_DQ_Meth_max[[#This Row],[ID_DataQualities]],table_DataQualities[],3),table_Units[],2)</f>
        <v>+/- °C</v>
      </c>
      <c r="I1137" s="10"/>
      <c r="J1137" s="10"/>
      <c r="K1137" s="10"/>
      <c r="L1137" s="10">
        <f ca="1">VLOOKUP(dict_DQ_Meth_max[[#This Row],[ID_DataQualities]],table_DataQualities[],8,FALSE)</f>
        <v>0.6</v>
      </c>
      <c r="M1137" s="10">
        <f ca="1">VLOOKUP(dict_DQ_Meth_max[[#This Row],[ID_DataQualities]],table_DataQualities[],9,FALSE)</f>
        <v>4</v>
      </c>
    </row>
    <row r="1138" spans="1:13" x14ac:dyDescent="0.45">
      <c r="A1138" s="10">
        <v>303</v>
      </c>
      <c r="B1138" s="10">
        <v>145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1.6880000000000002</v>
      </c>
      <c r="G1138" s="12">
        <f ca="1">(RANDBETWEEN(50,100)/100)*(dict_DQ_Meth_max[[#This Row],[Vergleich_ub]]-dict_DQ_Meth_max[[#This Row],[Vergleich_lb]])+dict_DQ_Meth_max[[#This Row],[Vergleich_lb]]</f>
        <v>3.3540000000000001</v>
      </c>
      <c r="H1138" s="11" t="str">
        <f ca="1">VLOOKUP(VLOOKUP(dict_DQ_Meth_max[[#This Row],[ID_DataQualities]],table_DataQualities[],3),table_Units[],2)</f>
        <v>+/- °C</v>
      </c>
      <c r="I1138" s="10"/>
      <c r="J1138" s="10"/>
      <c r="K1138" s="10"/>
      <c r="L1138" s="10">
        <f ca="1">VLOOKUP(dict_DQ_Meth_max[[#This Row],[ID_DataQualities]],table_DataQualities[],8,FALSE)</f>
        <v>0.6</v>
      </c>
      <c r="M1138" s="10">
        <f ca="1">VLOOKUP(dict_DQ_Meth_max[[#This Row],[ID_DataQualities]],table_DataQualities[],9,FALSE)</f>
        <v>4</v>
      </c>
    </row>
    <row r="1139" spans="1:13" x14ac:dyDescent="0.45">
      <c r="A1139" s="10">
        <v>303</v>
      </c>
      <c r="B1139" s="10">
        <v>424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2.266</v>
      </c>
      <c r="G1139" s="12">
        <f ca="1">(RANDBETWEEN(50,100)/100)*(dict_DQ_Meth_max[[#This Row],[Vergleich_ub]]-dict_DQ_Meth_max[[#This Row],[Vergleich_lb]])+dict_DQ_Meth_max[[#This Row],[Vergleich_lb]]</f>
        <v>3.694</v>
      </c>
      <c r="H1139" s="11" t="str">
        <f ca="1">VLOOKUP(VLOOKUP(dict_DQ_Meth_max[[#This Row],[ID_DataQualities]],table_DataQualities[],3),table_Units[],2)</f>
        <v>+/- °C</v>
      </c>
      <c r="I1139" s="10"/>
      <c r="J1139" s="10"/>
      <c r="K1139" s="10"/>
      <c r="L1139" s="10">
        <f ca="1">VLOOKUP(dict_DQ_Meth_max[[#This Row],[ID_DataQualities]],table_DataQualities[],8,FALSE)</f>
        <v>0.6</v>
      </c>
      <c r="M1139" s="10">
        <f ca="1">VLOOKUP(dict_DQ_Meth_max[[#This Row],[ID_DataQualities]],table_DataQualities[],9,FALSE)</f>
        <v>4</v>
      </c>
    </row>
    <row r="1140" spans="1:13" x14ac:dyDescent="0.45">
      <c r="A1140" s="10">
        <v>304</v>
      </c>
      <c r="B1140" s="10">
        <v>56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265.65497999999997</v>
      </c>
      <c r="G1140" s="12">
        <f ca="1">(RANDBETWEEN(50,100)/100)*(dict_DQ_Meth_max[[#This Row],[Vergleich_ub]]-dict_DQ_Meth_max[[#This Row],[Vergleich_lb]])+dict_DQ_Meth_max[[#This Row],[Vergleich_lb]]</f>
        <v>4419.2169999999996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0.53400000000000003</v>
      </c>
      <c r="M1140" s="10">
        <f ca="1">VLOOKUP(dict_DQ_Meth_max[[#This Row],[ID_DataQualities]],table_DataQualities[],9,FALSE)</f>
        <v>8837.9</v>
      </c>
    </row>
    <row r="1141" spans="1:13" x14ac:dyDescent="0.45">
      <c r="A1141" s="10">
        <v>304</v>
      </c>
      <c r="B1141" s="10">
        <v>6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4065.7223600000002</v>
      </c>
      <c r="G1141" s="12">
        <f ca="1">(RANDBETWEEN(50,100)/100)*(dict_DQ_Meth_max[[#This Row],[Vergleich_ub]]-dict_DQ_Meth_max[[#This Row],[Vergleich_lb]])+dict_DQ_Meth_max[[#This Row],[Vergleich_lb]]</f>
        <v>5921.5692200000003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0.53400000000000003</v>
      </c>
      <c r="M1141" s="10">
        <f ca="1">VLOOKUP(dict_DQ_Meth_max[[#This Row],[ID_DataQualities]],table_DataQualities[],9,FALSE)</f>
        <v>8837.9</v>
      </c>
    </row>
    <row r="1142" spans="1:13" x14ac:dyDescent="0.45">
      <c r="A1142" s="10">
        <v>304</v>
      </c>
      <c r="B1142" s="10">
        <v>689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707.52328</v>
      </c>
      <c r="G1142" s="12">
        <f ca="1">(RANDBETWEEN(50,100)/100)*(dict_DQ_Meth_max[[#This Row],[Vergleich_ub]]-dict_DQ_Meth_max[[#This Row],[Vergleich_lb]])+dict_DQ_Meth_max[[#This Row],[Vergleich_lb]]</f>
        <v>7335.547779999999</v>
      </c>
      <c r="H1142" s="11" t="str">
        <f ca="1">VLOOKUP(VLOOKUP(dict_DQ_Meth_max[[#This Row],[ID_DataQualities]],table_DataQualities[],3),table_Units[],2)</f>
        <v>Hz</v>
      </c>
      <c r="I1142" s="10"/>
      <c r="J1142" s="10"/>
      <c r="K1142" s="10"/>
      <c r="L1142" s="10">
        <f ca="1">VLOOKUP(dict_DQ_Meth_max[[#This Row],[ID_DataQualities]],table_DataQualities[],8,FALSE)</f>
        <v>0.53400000000000003</v>
      </c>
      <c r="M1142" s="10">
        <f ca="1">VLOOKUP(dict_DQ_Meth_max[[#This Row],[ID_DataQualities]],table_DataQualities[],9,FALSE)</f>
        <v>8837.9</v>
      </c>
    </row>
    <row r="1143" spans="1:13" x14ac:dyDescent="0.45">
      <c r="A1143" s="10">
        <v>305</v>
      </c>
      <c r="B1143" s="10">
        <v>6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7.5815000000000007E-2</v>
      </c>
      <c r="G1143" s="12">
        <f ca="1">(RANDBETWEEN(50,100)/100)*(dict_DQ_Meth_max[[#This Row],[Vergleich_ub]]-dict_DQ_Meth_max[[#This Row],[Vergleich_lb]])+dict_DQ_Meth_max[[#This Row],[Vergleich_lb]]</f>
        <v>0.6463000000000001</v>
      </c>
      <c r="H1143" s="11" t="str">
        <f ca="1">VLOOKUP(VLOOKUP(dict_DQ_Meth_max[[#This Row],[ID_DataQualities]],table_DataQualities[],3),table_Units[],2)</f>
        <v>+/- cm³/s</v>
      </c>
      <c r="I1143" s="10"/>
      <c r="J1143" s="10"/>
      <c r="K1143" s="10"/>
      <c r="L1143" s="10">
        <f ca="1">VLOOKUP(dict_DQ_Meth_max[[#This Row],[ID_DataQualities]],table_DataQualities[],8,FALSE)</f>
        <v>3.5000000000000001E-3</v>
      </c>
      <c r="M1143" s="10">
        <f ca="1">VLOOKUP(dict_DQ_Meth_max[[#This Row],[ID_DataQualities]],table_DataQualities[],9,FALSE)</f>
        <v>0.80700000000000005</v>
      </c>
    </row>
    <row r="1144" spans="1:13" x14ac:dyDescent="0.45">
      <c r="A1144" s="10">
        <v>305</v>
      </c>
      <c r="B1144" s="10">
        <v>689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0.32490000000000008</v>
      </c>
      <c r="G1144" s="12">
        <f ca="1">(RANDBETWEEN(50,100)/100)*(dict_DQ_Meth_max[[#This Row],[Vergleich_ub]]-dict_DQ_Meth_max[[#This Row],[Vergleich_lb]])+dict_DQ_Meth_max[[#This Row],[Vergleich_lb]]</f>
        <v>0.44542500000000007</v>
      </c>
      <c r="H1144" s="11" t="str">
        <f ca="1">VLOOKUP(VLOOKUP(dict_DQ_Meth_max[[#This Row],[ID_DataQualities]],table_DataQualities[],3),table_Units[],2)</f>
        <v>+/- cm³/s</v>
      </c>
      <c r="I1144" s="10"/>
      <c r="J1144" s="10"/>
      <c r="K1144" s="10"/>
      <c r="L1144" s="10">
        <f ca="1">VLOOKUP(dict_DQ_Meth_max[[#This Row],[ID_DataQualities]],table_DataQualities[],8,FALSE)</f>
        <v>3.5000000000000001E-3</v>
      </c>
      <c r="M1144" s="10">
        <f ca="1">VLOOKUP(dict_DQ_Meth_max[[#This Row],[ID_DataQualities]],table_DataQualities[],9,FALSE)</f>
        <v>0.80700000000000005</v>
      </c>
    </row>
    <row r="1145" spans="1:13" x14ac:dyDescent="0.45">
      <c r="A1145" s="10">
        <v>305</v>
      </c>
      <c r="B1145" s="10">
        <v>56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3.5640000000000005E-2</v>
      </c>
      <c r="G1145" s="12">
        <f ca="1">(RANDBETWEEN(50,100)/100)*(dict_DQ_Meth_max[[#This Row],[Vergleich_ub]]-dict_DQ_Meth_max[[#This Row],[Vergleich_lb]])+dict_DQ_Meth_max[[#This Row],[Vergleich_lb]]</f>
        <v>0.74272000000000005</v>
      </c>
      <c r="H1145" s="11" t="str">
        <f ca="1">VLOOKUP(VLOOKUP(dict_DQ_Meth_max[[#This Row],[ID_DataQualities]],table_DataQualities[],3),table_Units[],2)</f>
        <v>+/- cm³/s</v>
      </c>
      <c r="I1145" s="10"/>
      <c r="J1145" s="10"/>
      <c r="K1145" s="10"/>
      <c r="L1145" s="10">
        <f ca="1">VLOOKUP(dict_DQ_Meth_max[[#This Row],[ID_DataQualities]],table_DataQualities[],8,FALSE)</f>
        <v>3.5000000000000001E-3</v>
      </c>
      <c r="M1145" s="10">
        <f ca="1">VLOOKUP(dict_DQ_Meth_max[[#This Row],[ID_DataQualities]],table_DataQualities[],9,FALSE)</f>
        <v>0.80700000000000005</v>
      </c>
    </row>
    <row r="1146" spans="1:13" x14ac:dyDescent="0.45">
      <c r="A1146" s="10">
        <v>306</v>
      </c>
      <c r="B1146" s="10">
        <v>118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183.29844</v>
      </c>
      <c r="G1146" s="12">
        <f ca="1">(RANDBETWEEN(50,100)/100)*(dict_DQ_Meth_max[[#This Row],[Vergleich_ub]]-dict_DQ_Meth_max[[#This Row],[Vergleich_lb]])+dict_DQ_Meth_max[[#This Row],[Vergleich_lb]]</f>
        <v>687.38847999999996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0.96799999999999997</v>
      </c>
      <c r="M1146" s="10">
        <f ca="1">VLOOKUP(dict_DQ_Meth_max[[#This Row],[ID_DataQualities]],table_DataQualities[],9,FALSE)</f>
        <v>1073.5</v>
      </c>
    </row>
    <row r="1147" spans="1:13" x14ac:dyDescent="0.45">
      <c r="A1147" s="10">
        <v>306</v>
      </c>
      <c r="B1147" s="10">
        <v>8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33.143959999999993</v>
      </c>
      <c r="G1147" s="12">
        <f ca="1">(RANDBETWEEN(50,100)/100)*(dict_DQ_Meth_max[[#This Row],[Vergleich_ub]]-dict_DQ_Meth_max[[#This Row],[Vergleich_lb]])+dict_DQ_Meth_max[[#This Row],[Vergleich_lb]]</f>
        <v>644.48719999999992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0.96799999999999997</v>
      </c>
      <c r="M1147" s="10">
        <f ca="1">VLOOKUP(dict_DQ_Meth_max[[#This Row],[ID_DataQualities]],table_DataQualities[],9,FALSE)</f>
        <v>1073.5</v>
      </c>
    </row>
    <row r="1148" spans="1:13" x14ac:dyDescent="0.45">
      <c r="A1148" s="10">
        <v>306</v>
      </c>
      <c r="B1148" s="10">
        <v>676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365.62888000000004</v>
      </c>
      <c r="G1148" s="12">
        <f ca="1">(RANDBETWEEN(50,100)/100)*(dict_DQ_Meth_max[[#This Row],[Vergleich_ub]]-dict_DQ_Meth_max[[#This Row],[Vergleich_lb]])+dict_DQ_Meth_max[[#This Row],[Vergleich_lb]]</f>
        <v>1009.1480799999998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0.96799999999999997</v>
      </c>
      <c r="M1148" s="10">
        <f ca="1">VLOOKUP(dict_DQ_Meth_max[[#This Row],[ID_DataQualities]],table_DataQualities[],9,FALSE)</f>
        <v>1073.5</v>
      </c>
    </row>
    <row r="1149" spans="1:13" x14ac:dyDescent="0.45">
      <c r="A1149" s="10">
        <v>307</v>
      </c>
      <c r="B1149" s="10">
        <v>118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2.8164800000000003</v>
      </c>
      <c r="G1149" s="12">
        <f ca="1">(RANDBETWEEN(50,100)/100)*(dict_DQ_Meth_max[[#This Row],[Vergleich_ub]]-dict_DQ_Meth_max[[#This Row],[Vergleich_lb]])+dict_DQ_Meth_max[[#This Row],[Vergleich_lb]]</f>
        <v>6.6833600000000004</v>
      </c>
      <c r="H1149" s="11" t="str">
        <f ca="1">VLOOKUP(VLOOKUP(dict_DQ_Meth_max[[#This Row],[ID_DataQualities]],table_DataQualities[],3),table_Units[],2)</f>
        <v>+/- mm</v>
      </c>
      <c r="I1149" s="10"/>
      <c r="J1149" s="10"/>
      <c r="K1149" s="10"/>
      <c r="L1149" s="10">
        <f ca="1">VLOOKUP(dict_DQ_Meth_max[[#This Row],[ID_DataQualities]],table_DataQualities[],8,FALSE)</f>
        <v>4.3999999999999997E-2</v>
      </c>
      <c r="M1149" s="10">
        <f ca="1">VLOOKUP(dict_DQ_Meth_max[[#This Row],[ID_DataQualities]],table_DataQualities[],9,FALSE)</f>
        <v>7.34</v>
      </c>
    </row>
    <row r="1150" spans="1:13" x14ac:dyDescent="0.45">
      <c r="A1150" s="10">
        <v>307</v>
      </c>
      <c r="B1150" s="10">
        <v>8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3.10832</v>
      </c>
      <c r="G1150" s="12">
        <f ca="1">(RANDBETWEEN(50,100)/100)*(dict_DQ_Meth_max[[#This Row],[Vergleich_ub]]-dict_DQ_Meth_max[[#This Row],[Vergleich_lb]])+dict_DQ_Meth_max[[#This Row],[Vergleich_lb]]</f>
        <v>6.6833600000000004</v>
      </c>
      <c r="H1150" s="11" t="str">
        <f ca="1">VLOOKUP(VLOOKUP(dict_DQ_Meth_max[[#This Row],[ID_DataQualities]],table_DataQualities[],3),table_Units[],2)</f>
        <v>+/- mm</v>
      </c>
      <c r="I1150" s="10"/>
      <c r="J1150" s="10"/>
      <c r="K1150" s="10"/>
      <c r="L1150" s="10">
        <f ca="1">VLOOKUP(dict_DQ_Meth_max[[#This Row],[ID_DataQualities]],table_DataQualities[],8,FALSE)</f>
        <v>4.3999999999999997E-2</v>
      </c>
      <c r="M1150" s="10">
        <f ca="1">VLOOKUP(dict_DQ_Meth_max[[#This Row],[ID_DataQualities]],table_DataQualities[],9,FALSE)</f>
        <v>7.34</v>
      </c>
    </row>
    <row r="1151" spans="1:13" x14ac:dyDescent="0.45">
      <c r="A1151" s="10">
        <v>307</v>
      </c>
      <c r="B1151" s="10">
        <v>676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2.5975999999999999</v>
      </c>
      <c r="G1151" s="12">
        <f ca="1">(RANDBETWEEN(50,100)/100)*(dict_DQ_Meth_max[[#This Row],[Vergleich_ub]]-dict_DQ_Meth_max[[#This Row],[Vergleich_lb]])+dict_DQ_Meth_max[[#This Row],[Vergleich_lb]]</f>
        <v>4.4945599999999999</v>
      </c>
      <c r="H1151" s="11" t="str">
        <f ca="1">VLOOKUP(VLOOKUP(dict_DQ_Meth_max[[#This Row],[ID_DataQualities]],table_DataQualities[],3),table_Units[],2)</f>
        <v>+/- mm</v>
      </c>
      <c r="I1151" s="10"/>
      <c r="J1151" s="10"/>
      <c r="K1151" s="10"/>
      <c r="L1151" s="10">
        <f ca="1">VLOOKUP(dict_DQ_Meth_max[[#This Row],[ID_DataQualities]],table_DataQualities[],8,FALSE)</f>
        <v>4.3999999999999997E-2</v>
      </c>
      <c r="M1151" s="10">
        <f ca="1">VLOOKUP(dict_DQ_Meth_max[[#This Row],[ID_DataQualities]],table_DataQualities[],9,FALSE)</f>
        <v>7.34</v>
      </c>
    </row>
    <row r="1152" spans="1:13" x14ac:dyDescent="0.45">
      <c r="A1152" s="10">
        <v>308</v>
      </c>
      <c r="B1152" s="10">
        <v>188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1125.7142400000002</v>
      </c>
      <c r="G1152" s="12">
        <f ca="1">(RANDBETWEEN(50,100)/100)*(dict_DQ_Meth_max[[#This Row],[Vergleich_ub]]-dict_DQ_Meth_max[[#This Row],[Vergleich_lb]])+dict_DQ_Meth_max[[#This Row],[Vergleich_lb]]</f>
        <v>2434.2982400000001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0.33200000000000002</v>
      </c>
      <c r="M1152" s="10">
        <f ca="1">VLOOKUP(dict_DQ_Meth_max[[#This Row],[ID_DataQualities]],table_DataQualities[],9,FALSE)</f>
        <v>2617.5</v>
      </c>
    </row>
    <row r="1153" spans="1:13" x14ac:dyDescent="0.45">
      <c r="A1153" s="10">
        <v>308</v>
      </c>
      <c r="B1153" s="10">
        <v>413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392.90719999999999</v>
      </c>
      <c r="G1153" s="12">
        <f ca="1">(RANDBETWEEN(50,100)/100)*(dict_DQ_Meth_max[[#This Row],[Vergleich_ub]]-dict_DQ_Meth_max[[#This Row],[Vergleich_lb]])+dict_DQ_Meth_max[[#This Row],[Vergleich_lb]]</f>
        <v>2251.0964800000002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0.33200000000000002</v>
      </c>
      <c r="M1153" s="10">
        <f ca="1">VLOOKUP(dict_DQ_Meth_max[[#This Row],[ID_DataQualities]],table_DataQualities[],9,FALSE)</f>
        <v>2617.5</v>
      </c>
    </row>
    <row r="1154" spans="1:13" x14ac:dyDescent="0.45">
      <c r="A1154" s="10">
        <v>308</v>
      </c>
      <c r="B1154" s="10">
        <v>103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366.73552000000007</v>
      </c>
      <c r="G1154" s="12">
        <f ca="1">(RANDBETWEEN(50,100)/100)*(dict_DQ_Meth_max[[#This Row],[Vergleich_ub]]-dict_DQ_Meth_max[[#This Row],[Vergleich_lb]])+dict_DQ_Meth_max[[#This Row],[Vergleich_lb]]</f>
        <v>2434.2982400000001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0.33200000000000002</v>
      </c>
      <c r="M1154" s="10">
        <f ca="1">VLOOKUP(dict_DQ_Meth_max[[#This Row],[ID_DataQualities]],table_DataQualities[],9,FALSE)</f>
        <v>2617.5</v>
      </c>
    </row>
    <row r="1155" spans="1:13" x14ac:dyDescent="0.45">
      <c r="A1155" s="10">
        <v>308</v>
      </c>
      <c r="B1155" s="10">
        <v>138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445.25056000000006</v>
      </c>
      <c r="G1155" s="12">
        <f ca="1">(RANDBETWEEN(50,100)/100)*(dict_DQ_Meth_max[[#This Row],[Vergleich_ub]]-dict_DQ_Meth_max[[#This Row],[Vergleich_lb]])+dict_DQ_Meth_max[[#This Row],[Vergleich_lb]]</f>
        <v>1937.0363200000002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0.33200000000000002</v>
      </c>
      <c r="M1155" s="10">
        <f ca="1">VLOOKUP(dict_DQ_Meth_max[[#This Row],[ID_DataQualities]],table_DataQualities[],9,FALSE)</f>
        <v>2617.5</v>
      </c>
    </row>
    <row r="1156" spans="1:13" x14ac:dyDescent="0.45">
      <c r="A1156" s="10">
        <v>309</v>
      </c>
      <c r="B1156" s="10">
        <v>103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8.6825000000000013E-2</v>
      </c>
      <c r="G1156" s="12">
        <f ca="1">(RANDBETWEEN(50,100)/100)*(dict_DQ_Meth_max[[#This Row],[Vergleich_ub]]-dict_DQ_Meth_max[[#This Row],[Vergleich_lb]])+dict_DQ_Meth_max[[#This Row],[Vergleich_lb]]</f>
        <v>0.33130200000000004</v>
      </c>
      <c r="H1156" s="11" t="str">
        <f ca="1">VLOOKUP(VLOOKUP(dict_DQ_Meth_max[[#This Row],[ID_DataQualities]],table_DataQualities[],3),table_Units[],2)</f>
        <v>+/- cm³/s</v>
      </c>
      <c r="I1156" s="10"/>
      <c r="J1156" s="10"/>
      <c r="K1156" s="10"/>
      <c r="L1156" s="10">
        <f ca="1">VLOOKUP(dict_DQ_Meth_max[[#This Row],[ID_DataQualities]],table_DataQualities[],8,FALSE)</f>
        <v>3.0999999999999999E-3</v>
      </c>
      <c r="M1156" s="10">
        <f ca="1">VLOOKUP(dict_DQ_Meth_max[[#This Row],[ID_DataQualities]],table_DataQualities[],9,FALSE)</f>
        <v>0.33800000000000002</v>
      </c>
    </row>
    <row r="1157" spans="1:13" x14ac:dyDescent="0.45">
      <c r="A1157" s="10">
        <v>309</v>
      </c>
      <c r="B1157" s="10">
        <v>138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2.3193999999999999E-2</v>
      </c>
      <c r="G1157" s="12">
        <f ca="1">(RANDBETWEEN(50,100)/100)*(dict_DQ_Meth_max[[#This Row],[Vergleich_ub]]-dict_DQ_Meth_max[[#This Row],[Vergleich_lb]])+dict_DQ_Meth_max[[#This Row],[Vergleich_lb]]</f>
        <v>0.27436900000000003</v>
      </c>
      <c r="H1157" s="11" t="str">
        <f ca="1">VLOOKUP(VLOOKUP(dict_DQ_Meth_max[[#This Row],[ID_DataQualities]],table_DataQualities[],3),table_Units[],2)</f>
        <v>+/- cm³/s</v>
      </c>
      <c r="I1157" s="10"/>
      <c r="J1157" s="10"/>
      <c r="K1157" s="10"/>
      <c r="L1157" s="10">
        <f ca="1">VLOOKUP(dict_DQ_Meth_max[[#This Row],[ID_DataQualities]],table_DataQualities[],8,FALSE)</f>
        <v>3.0999999999999999E-3</v>
      </c>
      <c r="M1157" s="10">
        <f ca="1">VLOOKUP(dict_DQ_Meth_max[[#This Row],[ID_DataQualities]],table_DataQualities[],9,FALSE)</f>
        <v>0.33800000000000002</v>
      </c>
    </row>
    <row r="1158" spans="1:13" x14ac:dyDescent="0.45">
      <c r="A1158" s="10">
        <v>309</v>
      </c>
      <c r="B1158" s="10">
        <v>188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9.0174000000000018E-2</v>
      </c>
      <c r="G1158" s="12">
        <f ca="1">(RANDBETWEEN(50,100)/100)*(dict_DQ_Meth_max[[#This Row],[Vergleich_ub]]-dict_DQ_Meth_max[[#This Row],[Vergleich_lb]])+dict_DQ_Meth_max[[#This Row],[Vergleich_lb]]</f>
        <v>0.20069100000000001</v>
      </c>
      <c r="H1158" s="11" t="str">
        <f ca="1">VLOOKUP(VLOOKUP(dict_DQ_Meth_max[[#This Row],[ID_DataQualities]],table_DataQualities[],3),table_Units[],2)</f>
        <v>+/- cm³/s</v>
      </c>
      <c r="I1158" s="10"/>
      <c r="J1158" s="10"/>
      <c r="K1158" s="10"/>
      <c r="L1158" s="10">
        <f ca="1">VLOOKUP(dict_DQ_Meth_max[[#This Row],[ID_DataQualities]],table_DataQualities[],8,FALSE)</f>
        <v>3.0999999999999999E-3</v>
      </c>
      <c r="M1158" s="10">
        <f ca="1">VLOOKUP(dict_DQ_Meth_max[[#This Row],[ID_DataQualities]],table_DataQualities[],9,FALSE)</f>
        <v>0.33800000000000002</v>
      </c>
    </row>
    <row r="1159" spans="1:13" x14ac:dyDescent="0.45">
      <c r="A1159" s="10">
        <v>309</v>
      </c>
      <c r="B1159" s="10">
        <v>413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0.11696600000000003</v>
      </c>
      <c r="G1159" s="12">
        <f ca="1">(RANDBETWEEN(50,100)/100)*(dict_DQ_Meth_max[[#This Row],[Vergleich_ub]]-dict_DQ_Meth_max[[#This Row],[Vergleich_lb]])+dict_DQ_Meth_max[[#This Row],[Vergleich_lb]]</f>
        <v>0.19734199999999999</v>
      </c>
      <c r="H1159" s="11" t="str">
        <f ca="1">VLOOKUP(VLOOKUP(dict_DQ_Meth_max[[#This Row],[ID_DataQualities]],table_DataQualities[],3),table_Units[],2)</f>
        <v>+/- cm³/s</v>
      </c>
      <c r="I1159" s="10"/>
      <c r="J1159" s="10"/>
      <c r="K1159" s="10"/>
      <c r="L1159" s="10">
        <f ca="1">VLOOKUP(dict_DQ_Meth_max[[#This Row],[ID_DataQualities]],table_DataQualities[],8,FALSE)</f>
        <v>3.0999999999999999E-3</v>
      </c>
      <c r="M1159" s="10">
        <f ca="1">VLOOKUP(dict_DQ_Meth_max[[#This Row],[ID_DataQualities]],table_DataQualities[],9,FALSE)</f>
        <v>0.33800000000000002</v>
      </c>
    </row>
    <row r="1160" spans="1:13" x14ac:dyDescent="0.45">
      <c r="A1160" s="10">
        <v>310</v>
      </c>
      <c r="B1160" s="10">
        <v>679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745.98323999999991</v>
      </c>
      <c r="G1160" s="12">
        <f ca="1">(RANDBETWEEN(50,100)/100)*(dict_DQ_Meth_max[[#This Row],[Vergleich_ub]]-dict_DQ_Meth_max[[#This Row],[Vergleich_lb]])+dict_DQ_Meth_max[[#This Row],[Vergleich_lb]]</f>
        <v>7270.3003399999998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0.34699999999999998</v>
      </c>
      <c r="M1160" s="10">
        <f ca="1">VLOOKUP(dict_DQ_Meth_max[[#This Row],[ID_DataQualities]],table_DataQualities[],9,FALSE)</f>
        <v>9320.7999999999993</v>
      </c>
    </row>
    <row r="1161" spans="1:13" x14ac:dyDescent="0.45">
      <c r="A1161" s="10">
        <v>310</v>
      </c>
      <c r="B1161" s="10">
        <v>3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4101.3463199999997</v>
      </c>
      <c r="G1161" s="12">
        <f ca="1">(RANDBETWEEN(50,100)/100)*(dict_DQ_Meth_max[[#This Row],[Vergleich_ub]]-dict_DQ_Meth_max[[#This Row],[Vergleich_lb]])+dict_DQ_Meth_max[[#This Row],[Vergleich_lb]]</f>
        <v>8295.5501699999986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0.34699999999999998</v>
      </c>
      <c r="M1161" s="10">
        <f ca="1">VLOOKUP(dict_DQ_Meth_max[[#This Row],[ID_DataQualities]],table_DataQualities[],9,FALSE)</f>
        <v>9320.7999999999993</v>
      </c>
    </row>
    <row r="1162" spans="1:13" x14ac:dyDescent="0.45">
      <c r="A1162" s="10">
        <v>310</v>
      </c>
      <c r="B1162" s="10">
        <v>233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3076.0964900000004</v>
      </c>
      <c r="G1162" s="12">
        <f ca="1">(RANDBETWEEN(50,100)/100)*(dict_DQ_Meth_max[[#This Row],[Vergleich_ub]]-dict_DQ_Meth_max[[#This Row],[Vergleich_lb]])+dict_DQ_Meth_max[[#This Row],[Vergleich_lb]]</f>
        <v>8202.3456399999995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0.34699999999999998</v>
      </c>
      <c r="M1162" s="10">
        <f ca="1">VLOOKUP(dict_DQ_Meth_max[[#This Row],[ID_DataQualities]],table_DataQualities[],9,FALSE)</f>
        <v>9320.7999999999993</v>
      </c>
    </row>
    <row r="1163" spans="1:13" x14ac:dyDescent="0.45">
      <c r="A1163" s="10">
        <v>310</v>
      </c>
      <c r="B1163" s="10">
        <v>274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3821.7327299999997</v>
      </c>
      <c r="G1163" s="12">
        <f ca="1">(RANDBETWEEN(50,100)/100)*(dict_DQ_Meth_max[[#This Row],[Vergleich_ub]]-dict_DQ_Meth_max[[#This Row],[Vergleich_lb]])+dict_DQ_Meth_max[[#This Row],[Vergleich_lb]]</f>
        <v>5406.2097399999993</v>
      </c>
      <c r="H1163" s="11" t="str">
        <f ca="1">VLOOKUP(VLOOKUP(dict_DQ_Meth_max[[#This Row],[ID_DataQualities]],table_DataQualities[],3),table_Units[],2)</f>
        <v>Hz</v>
      </c>
      <c r="I1163" s="10"/>
      <c r="J1163" s="10"/>
      <c r="K1163" s="10"/>
      <c r="L1163" s="10">
        <f ca="1">VLOOKUP(dict_DQ_Meth_max[[#This Row],[ID_DataQualities]],table_DataQualities[],8,FALSE)</f>
        <v>0.34699999999999998</v>
      </c>
      <c r="M1163" s="10">
        <f ca="1">VLOOKUP(dict_DQ_Meth_max[[#This Row],[ID_DataQualities]],table_DataQualities[],9,FALSE)</f>
        <v>9320.7999999999993</v>
      </c>
    </row>
    <row r="1164" spans="1:13" x14ac:dyDescent="0.45">
      <c r="A1164" s="10">
        <v>311</v>
      </c>
      <c r="B1164" s="10">
        <v>3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0.82200000000000006</v>
      </c>
      <c r="G1164" s="12">
        <f ca="1">(RANDBETWEEN(50,100)/100)*(dict_DQ_Meth_max[[#This Row],[Vergleich_ub]]-dict_DQ_Meth_max[[#This Row],[Vergleich_lb]])+dict_DQ_Meth_max[[#This Row],[Vergleich_lb]]</f>
        <v>0.94199999999999995</v>
      </c>
      <c r="H1164" s="11" t="str">
        <f ca="1">VLOOKUP(VLOOKUP(dict_DQ_Meth_max[[#This Row],[ID_DataQualities]],table_DataQualities[],3),table_Units[],2)</f>
        <v>+/- °C</v>
      </c>
      <c r="I1164" s="10"/>
      <c r="J1164" s="10"/>
      <c r="K1164" s="10"/>
      <c r="L1164" s="10">
        <f ca="1">VLOOKUP(dict_DQ_Meth_max[[#This Row],[ID_DataQualities]],table_DataQualities[],8,FALSE)</f>
        <v>0.8</v>
      </c>
      <c r="M1164" s="10">
        <f ca="1">VLOOKUP(dict_DQ_Meth_max[[#This Row],[ID_DataQualities]],table_DataQualities[],9,FALSE)</f>
        <v>1</v>
      </c>
    </row>
    <row r="1165" spans="1:13" x14ac:dyDescent="0.45">
      <c r="A1165" s="10">
        <v>311</v>
      </c>
      <c r="B1165" s="10">
        <v>679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0.876</v>
      </c>
      <c r="G1165" s="12">
        <f ca="1">(RANDBETWEEN(50,100)/100)*(dict_DQ_Meth_max[[#This Row],[Vergleich_ub]]-dict_DQ_Meth_max[[#This Row],[Vergleich_lb]])+dict_DQ_Meth_max[[#This Row],[Vergleich_lb]]</f>
        <v>0.95399999999999996</v>
      </c>
      <c r="H1165" s="11" t="str">
        <f ca="1">VLOOKUP(VLOOKUP(dict_DQ_Meth_max[[#This Row],[ID_DataQualities]],table_DataQualities[],3),table_Units[],2)</f>
        <v>+/- °C</v>
      </c>
      <c r="I1165" s="10"/>
      <c r="J1165" s="10"/>
      <c r="K1165" s="10"/>
      <c r="L1165" s="10">
        <f ca="1">VLOOKUP(dict_DQ_Meth_max[[#This Row],[ID_DataQualities]],table_DataQualities[],8,FALSE)</f>
        <v>0.8</v>
      </c>
      <c r="M1165" s="10">
        <f ca="1">VLOOKUP(dict_DQ_Meth_max[[#This Row],[ID_DataQualities]],table_DataQualities[],9,FALSE)</f>
        <v>1</v>
      </c>
    </row>
    <row r="1166" spans="1:13" x14ac:dyDescent="0.45">
      <c r="A1166" s="10">
        <v>311</v>
      </c>
      <c r="B1166" s="10">
        <v>274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0.85799999999999998</v>
      </c>
      <c r="G1166" s="12">
        <f ca="1">(RANDBETWEEN(50,100)/100)*(dict_DQ_Meth_max[[#This Row],[Vergleich_ub]]-dict_DQ_Meth_max[[#This Row],[Vergleich_lb]])+dict_DQ_Meth_max[[#This Row],[Vergleich_lb]]</f>
        <v>0.99</v>
      </c>
      <c r="H1166" s="11" t="str">
        <f ca="1">VLOOKUP(VLOOKUP(dict_DQ_Meth_max[[#This Row],[ID_DataQualities]],table_DataQualities[],3),table_Units[],2)</f>
        <v>+/- °C</v>
      </c>
      <c r="I1166" s="10"/>
      <c r="J1166" s="10"/>
      <c r="K1166" s="10"/>
      <c r="L1166" s="10">
        <f ca="1">VLOOKUP(dict_DQ_Meth_max[[#This Row],[ID_DataQualities]],table_DataQualities[],8,FALSE)</f>
        <v>0.8</v>
      </c>
      <c r="M1166" s="10">
        <f ca="1">VLOOKUP(dict_DQ_Meth_max[[#This Row],[ID_DataQualities]],table_DataQualities[],9,FALSE)</f>
        <v>1</v>
      </c>
    </row>
    <row r="1167" spans="1:13" x14ac:dyDescent="0.45">
      <c r="A1167" s="10">
        <v>311</v>
      </c>
      <c r="B1167" s="10">
        <v>233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0.8</v>
      </c>
      <c r="G1167" s="12">
        <f ca="1">(RANDBETWEEN(50,100)/100)*(dict_DQ_Meth_max[[#This Row],[Vergleich_ub]]-dict_DQ_Meth_max[[#This Row],[Vergleich_lb]])+dict_DQ_Meth_max[[#This Row],[Vergleich_lb]]</f>
        <v>0.98199999999999998</v>
      </c>
      <c r="H1167" s="11" t="str">
        <f ca="1">VLOOKUP(VLOOKUP(dict_DQ_Meth_max[[#This Row],[ID_DataQualities]],table_DataQualities[],3),table_Units[],2)</f>
        <v>+/- °C</v>
      </c>
      <c r="I1167" s="10"/>
      <c r="J1167" s="10"/>
      <c r="K1167" s="10"/>
      <c r="L1167" s="10">
        <f ca="1">VLOOKUP(dict_DQ_Meth_max[[#This Row],[ID_DataQualities]],table_DataQualities[],8,FALSE)</f>
        <v>0.8</v>
      </c>
      <c r="M1167" s="10">
        <f ca="1">VLOOKUP(dict_DQ_Meth_max[[#This Row],[ID_DataQualities]],table_DataQualities[],9,FALSE)</f>
        <v>1</v>
      </c>
    </row>
    <row r="1168" spans="1:13" x14ac:dyDescent="0.45">
      <c r="A1168" s="10">
        <v>312</v>
      </c>
      <c r="B1168" s="10">
        <v>323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436.08645000000007</v>
      </c>
      <c r="G1168" s="12">
        <f ca="1">(RANDBETWEEN(50,100)/100)*(dict_DQ_Meth_max[[#This Row],[Vergleich_ub]]-dict_DQ_Meth_max[[#This Row],[Vergleich_lb]])+dict_DQ_Meth_max[[#This Row],[Vergleich_lb]]</f>
        <v>4789.0409500000014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0.79100000000000004</v>
      </c>
      <c r="M1168" s="10">
        <f ca="1">VLOOKUP(dict_DQ_Meth_max[[#This Row],[ID_DataQualities]],table_DataQualities[],9,FALSE)</f>
        <v>8706.7000000000007</v>
      </c>
    </row>
    <row r="1169" spans="1:13" x14ac:dyDescent="0.45">
      <c r="A1169" s="10">
        <v>312</v>
      </c>
      <c r="B1169" s="10">
        <v>472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4353.7455000000009</v>
      </c>
      <c r="G1169" s="12">
        <f ca="1">(RANDBETWEEN(50,100)/100)*(dict_DQ_Meth_max[[#This Row],[Vergleich_ub]]-dict_DQ_Meth_max[[#This Row],[Vergleich_lb]])+dict_DQ_Meth_max[[#This Row],[Vergleich_lb]]</f>
        <v>5833.7500300000011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0.79100000000000004</v>
      </c>
      <c r="M1169" s="10">
        <f ca="1">VLOOKUP(dict_DQ_Meth_max[[#This Row],[ID_DataQualities]],table_DataQualities[],9,FALSE)</f>
        <v>8706.7000000000007</v>
      </c>
    </row>
    <row r="1170" spans="1:13" x14ac:dyDescent="0.45">
      <c r="A1170" s="10">
        <v>312</v>
      </c>
      <c r="B1170" s="10">
        <v>402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2351.3864300000009</v>
      </c>
      <c r="G1170" s="12">
        <f ca="1">(RANDBETWEEN(50,100)/100)*(dict_DQ_Meth_max[[#This Row],[Vergleich_ub]]-dict_DQ_Meth_max[[#This Row],[Vergleich_lb]])+dict_DQ_Meth_max[[#This Row],[Vergleich_lb]]</f>
        <v>8532.5818200000012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0.79100000000000004</v>
      </c>
      <c r="M1170" s="10">
        <f ca="1">VLOOKUP(dict_DQ_Meth_max[[#This Row],[ID_DataQualities]],table_DataQualities[],9,FALSE)</f>
        <v>8706.7000000000007</v>
      </c>
    </row>
    <row r="1171" spans="1:13" x14ac:dyDescent="0.45">
      <c r="A1171" s="10">
        <v>312</v>
      </c>
      <c r="B1171" s="10">
        <v>617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436.08645000000007</v>
      </c>
      <c r="G1171" s="12">
        <f ca="1">(RANDBETWEEN(50,100)/100)*(dict_DQ_Meth_max[[#This Row],[Vergleich_ub]]-dict_DQ_Meth_max[[#This Row],[Vergleich_lb]])+dict_DQ_Meth_max[[#This Row],[Vergleich_lb]]</f>
        <v>4353.7455000000009</v>
      </c>
      <c r="H1171" s="11" t="str">
        <f ca="1">VLOOKUP(VLOOKUP(dict_DQ_Meth_max[[#This Row],[ID_DataQualities]],table_DataQualities[],3),table_Units[],2)</f>
        <v>Hz</v>
      </c>
      <c r="I1171" s="10"/>
      <c r="J1171" s="10"/>
      <c r="K1171" s="10"/>
      <c r="L1171" s="10">
        <f ca="1">VLOOKUP(dict_DQ_Meth_max[[#This Row],[ID_DataQualities]],table_DataQualities[],8,FALSE)</f>
        <v>0.79100000000000004</v>
      </c>
      <c r="M1171" s="10">
        <f ca="1">VLOOKUP(dict_DQ_Meth_max[[#This Row],[ID_DataQualities]],table_DataQualities[],9,FALSE)</f>
        <v>8706.7000000000007</v>
      </c>
    </row>
    <row r="1172" spans="1:13" x14ac:dyDescent="0.45">
      <c r="A1172" s="10">
        <v>312</v>
      </c>
      <c r="B1172" s="10">
        <v>476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3657.2727800000007</v>
      </c>
      <c r="G1172" s="12">
        <f ca="1">(RANDBETWEEN(50,100)/100)*(dict_DQ_Meth_max[[#This Row],[Vergleich_ub]]-dict_DQ_Meth_max[[#This Row],[Vergleich_lb]])+dict_DQ_Meth_max[[#This Row],[Vergleich_lb]]</f>
        <v>7836.1091000000015</v>
      </c>
      <c r="H1172" s="11" t="str">
        <f ca="1">VLOOKUP(VLOOKUP(dict_DQ_Meth_max[[#This Row],[ID_DataQualities]],table_DataQualities[],3),table_Units[],2)</f>
        <v>Hz</v>
      </c>
      <c r="I1172" s="10"/>
      <c r="J1172" s="10"/>
      <c r="K1172" s="10"/>
      <c r="L1172" s="10">
        <f ca="1">VLOOKUP(dict_DQ_Meth_max[[#This Row],[ID_DataQualities]],table_DataQualities[],8,FALSE)</f>
        <v>0.79100000000000004</v>
      </c>
      <c r="M1172" s="10">
        <f ca="1">VLOOKUP(dict_DQ_Meth_max[[#This Row],[ID_DataQualities]],table_DataQualities[],9,FALSE)</f>
        <v>8706.7000000000007</v>
      </c>
    </row>
    <row r="1173" spans="1:13" x14ac:dyDescent="0.45">
      <c r="A1173" s="10">
        <v>313</v>
      </c>
      <c r="B1173" s="10">
        <v>472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0.84699999999999998</v>
      </c>
      <c r="G1173" s="12">
        <f ca="1">(RANDBETWEEN(50,100)/100)*(dict_DQ_Meth_max[[#This Row],[Vergleich_ub]]-dict_DQ_Meth_max[[#This Row],[Vergleich_lb]])+dict_DQ_Meth_max[[#This Row],[Vergleich_lb]]</f>
        <v>0.97599999999999998</v>
      </c>
      <c r="H1173" s="11" t="str">
        <f ca="1">VLOOKUP(VLOOKUP(dict_DQ_Meth_max[[#This Row],[ID_DataQualities]],table_DataQualities[],3),table_Units[],2)</f>
        <v>+/- °C</v>
      </c>
      <c r="I1173" s="10"/>
      <c r="J1173" s="10"/>
      <c r="K1173" s="10"/>
      <c r="L1173" s="10">
        <f ca="1">VLOOKUP(dict_DQ_Meth_max[[#This Row],[ID_DataQualities]],table_DataQualities[],8,FALSE)</f>
        <v>0.7</v>
      </c>
      <c r="M1173" s="10">
        <f ca="1">VLOOKUP(dict_DQ_Meth_max[[#This Row],[ID_DataQualities]],table_DataQualities[],9,FALSE)</f>
        <v>1</v>
      </c>
    </row>
    <row r="1174" spans="1:13" x14ac:dyDescent="0.45">
      <c r="A1174" s="10">
        <v>313</v>
      </c>
      <c r="B1174" s="10">
        <v>617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0.76600000000000001</v>
      </c>
      <c r="G1174" s="12">
        <f ca="1">(RANDBETWEEN(50,100)/100)*(dict_DQ_Meth_max[[#This Row],[Vergleich_ub]]-dict_DQ_Meth_max[[#This Row],[Vergleich_lb]])+dict_DQ_Meth_max[[#This Row],[Vergleich_lb]]</f>
        <v>0.94899999999999995</v>
      </c>
      <c r="H1174" s="11" t="str">
        <f ca="1">VLOOKUP(VLOOKUP(dict_DQ_Meth_max[[#This Row],[ID_DataQualities]],table_DataQualities[],3),table_Units[],2)</f>
        <v>+/- °C</v>
      </c>
      <c r="I1174" s="10"/>
      <c r="J1174" s="10"/>
      <c r="K1174" s="10"/>
      <c r="L1174" s="10">
        <f ca="1">VLOOKUP(dict_DQ_Meth_max[[#This Row],[ID_DataQualities]],table_DataQualities[],8,FALSE)</f>
        <v>0.7</v>
      </c>
      <c r="M1174" s="10">
        <f ca="1">VLOOKUP(dict_DQ_Meth_max[[#This Row],[ID_DataQualities]],table_DataQualities[],9,FALSE)</f>
        <v>1</v>
      </c>
    </row>
    <row r="1175" spans="1:13" x14ac:dyDescent="0.45">
      <c r="A1175" s="10">
        <v>313</v>
      </c>
      <c r="B1175" s="10">
        <v>476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0.71799999999999997</v>
      </c>
      <c r="G1175" s="12">
        <f ca="1">(RANDBETWEEN(50,100)/100)*(dict_DQ_Meth_max[[#This Row],[Vergleich_ub]]-dict_DQ_Meth_max[[#This Row],[Vergleich_lb]])+dict_DQ_Meth_max[[#This Row],[Vergleich_lb]]</f>
        <v>0.94599999999999995</v>
      </c>
      <c r="H1175" s="11" t="str">
        <f ca="1">VLOOKUP(VLOOKUP(dict_DQ_Meth_max[[#This Row],[ID_DataQualities]],table_DataQualities[],3),table_Units[],2)</f>
        <v>+/- °C</v>
      </c>
      <c r="I1175" s="10"/>
      <c r="J1175" s="10"/>
      <c r="K1175" s="10"/>
      <c r="L1175" s="10">
        <f ca="1">VLOOKUP(dict_DQ_Meth_max[[#This Row],[ID_DataQualities]],table_DataQualities[],8,FALSE)</f>
        <v>0.7</v>
      </c>
      <c r="M1175" s="10">
        <f ca="1">VLOOKUP(dict_DQ_Meth_max[[#This Row],[ID_DataQualities]],table_DataQualities[],9,FALSE)</f>
        <v>1</v>
      </c>
    </row>
    <row r="1176" spans="1:13" x14ac:dyDescent="0.45">
      <c r="A1176" s="10">
        <v>313</v>
      </c>
      <c r="B1176" s="10">
        <v>323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0.75700000000000001</v>
      </c>
      <c r="G1176" s="12">
        <f ca="1">(RANDBETWEEN(50,100)/100)*(dict_DQ_Meth_max[[#This Row],[Vergleich_ub]]-dict_DQ_Meth_max[[#This Row],[Vergleich_lb]])+dict_DQ_Meth_max[[#This Row],[Vergleich_lb]]</f>
        <v>0.86199999999999999</v>
      </c>
      <c r="H1176" s="11" t="str">
        <f ca="1">VLOOKUP(VLOOKUP(dict_DQ_Meth_max[[#This Row],[ID_DataQualities]],table_DataQualities[],3),table_Units[],2)</f>
        <v>+/- °C</v>
      </c>
      <c r="I1176" s="10"/>
      <c r="J1176" s="10"/>
      <c r="K1176" s="10"/>
      <c r="L1176" s="10">
        <f ca="1">VLOOKUP(dict_DQ_Meth_max[[#This Row],[ID_DataQualities]],table_DataQualities[],8,FALSE)</f>
        <v>0.7</v>
      </c>
      <c r="M1176" s="10">
        <f ca="1">VLOOKUP(dict_DQ_Meth_max[[#This Row],[ID_DataQualities]],table_DataQualities[],9,FALSE)</f>
        <v>1</v>
      </c>
    </row>
    <row r="1177" spans="1:13" x14ac:dyDescent="0.45">
      <c r="A1177" s="10">
        <v>313</v>
      </c>
      <c r="B1177" s="10">
        <v>402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0.72099999999999997</v>
      </c>
      <c r="G1177" s="12">
        <f ca="1">(RANDBETWEEN(50,100)/100)*(dict_DQ_Meth_max[[#This Row],[Vergleich_ub]]-dict_DQ_Meth_max[[#This Row],[Vergleich_lb]])+dict_DQ_Meth_max[[#This Row],[Vergleich_lb]]</f>
        <v>0.99099999999999999</v>
      </c>
      <c r="H1177" s="11" t="str">
        <f ca="1">VLOOKUP(VLOOKUP(dict_DQ_Meth_max[[#This Row],[ID_DataQualities]],table_DataQualities[],3),table_Units[],2)</f>
        <v>+/- °C</v>
      </c>
      <c r="I1177" s="10"/>
      <c r="J1177" s="10"/>
      <c r="K1177" s="10"/>
      <c r="L1177" s="10">
        <f ca="1">VLOOKUP(dict_DQ_Meth_max[[#This Row],[ID_DataQualities]],table_DataQualities[],8,FALSE)</f>
        <v>0.7</v>
      </c>
      <c r="M1177" s="10">
        <f ca="1">VLOOKUP(dict_DQ_Meth_max[[#This Row],[ID_DataQualities]],table_DataQualities[],9,FALSE)</f>
        <v>1</v>
      </c>
    </row>
    <row r="1178" spans="1:13" x14ac:dyDescent="0.45">
      <c r="A1178" s="10">
        <v>314</v>
      </c>
      <c r="B1178" s="10">
        <v>655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2187.8764000000001</v>
      </c>
      <c r="G1178" s="12">
        <f ca="1">(RANDBETWEEN(50,100)/100)*(dict_DQ_Meth_max[[#This Row],[Vergleich_ub]]-dict_DQ_Meth_max[[#This Row],[Vergleich_lb]])+dict_DQ_Meth_max[[#This Row],[Vergleich_lb]]</f>
        <v>2789.43406</v>
      </c>
      <c r="H1178" s="11" t="str">
        <f ca="1">VLOOKUP(VLOOKUP(dict_DQ_Meth_max[[#This Row],[ID_DataQualities]],table_DataQualities[],3),table_Units[],2)</f>
        <v>Hz</v>
      </c>
      <c r="I1178" s="10"/>
      <c r="J1178" s="10"/>
      <c r="K1178" s="10"/>
      <c r="L1178" s="10">
        <f ca="1">VLOOKUP(dict_DQ_Meth_max[[#This Row],[ID_DataQualities]],table_DataQualities[],8,FALSE)</f>
        <v>0.39400000000000002</v>
      </c>
      <c r="M1178" s="10">
        <f ca="1">VLOOKUP(dict_DQ_Meth_max[[#This Row],[ID_DataQualities]],table_DataQualities[],9,FALSE)</f>
        <v>5469.1</v>
      </c>
    </row>
    <row r="1179" spans="1:13" x14ac:dyDescent="0.45">
      <c r="A1179" s="10">
        <v>314</v>
      </c>
      <c r="B1179" s="10">
        <v>435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328.51636000000002</v>
      </c>
      <c r="G1179" s="12">
        <f ca="1">(RANDBETWEEN(50,100)/100)*(dict_DQ_Meth_max[[#This Row],[Vergleich_ub]]-dict_DQ_Meth_max[[#This Row],[Vergleich_lb]])+dict_DQ_Meth_max[[#This Row],[Vergleich_lb]]</f>
        <v>4430.0458600000011</v>
      </c>
      <c r="H1179" s="11" t="str">
        <f ca="1">VLOOKUP(VLOOKUP(dict_DQ_Meth_max[[#This Row],[ID_DataQualities]],table_DataQualities[],3),table_Units[],2)</f>
        <v>Hz</v>
      </c>
      <c r="I1179" s="10"/>
      <c r="J1179" s="10"/>
      <c r="K1179" s="10"/>
      <c r="L1179" s="10">
        <f ca="1">VLOOKUP(dict_DQ_Meth_max[[#This Row],[ID_DataQualities]],table_DataQualities[],8,FALSE)</f>
        <v>0.39400000000000002</v>
      </c>
      <c r="M1179" s="10">
        <f ca="1">VLOOKUP(dict_DQ_Meth_max[[#This Row],[ID_DataQualities]],table_DataQualities[],9,FALSE)</f>
        <v>5469.1</v>
      </c>
    </row>
    <row r="1180" spans="1:13" x14ac:dyDescent="0.45">
      <c r="A1180" s="10">
        <v>315</v>
      </c>
      <c r="B1180" s="10">
        <v>655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0.32355599999999995</v>
      </c>
      <c r="G1180" s="12">
        <f ca="1">(RANDBETWEEN(50,100)/100)*(dict_DQ_Meth_max[[#This Row],[Vergleich_ub]]-dict_DQ_Meth_max[[#This Row],[Vergleich_lb]])+dict_DQ_Meth_max[[#This Row],[Vergleich_lb]]</f>
        <v>0.72493200000000002</v>
      </c>
      <c r="H1180" s="11" t="str">
        <f ca="1">VLOOKUP(VLOOKUP(dict_DQ_Meth_max[[#This Row],[ID_DataQualities]],table_DataQualities[],3),table_Units[],2)</f>
        <v>+/- cm³/s</v>
      </c>
      <c r="I1180" s="10"/>
      <c r="J1180" s="10"/>
      <c r="K1180" s="10"/>
      <c r="L1180" s="10">
        <f ca="1">VLOOKUP(dict_DQ_Meth_max[[#This Row],[ID_DataQualities]],table_DataQualities[],8,FALSE)</f>
        <v>5.7999999999999996E-3</v>
      </c>
      <c r="M1180" s="10">
        <f ca="1">VLOOKUP(dict_DQ_Meth_max[[#This Row],[ID_DataQualities]],table_DataQualities[],9,FALSE)</f>
        <v>0.84199999999999997</v>
      </c>
    </row>
    <row r="1181" spans="1:13" x14ac:dyDescent="0.45">
      <c r="A1181" s="10">
        <v>315</v>
      </c>
      <c r="B1181" s="10">
        <v>435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0.21484999999999999</v>
      </c>
      <c r="G1181" s="12">
        <f ca="1">(RANDBETWEEN(50,100)/100)*(dict_DQ_Meth_max[[#This Row],[Vergleich_ub]]-dict_DQ_Meth_max[[#This Row],[Vergleich_lb]])+dict_DQ_Meth_max[[#This Row],[Vergleich_lb]]</f>
        <v>0.783466</v>
      </c>
      <c r="H1181" s="11" t="str">
        <f ca="1">VLOOKUP(VLOOKUP(dict_DQ_Meth_max[[#This Row],[ID_DataQualities]],table_DataQualities[],3),table_Units[],2)</f>
        <v>+/- cm³/s</v>
      </c>
      <c r="I1181" s="10"/>
      <c r="J1181" s="10"/>
      <c r="K1181" s="10"/>
      <c r="L1181" s="10">
        <f ca="1">VLOOKUP(dict_DQ_Meth_max[[#This Row],[ID_DataQualities]],table_DataQualities[],8,FALSE)</f>
        <v>5.7999999999999996E-3</v>
      </c>
      <c r="M1181" s="10">
        <f ca="1">VLOOKUP(dict_DQ_Meth_max[[#This Row],[ID_DataQualities]],table_DataQualities[],9,FALSE)</f>
        <v>0.84199999999999997</v>
      </c>
    </row>
    <row r="1182" spans="1:13" x14ac:dyDescent="0.45">
      <c r="A1182" s="10">
        <v>316</v>
      </c>
      <c r="B1182" s="10">
        <v>268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1017.8000000000001</v>
      </c>
      <c r="G1182" s="12">
        <f ca="1">(RANDBETWEEN(50,100)/100)*(dict_DQ_Meth_max[[#This Row],[Vergleich_ub]]-dict_DQ_Meth_max[[#This Row],[Vergleich_lb]])+dict_DQ_Meth_max[[#This Row],[Vergleich_lb]]</f>
        <v>2035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0.6</v>
      </c>
      <c r="M1182" s="10">
        <f ca="1">VLOOKUP(dict_DQ_Meth_max[[#This Row],[ID_DataQualities]],table_DataQualities[],9,FALSE)</f>
        <v>4069.4</v>
      </c>
    </row>
    <row r="1183" spans="1:13" x14ac:dyDescent="0.45">
      <c r="A1183" s="10">
        <v>316</v>
      </c>
      <c r="B1183" s="10">
        <v>332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41.288000000000004</v>
      </c>
      <c r="G1183" s="12">
        <f ca="1">(RANDBETWEEN(50,100)/100)*(dict_DQ_Meth_max[[#This Row],[Vergleich_ub]]-dict_DQ_Meth_max[[#This Row],[Vergleich_lb]])+dict_DQ_Meth_max[[#This Row],[Vergleich_lb]]</f>
        <v>3784.5840000000003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0.6</v>
      </c>
      <c r="M1183" s="10">
        <f ca="1">VLOOKUP(dict_DQ_Meth_max[[#This Row],[ID_DataQualities]],table_DataQualities[],9,FALSE)</f>
        <v>4069.4</v>
      </c>
    </row>
    <row r="1184" spans="1:13" x14ac:dyDescent="0.45">
      <c r="A1184" s="10">
        <v>316</v>
      </c>
      <c r="B1184" s="10">
        <v>568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895.7360000000001</v>
      </c>
      <c r="G1184" s="12">
        <f ca="1">(RANDBETWEEN(50,100)/100)*(dict_DQ_Meth_max[[#This Row],[Vergleich_ub]]-dict_DQ_Meth_max[[#This Row],[Vergleich_lb]])+dict_DQ_Meth_max[[#This Row],[Vergleich_lb]]</f>
        <v>2686.0080000000003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0.6</v>
      </c>
      <c r="M1184" s="10">
        <f ca="1">VLOOKUP(dict_DQ_Meth_max[[#This Row],[ID_DataQualities]],table_DataQualities[],9,FALSE)</f>
        <v>4069.4</v>
      </c>
    </row>
    <row r="1185" spans="1:13" x14ac:dyDescent="0.45">
      <c r="A1185" s="10">
        <v>316</v>
      </c>
      <c r="B1185" s="10">
        <v>677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1099.1759999999999</v>
      </c>
      <c r="G1185" s="12">
        <f ca="1">(RANDBETWEEN(50,100)/100)*(dict_DQ_Meth_max[[#This Row],[Vergleich_ub]]-dict_DQ_Meth_max[[#This Row],[Vergleich_lb]])+dict_DQ_Meth_max[[#This Row],[Vergleich_lb]]</f>
        <v>2401.192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0.6</v>
      </c>
      <c r="M1185" s="10">
        <f ca="1">VLOOKUP(dict_DQ_Meth_max[[#This Row],[ID_DataQualities]],table_DataQualities[],9,FALSE)</f>
        <v>4069.4</v>
      </c>
    </row>
    <row r="1186" spans="1:13" x14ac:dyDescent="0.45">
      <c r="A1186" s="10">
        <v>316</v>
      </c>
      <c r="B1186" s="10">
        <v>405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122.664</v>
      </c>
      <c r="G1186" s="12">
        <f ca="1">(RANDBETWEEN(50,100)/100)*(dict_DQ_Meth_max[[#This Row],[Vergleich_ub]]-dict_DQ_Meth_max[[#This Row],[Vergleich_lb]])+dict_DQ_Meth_max[[#This Row],[Vergleich_lb]]</f>
        <v>3296.3280000000004</v>
      </c>
      <c r="H1186" s="11" t="str">
        <f ca="1">VLOOKUP(VLOOKUP(dict_DQ_Meth_max[[#This Row],[ID_DataQualities]],table_DataQualities[],3),table_Units[],2)</f>
        <v>Hz</v>
      </c>
      <c r="I1186" s="10"/>
      <c r="J1186" s="10"/>
      <c r="K1186" s="10"/>
      <c r="L1186" s="10">
        <f ca="1">VLOOKUP(dict_DQ_Meth_max[[#This Row],[ID_DataQualities]],table_DataQualities[],8,FALSE)</f>
        <v>0.6</v>
      </c>
      <c r="M1186" s="10">
        <f ca="1">VLOOKUP(dict_DQ_Meth_max[[#This Row],[ID_DataQualities]],table_DataQualities[],9,FALSE)</f>
        <v>4069.4</v>
      </c>
    </row>
    <row r="1187" spans="1:13" x14ac:dyDescent="0.45">
      <c r="A1187" s="10">
        <v>317</v>
      </c>
      <c r="B1187" s="10">
        <v>677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1.6317200000000001</v>
      </c>
      <c r="G1187" s="12">
        <f ca="1">(RANDBETWEEN(50,100)/100)*(dict_DQ_Meth_max[[#This Row],[Vergleich_ub]]-dict_DQ_Meth_max[[#This Row],[Vergleich_lb]])+dict_DQ_Meth_max[[#This Row],[Vergleich_lb]]</f>
        <v>4.27536</v>
      </c>
      <c r="H1187" s="11" t="str">
        <f ca="1">VLOOKUP(VLOOKUP(dict_DQ_Meth_max[[#This Row],[ID_DataQualities]],table_DataQualities[],3),table_Units[],2)</f>
        <v>+/- W</v>
      </c>
      <c r="I1187" s="10"/>
      <c r="J1187" s="10"/>
      <c r="K1187" s="10"/>
      <c r="L1187" s="10">
        <f ca="1">VLOOKUP(dict_DQ_Meth_max[[#This Row],[ID_DataQualities]],table_DataQualities[],8,FALSE)</f>
        <v>8.2000000000000003E-2</v>
      </c>
      <c r="M1187" s="10">
        <f ca="1">VLOOKUP(dict_DQ_Meth_max[[#This Row],[ID_DataQualities]],table_DataQualities[],9,FALSE)</f>
        <v>4.6399999999999997</v>
      </c>
    </row>
    <row r="1188" spans="1:13" x14ac:dyDescent="0.45">
      <c r="A1188" s="10">
        <v>317</v>
      </c>
      <c r="B1188" s="10">
        <v>405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0.72011999999999998</v>
      </c>
      <c r="G1188" s="12">
        <f ca="1">(RANDBETWEEN(50,100)/100)*(dict_DQ_Meth_max[[#This Row],[Vergleich_ub]]-dict_DQ_Meth_max[[#This Row],[Vergleich_lb]])+dict_DQ_Meth_max[[#This Row],[Vergleich_lb]]</f>
        <v>4.5944199999999995</v>
      </c>
      <c r="H1188" s="11" t="str">
        <f ca="1">VLOOKUP(VLOOKUP(dict_DQ_Meth_max[[#This Row],[ID_DataQualities]],table_DataQualities[],3),table_Units[],2)</f>
        <v>+/- W</v>
      </c>
      <c r="I1188" s="10"/>
      <c r="J1188" s="10"/>
      <c r="K1188" s="10"/>
      <c r="L1188" s="10">
        <f ca="1">VLOOKUP(dict_DQ_Meth_max[[#This Row],[ID_DataQualities]],table_DataQualities[],8,FALSE)</f>
        <v>8.2000000000000003E-2</v>
      </c>
      <c r="M1188" s="10">
        <f ca="1">VLOOKUP(dict_DQ_Meth_max[[#This Row],[ID_DataQualities]],table_DataQualities[],9,FALSE)</f>
        <v>4.6399999999999997</v>
      </c>
    </row>
    <row r="1189" spans="1:13" x14ac:dyDescent="0.45">
      <c r="A1189" s="10">
        <v>317</v>
      </c>
      <c r="B1189" s="10">
        <v>568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0.26432</v>
      </c>
      <c r="G1189" s="12">
        <f ca="1">(RANDBETWEEN(50,100)/100)*(dict_DQ_Meth_max[[#This Row],[Vergleich_ub]]-dict_DQ_Meth_max[[#This Row],[Vergleich_lb]])+dict_DQ_Meth_max[[#This Row],[Vergleich_lb]]</f>
        <v>4.0930399999999993</v>
      </c>
      <c r="H1189" s="11" t="str">
        <f ca="1">VLOOKUP(VLOOKUP(dict_DQ_Meth_max[[#This Row],[ID_DataQualities]],table_DataQualities[],3),table_Units[],2)</f>
        <v>+/- W</v>
      </c>
      <c r="I1189" s="10"/>
      <c r="J1189" s="10"/>
      <c r="K1189" s="10"/>
      <c r="L1189" s="10">
        <f ca="1">VLOOKUP(dict_DQ_Meth_max[[#This Row],[ID_DataQualities]],table_DataQualities[],8,FALSE)</f>
        <v>8.2000000000000003E-2</v>
      </c>
      <c r="M1189" s="10">
        <f ca="1">VLOOKUP(dict_DQ_Meth_max[[#This Row],[ID_DataQualities]],table_DataQualities[],9,FALSE)</f>
        <v>4.6399999999999997</v>
      </c>
    </row>
    <row r="1190" spans="1:13" x14ac:dyDescent="0.45">
      <c r="A1190" s="10">
        <v>317</v>
      </c>
      <c r="B1190" s="10">
        <v>332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1.7684599999999999</v>
      </c>
      <c r="G1190" s="12">
        <f ca="1">(RANDBETWEEN(50,100)/100)*(dict_DQ_Meth_max[[#This Row],[Vergleich_ub]]-dict_DQ_Meth_max[[#This Row],[Vergleich_lb]])+dict_DQ_Meth_max[[#This Row],[Vergleich_lb]]</f>
        <v>3.7283999999999997</v>
      </c>
      <c r="H1190" s="11" t="str">
        <f ca="1">VLOOKUP(VLOOKUP(dict_DQ_Meth_max[[#This Row],[ID_DataQualities]],table_DataQualities[],3),table_Units[],2)</f>
        <v>+/- W</v>
      </c>
      <c r="I1190" s="10"/>
      <c r="J1190" s="10"/>
      <c r="K1190" s="10"/>
      <c r="L1190" s="10">
        <f ca="1">VLOOKUP(dict_DQ_Meth_max[[#This Row],[ID_DataQualities]],table_DataQualities[],8,FALSE)</f>
        <v>8.2000000000000003E-2</v>
      </c>
      <c r="M1190" s="10">
        <f ca="1">VLOOKUP(dict_DQ_Meth_max[[#This Row],[ID_DataQualities]],table_DataQualities[],9,FALSE)</f>
        <v>4.6399999999999997</v>
      </c>
    </row>
    <row r="1191" spans="1:13" x14ac:dyDescent="0.45">
      <c r="A1191" s="10">
        <v>317</v>
      </c>
      <c r="B1191" s="10">
        <v>268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1.0847599999999999</v>
      </c>
      <c r="G1191" s="12">
        <f ca="1">(RANDBETWEEN(50,100)/100)*(dict_DQ_Meth_max[[#This Row],[Vergleich_ub]]-dict_DQ_Meth_max[[#This Row],[Vergleich_lb]])+dict_DQ_Meth_max[[#This Row],[Vergleich_lb]]</f>
        <v>4.27536</v>
      </c>
      <c r="H1191" s="11" t="str">
        <f ca="1">VLOOKUP(VLOOKUP(dict_DQ_Meth_max[[#This Row],[ID_DataQualities]],table_DataQualities[],3),table_Units[],2)</f>
        <v>+/- W</v>
      </c>
      <c r="I1191" s="10"/>
      <c r="J1191" s="10"/>
      <c r="K1191" s="10"/>
      <c r="L1191" s="10">
        <f ca="1">VLOOKUP(dict_DQ_Meth_max[[#This Row],[ID_DataQualities]],table_DataQualities[],8,FALSE)</f>
        <v>8.2000000000000003E-2</v>
      </c>
      <c r="M1191" s="10">
        <f ca="1">VLOOKUP(dict_DQ_Meth_max[[#This Row],[ID_DataQualities]],table_DataQualities[],9,FALSE)</f>
        <v>4.6399999999999997</v>
      </c>
    </row>
    <row r="1192" spans="1:13" x14ac:dyDescent="0.45">
      <c r="A1192" s="10">
        <v>318</v>
      </c>
      <c r="B1192" s="10">
        <v>226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73.538880000000006</v>
      </c>
      <c r="G1192" s="12">
        <f ca="1">(RANDBETWEEN(50,100)/100)*(dict_DQ_Meth_max[[#This Row],[Vergleich_ub]]-dict_DQ_Meth_max[[#This Row],[Vergleich_lb]])+dict_DQ_Meth_max[[#This Row],[Vergleich_lb]]</f>
        <v>2806.6468800000002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0.65600000000000003</v>
      </c>
      <c r="M1192" s="10">
        <f ca="1">VLOOKUP(dict_DQ_Meth_max[[#This Row],[ID_DataQualities]],table_DataQualities[],9,FALSE)</f>
        <v>3644.8</v>
      </c>
    </row>
    <row r="1193" spans="1:13" x14ac:dyDescent="0.45">
      <c r="A1193" s="10">
        <v>318</v>
      </c>
      <c r="B1193" s="10">
        <v>590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182.86320000000003</v>
      </c>
      <c r="G1193" s="12">
        <f ca="1">(RANDBETWEEN(50,100)/100)*(dict_DQ_Meth_max[[#This Row],[Vergleich_ub]]-dict_DQ_Meth_max[[#This Row],[Vergleich_lb]])+dict_DQ_Meth_max[[#This Row],[Vergleich_lb]]</f>
        <v>2915.9712000000004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0.65600000000000003</v>
      </c>
      <c r="M1193" s="10">
        <f ca="1">VLOOKUP(dict_DQ_Meth_max[[#This Row],[ID_DataQualities]],table_DataQualities[],9,FALSE)</f>
        <v>3644.8</v>
      </c>
    </row>
    <row r="1194" spans="1:13" x14ac:dyDescent="0.45">
      <c r="A1194" s="10">
        <v>319</v>
      </c>
      <c r="B1194" s="10">
        <v>226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1143.8</v>
      </c>
      <c r="G1194" s="12">
        <f ca="1">(RANDBETWEEN(50,100)/100)*(dict_DQ_Meth_max[[#This Row],[Vergleich_ub]]-dict_DQ_Meth_max[[#This Row],[Vergleich_lb]])+dict_DQ_Meth_max[[#This Row],[Vergleich_lb]]</f>
        <v>2676.16</v>
      </c>
      <c r="H1194" s="11" t="str">
        <f ca="1">VLOOKUP(VLOOKUP(dict_DQ_Meth_max[[#This Row],[ID_DataQualities]],table_DataQualities[],3),table_Units[],2)</f>
        <v>bit</v>
      </c>
      <c r="I1194" s="10"/>
      <c r="J1194" s="10"/>
      <c r="K1194" s="10"/>
      <c r="L1194" s="10">
        <f ca="1">VLOOKUP(dict_DQ_Meth_max[[#This Row],[ID_DataQualities]],table_DataQualities[],8,FALSE)</f>
        <v>87</v>
      </c>
      <c r="M1194" s="10">
        <f ca="1">VLOOKUP(dict_DQ_Meth_max[[#This Row],[ID_DataQualities]],table_DataQualities[],9,FALSE)</f>
        <v>2729</v>
      </c>
    </row>
    <row r="1195" spans="1:13" x14ac:dyDescent="0.45">
      <c r="A1195" s="10">
        <v>319</v>
      </c>
      <c r="B1195" s="10">
        <v>590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1302.3200000000002</v>
      </c>
      <c r="G1195" s="12">
        <f ca="1">(RANDBETWEEN(50,100)/100)*(dict_DQ_Meth_max[[#This Row],[Vergleich_ub]]-dict_DQ_Meth_max[[#This Row],[Vergleich_lb]])+dict_DQ_Meth_max[[#This Row],[Vergleich_lb]]</f>
        <v>1592.9399999999998</v>
      </c>
      <c r="H1195" s="11" t="str">
        <f ca="1">VLOOKUP(VLOOKUP(dict_DQ_Meth_max[[#This Row],[ID_DataQualities]],table_DataQualities[],3),table_Units[],2)</f>
        <v>bit</v>
      </c>
      <c r="I1195" s="10"/>
      <c r="J1195" s="10"/>
      <c r="K1195" s="10"/>
      <c r="L1195" s="10">
        <f ca="1">VLOOKUP(dict_DQ_Meth_max[[#This Row],[ID_DataQualities]],table_DataQualities[],8,FALSE)</f>
        <v>87</v>
      </c>
      <c r="M1195" s="10">
        <f ca="1">VLOOKUP(dict_DQ_Meth_max[[#This Row],[ID_DataQualities]],table_DataQualities[],9,FALSE)</f>
        <v>2729</v>
      </c>
    </row>
    <row r="1196" spans="1:13" x14ac:dyDescent="0.45">
      <c r="A1196" s="10">
        <v>320</v>
      </c>
      <c r="B1196" s="10">
        <v>664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374.80690000000004</v>
      </c>
      <c r="G1196" s="12">
        <f ca="1">(RANDBETWEEN(50,100)/100)*(dict_DQ_Meth_max[[#This Row],[Vergleich_ub]]-dict_DQ_Meth_max[[#This Row],[Vergleich_lb]])+dict_DQ_Meth_max[[#This Row],[Vergleich_lb]]</f>
        <v>3870.8113000000003</v>
      </c>
      <c r="H1196" s="11" t="str">
        <f ca="1">VLOOKUP(VLOOKUP(dict_DQ_Meth_max[[#This Row],[ID_DataQualities]],table_DataQualities[],3),table_Units[],2)</f>
        <v>Hz</v>
      </c>
      <c r="I1196" s="10"/>
      <c r="J1196" s="10"/>
      <c r="K1196" s="10"/>
      <c r="L1196" s="10">
        <f ca="1">VLOOKUP(dict_DQ_Meth_max[[#This Row],[ID_DataQualities]],table_DataQualities[],8,FALSE)</f>
        <v>0.23499999999999999</v>
      </c>
      <c r="M1196" s="10">
        <f ca="1">VLOOKUP(dict_DQ_Meth_max[[#This Row],[ID_DataQualities]],table_DataQualities[],9,FALSE)</f>
        <v>6243.1</v>
      </c>
    </row>
    <row r="1197" spans="1:13" x14ac:dyDescent="0.45">
      <c r="A1197" s="10">
        <v>320</v>
      </c>
      <c r="B1197" s="10">
        <v>148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1373.6653000000001</v>
      </c>
      <c r="G1197" s="12">
        <f ca="1">(RANDBETWEEN(50,100)/100)*(dict_DQ_Meth_max[[#This Row],[Vergleich_ub]]-dict_DQ_Meth_max[[#This Row],[Vergleich_lb]])+dict_DQ_Meth_max[[#This Row],[Vergleich_lb]]</f>
        <v>3808.3826500000005</v>
      </c>
      <c r="H1197" s="11" t="str">
        <f ca="1">VLOOKUP(VLOOKUP(dict_DQ_Meth_max[[#This Row],[ID_DataQualities]],table_DataQualities[],3),table_Units[],2)</f>
        <v>Hz</v>
      </c>
      <c r="I1197" s="10"/>
      <c r="J1197" s="10"/>
      <c r="K1197" s="10"/>
      <c r="L1197" s="10">
        <f ca="1">VLOOKUP(dict_DQ_Meth_max[[#This Row],[ID_DataQualities]],table_DataQualities[],8,FALSE)</f>
        <v>0.23499999999999999</v>
      </c>
      <c r="M1197" s="10">
        <f ca="1">VLOOKUP(dict_DQ_Meth_max[[#This Row],[ID_DataQualities]],table_DataQualities[],9,FALSE)</f>
        <v>6243.1</v>
      </c>
    </row>
    <row r="1198" spans="1:13" x14ac:dyDescent="0.45">
      <c r="A1198" s="10">
        <v>320</v>
      </c>
      <c r="B1198" s="10">
        <v>443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499.66420000000011</v>
      </c>
      <c r="G1198" s="12">
        <f ca="1">(RANDBETWEEN(50,100)/100)*(dict_DQ_Meth_max[[#This Row],[Vergleich_ub]]-dict_DQ_Meth_max[[#This Row],[Vergleich_lb]])+dict_DQ_Meth_max[[#This Row],[Vergleich_lb]]</f>
        <v>3621.0967000000001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0.23499999999999999</v>
      </c>
      <c r="M1198" s="10">
        <f ca="1">VLOOKUP(dict_DQ_Meth_max[[#This Row],[ID_DataQualities]],table_DataQualities[],9,FALSE)</f>
        <v>6243.1</v>
      </c>
    </row>
    <row r="1199" spans="1:13" x14ac:dyDescent="0.45">
      <c r="A1199" s="10">
        <v>320</v>
      </c>
      <c r="B1199" s="10">
        <v>428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2060.3804500000006</v>
      </c>
      <c r="G1199" s="12">
        <f ca="1">(RANDBETWEEN(50,100)/100)*(dict_DQ_Meth_max[[#This Row],[Vergleich_ub]]-dict_DQ_Meth_max[[#This Row],[Vergleich_lb]])+dict_DQ_Meth_max[[#This Row],[Vergleich_lb]]</f>
        <v>6118.2426999999998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0.23499999999999999</v>
      </c>
      <c r="M1199" s="10">
        <f ca="1">VLOOKUP(dict_DQ_Meth_max[[#This Row],[ID_DataQualities]],table_DataQualities[],9,FALSE)</f>
        <v>6243.1</v>
      </c>
    </row>
    <row r="1200" spans="1:13" x14ac:dyDescent="0.45">
      <c r="A1200" s="10">
        <v>320</v>
      </c>
      <c r="B1200" s="10">
        <v>504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312.37825000000009</v>
      </c>
      <c r="G1200" s="12">
        <f ca="1">(RANDBETWEEN(50,100)/100)*(dict_DQ_Meth_max[[#This Row],[Vergleich_ub]]-dict_DQ_Meth_max[[#This Row],[Vergleich_lb]])+dict_DQ_Meth_max[[#This Row],[Vergleich_lb]]</f>
        <v>4557.5264500000003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0.23499999999999999</v>
      </c>
      <c r="M1200" s="10">
        <f ca="1">VLOOKUP(dict_DQ_Meth_max[[#This Row],[ID_DataQualities]],table_DataQualities[],9,FALSE)</f>
        <v>6243.1</v>
      </c>
    </row>
    <row r="1201" spans="1:13" x14ac:dyDescent="0.45">
      <c r="A1201" s="10">
        <v>320</v>
      </c>
      <c r="B1201" s="10">
        <v>680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2247.6664000000001</v>
      </c>
      <c r="G1201" s="12">
        <f ca="1">(RANDBETWEEN(50,100)/100)*(dict_DQ_Meth_max[[#This Row],[Vergleich_ub]]-dict_DQ_Meth_max[[#This Row],[Vergleich_lb]])+dict_DQ_Meth_max[[#This Row],[Vergleich_lb]]</f>
        <v>5056.9556500000008</v>
      </c>
      <c r="H1201" s="11" t="str">
        <f ca="1">VLOOKUP(VLOOKUP(dict_DQ_Meth_max[[#This Row],[ID_DataQualities]],table_DataQualities[],3),table_Units[],2)</f>
        <v>Hz</v>
      </c>
      <c r="I1201" s="10"/>
      <c r="J1201" s="10"/>
      <c r="K1201" s="10"/>
      <c r="L1201" s="10">
        <f ca="1">VLOOKUP(dict_DQ_Meth_max[[#This Row],[ID_DataQualities]],table_DataQualities[],8,FALSE)</f>
        <v>0.23499999999999999</v>
      </c>
      <c r="M1201" s="10">
        <f ca="1">VLOOKUP(dict_DQ_Meth_max[[#This Row],[ID_DataQualities]],table_DataQualities[],9,FALSE)</f>
        <v>6243.1</v>
      </c>
    </row>
    <row r="1202" spans="1:13" x14ac:dyDescent="0.45">
      <c r="A1202" s="10">
        <v>321</v>
      </c>
      <c r="B1202" s="10">
        <v>664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5.3512000000000011E-2</v>
      </c>
      <c r="G1202" s="12">
        <f ca="1">(RANDBETWEEN(50,100)/100)*(dict_DQ_Meth_max[[#This Row],[Vergleich_ub]]-dict_DQ_Meth_max[[#This Row],[Vergleich_lb]])+dict_DQ_Meth_max[[#This Row],[Vergleich_lb]]</f>
        <v>0.18157599999999999</v>
      </c>
      <c r="H1202" s="11" t="str">
        <f ca="1">VLOOKUP(VLOOKUP(dict_DQ_Meth_max[[#This Row],[ID_DataQualities]],table_DataQualities[],3),table_Units[],2)</f>
        <v>+/- cm³/s</v>
      </c>
      <c r="I1202" s="10"/>
      <c r="J1202" s="10"/>
      <c r="K1202" s="10"/>
      <c r="L1202" s="10">
        <f ca="1">VLOOKUP(dict_DQ_Meth_max[[#This Row],[ID_DataQualities]],table_DataQualities[],8,FALSE)</f>
        <v>3.3999999999999998E-3</v>
      </c>
      <c r="M1202" s="10">
        <f ca="1">VLOOKUP(dict_DQ_Meth_max[[#This Row],[ID_DataQualities]],table_DataQualities[],9,FALSE)</f>
        <v>0.189</v>
      </c>
    </row>
    <row r="1203" spans="1:13" x14ac:dyDescent="0.45">
      <c r="A1203" s="10">
        <v>321</v>
      </c>
      <c r="B1203" s="10">
        <v>148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4.2376000000000004E-2</v>
      </c>
      <c r="G1203" s="12">
        <f ca="1">(RANDBETWEEN(50,100)/100)*(dict_DQ_Meth_max[[#This Row],[Vergleich_ub]]-dict_DQ_Meth_max[[#This Row],[Vergleich_lb]])+dict_DQ_Meth_max[[#This Row],[Vergleich_lb]]</f>
        <v>0.109192</v>
      </c>
      <c r="H1203" s="11" t="str">
        <f ca="1">VLOOKUP(VLOOKUP(dict_DQ_Meth_max[[#This Row],[ID_DataQualities]],table_DataQualities[],3),table_Units[],2)</f>
        <v>+/- cm³/s</v>
      </c>
      <c r="I1203" s="10"/>
      <c r="J1203" s="10"/>
      <c r="K1203" s="10"/>
      <c r="L1203" s="10">
        <f ca="1">VLOOKUP(dict_DQ_Meth_max[[#This Row],[ID_DataQualities]],table_DataQualities[],8,FALSE)</f>
        <v>3.3999999999999998E-3</v>
      </c>
      <c r="M1203" s="10">
        <f ca="1">VLOOKUP(dict_DQ_Meth_max[[#This Row],[ID_DataQualities]],table_DataQualities[],9,FALSE)</f>
        <v>0.189</v>
      </c>
    </row>
    <row r="1204" spans="1:13" x14ac:dyDescent="0.45">
      <c r="A1204" s="10">
        <v>321</v>
      </c>
      <c r="B1204" s="10">
        <v>443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3.6808E-2</v>
      </c>
      <c r="G1204" s="12">
        <f ca="1">(RANDBETWEEN(50,100)/100)*(dict_DQ_Meth_max[[#This Row],[Vergleich_ub]]-dict_DQ_Meth_max[[#This Row],[Vergleich_lb]])+dict_DQ_Meth_max[[#This Row],[Vergleich_lb]]</f>
        <v>0.15373600000000001</v>
      </c>
      <c r="H1204" s="11" t="str">
        <f ca="1">VLOOKUP(VLOOKUP(dict_DQ_Meth_max[[#This Row],[ID_DataQualities]],table_DataQualities[],3),table_Units[],2)</f>
        <v>+/- cm³/s</v>
      </c>
      <c r="I1204" s="10"/>
      <c r="J1204" s="10"/>
      <c r="K1204" s="10"/>
      <c r="L1204" s="10">
        <f ca="1">VLOOKUP(dict_DQ_Meth_max[[#This Row],[ID_DataQualities]],table_DataQualities[],8,FALSE)</f>
        <v>3.3999999999999998E-3</v>
      </c>
      <c r="M1204" s="10">
        <f ca="1">VLOOKUP(dict_DQ_Meth_max[[#This Row],[ID_DataQualities]],table_DataQualities[],9,FALSE)</f>
        <v>0.189</v>
      </c>
    </row>
    <row r="1205" spans="1:13" x14ac:dyDescent="0.45">
      <c r="A1205" s="10">
        <v>321</v>
      </c>
      <c r="B1205" s="10">
        <v>428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2.3816E-2</v>
      </c>
      <c r="G1205" s="12">
        <f ca="1">(RANDBETWEEN(50,100)/100)*(dict_DQ_Meth_max[[#This Row],[Vergleich_ub]]-dict_DQ_Meth_max[[#This Row],[Vergleich_lb]])+dict_DQ_Meth_max[[#This Row],[Vergleich_lb]]</f>
        <v>0.187144</v>
      </c>
      <c r="H1205" s="11" t="str">
        <f ca="1">VLOOKUP(VLOOKUP(dict_DQ_Meth_max[[#This Row],[ID_DataQualities]],table_DataQualities[],3),table_Units[],2)</f>
        <v>+/- cm³/s</v>
      </c>
      <c r="I1205" s="10"/>
      <c r="J1205" s="10"/>
      <c r="K1205" s="10"/>
      <c r="L1205" s="10">
        <f ca="1">VLOOKUP(dict_DQ_Meth_max[[#This Row],[ID_DataQualities]],table_DataQualities[],8,FALSE)</f>
        <v>3.3999999999999998E-3</v>
      </c>
      <c r="M1205" s="10">
        <f ca="1">VLOOKUP(dict_DQ_Meth_max[[#This Row],[ID_DataQualities]],table_DataQualities[],9,FALSE)</f>
        <v>0.189</v>
      </c>
    </row>
    <row r="1206" spans="1:13" x14ac:dyDescent="0.45">
      <c r="A1206" s="10">
        <v>321</v>
      </c>
      <c r="B1206" s="10">
        <v>504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8.8776000000000008E-2</v>
      </c>
      <c r="G1206" s="12">
        <f ca="1">(RANDBETWEEN(50,100)/100)*(dict_DQ_Meth_max[[#This Row],[Vergleich_ub]]-dict_DQ_Meth_max[[#This Row],[Vergleich_lb]])+dict_DQ_Meth_max[[#This Row],[Vergleich_lb]]</f>
        <v>0.13703199999999999</v>
      </c>
      <c r="H1206" s="11" t="str">
        <f ca="1">VLOOKUP(VLOOKUP(dict_DQ_Meth_max[[#This Row],[ID_DataQualities]],table_DataQualities[],3),table_Units[],2)</f>
        <v>+/- cm³/s</v>
      </c>
      <c r="I1206" s="10"/>
      <c r="J1206" s="10"/>
      <c r="K1206" s="10"/>
      <c r="L1206" s="10">
        <f ca="1">VLOOKUP(dict_DQ_Meth_max[[#This Row],[ID_DataQualities]],table_DataQualities[],8,FALSE)</f>
        <v>3.3999999999999998E-3</v>
      </c>
      <c r="M1206" s="10">
        <f ca="1">VLOOKUP(dict_DQ_Meth_max[[#This Row],[ID_DataQualities]],table_DataQualities[],9,FALSE)</f>
        <v>0.189</v>
      </c>
    </row>
    <row r="1207" spans="1:13" x14ac:dyDescent="0.45">
      <c r="A1207" s="10">
        <v>321</v>
      </c>
      <c r="B1207" s="10">
        <v>680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9.2488000000000001E-2</v>
      </c>
      <c r="G1207" s="12">
        <f ca="1">(RANDBETWEEN(50,100)/100)*(dict_DQ_Meth_max[[#This Row],[Vergleich_ub]]-dict_DQ_Meth_max[[#This Row],[Vergleich_lb]])+dict_DQ_Meth_max[[#This Row],[Vergleich_lb]]</f>
        <v>0.144456</v>
      </c>
      <c r="H1207" s="11" t="str">
        <f ca="1">VLOOKUP(VLOOKUP(dict_DQ_Meth_max[[#This Row],[ID_DataQualities]],table_DataQualities[],3),table_Units[],2)</f>
        <v>+/- cm³/s</v>
      </c>
      <c r="I1207" s="10"/>
      <c r="J1207" s="10"/>
      <c r="K1207" s="10"/>
      <c r="L1207" s="10">
        <f ca="1">VLOOKUP(dict_DQ_Meth_max[[#This Row],[ID_DataQualities]],table_DataQualities[],8,FALSE)</f>
        <v>3.3999999999999998E-3</v>
      </c>
      <c r="M1207" s="10">
        <f ca="1">VLOOKUP(dict_DQ_Meth_max[[#This Row],[ID_DataQualities]],table_DataQualities[],9,FALSE)</f>
        <v>0.189</v>
      </c>
    </row>
    <row r="1208" spans="1:13" x14ac:dyDescent="0.45">
      <c r="A1208" s="10">
        <v>322</v>
      </c>
      <c r="B1208" s="10">
        <v>548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2487.8443799999995</v>
      </c>
      <c r="G1208" s="12">
        <f ca="1">(RANDBETWEEN(50,100)/100)*(dict_DQ_Meth_max[[#This Row],[Vergleich_ub]]-dict_DQ_Meth_max[[#This Row],[Vergleich_lb]])+dict_DQ_Meth_max[[#This Row],[Vergleich_lb]]</f>
        <v>6284.0899599999993</v>
      </c>
      <c r="H1208" s="11" t="str">
        <f ca="1">VLOOKUP(VLOOKUP(dict_DQ_Meth_max[[#This Row],[ID_DataQualities]],table_DataQualities[],3),table_Units[],2)</f>
        <v>Hz</v>
      </c>
      <c r="I1208" s="10"/>
      <c r="J1208" s="10"/>
      <c r="K1208" s="10"/>
      <c r="L1208" s="10">
        <f ca="1">VLOOKUP(dict_DQ_Meth_max[[#This Row],[ID_DataQualities]],table_DataQualities[],8,FALSE)</f>
        <v>0.64900000000000002</v>
      </c>
      <c r="M1208" s="10">
        <f ca="1">VLOOKUP(dict_DQ_Meth_max[[#This Row],[ID_DataQualities]],table_DataQualities[],9,FALSE)</f>
        <v>6545.9</v>
      </c>
    </row>
    <row r="1209" spans="1:13" x14ac:dyDescent="0.45">
      <c r="A1209" s="10">
        <v>323</v>
      </c>
      <c r="B1209" s="10">
        <v>548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1178</v>
      </c>
      <c r="G1209" s="12">
        <f ca="1">(RANDBETWEEN(50,100)/100)*(dict_DQ_Meth_max[[#This Row],[Vergleich_ub]]-dict_DQ_Meth_max[[#This Row],[Vergleich_lb]])+dict_DQ_Meth_max[[#This Row],[Vergleich_lb]]</f>
        <v>4519.8</v>
      </c>
      <c r="H1209" s="11" t="str">
        <f ca="1">VLOOKUP(VLOOKUP(dict_DQ_Meth_max[[#This Row],[ID_DataQualities]],table_DataQualities[],3),table_Units[],2)</f>
        <v>bit</v>
      </c>
      <c r="I1209" s="10"/>
      <c r="J1209" s="10"/>
      <c r="K1209" s="10"/>
      <c r="L1209" s="10">
        <f ca="1">VLOOKUP(dict_DQ_Meth_max[[#This Row],[ID_DataQualities]],table_DataQualities[],8,FALSE)</f>
        <v>100</v>
      </c>
      <c r="M1209" s="10">
        <f ca="1">VLOOKUP(dict_DQ_Meth_max[[#This Row],[ID_DataQualities]],table_DataQualities[],9,FALSE)</f>
        <v>5490</v>
      </c>
    </row>
    <row r="1210" spans="1:13" x14ac:dyDescent="0.45">
      <c r="A1210" s="10">
        <v>324</v>
      </c>
      <c r="B1210" s="10">
        <v>224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2836.1295999999998</v>
      </c>
      <c r="G1210" s="12">
        <f ca="1">(RANDBETWEEN(50,100)/100)*(dict_DQ_Meth_max[[#This Row],[Vergleich_ub]]-dict_DQ_Meth_max[[#This Row],[Vergleich_lb]])+dict_DQ_Meth_max[[#This Row],[Vergleich_lb]]</f>
        <v>5593.0743499999999</v>
      </c>
      <c r="H1210" s="11" t="str">
        <f ca="1">VLOOKUP(VLOOKUP(dict_DQ_Meth_max[[#This Row],[ID_DataQualities]],table_DataQualities[],3),table_Units[],2)</f>
        <v>Hz</v>
      </c>
      <c r="I1210" s="10"/>
      <c r="J1210" s="10"/>
      <c r="K1210" s="10"/>
      <c r="L1210" s="10">
        <f ca="1">VLOOKUP(dict_DQ_Meth_max[[#This Row],[ID_DataQualities]],table_DataQualities[],8,FALSE)</f>
        <v>0.41499999999999998</v>
      </c>
      <c r="M1210" s="10">
        <f ca="1">VLOOKUP(dict_DQ_Meth_max[[#This Row],[ID_DataQualities]],table_DataQualities[],9,FALSE)</f>
        <v>7877.4</v>
      </c>
    </row>
    <row r="1211" spans="1:13" x14ac:dyDescent="0.45">
      <c r="A1211" s="10">
        <v>324</v>
      </c>
      <c r="B1211" s="10">
        <v>33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3151.2089999999998</v>
      </c>
      <c r="G1211" s="12">
        <f ca="1">(RANDBETWEEN(50,100)/100)*(dict_DQ_Meth_max[[#This Row],[Vergleich_ub]]-dict_DQ_Meth_max[[#This Row],[Vergleich_lb]])+dict_DQ_Meth_max[[#This Row],[Vergleich_lb]]</f>
        <v>4490.2964499999998</v>
      </c>
      <c r="H1211" s="11" t="str">
        <f ca="1">VLOOKUP(VLOOKUP(dict_DQ_Meth_max[[#This Row],[ID_DataQualities]],table_DataQualities[],3),table_Units[],2)</f>
        <v>Hz</v>
      </c>
      <c r="I1211" s="10"/>
      <c r="J1211" s="10"/>
      <c r="K1211" s="10"/>
      <c r="L1211" s="10">
        <f ca="1">VLOOKUP(dict_DQ_Meth_max[[#This Row],[ID_DataQualities]],table_DataQualities[],8,FALSE)</f>
        <v>0.41499999999999998</v>
      </c>
      <c r="M1211" s="10">
        <f ca="1">VLOOKUP(dict_DQ_Meth_max[[#This Row],[ID_DataQualities]],table_DataQualities[],9,FALSE)</f>
        <v>7877.4</v>
      </c>
    </row>
    <row r="1212" spans="1:13" x14ac:dyDescent="0.45">
      <c r="A1212" s="10">
        <v>324</v>
      </c>
      <c r="B1212" s="10">
        <v>85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1339.50245</v>
      </c>
      <c r="G1212" s="12">
        <f ca="1">(RANDBETWEEN(50,100)/100)*(dict_DQ_Meth_max[[#This Row],[Vergleich_ub]]-dict_DQ_Meth_max[[#This Row],[Vergleich_lb]])+dict_DQ_Meth_max[[#This Row],[Vergleich_lb]]</f>
        <v>5593.0743499999999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0.41499999999999998</v>
      </c>
      <c r="M1212" s="10">
        <f ca="1">VLOOKUP(dict_DQ_Meth_max[[#This Row],[ID_DataQualities]],table_DataQualities[],9,FALSE)</f>
        <v>7877.4</v>
      </c>
    </row>
    <row r="1213" spans="1:13" x14ac:dyDescent="0.45">
      <c r="A1213" s="10">
        <v>324</v>
      </c>
      <c r="B1213" s="10">
        <v>120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0.41499999999999998</v>
      </c>
      <c r="G1213" s="12">
        <f ca="1">(RANDBETWEEN(50,100)/100)*(dict_DQ_Meth_max[[#This Row],[Vergleich_ub]]-dict_DQ_Meth_max[[#This Row],[Vergleich_lb]])+dict_DQ_Meth_max[[#This Row],[Vergleich_lb]]</f>
        <v>5986.9236000000001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0.41499999999999998</v>
      </c>
      <c r="M1213" s="10">
        <f ca="1">VLOOKUP(dict_DQ_Meth_max[[#This Row],[ID_DataQualities]],table_DataQualities[],9,FALSE)</f>
        <v>7877.4</v>
      </c>
    </row>
    <row r="1214" spans="1:13" x14ac:dyDescent="0.45">
      <c r="A1214" s="10">
        <v>324</v>
      </c>
      <c r="B1214" s="10">
        <v>182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709.34364999999991</v>
      </c>
      <c r="G1214" s="12">
        <f ca="1">(RANDBETWEEN(50,100)/100)*(dict_DQ_Meth_max[[#This Row],[Vergleich_ub]]-dict_DQ_Meth_max[[#This Row],[Vergleich_lb]])+dict_DQ_Meth_max[[#This Row],[Vergleich_lb]]</f>
        <v>5593.0743499999999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0.41499999999999998</v>
      </c>
      <c r="M1214" s="10">
        <f ca="1">VLOOKUP(dict_DQ_Meth_max[[#This Row],[ID_DataQualities]],table_DataQualities[],9,FALSE)</f>
        <v>7877.4</v>
      </c>
    </row>
    <row r="1215" spans="1:13" x14ac:dyDescent="0.45">
      <c r="A1215" s="10">
        <v>325</v>
      </c>
      <c r="B1215" s="10">
        <v>224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774.2</v>
      </c>
      <c r="G1215" s="12">
        <f ca="1">(RANDBETWEEN(50,100)/100)*(dict_DQ_Meth_max[[#This Row],[Vergleich_ub]]-dict_DQ_Meth_max[[#This Row],[Vergleich_lb]])+dict_DQ_Meth_max[[#This Row],[Vergleich_lb]]</f>
        <v>5506.76</v>
      </c>
      <c r="H1215" s="11" t="str">
        <f ca="1">VLOOKUP(VLOOKUP(dict_DQ_Meth_max[[#This Row],[ID_DataQualities]],table_DataQualities[],3),table_Units[],2)</f>
        <v>bit</v>
      </c>
      <c r="I1215" s="10"/>
      <c r="J1215" s="10"/>
      <c r="K1215" s="10"/>
      <c r="L1215" s="10">
        <f ca="1">VLOOKUP(dict_DQ_Meth_max[[#This Row],[ID_DataQualities]],table_DataQualities[],8,FALSE)</f>
        <v>23</v>
      </c>
      <c r="M1215" s="10">
        <f ca="1">VLOOKUP(dict_DQ_Meth_max[[#This Row],[ID_DataQualities]],table_DataQualities[],9,FALSE)</f>
        <v>7535</v>
      </c>
    </row>
    <row r="1216" spans="1:13" x14ac:dyDescent="0.45">
      <c r="A1216" s="10">
        <v>325</v>
      </c>
      <c r="B1216" s="10">
        <v>85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2727.3199999999997</v>
      </c>
      <c r="G1216" s="12">
        <f ca="1">(RANDBETWEEN(50,100)/100)*(dict_DQ_Meth_max[[#This Row],[Vergleich_ub]]-dict_DQ_Meth_max[[#This Row],[Vergleich_lb]])+dict_DQ_Meth_max[[#This Row],[Vergleich_lb]]</f>
        <v>6858.92</v>
      </c>
      <c r="H1216" s="11" t="str">
        <f ca="1">VLOOKUP(VLOOKUP(dict_DQ_Meth_max[[#This Row],[ID_DataQualities]],table_DataQualities[],3),table_Units[],2)</f>
        <v>bit</v>
      </c>
      <c r="I1216" s="10"/>
      <c r="J1216" s="10"/>
      <c r="K1216" s="10"/>
      <c r="L1216" s="10">
        <f ca="1">VLOOKUP(dict_DQ_Meth_max[[#This Row],[ID_DataQualities]],table_DataQualities[],8,FALSE)</f>
        <v>23</v>
      </c>
      <c r="M1216" s="10">
        <f ca="1">VLOOKUP(dict_DQ_Meth_max[[#This Row],[ID_DataQualities]],table_DataQualities[],9,FALSE)</f>
        <v>7535</v>
      </c>
    </row>
    <row r="1217" spans="1:13" x14ac:dyDescent="0.45">
      <c r="A1217" s="10">
        <v>325</v>
      </c>
      <c r="B1217" s="10">
        <v>33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2126.36</v>
      </c>
      <c r="G1217" s="12">
        <f ca="1">(RANDBETWEEN(50,100)/100)*(dict_DQ_Meth_max[[#This Row],[Vergleich_ub]]-dict_DQ_Meth_max[[#This Row],[Vergleich_lb]])+dict_DQ_Meth_max[[#This Row],[Vergleich_lb]]</f>
        <v>5056.04</v>
      </c>
      <c r="H1217" s="11" t="str">
        <f ca="1">VLOOKUP(VLOOKUP(dict_DQ_Meth_max[[#This Row],[ID_DataQualities]],table_DataQualities[],3),table_Units[],2)</f>
        <v>bit</v>
      </c>
      <c r="I1217" s="10"/>
      <c r="J1217" s="10"/>
      <c r="K1217" s="10"/>
      <c r="L1217" s="10">
        <f ca="1">VLOOKUP(dict_DQ_Meth_max[[#This Row],[ID_DataQualities]],table_DataQualities[],8,FALSE)</f>
        <v>23</v>
      </c>
      <c r="M1217" s="10">
        <f ca="1">VLOOKUP(dict_DQ_Meth_max[[#This Row],[ID_DataQualities]],table_DataQualities[],9,FALSE)</f>
        <v>7535</v>
      </c>
    </row>
    <row r="1218" spans="1:13" x14ac:dyDescent="0.45">
      <c r="A1218" s="10">
        <v>325</v>
      </c>
      <c r="B1218" s="10">
        <v>182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548.84</v>
      </c>
      <c r="G1218" s="12">
        <f ca="1">(RANDBETWEEN(50,100)/100)*(dict_DQ_Meth_max[[#This Row],[Vergleich_ub]]-dict_DQ_Meth_max[[#This Row],[Vergleich_lb]])+dict_DQ_Meth_max[[#This Row],[Vergleich_lb]]</f>
        <v>3929.2400000000002</v>
      </c>
      <c r="H1218" s="11" t="str">
        <f ca="1">VLOOKUP(VLOOKUP(dict_DQ_Meth_max[[#This Row],[ID_DataQualities]],table_DataQualities[],3),table_Units[],2)</f>
        <v>bit</v>
      </c>
      <c r="I1218" s="10"/>
      <c r="J1218" s="10"/>
      <c r="K1218" s="10"/>
      <c r="L1218" s="10">
        <f ca="1">VLOOKUP(dict_DQ_Meth_max[[#This Row],[ID_DataQualities]],table_DataQualities[],8,FALSE)</f>
        <v>23</v>
      </c>
      <c r="M1218" s="10">
        <f ca="1">VLOOKUP(dict_DQ_Meth_max[[#This Row],[ID_DataQualities]],table_DataQualities[],9,FALSE)</f>
        <v>7535</v>
      </c>
    </row>
    <row r="1219" spans="1:13" x14ac:dyDescent="0.45">
      <c r="A1219" s="10">
        <v>325</v>
      </c>
      <c r="B1219" s="10">
        <v>120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3328.28</v>
      </c>
      <c r="G1219" s="12">
        <f ca="1">(RANDBETWEEN(50,100)/100)*(dict_DQ_Meth_max[[#This Row],[Vergleich_ub]]-dict_DQ_Meth_max[[#This Row],[Vergleich_lb]])+dict_DQ_Meth_max[[#This Row],[Vergleich_lb]]</f>
        <v>7459.88</v>
      </c>
      <c r="H1219" s="11" t="str">
        <f ca="1">VLOOKUP(VLOOKUP(dict_DQ_Meth_max[[#This Row],[ID_DataQualities]],table_DataQualities[],3),table_Units[],2)</f>
        <v>bit</v>
      </c>
      <c r="I1219" s="10"/>
      <c r="J1219" s="10"/>
      <c r="K1219" s="10"/>
      <c r="L1219" s="10">
        <f ca="1">VLOOKUP(dict_DQ_Meth_max[[#This Row],[ID_DataQualities]],table_DataQualities[],8,FALSE)</f>
        <v>23</v>
      </c>
      <c r="M1219" s="10">
        <f ca="1">VLOOKUP(dict_DQ_Meth_max[[#This Row],[ID_DataQualities]],table_DataQualities[],9,FALSE)</f>
        <v>7535</v>
      </c>
    </row>
    <row r="1220" spans="1:13" x14ac:dyDescent="0.45">
      <c r="A1220" s="10">
        <v>326</v>
      </c>
      <c r="B1220" s="10">
        <v>564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393.26884999999999</v>
      </c>
      <c r="G1220" s="12">
        <f ca="1">(RANDBETWEEN(50,100)/100)*(dict_DQ_Meth_max[[#This Row],[Vergleich_ub]]-dict_DQ_Meth_max[[#This Row],[Vergleich_lb]])+dict_DQ_Meth_max[[#This Row],[Vergleich_lb]]</f>
        <v>1166.9930999999999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0.45500000000000002</v>
      </c>
      <c r="M1220" s="10">
        <f ca="1">VLOOKUP(dict_DQ_Meth_max[[#This Row],[ID_DataQualities]],table_DataQualities[],9,FALSE)</f>
        <v>1190.8</v>
      </c>
    </row>
    <row r="1221" spans="1:13" x14ac:dyDescent="0.45">
      <c r="A1221" s="10">
        <v>326</v>
      </c>
      <c r="B1221" s="10">
        <v>620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83.779150000000001</v>
      </c>
      <c r="G1221" s="12">
        <f ca="1">(RANDBETWEEN(50,100)/100)*(dict_DQ_Meth_max[[#This Row],[Vergleich_ub]]-dict_DQ_Meth_max[[#This Row],[Vergleich_lb]])+dict_DQ_Meth_max[[#This Row],[Vergleich_lb]]</f>
        <v>976.53790000000004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0.45500000000000002</v>
      </c>
      <c r="M1221" s="10">
        <f ca="1">VLOOKUP(dict_DQ_Meth_max[[#This Row],[ID_DataQualities]],table_DataQualities[],9,FALSE)</f>
        <v>1190.8</v>
      </c>
    </row>
    <row r="1222" spans="1:13" x14ac:dyDescent="0.45">
      <c r="A1222" s="10">
        <v>326</v>
      </c>
      <c r="B1222" s="10">
        <v>129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24.261900000000001</v>
      </c>
      <c r="G1222" s="12">
        <f ca="1">(RANDBETWEEN(50,100)/100)*(dict_DQ_Meth_max[[#This Row],[Vergleich_ub]]-dict_DQ_Meth_max[[#This Row],[Vergleich_lb]])+dict_DQ_Meth_max[[#This Row],[Vergleich_lb]]</f>
        <v>845.59995000000004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0.45500000000000002</v>
      </c>
      <c r="M1222" s="10">
        <f ca="1">VLOOKUP(dict_DQ_Meth_max[[#This Row],[ID_DataQualities]],table_DataQualities[],9,FALSE)</f>
        <v>1190.8</v>
      </c>
    </row>
    <row r="1223" spans="1:13" x14ac:dyDescent="0.45">
      <c r="A1223" s="10">
        <v>327</v>
      </c>
      <c r="B1223" s="10">
        <v>620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1.7410400000000001</v>
      </c>
      <c r="G1223" s="12">
        <f ca="1">(RANDBETWEEN(50,100)/100)*(dict_DQ_Meth_max[[#This Row],[Vergleich_ub]]-dict_DQ_Meth_max[[#This Row],[Vergleich_lb]])+dict_DQ_Meth_max[[#This Row],[Vergleich_lb]]</f>
        <v>2.49424</v>
      </c>
      <c r="H1223" s="11" t="str">
        <f ca="1">VLOOKUP(VLOOKUP(dict_DQ_Meth_max[[#This Row],[ID_DataQualities]],table_DataQualities[],3),table_Units[],2)</f>
        <v>+/- W</v>
      </c>
      <c r="I1223" s="10"/>
      <c r="J1223" s="10"/>
      <c r="K1223" s="10"/>
      <c r="L1223" s="10">
        <f ca="1">VLOOKUP(dict_DQ_Meth_max[[#This Row],[ID_DataQualities]],table_DataQualities[],8,FALSE)</f>
        <v>8.4000000000000005E-2</v>
      </c>
      <c r="M1223" s="10">
        <f ca="1">VLOOKUP(dict_DQ_Meth_max[[#This Row],[ID_DataQualities]],table_DataQualities[],9,FALSE)</f>
        <v>3.85</v>
      </c>
    </row>
    <row r="1224" spans="1:13" x14ac:dyDescent="0.45">
      <c r="A1224" s="10">
        <v>327</v>
      </c>
      <c r="B1224" s="10">
        <v>564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1.85402</v>
      </c>
      <c r="G1224" s="12">
        <f ca="1">(RANDBETWEEN(50,100)/100)*(dict_DQ_Meth_max[[#This Row],[Vergleich_ub]]-dict_DQ_Meth_max[[#This Row],[Vergleich_lb]])+dict_DQ_Meth_max[[#This Row],[Vergleich_lb]]</f>
        <v>2.1929600000000002</v>
      </c>
      <c r="H1224" s="11" t="str">
        <f ca="1">VLOOKUP(VLOOKUP(dict_DQ_Meth_max[[#This Row],[ID_DataQualities]],table_DataQualities[],3),table_Units[],2)</f>
        <v>+/- W</v>
      </c>
      <c r="I1224" s="10"/>
      <c r="J1224" s="10"/>
      <c r="K1224" s="10"/>
      <c r="L1224" s="10">
        <f ca="1">VLOOKUP(dict_DQ_Meth_max[[#This Row],[ID_DataQualities]],table_DataQualities[],8,FALSE)</f>
        <v>8.4000000000000005E-2</v>
      </c>
      <c r="M1224" s="10">
        <f ca="1">VLOOKUP(dict_DQ_Meth_max[[#This Row],[ID_DataQualities]],table_DataQualities[],9,FALSE)</f>
        <v>3.85</v>
      </c>
    </row>
    <row r="1225" spans="1:13" x14ac:dyDescent="0.45">
      <c r="A1225" s="10">
        <v>327</v>
      </c>
      <c r="B1225" s="10">
        <v>129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0.64889999999999992</v>
      </c>
      <c r="G1225" s="12">
        <f ca="1">(RANDBETWEEN(50,100)/100)*(dict_DQ_Meth_max[[#This Row],[Vergleich_ub]]-dict_DQ_Meth_max[[#This Row],[Vergleich_lb]])+dict_DQ_Meth_max[[#This Row],[Vergleich_lb]]</f>
        <v>3.5863800000000001</v>
      </c>
      <c r="H1225" s="11" t="str">
        <f ca="1">VLOOKUP(VLOOKUP(dict_DQ_Meth_max[[#This Row],[ID_DataQualities]],table_DataQualities[],3),table_Units[],2)</f>
        <v>+/- W</v>
      </c>
      <c r="I1225" s="10"/>
      <c r="J1225" s="10"/>
      <c r="K1225" s="10"/>
      <c r="L1225" s="10">
        <f ca="1">VLOOKUP(dict_DQ_Meth_max[[#This Row],[ID_DataQualities]],table_DataQualities[],8,FALSE)</f>
        <v>8.4000000000000005E-2</v>
      </c>
      <c r="M1225" s="10">
        <f ca="1">VLOOKUP(dict_DQ_Meth_max[[#This Row],[ID_DataQualities]],table_DataQualities[],9,FALSE)</f>
        <v>3.85</v>
      </c>
    </row>
    <row r="1226" spans="1:13" x14ac:dyDescent="0.45">
      <c r="A1226" s="10">
        <v>328</v>
      </c>
      <c r="B1226" s="10">
        <v>299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1541.4078499999998</v>
      </c>
      <c r="G1226" s="12">
        <f ca="1">(RANDBETWEEN(50,100)/100)*(dict_DQ_Meth_max[[#This Row],[Vergleich_ub]]-dict_DQ_Meth_max[[#This Row],[Vergleich_lb]])+dict_DQ_Meth_max[[#This Row],[Vergleich_lb]]</f>
        <v>4622.7535499999994</v>
      </c>
      <c r="H1226" s="11" t="str">
        <f ca="1">VLOOKUP(VLOOKUP(dict_DQ_Meth_max[[#This Row],[ID_DataQualities]],table_DataQualities[],3),table_Units[],2)</f>
        <v>Hz</v>
      </c>
      <c r="I1226" s="10"/>
      <c r="J1226" s="10"/>
      <c r="K1226" s="10"/>
      <c r="L1226" s="10">
        <f ca="1">VLOOKUP(dict_DQ_Meth_max[[#This Row],[ID_DataQualities]],table_DataQualities[],8,FALSE)</f>
        <v>0.73499999999999999</v>
      </c>
      <c r="M1226" s="10">
        <f ca="1">VLOOKUP(dict_DQ_Meth_max[[#This Row],[ID_DataQualities]],table_DataQualities[],9,FALSE)</f>
        <v>5313.4</v>
      </c>
    </row>
    <row r="1227" spans="1:13" x14ac:dyDescent="0.45">
      <c r="A1227" s="10">
        <v>328</v>
      </c>
      <c r="B1227" s="10">
        <v>306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1966.4210499999999</v>
      </c>
      <c r="G1227" s="12">
        <f ca="1">(RANDBETWEEN(50,100)/100)*(dict_DQ_Meth_max[[#This Row],[Vergleich_ub]]-dict_DQ_Meth_max[[#This Row],[Vergleich_lb]])+dict_DQ_Meth_max[[#This Row],[Vergleich_lb]]</f>
        <v>3932.1071000000002</v>
      </c>
      <c r="H1227" s="11" t="str">
        <f ca="1">VLOOKUP(VLOOKUP(dict_DQ_Meth_max[[#This Row],[ID_DataQualities]],table_DataQualities[],3),table_Units[],2)</f>
        <v>Hz</v>
      </c>
      <c r="I1227" s="10"/>
      <c r="J1227" s="10"/>
      <c r="K1227" s="10"/>
      <c r="L1227" s="10">
        <f ca="1">VLOOKUP(dict_DQ_Meth_max[[#This Row],[ID_DataQualities]],table_DataQualities[],8,FALSE)</f>
        <v>0.73499999999999999</v>
      </c>
      <c r="M1227" s="10">
        <f ca="1">VLOOKUP(dict_DQ_Meth_max[[#This Row],[ID_DataQualities]],table_DataQualities[],9,FALSE)</f>
        <v>5313.4</v>
      </c>
    </row>
    <row r="1228" spans="1:13" x14ac:dyDescent="0.45">
      <c r="A1228" s="10">
        <v>328</v>
      </c>
      <c r="B1228" s="10">
        <v>310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532.00150000000008</v>
      </c>
      <c r="G1228" s="12">
        <f ca="1">(RANDBETWEEN(50,100)/100)*(dict_DQ_Meth_max[[#This Row],[Vergleich_ub]]-dict_DQ_Meth_max[[#This Row],[Vergleich_lb]])+dict_DQ_Meth_max[[#This Row],[Vergleich_lb]]</f>
        <v>2763.3208000000004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0.73499999999999999</v>
      </c>
      <c r="M1228" s="10">
        <f ca="1">VLOOKUP(dict_DQ_Meth_max[[#This Row],[ID_DataQualities]],table_DataQualities[],9,FALSE)</f>
        <v>5313.4</v>
      </c>
    </row>
    <row r="1229" spans="1:13" x14ac:dyDescent="0.45">
      <c r="A1229" s="10">
        <v>328</v>
      </c>
      <c r="B1229" s="10">
        <v>545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106.9883</v>
      </c>
      <c r="G1229" s="12">
        <f ca="1">(RANDBETWEEN(50,100)/100)*(dict_DQ_Meth_max[[#This Row],[Vergleich_ub]]-dict_DQ_Meth_max[[#This Row],[Vergleich_lb]])+dict_DQ_Meth_max[[#This Row],[Vergleich_lb]]</f>
        <v>4729.0068499999998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0.73499999999999999</v>
      </c>
      <c r="M1229" s="10">
        <f ca="1">VLOOKUP(dict_DQ_Meth_max[[#This Row],[ID_DataQualities]],table_DataQualities[],9,FALSE)</f>
        <v>5313.4</v>
      </c>
    </row>
    <row r="1230" spans="1:13" x14ac:dyDescent="0.45">
      <c r="A1230" s="10">
        <v>328</v>
      </c>
      <c r="B1230" s="10">
        <v>510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638.25479999999993</v>
      </c>
      <c r="G1230" s="12">
        <f ca="1">(RANDBETWEEN(50,100)/100)*(dict_DQ_Meth_max[[#This Row],[Vergleich_ub]]-dict_DQ_Meth_max[[#This Row],[Vergleich_lb]])+dict_DQ_Meth_max[[#This Row],[Vergleich_lb]]</f>
        <v>4303.9936500000003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0.73499999999999999</v>
      </c>
      <c r="M1230" s="10">
        <f ca="1">VLOOKUP(dict_DQ_Meth_max[[#This Row],[ID_DataQualities]],table_DataQualities[],9,FALSE)</f>
        <v>5313.4</v>
      </c>
    </row>
    <row r="1231" spans="1:13" x14ac:dyDescent="0.45">
      <c r="A1231" s="10">
        <v>329</v>
      </c>
      <c r="B1231" s="10">
        <v>299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1.226</v>
      </c>
      <c r="G1231" s="12">
        <f ca="1">(RANDBETWEEN(50,100)/100)*(dict_DQ_Meth_max[[#This Row],[Vergleich_ub]]-dict_DQ_Meth_max[[#This Row],[Vergleich_lb]])+dict_DQ_Meth_max[[#This Row],[Vergleich_lb]]</f>
        <v>3.62</v>
      </c>
      <c r="H1231" s="11" t="str">
        <f ca="1">VLOOKUP(VLOOKUP(dict_DQ_Meth_max[[#This Row],[ID_DataQualities]],table_DataQualities[],3),table_Units[],2)</f>
        <v>+/- °C</v>
      </c>
      <c r="I1231" s="10"/>
      <c r="J1231" s="10"/>
      <c r="K1231" s="10"/>
      <c r="L1231" s="10">
        <f ca="1">VLOOKUP(dict_DQ_Meth_max[[#This Row],[ID_DataQualities]],table_DataQualities[],8,FALSE)</f>
        <v>0.2</v>
      </c>
      <c r="M1231" s="10">
        <f ca="1">VLOOKUP(dict_DQ_Meth_max[[#This Row],[ID_DataQualities]],table_DataQualities[],9,FALSE)</f>
        <v>4</v>
      </c>
    </row>
    <row r="1232" spans="1:13" x14ac:dyDescent="0.45">
      <c r="A1232" s="10">
        <v>329</v>
      </c>
      <c r="B1232" s="10">
        <v>306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0.35199999999999998</v>
      </c>
      <c r="G1232" s="12">
        <f ca="1">(RANDBETWEEN(50,100)/100)*(dict_DQ_Meth_max[[#This Row],[Vergleich_ub]]-dict_DQ_Meth_max[[#This Row],[Vergleich_lb]])+dict_DQ_Meth_max[[#This Row],[Vergleich_lb]]</f>
        <v>2.86</v>
      </c>
      <c r="H1232" s="11" t="str">
        <f ca="1">VLOOKUP(VLOOKUP(dict_DQ_Meth_max[[#This Row],[ID_DataQualities]],table_DataQualities[],3),table_Units[],2)</f>
        <v>+/- °C</v>
      </c>
      <c r="I1232" s="10"/>
      <c r="J1232" s="10"/>
      <c r="K1232" s="10"/>
      <c r="L1232" s="10">
        <f ca="1">VLOOKUP(dict_DQ_Meth_max[[#This Row],[ID_DataQualities]],table_DataQualities[],8,FALSE)</f>
        <v>0.2</v>
      </c>
      <c r="M1232" s="10">
        <f ca="1">VLOOKUP(dict_DQ_Meth_max[[#This Row],[ID_DataQualities]],table_DataQualities[],9,FALSE)</f>
        <v>4</v>
      </c>
    </row>
    <row r="1233" spans="1:13" x14ac:dyDescent="0.45">
      <c r="A1233" s="10">
        <v>329</v>
      </c>
      <c r="B1233" s="10">
        <v>310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1.8719999999999999</v>
      </c>
      <c r="G1233" s="12">
        <f ca="1">(RANDBETWEEN(50,100)/100)*(dict_DQ_Meth_max[[#This Row],[Vergleich_ub]]-dict_DQ_Meth_max[[#This Row],[Vergleich_lb]])+dict_DQ_Meth_max[[#This Row],[Vergleich_lb]]</f>
        <v>3.012</v>
      </c>
      <c r="H1233" s="11" t="str">
        <f ca="1">VLOOKUP(VLOOKUP(dict_DQ_Meth_max[[#This Row],[ID_DataQualities]],table_DataQualities[],3),table_Units[],2)</f>
        <v>+/- °C</v>
      </c>
      <c r="I1233" s="10"/>
      <c r="J1233" s="10"/>
      <c r="K1233" s="10"/>
      <c r="L1233" s="10">
        <f ca="1">VLOOKUP(dict_DQ_Meth_max[[#This Row],[ID_DataQualities]],table_DataQualities[],8,FALSE)</f>
        <v>0.2</v>
      </c>
      <c r="M1233" s="10">
        <f ca="1">VLOOKUP(dict_DQ_Meth_max[[#This Row],[ID_DataQualities]],table_DataQualities[],9,FALSE)</f>
        <v>4</v>
      </c>
    </row>
    <row r="1234" spans="1:13" x14ac:dyDescent="0.45">
      <c r="A1234" s="10">
        <v>329</v>
      </c>
      <c r="B1234" s="10">
        <v>510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0.54200000000000004</v>
      </c>
      <c r="G1234" s="12">
        <f ca="1">(RANDBETWEEN(50,100)/100)*(dict_DQ_Meth_max[[#This Row],[Vergleich_ub]]-dict_DQ_Meth_max[[#This Row],[Vergleich_lb]])+dict_DQ_Meth_max[[#This Row],[Vergleich_lb]]</f>
        <v>3.5060000000000002</v>
      </c>
      <c r="H1234" s="11" t="str">
        <f ca="1">VLOOKUP(VLOOKUP(dict_DQ_Meth_max[[#This Row],[ID_DataQualities]],table_DataQualities[],3),table_Units[],2)</f>
        <v>+/- °C</v>
      </c>
      <c r="I1234" s="10"/>
      <c r="J1234" s="10"/>
      <c r="K1234" s="10"/>
      <c r="L1234" s="10">
        <f ca="1">VLOOKUP(dict_DQ_Meth_max[[#This Row],[ID_DataQualities]],table_DataQualities[],8,FALSE)</f>
        <v>0.2</v>
      </c>
      <c r="M1234" s="10">
        <f ca="1">VLOOKUP(dict_DQ_Meth_max[[#This Row],[ID_DataQualities]],table_DataQualities[],9,FALSE)</f>
        <v>4</v>
      </c>
    </row>
    <row r="1235" spans="1:13" x14ac:dyDescent="0.45">
      <c r="A1235" s="10">
        <v>329</v>
      </c>
      <c r="B1235" s="10">
        <v>545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1.6819999999999999</v>
      </c>
      <c r="G1235" s="12">
        <f ca="1">(RANDBETWEEN(50,100)/100)*(dict_DQ_Meth_max[[#This Row],[Vergleich_ub]]-dict_DQ_Meth_max[[#This Row],[Vergleich_lb]])+dict_DQ_Meth_max[[#This Row],[Vergleich_lb]]</f>
        <v>2.9740000000000002</v>
      </c>
      <c r="H1235" s="11" t="str">
        <f ca="1">VLOOKUP(VLOOKUP(dict_DQ_Meth_max[[#This Row],[ID_DataQualities]],table_DataQualities[],3),table_Units[],2)</f>
        <v>+/- °C</v>
      </c>
      <c r="I1235" s="10"/>
      <c r="J1235" s="10"/>
      <c r="K1235" s="10"/>
      <c r="L1235" s="10">
        <f ca="1">VLOOKUP(dict_DQ_Meth_max[[#This Row],[ID_DataQualities]],table_DataQualities[],8,FALSE)</f>
        <v>0.2</v>
      </c>
      <c r="M1235" s="10">
        <f ca="1">VLOOKUP(dict_DQ_Meth_max[[#This Row],[ID_DataQualities]],table_DataQualities[],9,FALSE)</f>
        <v>4</v>
      </c>
    </row>
    <row r="1236" spans="1:13" x14ac:dyDescent="0.45">
      <c r="A1236" s="10">
        <v>330</v>
      </c>
      <c r="B1236" s="10">
        <v>700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131.58832000000001</v>
      </c>
      <c r="G1236" s="12">
        <f ca="1">(RANDBETWEEN(50,100)/100)*(dict_DQ_Meth_max[[#This Row],[Vergleich_ub]]-dict_DQ_Meth_max[[#This Row],[Vergleich_lb]])+dict_DQ_Meth_max[[#This Row],[Vergleich_lb]]</f>
        <v>2427.5239200000001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0.39200000000000002</v>
      </c>
      <c r="M1236" s="10">
        <f ca="1">VLOOKUP(dict_DQ_Meth_max[[#This Row],[ID_DataQualities]],table_DataQualities[],9,FALSE)</f>
        <v>3280.3</v>
      </c>
    </row>
    <row r="1237" spans="1:13" x14ac:dyDescent="0.45">
      <c r="A1237" s="10">
        <v>330</v>
      </c>
      <c r="B1237" s="10">
        <v>623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492.37820000000005</v>
      </c>
      <c r="G1237" s="12">
        <f ca="1">(RANDBETWEEN(50,100)/100)*(dict_DQ_Meth_max[[#This Row],[Vergleich_ub]]-dict_DQ_Meth_max[[#This Row],[Vergleich_lb]])+dict_DQ_Meth_max[[#This Row],[Vergleich_lb]]</f>
        <v>2427.5239200000001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0.39200000000000002</v>
      </c>
      <c r="M1237" s="10">
        <f ca="1">VLOOKUP(dict_DQ_Meth_max[[#This Row],[ID_DataQualities]],table_DataQualities[],9,FALSE)</f>
        <v>3280.3</v>
      </c>
    </row>
    <row r="1238" spans="1:13" x14ac:dyDescent="0.45">
      <c r="A1238" s="10">
        <v>330</v>
      </c>
      <c r="B1238" s="10">
        <v>245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65.990160000000003</v>
      </c>
      <c r="G1238" s="12">
        <f ca="1">(RANDBETWEEN(50,100)/100)*(dict_DQ_Meth_max[[#This Row],[Vergleich_ub]]-dict_DQ_Meth_max[[#This Row],[Vergleich_lb]])+dict_DQ_Meth_max[[#This Row],[Vergleich_lb]]</f>
        <v>1705.9441600000002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0.39200000000000002</v>
      </c>
      <c r="M1238" s="10">
        <f ca="1">VLOOKUP(dict_DQ_Meth_max[[#This Row],[ID_DataQualities]],table_DataQualities[],9,FALSE)</f>
        <v>3280.3</v>
      </c>
    </row>
    <row r="1239" spans="1:13" x14ac:dyDescent="0.45">
      <c r="A1239" s="10">
        <v>330</v>
      </c>
      <c r="B1239" s="10">
        <v>139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98.789240000000007</v>
      </c>
      <c r="G1239" s="12">
        <f ca="1">(RANDBETWEEN(50,100)/100)*(dict_DQ_Meth_max[[#This Row],[Vergleich_ub]]-dict_DQ_Meth_max[[#This Row],[Vergleich_lb]])+dict_DQ_Meth_max[[#This Row],[Vergleich_lb]]</f>
        <v>2985.1082800000004</v>
      </c>
      <c r="H1239" s="11" t="str">
        <f ca="1">VLOOKUP(VLOOKUP(dict_DQ_Meth_max[[#This Row],[ID_DataQualities]],table_DataQualities[],3),table_Units[],2)</f>
        <v>Hz</v>
      </c>
      <c r="I1239" s="10"/>
      <c r="J1239" s="10"/>
      <c r="K1239" s="10"/>
      <c r="L1239" s="10">
        <f ca="1">VLOOKUP(dict_DQ_Meth_max[[#This Row],[ID_DataQualities]],table_DataQualities[],8,FALSE)</f>
        <v>0.39200000000000002</v>
      </c>
      <c r="M1239" s="10">
        <f ca="1">VLOOKUP(dict_DQ_Meth_max[[#This Row],[ID_DataQualities]],table_DataQualities[],9,FALSE)</f>
        <v>3280.3</v>
      </c>
    </row>
    <row r="1240" spans="1:13" x14ac:dyDescent="0.45">
      <c r="A1240" s="10">
        <v>331</v>
      </c>
      <c r="B1240" s="10">
        <v>623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9.1760000000000019E-3</v>
      </c>
      <c r="G1240" s="12">
        <f ca="1">(RANDBETWEEN(50,100)/100)*(dict_DQ_Meth_max[[#This Row],[Vergleich_ub]]-dict_DQ_Meth_max[[#This Row],[Vergleich_lb]])+dict_DQ_Meth_max[[#This Row],[Vergleich_lb]]</f>
        <v>4.6135999999999996E-2</v>
      </c>
      <c r="H1240" s="11" t="str">
        <f ca="1">VLOOKUP(VLOOKUP(dict_DQ_Meth_max[[#This Row],[ID_DataQualities]],table_DataQualities[],3),table_Units[],2)</f>
        <v>+/- cm³/s</v>
      </c>
      <c r="I1240" s="10"/>
      <c r="J1240" s="10"/>
      <c r="K1240" s="10"/>
      <c r="L1240" s="10">
        <f ca="1">VLOOKUP(dict_DQ_Meth_max[[#This Row],[ID_DataQualities]],table_DataQualities[],8,FALSE)</f>
        <v>2.0000000000000001E-4</v>
      </c>
      <c r="M1240" s="10">
        <f ca="1">VLOOKUP(dict_DQ_Meth_max[[#This Row],[ID_DataQualities]],table_DataQualities[],9,FALSE)</f>
        <v>5.2999999999999999E-2</v>
      </c>
    </row>
    <row r="1241" spans="1:13" x14ac:dyDescent="0.45">
      <c r="A1241" s="10">
        <v>331</v>
      </c>
      <c r="B1241" s="10">
        <v>139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1.2560000000000002E-3</v>
      </c>
      <c r="G1241" s="12">
        <f ca="1">(RANDBETWEEN(50,100)/100)*(dict_DQ_Meth_max[[#This Row],[Vergleich_ub]]-dict_DQ_Meth_max[[#This Row],[Vergleich_lb]])+dict_DQ_Meth_max[[#This Row],[Vergleich_lb]]</f>
        <v>3.8216E-2</v>
      </c>
      <c r="H1241" s="11" t="str">
        <f ca="1">VLOOKUP(VLOOKUP(dict_DQ_Meth_max[[#This Row],[ID_DataQualities]],table_DataQualities[],3),table_Units[],2)</f>
        <v>+/- cm³/s</v>
      </c>
      <c r="I1241" s="10"/>
      <c r="J1241" s="10"/>
      <c r="K1241" s="10"/>
      <c r="L1241" s="10">
        <f ca="1">VLOOKUP(dict_DQ_Meth_max[[#This Row],[ID_DataQualities]],table_DataQualities[],8,FALSE)</f>
        <v>2.0000000000000001E-4</v>
      </c>
      <c r="M1241" s="10">
        <f ca="1">VLOOKUP(dict_DQ_Meth_max[[#This Row],[ID_DataQualities]],table_DataQualities[],9,FALSE)</f>
        <v>5.2999999999999999E-2</v>
      </c>
    </row>
    <row r="1242" spans="1:13" x14ac:dyDescent="0.45">
      <c r="A1242" s="10">
        <v>331</v>
      </c>
      <c r="B1242" s="10">
        <v>700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1.6039999999999999E-2</v>
      </c>
      <c r="G1242" s="12">
        <f ca="1">(RANDBETWEEN(50,100)/100)*(dict_DQ_Meth_max[[#This Row],[Vergleich_ub]]-dict_DQ_Meth_max[[#This Row],[Vergleich_lb]])+dict_DQ_Meth_max[[#This Row],[Vergleich_lb]]</f>
        <v>4.8247999999999999E-2</v>
      </c>
      <c r="H1242" s="11" t="str">
        <f ca="1">VLOOKUP(VLOOKUP(dict_DQ_Meth_max[[#This Row],[ID_DataQualities]],table_DataQualities[],3),table_Units[],2)</f>
        <v>+/- cm³/s</v>
      </c>
      <c r="I1242" s="10"/>
      <c r="J1242" s="10"/>
      <c r="K1242" s="10"/>
      <c r="L1242" s="10">
        <f ca="1">VLOOKUP(dict_DQ_Meth_max[[#This Row],[ID_DataQualities]],table_DataQualities[],8,FALSE)</f>
        <v>2.0000000000000001E-4</v>
      </c>
      <c r="M1242" s="10">
        <f ca="1">VLOOKUP(dict_DQ_Meth_max[[#This Row],[ID_DataQualities]],table_DataQualities[],9,FALSE)</f>
        <v>5.2999999999999999E-2</v>
      </c>
    </row>
    <row r="1243" spans="1:13" x14ac:dyDescent="0.45">
      <c r="A1243" s="10">
        <v>331</v>
      </c>
      <c r="B1243" s="10">
        <v>245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2.0263999999999997E-2</v>
      </c>
      <c r="G1243" s="12">
        <f ca="1">(RANDBETWEEN(50,100)/100)*(dict_DQ_Meth_max[[#This Row],[Vergleich_ub]]-dict_DQ_Meth_max[[#This Row],[Vergleich_lb]])+dict_DQ_Meth_max[[#This Row],[Vergleich_lb]]</f>
        <v>4.4551999999999994E-2</v>
      </c>
      <c r="H1243" s="11" t="str">
        <f ca="1">VLOOKUP(VLOOKUP(dict_DQ_Meth_max[[#This Row],[ID_DataQualities]],table_DataQualities[],3),table_Units[],2)</f>
        <v>+/- cm³/s</v>
      </c>
      <c r="I1243" s="10"/>
      <c r="J1243" s="10"/>
      <c r="K1243" s="10"/>
      <c r="L1243" s="10">
        <f ca="1">VLOOKUP(dict_DQ_Meth_max[[#This Row],[ID_DataQualities]],table_DataQualities[],8,FALSE)</f>
        <v>2.0000000000000001E-4</v>
      </c>
      <c r="M1243" s="10">
        <f ca="1">VLOOKUP(dict_DQ_Meth_max[[#This Row],[ID_DataQualities]],table_DataQualities[],9,FALSE)</f>
        <v>5.2999999999999999E-2</v>
      </c>
    </row>
    <row r="1244" spans="1:13" x14ac:dyDescent="0.45">
      <c r="A1244" s="10">
        <v>332</v>
      </c>
      <c r="B1244" s="10">
        <v>432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274.01813999999996</v>
      </c>
      <c r="G1244" s="12">
        <f ca="1">(RANDBETWEEN(50,100)/100)*(dict_DQ_Meth_max[[#This Row],[Vergleich_ub]]-dict_DQ_Meth_max[[#This Row],[Vergleich_lb]])+dict_DQ_Meth_max[[#This Row],[Vergleich_lb]]</f>
        <v>1388.2254799999998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0.72199999999999998</v>
      </c>
      <c r="M1244" s="10">
        <f ca="1">VLOOKUP(dict_DQ_Meth_max[[#This Row],[ID_DataQualities]],table_DataQualities[],9,FALSE)</f>
        <v>2103</v>
      </c>
    </row>
    <row r="1245" spans="1:13" x14ac:dyDescent="0.45">
      <c r="A1245" s="10">
        <v>332</v>
      </c>
      <c r="B1245" s="10">
        <v>500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316.06369999999993</v>
      </c>
      <c r="G1245" s="12">
        <f ca="1">(RANDBETWEEN(50,100)/100)*(dict_DQ_Meth_max[[#This Row],[Vergleich_ub]]-dict_DQ_Meth_max[[#This Row],[Vergleich_lb]])+dict_DQ_Meth_max[[#This Row],[Vergleich_lb]]</f>
        <v>1913.7949799999999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0.72199999999999998</v>
      </c>
      <c r="M1245" s="10">
        <f ca="1">VLOOKUP(dict_DQ_Meth_max[[#This Row],[ID_DataQualities]],table_DataQualities[],9,FALSE)</f>
        <v>2103</v>
      </c>
    </row>
    <row r="1246" spans="1:13" x14ac:dyDescent="0.45">
      <c r="A1246" s="10">
        <v>332</v>
      </c>
      <c r="B1246" s="10">
        <v>355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421.17759999999998</v>
      </c>
      <c r="G1246" s="12">
        <f ca="1">(RANDBETWEEN(50,100)/100)*(dict_DQ_Meth_max[[#This Row],[Vergleich_ub]]-dict_DQ_Meth_max[[#This Row],[Vergleich_lb]])+dict_DQ_Meth_max[[#This Row],[Vergleich_lb]]</f>
        <v>1577.4304999999997</v>
      </c>
      <c r="H1246" s="11" t="str">
        <f ca="1">VLOOKUP(VLOOKUP(dict_DQ_Meth_max[[#This Row],[ID_DataQualities]],table_DataQualities[],3),table_Units[],2)</f>
        <v>Hz</v>
      </c>
      <c r="I1246" s="10"/>
      <c r="J1246" s="10"/>
      <c r="K1246" s="10"/>
      <c r="L1246" s="10">
        <f ca="1">VLOOKUP(dict_DQ_Meth_max[[#This Row],[ID_DataQualities]],table_DataQualities[],8,FALSE)</f>
        <v>0.72199999999999998</v>
      </c>
      <c r="M1246" s="10">
        <f ca="1">VLOOKUP(dict_DQ_Meth_max[[#This Row],[ID_DataQualities]],table_DataQualities[],9,FALSE)</f>
        <v>2103</v>
      </c>
    </row>
    <row r="1247" spans="1:13" x14ac:dyDescent="0.45">
      <c r="A1247" s="10">
        <v>333</v>
      </c>
      <c r="B1247" s="10">
        <v>432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0.10520400000000001</v>
      </c>
      <c r="G1247" s="12">
        <f ca="1">(RANDBETWEEN(50,100)/100)*(dict_DQ_Meth_max[[#This Row],[Vergleich_ub]]-dict_DQ_Meth_max[[#This Row],[Vergleich_lb]])+dict_DQ_Meth_max[[#This Row],[Vergleich_lb]]</f>
        <v>0.561666</v>
      </c>
      <c r="H1247" s="11" t="str">
        <f ca="1">VLOOKUP(VLOOKUP(dict_DQ_Meth_max[[#This Row],[ID_DataQualities]],table_DataQualities[],3),table_Units[],2)</f>
        <v>+/- cm³/s</v>
      </c>
      <c r="I1247" s="10"/>
      <c r="J1247" s="10"/>
      <c r="K1247" s="10"/>
      <c r="L1247" s="10">
        <f ca="1">VLOOKUP(dict_DQ_Meth_max[[#This Row],[ID_DataQualities]],table_DataQualities[],8,FALSE)</f>
        <v>1.1999999999999999E-3</v>
      </c>
      <c r="M1247" s="10">
        <f ca="1">VLOOKUP(dict_DQ_Meth_max[[#This Row],[ID_DataQualities]],table_DataQualities[],9,FALSE)</f>
        <v>0.57899999999999996</v>
      </c>
    </row>
    <row r="1248" spans="1:13" x14ac:dyDescent="0.45">
      <c r="A1248" s="10">
        <v>333</v>
      </c>
      <c r="B1248" s="10">
        <v>355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4.7424000000000001E-2</v>
      </c>
      <c r="G1248" s="12">
        <f ca="1">(RANDBETWEEN(50,100)/100)*(dict_DQ_Meth_max[[#This Row],[Vergleich_ub]]-dict_DQ_Meth_max[[#This Row],[Vergleich_lb]])+dict_DQ_Meth_max[[#This Row],[Vergleich_lb]]</f>
        <v>0.57899999999999996</v>
      </c>
      <c r="H1248" s="11" t="str">
        <f ca="1">VLOOKUP(VLOOKUP(dict_DQ_Meth_max[[#This Row],[ID_DataQualities]],table_DataQualities[],3),table_Units[],2)</f>
        <v>+/- cm³/s</v>
      </c>
      <c r="I1248" s="10"/>
      <c r="J1248" s="10"/>
      <c r="K1248" s="10"/>
      <c r="L1248" s="10">
        <f ca="1">VLOOKUP(dict_DQ_Meth_max[[#This Row],[ID_DataQualities]],table_DataQualities[],8,FALSE)</f>
        <v>1.1999999999999999E-3</v>
      </c>
      <c r="M1248" s="10">
        <f ca="1">VLOOKUP(dict_DQ_Meth_max[[#This Row],[ID_DataQualities]],table_DataQualities[],9,FALSE)</f>
        <v>0.57899999999999996</v>
      </c>
    </row>
    <row r="1249" spans="1:13" x14ac:dyDescent="0.45">
      <c r="A1249" s="10">
        <v>333</v>
      </c>
      <c r="B1249" s="10">
        <v>500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9.9426000000000014E-2</v>
      </c>
      <c r="G1249" s="12">
        <f ca="1">(RANDBETWEEN(50,100)/100)*(dict_DQ_Meth_max[[#This Row],[Vergleich_ub]]-dict_DQ_Meth_max[[#This Row],[Vergleich_lb]])+dict_DQ_Meth_max[[#This Row],[Vergleich_lb]]</f>
        <v>0.57322200000000001</v>
      </c>
      <c r="H1249" s="11" t="str">
        <f ca="1">VLOOKUP(VLOOKUP(dict_DQ_Meth_max[[#This Row],[ID_DataQualities]],table_DataQualities[],3),table_Units[],2)</f>
        <v>+/- cm³/s</v>
      </c>
      <c r="I1249" s="10"/>
      <c r="J1249" s="10"/>
      <c r="K1249" s="10"/>
      <c r="L1249" s="10">
        <f ca="1">VLOOKUP(dict_DQ_Meth_max[[#This Row],[ID_DataQualities]],table_DataQualities[],8,FALSE)</f>
        <v>1.1999999999999999E-3</v>
      </c>
      <c r="M1249" s="10">
        <f ca="1">VLOOKUP(dict_DQ_Meth_max[[#This Row],[ID_DataQualities]],table_DataQualities[],9,FALSE)</f>
        <v>0.57899999999999996</v>
      </c>
    </row>
    <row r="1250" spans="1:13" x14ac:dyDescent="0.45">
      <c r="A1250" s="10">
        <v>334</v>
      </c>
      <c r="B1250" s="10">
        <v>457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451.00125000000008</v>
      </c>
      <c r="G1250" s="12">
        <f ca="1">(RANDBETWEEN(50,100)/100)*(dict_DQ_Meth_max[[#This Row],[Vergleich_ub]]-dict_DQ_Meth_max[[#This Row],[Vergleich_lb]])+dict_DQ_Meth_max[[#This Row],[Vergleich_lb]]</f>
        <v>5764.8510000000015</v>
      </c>
      <c r="H1250" s="11" t="str">
        <f ca="1">VLOOKUP(VLOOKUP(dict_DQ_Meth_max[[#This Row],[ID_DataQualities]],table_DataQualities[],3),table_Units[],2)</f>
        <v>Hz</v>
      </c>
      <c r="I1250" s="10"/>
      <c r="J1250" s="10"/>
      <c r="K1250" s="10"/>
      <c r="L1250" s="10">
        <f ca="1">VLOOKUP(dict_DQ_Meth_max[[#This Row],[ID_DataQualities]],table_DataQualities[],8,FALSE)</f>
        <v>0.67500000000000004</v>
      </c>
      <c r="M1250" s="10">
        <f ca="1">VLOOKUP(dict_DQ_Meth_max[[#This Row],[ID_DataQualities]],table_DataQualities[],9,FALSE)</f>
        <v>9007.2000000000007</v>
      </c>
    </row>
    <row r="1251" spans="1:13" x14ac:dyDescent="0.45">
      <c r="A1251" s="10">
        <v>334</v>
      </c>
      <c r="B1251" s="10">
        <v>18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2522.5020000000009</v>
      </c>
      <c r="G1251" s="12">
        <f ca="1">(RANDBETWEEN(50,100)/100)*(dict_DQ_Meth_max[[#This Row],[Vergleich_ub]]-dict_DQ_Meth_max[[#This Row],[Vergleich_lb]])+dict_DQ_Meth_max[[#This Row],[Vergleich_lb]]</f>
        <v>5224.4595000000008</v>
      </c>
      <c r="H1251" s="11" t="str">
        <f ca="1">VLOOKUP(VLOOKUP(dict_DQ_Meth_max[[#This Row],[ID_DataQualities]],table_DataQualities[],3),table_Units[],2)</f>
        <v>Hz</v>
      </c>
      <c r="I1251" s="10"/>
      <c r="J1251" s="10"/>
      <c r="K1251" s="10"/>
      <c r="L1251" s="10">
        <f ca="1">VLOOKUP(dict_DQ_Meth_max[[#This Row],[ID_DataQualities]],table_DataQualities[],8,FALSE)</f>
        <v>0.67500000000000004</v>
      </c>
      <c r="M1251" s="10">
        <f ca="1">VLOOKUP(dict_DQ_Meth_max[[#This Row],[ID_DataQualities]],table_DataQualities[],9,FALSE)</f>
        <v>9007.2000000000007</v>
      </c>
    </row>
    <row r="1252" spans="1:13" x14ac:dyDescent="0.45">
      <c r="A1252" s="10">
        <v>334</v>
      </c>
      <c r="B1252" s="10">
        <v>153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721.19700000000012</v>
      </c>
      <c r="G1252" s="12">
        <f ca="1">(RANDBETWEEN(50,100)/100)*(dict_DQ_Meth_max[[#This Row],[Vergleich_ub]]-dict_DQ_Meth_max[[#This Row],[Vergleich_lb]])+dict_DQ_Meth_max[[#This Row],[Vergleich_lb]]</f>
        <v>7566.1560000000009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0.67500000000000004</v>
      </c>
      <c r="M1252" s="10">
        <f ca="1">VLOOKUP(dict_DQ_Meth_max[[#This Row],[ID_DataQualities]],table_DataQualities[],9,FALSE)</f>
        <v>9007.2000000000007</v>
      </c>
    </row>
    <row r="1253" spans="1:13" x14ac:dyDescent="0.45">
      <c r="A1253" s="10">
        <v>334</v>
      </c>
      <c r="B1253" s="10">
        <v>399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811.26225000000011</v>
      </c>
      <c r="G1253" s="12">
        <f ca="1">(RANDBETWEEN(50,100)/100)*(dict_DQ_Meth_max[[#This Row],[Vergleich_ub]]-dict_DQ_Meth_max[[#This Row],[Vergleich_lb]])+dict_DQ_Meth_max[[#This Row],[Vergleich_lb]]</f>
        <v>5944.9815000000017</v>
      </c>
      <c r="H1253" s="11" t="str">
        <f ca="1">VLOOKUP(VLOOKUP(dict_DQ_Meth_max[[#This Row],[ID_DataQualities]],table_DataQualities[],3),table_Units[],2)</f>
        <v>Hz</v>
      </c>
      <c r="I1253" s="10"/>
      <c r="J1253" s="10"/>
      <c r="K1253" s="10"/>
      <c r="L1253" s="10">
        <f ca="1">VLOOKUP(dict_DQ_Meth_max[[#This Row],[ID_DataQualities]],table_DataQualities[],8,FALSE)</f>
        <v>0.67500000000000004</v>
      </c>
      <c r="M1253" s="10">
        <f ca="1">VLOOKUP(dict_DQ_Meth_max[[#This Row],[ID_DataQualities]],table_DataQualities[],9,FALSE)</f>
        <v>9007.2000000000007</v>
      </c>
    </row>
    <row r="1254" spans="1:13" x14ac:dyDescent="0.45">
      <c r="A1254" s="10">
        <v>335</v>
      </c>
      <c r="B1254" s="10">
        <v>153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0.11584</v>
      </c>
      <c r="G1254" s="12">
        <f ca="1">(RANDBETWEEN(50,100)/100)*(dict_DQ_Meth_max[[#This Row],[Vergleich_ub]]-dict_DQ_Meth_max[[#This Row],[Vergleich_lb]])+dict_DQ_Meth_max[[#This Row],[Vergleich_lb]]</f>
        <v>1.1673800000000001</v>
      </c>
      <c r="H1254" s="11" t="str">
        <f ca="1">VLOOKUP(VLOOKUP(dict_DQ_Meth_max[[#This Row],[ID_DataQualities]],table_DataQualities[],3),table_Units[],2)</f>
        <v>+/- mm</v>
      </c>
      <c r="I1254" s="10"/>
      <c r="J1254" s="10"/>
      <c r="K1254" s="10"/>
      <c r="L1254" s="10">
        <f ca="1">VLOOKUP(dict_DQ_Meth_max[[#This Row],[ID_DataQualities]],table_DataQualities[],8,FALSE)</f>
        <v>5.8999999999999997E-2</v>
      </c>
      <c r="M1254" s="10">
        <f ca="1">VLOOKUP(dict_DQ_Meth_max[[#This Row],[ID_DataQualities]],table_DataQualities[],9,FALSE)</f>
        <v>1.48</v>
      </c>
    </row>
    <row r="1255" spans="1:13" x14ac:dyDescent="0.45">
      <c r="A1255" s="10">
        <v>335</v>
      </c>
      <c r="B1255" s="10">
        <v>399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0.69845000000000002</v>
      </c>
      <c r="G1255" s="12">
        <f ca="1">(RANDBETWEEN(50,100)/100)*(dict_DQ_Meth_max[[#This Row],[Vergleich_ub]]-dict_DQ_Meth_max[[#This Row],[Vergleich_lb]])+dict_DQ_Meth_max[[#This Row],[Vergleich_lb]]</f>
        <v>0.95423000000000013</v>
      </c>
      <c r="H1255" s="11" t="str">
        <f ca="1">VLOOKUP(VLOOKUP(dict_DQ_Meth_max[[#This Row],[ID_DataQualities]],table_DataQualities[],3),table_Units[],2)</f>
        <v>+/- mm</v>
      </c>
      <c r="I1255" s="10"/>
      <c r="J1255" s="10"/>
      <c r="K1255" s="10"/>
      <c r="L1255" s="10">
        <f ca="1">VLOOKUP(dict_DQ_Meth_max[[#This Row],[ID_DataQualities]],table_DataQualities[],8,FALSE)</f>
        <v>5.8999999999999997E-2</v>
      </c>
      <c r="M1255" s="10">
        <f ca="1">VLOOKUP(dict_DQ_Meth_max[[#This Row],[ID_DataQualities]],table_DataQualities[],9,FALSE)</f>
        <v>1.48</v>
      </c>
    </row>
    <row r="1256" spans="1:13" x14ac:dyDescent="0.45">
      <c r="A1256" s="10">
        <v>335</v>
      </c>
      <c r="B1256" s="10">
        <v>18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0.5563499999999999</v>
      </c>
      <c r="G1256" s="12">
        <f ca="1">(RANDBETWEEN(50,100)/100)*(dict_DQ_Meth_max[[#This Row],[Vergleich_ub]]-dict_DQ_Meth_max[[#This Row],[Vergleich_lb]])+dict_DQ_Meth_max[[#This Row],[Vergleich_lb]]</f>
        <v>1.08212</v>
      </c>
      <c r="H1256" s="11" t="str">
        <f ca="1">VLOOKUP(VLOOKUP(dict_DQ_Meth_max[[#This Row],[ID_DataQualities]],table_DataQualities[],3),table_Units[],2)</f>
        <v>+/- mm</v>
      </c>
      <c r="I1256" s="10"/>
      <c r="J1256" s="10"/>
      <c r="K1256" s="10"/>
      <c r="L1256" s="10">
        <f ca="1">VLOOKUP(dict_DQ_Meth_max[[#This Row],[ID_DataQualities]],table_DataQualities[],8,FALSE)</f>
        <v>5.8999999999999997E-2</v>
      </c>
      <c r="M1256" s="10">
        <f ca="1">VLOOKUP(dict_DQ_Meth_max[[#This Row],[ID_DataQualities]],table_DataQualities[],9,FALSE)</f>
        <v>1.48</v>
      </c>
    </row>
    <row r="1257" spans="1:13" x14ac:dyDescent="0.45">
      <c r="A1257" s="10">
        <v>335</v>
      </c>
      <c r="B1257" s="10">
        <v>457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0.40004000000000001</v>
      </c>
      <c r="G1257" s="12">
        <f ca="1">(RANDBETWEEN(50,100)/100)*(dict_DQ_Meth_max[[#This Row],[Vergleich_ub]]-dict_DQ_Meth_max[[#This Row],[Vergleich_lb]])+dict_DQ_Meth_max[[#This Row],[Vergleich_lb]]</f>
        <v>1.0679099999999999</v>
      </c>
      <c r="H1257" s="11" t="str">
        <f ca="1">VLOOKUP(VLOOKUP(dict_DQ_Meth_max[[#This Row],[ID_DataQualities]],table_DataQualities[],3),table_Units[],2)</f>
        <v>+/- mm</v>
      </c>
      <c r="I1257" s="10"/>
      <c r="J1257" s="10"/>
      <c r="K1257" s="10"/>
      <c r="L1257" s="10">
        <f ca="1">VLOOKUP(dict_DQ_Meth_max[[#This Row],[ID_DataQualities]],table_DataQualities[],8,FALSE)</f>
        <v>5.8999999999999997E-2</v>
      </c>
      <c r="M1257" s="10">
        <f ca="1">VLOOKUP(dict_DQ_Meth_max[[#This Row],[ID_DataQualities]],table_DataQualities[],9,FALSE)</f>
        <v>1.48</v>
      </c>
    </row>
    <row r="1258" spans="1:13" x14ac:dyDescent="0.45">
      <c r="A1258" s="10">
        <v>336</v>
      </c>
      <c r="B1258" s="10">
        <v>384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3366.2223400000003</v>
      </c>
      <c r="G1258" s="12">
        <f ca="1">(RANDBETWEEN(50,100)/100)*(dict_DQ_Meth_max[[#This Row],[Vergleich_ub]]-dict_DQ_Meth_max[[#This Row],[Vergleich_lb]])+dict_DQ_Meth_max[[#This Row],[Vergleich_lb]]</f>
        <v>8857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0.90700000000000003</v>
      </c>
      <c r="M1258" s="10">
        <f ca="1">VLOOKUP(dict_DQ_Meth_max[[#This Row],[ID_DataQualities]],table_DataQualities[],9,FALSE)</f>
        <v>8857</v>
      </c>
    </row>
    <row r="1259" spans="1:13" x14ac:dyDescent="0.45">
      <c r="A1259" s="10">
        <v>336</v>
      </c>
      <c r="B1259" s="10">
        <v>431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2569.1739700000003</v>
      </c>
      <c r="G1259" s="12">
        <f ca="1">(RANDBETWEEN(50,100)/100)*(dict_DQ_Meth_max[[#This Row],[Vergleich_ub]]-dict_DQ_Meth_max[[#This Row],[Vergleich_lb]])+dict_DQ_Meth_max[[#This Row],[Vergleich_lb]]</f>
        <v>8325.6344200000003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0.90700000000000003</v>
      </c>
      <c r="M1259" s="10">
        <f ca="1">VLOOKUP(dict_DQ_Meth_max[[#This Row],[ID_DataQualities]],table_DataQualities[],9,FALSE)</f>
        <v>8857</v>
      </c>
    </row>
    <row r="1260" spans="1:13" x14ac:dyDescent="0.45">
      <c r="A1260" s="10">
        <v>336</v>
      </c>
      <c r="B1260" s="10">
        <v>176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2923.4176900000007</v>
      </c>
      <c r="G1260" s="12">
        <f ca="1">(RANDBETWEEN(50,100)/100)*(dict_DQ_Meth_max[[#This Row],[Vergleich_ub]]-dict_DQ_Meth_max[[#This Row],[Vergleich_lb]])+dict_DQ_Meth_max[[#This Row],[Vergleich_lb]]</f>
        <v>8325.6344200000003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0.90700000000000003</v>
      </c>
      <c r="M1260" s="10">
        <f ca="1">VLOOKUP(dict_DQ_Meth_max[[#This Row],[ID_DataQualities]],table_DataQualities[],9,FALSE)</f>
        <v>8857</v>
      </c>
    </row>
    <row r="1261" spans="1:13" x14ac:dyDescent="0.45">
      <c r="A1261" s="10">
        <v>336</v>
      </c>
      <c r="B1261" s="10">
        <v>265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3189.1004800000005</v>
      </c>
      <c r="G1261" s="12">
        <f ca="1">(RANDBETWEEN(50,100)/100)*(dict_DQ_Meth_max[[#This Row],[Vergleich_ub]]-dict_DQ_Meth_max[[#This Row],[Vergleich_lb]])+dict_DQ_Meth_max[[#This Row],[Vergleich_lb]]</f>
        <v>5048.8800099999999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0.90700000000000003</v>
      </c>
      <c r="M1261" s="10">
        <f ca="1">VLOOKUP(dict_DQ_Meth_max[[#This Row],[ID_DataQualities]],table_DataQualities[],9,FALSE)</f>
        <v>8857</v>
      </c>
    </row>
    <row r="1262" spans="1:13" x14ac:dyDescent="0.45">
      <c r="A1262" s="10">
        <v>336</v>
      </c>
      <c r="B1262" s="10">
        <v>192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4428.9535000000005</v>
      </c>
      <c r="G1262" s="12">
        <f ca="1">(RANDBETWEEN(50,100)/100)*(dict_DQ_Meth_max[[#This Row],[Vergleich_ub]]-dict_DQ_Meth_max[[#This Row],[Vergleich_lb]])+dict_DQ_Meth_max[[#This Row],[Vergleich_lb]]</f>
        <v>7440.0251200000002</v>
      </c>
      <c r="H1262" s="11" t="str">
        <f ca="1">VLOOKUP(VLOOKUP(dict_DQ_Meth_max[[#This Row],[ID_DataQualities]],table_DataQualities[],3),table_Units[],2)</f>
        <v>Hz</v>
      </c>
      <c r="I1262" s="10"/>
      <c r="J1262" s="10"/>
      <c r="K1262" s="10"/>
      <c r="L1262" s="10">
        <f ca="1">VLOOKUP(dict_DQ_Meth_max[[#This Row],[ID_DataQualities]],table_DataQualities[],8,FALSE)</f>
        <v>0.90700000000000003</v>
      </c>
      <c r="M1262" s="10">
        <f ca="1">VLOOKUP(dict_DQ_Meth_max[[#This Row],[ID_DataQualities]],table_DataQualities[],9,FALSE)</f>
        <v>8857</v>
      </c>
    </row>
    <row r="1263" spans="1:13" x14ac:dyDescent="0.45">
      <c r="A1263" s="10">
        <v>337</v>
      </c>
      <c r="B1263" s="10">
        <v>265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3.7175600000000002</v>
      </c>
      <c r="G1263" s="12">
        <f ca="1">(RANDBETWEEN(50,100)/100)*(dict_DQ_Meth_max[[#This Row],[Vergleich_ub]]-dict_DQ_Meth_max[[#This Row],[Vergleich_lb]])+dict_DQ_Meth_max[[#This Row],[Vergleich_lb]]</f>
        <v>7.47098</v>
      </c>
      <c r="H1263" s="11" t="str">
        <f ca="1">VLOOKUP(VLOOKUP(dict_DQ_Meth_max[[#This Row],[ID_DataQualities]],table_DataQualities[],3),table_Units[],2)</f>
        <v>+/- W</v>
      </c>
      <c r="I1263" s="10"/>
      <c r="J1263" s="10"/>
      <c r="K1263" s="10"/>
      <c r="L1263" s="10">
        <f ca="1">VLOOKUP(dict_DQ_Meth_max[[#This Row],[ID_DataQualities]],table_DataQualities[],8,FALSE)</f>
        <v>4.3999999999999997E-2</v>
      </c>
      <c r="M1263" s="10">
        <f ca="1">VLOOKUP(dict_DQ_Meth_max[[#This Row],[ID_DataQualities]],table_DataQualities[],9,FALSE)</f>
        <v>8.0299999999999994</v>
      </c>
    </row>
    <row r="1264" spans="1:13" x14ac:dyDescent="0.45">
      <c r="A1264" s="10">
        <v>337</v>
      </c>
      <c r="B1264" s="10">
        <v>192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1.8009200000000001</v>
      </c>
      <c r="G1264" s="12">
        <f ca="1">(RANDBETWEEN(50,100)/100)*(dict_DQ_Meth_max[[#This Row],[Vergleich_ub]]-dict_DQ_Meth_max[[#This Row],[Vergleich_lb]])+dict_DQ_Meth_max[[#This Row],[Vergleich_lb]]</f>
        <v>5.3946199999999997</v>
      </c>
      <c r="H1264" s="11" t="str">
        <f ca="1">VLOOKUP(VLOOKUP(dict_DQ_Meth_max[[#This Row],[ID_DataQualities]],table_DataQualities[],3),table_Units[],2)</f>
        <v>+/- W</v>
      </c>
      <c r="I1264" s="10"/>
      <c r="J1264" s="10"/>
      <c r="K1264" s="10"/>
      <c r="L1264" s="10">
        <f ca="1">VLOOKUP(dict_DQ_Meth_max[[#This Row],[ID_DataQualities]],table_DataQualities[],8,FALSE)</f>
        <v>4.3999999999999997E-2</v>
      </c>
      <c r="M1264" s="10">
        <f ca="1">VLOOKUP(dict_DQ_Meth_max[[#This Row],[ID_DataQualities]],table_DataQualities[],9,FALSE)</f>
        <v>8.0299999999999994</v>
      </c>
    </row>
    <row r="1265" spans="1:13" x14ac:dyDescent="0.45">
      <c r="A1265" s="10">
        <v>337</v>
      </c>
      <c r="B1265" s="10">
        <v>384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3.7175600000000002</v>
      </c>
      <c r="G1265" s="12">
        <f ca="1">(RANDBETWEEN(50,100)/100)*(dict_DQ_Meth_max[[#This Row],[Vergleich_ub]]-dict_DQ_Meth_max[[#This Row],[Vergleich_lb]])+dict_DQ_Meth_max[[#This Row],[Vergleich_lb]]</f>
        <v>8.0299999999999994</v>
      </c>
      <c r="H1265" s="11" t="str">
        <f ca="1">VLOOKUP(VLOOKUP(dict_DQ_Meth_max[[#This Row],[ID_DataQualities]],table_DataQualities[],3),table_Units[],2)</f>
        <v>+/- W</v>
      </c>
      <c r="I1265" s="10"/>
      <c r="J1265" s="10"/>
      <c r="K1265" s="10"/>
      <c r="L1265" s="10">
        <f ca="1">VLOOKUP(dict_DQ_Meth_max[[#This Row],[ID_DataQualities]],table_DataQualities[],8,FALSE)</f>
        <v>4.3999999999999997E-2</v>
      </c>
      <c r="M1265" s="10">
        <f ca="1">VLOOKUP(dict_DQ_Meth_max[[#This Row],[ID_DataQualities]],table_DataQualities[],9,FALSE)</f>
        <v>8.0299999999999994</v>
      </c>
    </row>
    <row r="1266" spans="1:13" x14ac:dyDescent="0.45">
      <c r="A1266" s="10">
        <v>337</v>
      </c>
      <c r="B1266" s="10">
        <v>431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3.5578400000000001</v>
      </c>
      <c r="G1266" s="12">
        <f ca="1">(RANDBETWEEN(50,100)/100)*(dict_DQ_Meth_max[[#This Row],[Vergleich_ub]]-dict_DQ_Meth_max[[#This Row],[Vergleich_lb]])+dict_DQ_Meth_max[[#This Row],[Vergleich_lb]]</f>
        <v>7.47098</v>
      </c>
      <c r="H1266" s="11" t="str">
        <f ca="1">VLOOKUP(VLOOKUP(dict_DQ_Meth_max[[#This Row],[ID_DataQualities]],table_DataQualities[],3),table_Units[],2)</f>
        <v>+/- W</v>
      </c>
      <c r="I1266" s="10"/>
      <c r="J1266" s="10"/>
      <c r="K1266" s="10"/>
      <c r="L1266" s="10">
        <f ca="1">VLOOKUP(dict_DQ_Meth_max[[#This Row],[ID_DataQualities]],table_DataQualities[],8,FALSE)</f>
        <v>4.3999999999999997E-2</v>
      </c>
      <c r="M1266" s="10">
        <f ca="1">VLOOKUP(dict_DQ_Meth_max[[#This Row],[ID_DataQualities]],table_DataQualities[],9,FALSE)</f>
        <v>8.0299999999999994</v>
      </c>
    </row>
    <row r="1267" spans="1:13" x14ac:dyDescent="0.45">
      <c r="A1267" s="10">
        <v>337</v>
      </c>
      <c r="B1267" s="10">
        <v>176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1.1620400000000002</v>
      </c>
      <c r="G1267" s="12">
        <f ca="1">(RANDBETWEEN(50,100)/100)*(dict_DQ_Meth_max[[#This Row],[Vergleich_ub]]-dict_DQ_Meth_max[[#This Row],[Vergleich_lb]])+dict_DQ_Meth_max[[#This Row],[Vergleich_lb]]</f>
        <v>7.7904199999999992</v>
      </c>
      <c r="H1267" s="11" t="str">
        <f ca="1">VLOOKUP(VLOOKUP(dict_DQ_Meth_max[[#This Row],[ID_DataQualities]],table_DataQualities[],3),table_Units[],2)</f>
        <v>+/- W</v>
      </c>
      <c r="I1267" s="10"/>
      <c r="J1267" s="10"/>
      <c r="K1267" s="10"/>
      <c r="L1267" s="10">
        <f ca="1">VLOOKUP(dict_DQ_Meth_max[[#This Row],[ID_DataQualities]],table_DataQualities[],8,FALSE)</f>
        <v>4.3999999999999997E-2</v>
      </c>
      <c r="M1267" s="10">
        <f ca="1">VLOOKUP(dict_DQ_Meth_max[[#This Row],[ID_DataQualities]],table_DataQualities[],9,FALSE)</f>
        <v>8.0299999999999994</v>
      </c>
    </row>
    <row r="1268" spans="1:13" x14ac:dyDescent="0.45">
      <c r="A1268" s="10">
        <v>338</v>
      </c>
      <c r="B1268" s="10">
        <v>600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931.51816000000008</v>
      </c>
      <c r="G1268" s="12">
        <f ca="1">(RANDBETWEEN(50,100)/100)*(dict_DQ_Meth_max[[#This Row],[Vergleich_ub]]-dict_DQ_Meth_max[[#This Row],[Vergleich_lb]])+dict_DQ_Meth_max[[#This Row],[Vergleich_lb]]</f>
        <v>3516.3241600000001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0.98799999999999999</v>
      </c>
      <c r="M1268" s="10">
        <f ca="1">VLOOKUP(dict_DQ_Meth_max[[#This Row],[ID_DataQualities]],table_DataQualities[],9,FALSE)</f>
        <v>5170.6000000000004</v>
      </c>
    </row>
    <row r="1269" spans="1:13" x14ac:dyDescent="0.45">
      <c r="A1269" s="10">
        <v>339</v>
      </c>
      <c r="B1269" s="10">
        <v>600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1.18943</v>
      </c>
      <c r="G1269" s="12">
        <f ca="1">(RANDBETWEEN(50,100)/100)*(dict_DQ_Meth_max[[#This Row],[Vergleich_ub]]-dict_DQ_Meth_max[[#This Row],[Vergleich_lb]])+dict_DQ_Meth_max[[#This Row],[Vergleich_lb]]</f>
        <v>2.8698100000000002</v>
      </c>
      <c r="H1269" s="11" t="str">
        <f ca="1">VLOOKUP(VLOOKUP(dict_DQ_Meth_max[[#This Row],[ID_DataQualities]],table_DataQualities[],3),table_Units[],2)</f>
        <v>+/- W</v>
      </c>
      <c r="I1269" s="10"/>
      <c r="J1269" s="10"/>
      <c r="K1269" s="10"/>
      <c r="L1269" s="10">
        <f ca="1">VLOOKUP(dict_DQ_Meth_max[[#This Row],[ID_DataQualities]],table_DataQualities[],8,FALSE)</f>
        <v>5.7000000000000002E-2</v>
      </c>
      <c r="M1269" s="10">
        <f ca="1">VLOOKUP(dict_DQ_Meth_max[[#This Row],[ID_DataQualities]],table_DataQualities[],9,FALSE)</f>
        <v>3.71</v>
      </c>
    </row>
    <row r="1270" spans="1:13" x14ac:dyDescent="0.45">
      <c r="A1270" s="10">
        <v>340</v>
      </c>
      <c r="B1270" s="10">
        <v>635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1084.2936000000002</v>
      </c>
      <c r="G1270" s="12">
        <f ca="1">(RANDBETWEEN(50,100)/100)*(dict_DQ_Meth_max[[#This Row],[Vergleich_ub]]-dict_DQ_Meth_max[[#This Row],[Vergleich_lb]])+dict_DQ_Meth_max[[#This Row],[Vergleich_lb]]</f>
        <v>5217.6292000000003</v>
      </c>
      <c r="H1270" s="11" t="str">
        <f ca="1">VLOOKUP(VLOOKUP(dict_DQ_Meth_max[[#This Row],[ID_DataQualities]],table_DataQualities[],3),table_Units[],2)</f>
        <v>Hz</v>
      </c>
      <c r="I1270" s="10"/>
      <c r="J1270" s="10"/>
      <c r="K1270" s="10"/>
      <c r="L1270" s="10">
        <f ca="1">VLOOKUP(dict_DQ_Meth_max[[#This Row],[ID_DataQualities]],table_DataQualities[],8,FALSE)</f>
        <v>0.14000000000000001</v>
      </c>
      <c r="M1270" s="10">
        <f ca="1">VLOOKUP(dict_DQ_Meth_max[[#This Row],[ID_DataQualities]],table_DataQualities[],9,FALSE)</f>
        <v>6776.1</v>
      </c>
    </row>
    <row r="1271" spans="1:13" x14ac:dyDescent="0.45">
      <c r="A1271" s="10">
        <v>340</v>
      </c>
      <c r="B1271" s="10">
        <v>546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3117.0816</v>
      </c>
      <c r="G1271" s="12">
        <f ca="1">(RANDBETWEEN(50,100)/100)*(dict_DQ_Meth_max[[#This Row],[Vergleich_ub]]-dict_DQ_Meth_max[[#This Row],[Vergleich_lb]])+dict_DQ_Meth_max[[#This Row],[Vergleich_lb]]</f>
        <v>4607.7928000000011</v>
      </c>
      <c r="H1271" s="11" t="str">
        <f ca="1">VLOOKUP(VLOOKUP(dict_DQ_Meth_max[[#This Row],[ID_DataQualities]],table_DataQualities[],3),table_Units[],2)</f>
        <v>Hz</v>
      </c>
      <c r="I1271" s="10"/>
      <c r="J1271" s="10"/>
      <c r="K1271" s="10"/>
      <c r="L1271" s="10">
        <f ca="1">VLOOKUP(dict_DQ_Meth_max[[#This Row],[ID_DataQualities]],table_DataQualities[],8,FALSE)</f>
        <v>0.14000000000000001</v>
      </c>
      <c r="M1271" s="10">
        <f ca="1">VLOOKUP(dict_DQ_Meth_max[[#This Row],[ID_DataQualities]],table_DataQualities[],9,FALSE)</f>
        <v>6776.1</v>
      </c>
    </row>
    <row r="1272" spans="1:13" x14ac:dyDescent="0.45">
      <c r="A1272" s="10">
        <v>340</v>
      </c>
      <c r="B1272" s="10">
        <v>200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2168.4472000000001</v>
      </c>
      <c r="G1272" s="12">
        <f ca="1">(RANDBETWEEN(50,100)/100)*(dict_DQ_Meth_max[[#This Row],[Vergleich_ub]]-dict_DQ_Meth_max[[#This Row],[Vergleich_lb]])+dict_DQ_Meth_max[[#This Row],[Vergleich_lb]]</f>
        <v>6437.3019999999997</v>
      </c>
      <c r="H1272" s="11" t="str">
        <f ca="1">VLOOKUP(VLOOKUP(dict_DQ_Meth_max[[#This Row],[ID_DataQualities]],table_DataQualities[],3),table_Units[],2)</f>
        <v>Hz</v>
      </c>
      <c r="I1272" s="10"/>
      <c r="J1272" s="10"/>
      <c r="K1272" s="10"/>
      <c r="L1272" s="10">
        <f ca="1">VLOOKUP(dict_DQ_Meth_max[[#This Row],[ID_DataQualities]],table_DataQualities[],8,FALSE)</f>
        <v>0.14000000000000001</v>
      </c>
      <c r="M1272" s="10">
        <f ca="1">VLOOKUP(dict_DQ_Meth_max[[#This Row],[ID_DataQualities]],table_DataQualities[],9,FALSE)</f>
        <v>6776.1</v>
      </c>
    </row>
    <row r="1273" spans="1:13" x14ac:dyDescent="0.45">
      <c r="A1273" s="10">
        <v>340</v>
      </c>
      <c r="B1273" s="10">
        <v>311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406.69759999999997</v>
      </c>
      <c r="G1273" s="12">
        <f ca="1">(RANDBETWEEN(50,100)/100)*(dict_DQ_Meth_max[[#This Row],[Vergleich_ub]]-dict_DQ_Meth_max[[#This Row],[Vergleich_lb]])+dict_DQ_Meth_max[[#This Row],[Vergleich_lb]]</f>
        <v>6369.5424000000003</v>
      </c>
      <c r="H1273" s="11" t="str">
        <f ca="1">VLOOKUP(VLOOKUP(dict_DQ_Meth_max[[#This Row],[ID_DataQualities]],table_DataQualities[],3),table_Units[],2)</f>
        <v>Hz</v>
      </c>
      <c r="I1273" s="10"/>
      <c r="J1273" s="10"/>
      <c r="K1273" s="10"/>
      <c r="L1273" s="10">
        <f ca="1">VLOOKUP(dict_DQ_Meth_max[[#This Row],[ID_DataQualities]],table_DataQualities[],8,FALSE)</f>
        <v>0.14000000000000001</v>
      </c>
      <c r="M1273" s="10">
        <f ca="1">VLOOKUP(dict_DQ_Meth_max[[#This Row],[ID_DataQualities]],table_DataQualities[],9,FALSE)</f>
        <v>6776.1</v>
      </c>
    </row>
    <row r="1274" spans="1:13" x14ac:dyDescent="0.45">
      <c r="A1274" s="10">
        <v>341</v>
      </c>
      <c r="B1274" s="10">
        <v>635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0.22291999999999998</v>
      </c>
      <c r="G1274" s="12">
        <f ca="1">(RANDBETWEEN(50,100)/100)*(dict_DQ_Meth_max[[#This Row],[Vergleich_ub]]-dict_DQ_Meth_max[[#This Row],[Vergleich_lb]])+dict_DQ_Meth_max[[#This Row],[Vergleich_lb]]</f>
        <v>0.54412000000000005</v>
      </c>
      <c r="H1274" s="11" t="str">
        <f ca="1">VLOOKUP(VLOOKUP(dict_DQ_Meth_max[[#This Row],[ID_DataQualities]],table_DataQualities[],3),table_Units[],2)</f>
        <v>+/- cm³/s</v>
      </c>
      <c r="I1274" s="10"/>
      <c r="J1274" s="10"/>
      <c r="K1274" s="10"/>
      <c r="L1274" s="10">
        <f ca="1">VLOOKUP(dict_DQ_Meth_max[[#This Row],[ID_DataQualities]],table_DataQualities[],8,FALSE)</f>
        <v>1E-3</v>
      </c>
      <c r="M1274" s="10">
        <f ca="1">VLOOKUP(dict_DQ_Meth_max[[#This Row],[ID_DataQualities]],table_DataQualities[],9,FALSE)</f>
        <v>0.58499999999999996</v>
      </c>
    </row>
    <row r="1275" spans="1:13" x14ac:dyDescent="0.45">
      <c r="A1275" s="10">
        <v>341</v>
      </c>
      <c r="B1275" s="10">
        <v>546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0.20539999999999997</v>
      </c>
      <c r="G1275" s="12">
        <f ca="1">(RANDBETWEEN(50,100)/100)*(dict_DQ_Meth_max[[#This Row],[Vergleich_ub]]-dict_DQ_Meth_max[[#This Row],[Vergleich_lb]])+dict_DQ_Meth_max[[#This Row],[Vergleich_lb]]</f>
        <v>0.43899999999999995</v>
      </c>
      <c r="H1275" s="11" t="str">
        <f ca="1">VLOOKUP(VLOOKUP(dict_DQ_Meth_max[[#This Row],[ID_DataQualities]],table_DataQualities[],3),table_Units[],2)</f>
        <v>+/- cm³/s</v>
      </c>
      <c r="I1275" s="10"/>
      <c r="J1275" s="10"/>
      <c r="K1275" s="10"/>
      <c r="L1275" s="10">
        <f ca="1">VLOOKUP(dict_DQ_Meth_max[[#This Row],[ID_DataQualities]],table_DataQualities[],8,FALSE)</f>
        <v>1E-3</v>
      </c>
      <c r="M1275" s="10">
        <f ca="1">VLOOKUP(dict_DQ_Meth_max[[#This Row],[ID_DataQualities]],table_DataQualities[],9,FALSE)</f>
        <v>0.58499999999999996</v>
      </c>
    </row>
    <row r="1276" spans="1:13" x14ac:dyDescent="0.45">
      <c r="A1276" s="10">
        <v>341</v>
      </c>
      <c r="B1276" s="10">
        <v>311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6.5239999999999992E-2</v>
      </c>
      <c r="G1276" s="12">
        <f ca="1">(RANDBETWEEN(50,100)/100)*(dict_DQ_Meth_max[[#This Row],[Vergleich_ub]]-dict_DQ_Meth_max[[#This Row],[Vergleich_lb]])+dict_DQ_Meth_max[[#This Row],[Vergleich_lb]]</f>
        <v>0.54412000000000005</v>
      </c>
      <c r="H1276" s="11" t="str">
        <f ca="1">VLOOKUP(VLOOKUP(dict_DQ_Meth_max[[#This Row],[ID_DataQualities]],table_DataQualities[],3),table_Units[],2)</f>
        <v>+/- cm³/s</v>
      </c>
      <c r="I1276" s="10"/>
      <c r="J1276" s="10"/>
      <c r="K1276" s="10"/>
      <c r="L1276" s="10">
        <f ca="1">VLOOKUP(dict_DQ_Meth_max[[#This Row],[ID_DataQualities]],table_DataQualities[],8,FALSE)</f>
        <v>1E-3</v>
      </c>
      <c r="M1276" s="10">
        <f ca="1">VLOOKUP(dict_DQ_Meth_max[[#This Row],[ID_DataQualities]],table_DataQualities[],9,FALSE)</f>
        <v>0.58499999999999996</v>
      </c>
    </row>
    <row r="1277" spans="1:13" x14ac:dyDescent="0.45">
      <c r="A1277" s="10">
        <v>341</v>
      </c>
      <c r="B1277" s="10">
        <v>200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0.27547999999999995</v>
      </c>
      <c r="G1277" s="12">
        <f ca="1">(RANDBETWEEN(50,100)/100)*(dict_DQ_Meth_max[[#This Row],[Vergleich_ub]]-dict_DQ_Meth_max[[#This Row],[Vergleich_lb]])+dict_DQ_Meth_max[[#This Row],[Vergleich_lb]]</f>
        <v>0.50323999999999991</v>
      </c>
      <c r="H1277" s="11" t="str">
        <f ca="1">VLOOKUP(VLOOKUP(dict_DQ_Meth_max[[#This Row],[ID_DataQualities]],table_DataQualities[],3),table_Units[],2)</f>
        <v>+/- cm³/s</v>
      </c>
      <c r="I1277" s="10"/>
      <c r="J1277" s="10"/>
      <c r="K1277" s="10"/>
      <c r="L1277" s="10">
        <f ca="1">VLOOKUP(dict_DQ_Meth_max[[#This Row],[ID_DataQualities]],table_DataQualities[],8,FALSE)</f>
        <v>1E-3</v>
      </c>
      <c r="M1277" s="10">
        <f ca="1">VLOOKUP(dict_DQ_Meth_max[[#This Row],[ID_DataQualities]],table_DataQualities[],9,FALSE)</f>
        <v>0.58499999999999996</v>
      </c>
    </row>
    <row r="1278" spans="1:13" x14ac:dyDescent="0.45">
      <c r="A1278" s="10">
        <v>342</v>
      </c>
      <c r="B1278" s="10">
        <v>130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292.18545</v>
      </c>
      <c r="G1278" s="12">
        <f ca="1">(RANDBETWEEN(50,100)/100)*(dict_DQ_Meth_max[[#This Row],[Vergleich_ub]]-dict_DQ_Meth_max[[#This Row],[Vergleich_lb]])+dict_DQ_Meth_max[[#This Row],[Vergleich_lb]]</f>
        <v>5430.93577</v>
      </c>
      <c r="H1278" s="11" t="str">
        <f ca="1">VLOOKUP(VLOOKUP(dict_DQ_Meth_max[[#This Row],[ID_DataQualities]],table_DataQualities[],3),table_Units[],2)</f>
        <v>Hz</v>
      </c>
      <c r="I1278" s="10"/>
      <c r="J1278" s="10"/>
      <c r="K1278" s="10"/>
      <c r="L1278" s="10">
        <f ca="1">VLOOKUP(dict_DQ_Meth_max[[#This Row],[ID_DataQualities]],table_DataQualities[],8,FALSE)</f>
        <v>0.21099999999999999</v>
      </c>
      <c r="M1278" s="10">
        <f ca="1">VLOOKUP(dict_DQ_Meth_max[[#This Row],[ID_DataQualities]],table_DataQualities[],9,FALSE)</f>
        <v>5839.7</v>
      </c>
    </row>
    <row r="1279" spans="1:13" x14ac:dyDescent="0.45">
      <c r="A1279" s="10">
        <v>342</v>
      </c>
      <c r="B1279" s="10">
        <v>583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1635.26792</v>
      </c>
      <c r="G1279" s="12">
        <f ca="1">(RANDBETWEEN(50,100)/100)*(dict_DQ_Meth_max[[#This Row],[Vergleich_ub]]-dict_DQ_Meth_max[[#This Row],[Vergleich_lb]])+dict_DQ_Meth_max[[#This Row],[Vergleich_lb]]</f>
        <v>4438.22264</v>
      </c>
      <c r="H1279" s="11" t="str">
        <f ca="1">VLOOKUP(VLOOKUP(dict_DQ_Meth_max[[#This Row],[ID_DataQualities]],table_DataQualities[],3),table_Units[],2)</f>
        <v>Hz</v>
      </c>
      <c r="I1279" s="10"/>
      <c r="J1279" s="10"/>
      <c r="K1279" s="10"/>
      <c r="L1279" s="10">
        <f ca="1">VLOOKUP(dict_DQ_Meth_max[[#This Row],[ID_DataQualities]],table_DataQualities[],8,FALSE)</f>
        <v>0.21099999999999999</v>
      </c>
      <c r="M1279" s="10">
        <f ca="1">VLOOKUP(dict_DQ_Meth_max[[#This Row],[ID_DataQualities]],table_DataQualities[],9,FALSE)</f>
        <v>5839.7</v>
      </c>
    </row>
    <row r="1280" spans="1:13" x14ac:dyDescent="0.45">
      <c r="A1280" s="10">
        <v>342</v>
      </c>
      <c r="B1280" s="10">
        <v>668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1927.2423699999999</v>
      </c>
      <c r="G1280" s="12">
        <f ca="1">(RANDBETWEEN(50,100)/100)*(dict_DQ_Meth_max[[#This Row],[Vergleich_ub]]-dict_DQ_Meth_max[[#This Row],[Vergleich_lb]])+dict_DQ_Meth_max[[#This Row],[Vergleich_lb]]</f>
        <v>4671.8022000000001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0.21099999999999999</v>
      </c>
      <c r="M1280" s="10">
        <f ca="1">VLOOKUP(dict_DQ_Meth_max[[#This Row],[ID_DataQualities]],table_DataQualities[],9,FALSE)</f>
        <v>5839.7</v>
      </c>
    </row>
    <row r="1281" spans="1:13" x14ac:dyDescent="0.45">
      <c r="A1281" s="10">
        <v>342</v>
      </c>
      <c r="B1281" s="10">
        <v>591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292.18545</v>
      </c>
      <c r="G1281" s="12">
        <f ca="1">(RANDBETWEEN(50,100)/100)*(dict_DQ_Meth_max[[#This Row],[Vergleich_ub]]-dict_DQ_Meth_max[[#This Row],[Vergleich_lb]])+dict_DQ_Meth_max[[#This Row],[Vergleich_lb]]</f>
        <v>4788.5919799999992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0.21099999999999999</v>
      </c>
      <c r="M1281" s="10">
        <f ca="1">VLOOKUP(dict_DQ_Meth_max[[#This Row],[ID_DataQualities]],table_DataQualities[],9,FALSE)</f>
        <v>5839.7</v>
      </c>
    </row>
    <row r="1282" spans="1:13" x14ac:dyDescent="0.45">
      <c r="A1282" s="10">
        <v>342</v>
      </c>
      <c r="B1282" s="10">
        <v>459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292.18545</v>
      </c>
      <c r="G1282" s="12">
        <f ca="1">(RANDBETWEEN(50,100)/100)*(dict_DQ_Meth_max[[#This Row],[Vergleich_ub]]-dict_DQ_Meth_max[[#This Row],[Vergleich_lb]])+dict_DQ_Meth_max[[#This Row],[Vergleich_lb]]</f>
        <v>3562.2992899999995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0.21099999999999999</v>
      </c>
      <c r="M1282" s="10">
        <f ca="1">VLOOKUP(dict_DQ_Meth_max[[#This Row],[ID_DataQualities]],table_DataQualities[],9,FALSE)</f>
        <v>5839.7</v>
      </c>
    </row>
    <row r="1283" spans="1:13" x14ac:dyDescent="0.45">
      <c r="A1283" s="10">
        <v>342</v>
      </c>
      <c r="B1283" s="10">
        <v>540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2044.0321499999998</v>
      </c>
      <c r="G1283" s="12">
        <f ca="1">(RANDBETWEEN(50,100)/100)*(dict_DQ_Meth_max[[#This Row],[Vergleich_ub]]-dict_DQ_Meth_max[[#This Row],[Vergleich_lb]])+dict_DQ_Meth_max[[#This Row],[Vergleich_lb]]</f>
        <v>4613.4073100000005</v>
      </c>
      <c r="H1283" s="11" t="str">
        <f ca="1">VLOOKUP(VLOOKUP(dict_DQ_Meth_max[[#This Row],[ID_DataQualities]],table_DataQualities[],3),table_Units[],2)</f>
        <v>Hz</v>
      </c>
      <c r="I1283" s="10"/>
      <c r="J1283" s="10"/>
      <c r="K1283" s="10"/>
      <c r="L1283" s="10">
        <f ca="1">VLOOKUP(dict_DQ_Meth_max[[#This Row],[ID_DataQualities]],table_DataQualities[],8,FALSE)</f>
        <v>0.21099999999999999</v>
      </c>
      <c r="M1283" s="10">
        <f ca="1">VLOOKUP(dict_DQ_Meth_max[[#This Row],[ID_DataQualities]],table_DataQualities[],9,FALSE)</f>
        <v>5839.7</v>
      </c>
    </row>
    <row r="1284" spans="1:13" x14ac:dyDescent="0.45">
      <c r="A1284" s="10">
        <v>343</v>
      </c>
      <c r="B1284" s="10">
        <v>583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0.26033600000000001</v>
      </c>
      <c r="G1284" s="12">
        <f ca="1">(RANDBETWEEN(50,100)/100)*(dict_DQ_Meth_max[[#This Row],[Vergleich_ub]]-dict_DQ_Meth_max[[#This Row],[Vergleich_lb]])+dict_DQ_Meth_max[[#This Row],[Vergleich_lb]]</f>
        <v>0.54909200000000002</v>
      </c>
      <c r="H1284" s="11" t="str">
        <f ca="1">VLOOKUP(VLOOKUP(dict_DQ_Meth_max[[#This Row],[ID_DataQualities]],table_DataQualities[],3),table_Units[],2)</f>
        <v>+/- cm³/s</v>
      </c>
      <c r="I1284" s="10"/>
      <c r="J1284" s="10"/>
      <c r="K1284" s="10"/>
      <c r="L1284" s="10">
        <f ca="1">VLOOKUP(dict_DQ_Meth_max[[#This Row],[ID_DataQualities]],table_DataQualities[],8,FALSE)</f>
        <v>8.6E-3</v>
      </c>
      <c r="M1284" s="10">
        <f ca="1">VLOOKUP(dict_DQ_Meth_max[[#This Row],[ID_DataQualities]],table_DataQualities[],9,FALSE)</f>
        <v>0.749</v>
      </c>
    </row>
    <row r="1285" spans="1:13" x14ac:dyDescent="0.45">
      <c r="A1285" s="10">
        <v>343</v>
      </c>
      <c r="B1285" s="10">
        <v>668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8.2639999999999991E-2</v>
      </c>
      <c r="G1285" s="12">
        <f ca="1">(RANDBETWEEN(50,100)/100)*(dict_DQ_Meth_max[[#This Row],[Vergleich_ub]]-dict_DQ_Meth_max[[#This Row],[Vergleich_lb]])+dict_DQ_Meth_max[[#This Row],[Vergleich_lb]]</f>
        <v>0.58611200000000008</v>
      </c>
      <c r="H1285" s="11" t="str">
        <f ca="1">VLOOKUP(VLOOKUP(dict_DQ_Meth_max[[#This Row],[ID_DataQualities]],table_DataQualities[],3),table_Units[],2)</f>
        <v>+/- cm³/s</v>
      </c>
      <c r="I1285" s="10"/>
      <c r="J1285" s="10"/>
      <c r="K1285" s="10"/>
      <c r="L1285" s="10">
        <f ca="1">VLOOKUP(dict_DQ_Meth_max[[#This Row],[ID_DataQualities]],table_DataQualities[],8,FALSE)</f>
        <v>8.6E-3</v>
      </c>
      <c r="M1285" s="10">
        <f ca="1">VLOOKUP(dict_DQ_Meth_max[[#This Row],[ID_DataQualities]],table_DataQualities[],9,FALSE)</f>
        <v>0.749</v>
      </c>
    </row>
    <row r="1286" spans="1:13" x14ac:dyDescent="0.45">
      <c r="A1286" s="10">
        <v>343</v>
      </c>
      <c r="B1286" s="10">
        <v>591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0.31216399999999994</v>
      </c>
      <c r="G1286" s="12">
        <f ca="1">(RANDBETWEEN(50,100)/100)*(dict_DQ_Meth_max[[#This Row],[Vergleich_ub]]-dict_DQ_Meth_max[[#This Row],[Vergleich_lb]])+dict_DQ_Meth_max[[#This Row],[Vergleich_lb]]</f>
        <v>0.71938400000000002</v>
      </c>
      <c r="H1286" s="11" t="str">
        <f ca="1">VLOOKUP(VLOOKUP(dict_DQ_Meth_max[[#This Row],[ID_DataQualities]],table_DataQualities[],3),table_Units[],2)</f>
        <v>+/- cm³/s</v>
      </c>
      <c r="I1286" s="10"/>
      <c r="J1286" s="10"/>
      <c r="K1286" s="10"/>
      <c r="L1286" s="10">
        <f ca="1">VLOOKUP(dict_DQ_Meth_max[[#This Row],[ID_DataQualities]],table_DataQualities[],8,FALSE)</f>
        <v>8.6E-3</v>
      </c>
      <c r="M1286" s="10">
        <f ca="1">VLOOKUP(dict_DQ_Meth_max[[#This Row],[ID_DataQualities]],table_DataQualities[],9,FALSE)</f>
        <v>0.749</v>
      </c>
    </row>
    <row r="1287" spans="1:13" x14ac:dyDescent="0.45">
      <c r="A1287" s="10">
        <v>343</v>
      </c>
      <c r="B1287" s="10">
        <v>130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6.7832000000000003E-2</v>
      </c>
      <c r="G1287" s="12">
        <f ca="1">(RANDBETWEEN(50,100)/100)*(dict_DQ_Meth_max[[#This Row],[Vergleich_ub]]-dict_DQ_Meth_max[[#This Row],[Vergleich_lb]])+dict_DQ_Meth_max[[#This Row],[Vergleich_lb]]</f>
        <v>0.62313200000000002</v>
      </c>
      <c r="H1287" s="11" t="str">
        <f ca="1">VLOOKUP(VLOOKUP(dict_DQ_Meth_max[[#This Row],[ID_DataQualities]],table_DataQualities[],3),table_Units[],2)</f>
        <v>+/- cm³/s</v>
      </c>
      <c r="I1287" s="10"/>
      <c r="J1287" s="10"/>
      <c r="K1287" s="10"/>
      <c r="L1287" s="10">
        <f ca="1">VLOOKUP(dict_DQ_Meth_max[[#This Row],[ID_DataQualities]],table_DataQualities[],8,FALSE)</f>
        <v>8.6E-3</v>
      </c>
      <c r="M1287" s="10">
        <f ca="1">VLOOKUP(dict_DQ_Meth_max[[#This Row],[ID_DataQualities]],table_DataQualities[],9,FALSE)</f>
        <v>0.749</v>
      </c>
    </row>
    <row r="1288" spans="1:13" x14ac:dyDescent="0.45">
      <c r="A1288" s="10">
        <v>343</v>
      </c>
      <c r="B1288" s="10">
        <v>459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8.2639999999999991E-2</v>
      </c>
      <c r="G1288" s="12">
        <f ca="1">(RANDBETWEEN(50,100)/100)*(dict_DQ_Meth_max[[#This Row],[Vergleich_ub]]-dict_DQ_Meth_max[[#This Row],[Vergleich_lb]])+dict_DQ_Meth_max[[#This Row],[Vergleich_lb]]</f>
        <v>0.71197999999999995</v>
      </c>
      <c r="H1288" s="11" t="str">
        <f ca="1">VLOOKUP(VLOOKUP(dict_DQ_Meth_max[[#This Row],[ID_DataQualities]],table_DataQualities[],3),table_Units[],2)</f>
        <v>+/- cm³/s</v>
      </c>
      <c r="I1288" s="10"/>
      <c r="J1288" s="10"/>
      <c r="K1288" s="10"/>
      <c r="L1288" s="10">
        <f ca="1">VLOOKUP(dict_DQ_Meth_max[[#This Row],[ID_DataQualities]],table_DataQualities[],8,FALSE)</f>
        <v>8.6E-3</v>
      </c>
      <c r="M1288" s="10">
        <f ca="1">VLOOKUP(dict_DQ_Meth_max[[#This Row],[ID_DataQualities]],table_DataQualities[],9,FALSE)</f>
        <v>0.749</v>
      </c>
    </row>
    <row r="1289" spans="1:13" x14ac:dyDescent="0.45">
      <c r="A1289" s="10">
        <v>343</v>
      </c>
      <c r="B1289" s="10">
        <v>540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0.37879999999999997</v>
      </c>
      <c r="G1289" s="12">
        <f ca="1">(RANDBETWEEN(50,100)/100)*(dict_DQ_Meth_max[[#This Row],[Vergleich_ub]]-dict_DQ_Meth_max[[#This Row],[Vergleich_lb]])+dict_DQ_Meth_max[[#This Row],[Vergleich_lb]]</f>
        <v>0.40101199999999998</v>
      </c>
      <c r="H1289" s="11" t="str">
        <f ca="1">VLOOKUP(VLOOKUP(dict_DQ_Meth_max[[#This Row],[ID_DataQualities]],table_DataQualities[],3),table_Units[],2)</f>
        <v>+/- cm³/s</v>
      </c>
      <c r="I1289" s="10"/>
      <c r="J1289" s="10"/>
      <c r="K1289" s="10"/>
      <c r="L1289" s="10">
        <f ca="1">VLOOKUP(dict_DQ_Meth_max[[#This Row],[ID_DataQualities]],table_DataQualities[],8,FALSE)</f>
        <v>8.6E-3</v>
      </c>
      <c r="M1289" s="10">
        <f ca="1">VLOOKUP(dict_DQ_Meth_max[[#This Row],[ID_DataQualities]],table_DataQualities[],9,FALSE)</f>
        <v>0.749</v>
      </c>
    </row>
    <row r="1290" spans="1:13" x14ac:dyDescent="0.45">
      <c r="A1290" s="10">
        <v>344</v>
      </c>
      <c r="B1290" s="10">
        <v>644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1178.3120000000001</v>
      </c>
      <c r="G1290" s="12">
        <f ca="1">(RANDBETWEEN(50,100)/100)*(dict_DQ_Meth_max[[#This Row],[Vergleich_ub]]-dict_DQ_Meth_max[[#This Row],[Vergleich_lb]])+dict_DQ_Meth_max[[#This Row],[Vergleich_lb]]</f>
        <v>1251.9440000000002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0.2</v>
      </c>
      <c r="M1290" s="10">
        <f ca="1">VLOOKUP(dict_DQ_Meth_max[[#This Row],[ID_DataQualities]],table_DataQualities[],9,FALSE)</f>
        <v>2454.6</v>
      </c>
    </row>
    <row r="1291" spans="1:13" x14ac:dyDescent="0.45">
      <c r="A1291" s="10">
        <v>344</v>
      </c>
      <c r="B1291" s="10">
        <v>134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761.06400000000008</v>
      </c>
      <c r="G1291" s="12">
        <f ca="1">(RANDBETWEEN(50,100)/100)*(dict_DQ_Meth_max[[#This Row],[Vergleich_ub]]-dict_DQ_Meth_max[[#This Row],[Vergleich_lb]])+dict_DQ_Meth_max[[#This Row],[Vergleich_lb]]</f>
        <v>1865.5440000000001</v>
      </c>
      <c r="H1291" s="11" t="str">
        <f ca="1">VLOOKUP(VLOOKUP(dict_DQ_Meth_max[[#This Row],[ID_DataQualities]],table_DataQualities[],3),table_Units[],2)</f>
        <v>Hz</v>
      </c>
      <c r="I1291" s="10"/>
      <c r="J1291" s="10"/>
      <c r="K1291" s="10"/>
      <c r="L1291" s="10">
        <f ca="1">VLOOKUP(dict_DQ_Meth_max[[#This Row],[ID_DataQualities]],table_DataQualities[],8,FALSE)</f>
        <v>0.2</v>
      </c>
      <c r="M1291" s="10">
        <f ca="1">VLOOKUP(dict_DQ_Meth_max[[#This Row],[ID_DataQualities]],table_DataQualities[],9,FALSE)</f>
        <v>2454.6</v>
      </c>
    </row>
    <row r="1292" spans="1:13" x14ac:dyDescent="0.45">
      <c r="A1292" s="10">
        <v>344</v>
      </c>
      <c r="B1292" s="10">
        <v>191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1031.048</v>
      </c>
      <c r="G1292" s="12">
        <f ca="1">(RANDBETWEEN(50,100)/100)*(dict_DQ_Meth_max[[#This Row],[Vergleich_ub]]-dict_DQ_Meth_max[[#This Row],[Vergleich_lb]])+dict_DQ_Meth_max[[#This Row],[Vergleich_lb]]</f>
        <v>2037.3520000000001</v>
      </c>
      <c r="H1292" s="11" t="str">
        <f ca="1">VLOOKUP(VLOOKUP(dict_DQ_Meth_max[[#This Row],[ID_DataQualities]],table_DataQualities[],3),table_Units[],2)</f>
        <v>Hz</v>
      </c>
      <c r="I1292" s="10"/>
      <c r="J1292" s="10"/>
      <c r="K1292" s="10"/>
      <c r="L1292" s="10">
        <f ca="1">VLOOKUP(dict_DQ_Meth_max[[#This Row],[ID_DataQualities]],table_DataQualities[],8,FALSE)</f>
        <v>0.2</v>
      </c>
      <c r="M1292" s="10">
        <f ca="1">VLOOKUP(dict_DQ_Meth_max[[#This Row],[ID_DataQualities]],table_DataQualities[],9,FALSE)</f>
        <v>2454.6</v>
      </c>
    </row>
    <row r="1293" spans="1:13" x14ac:dyDescent="0.45">
      <c r="A1293" s="10">
        <v>345</v>
      </c>
      <c r="B1293" s="10">
        <v>134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4144.2</v>
      </c>
      <c r="G1293" s="12">
        <f ca="1">(RANDBETWEEN(50,100)/100)*(dict_DQ_Meth_max[[#This Row],[Vergleich_ub]]-dict_DQ_Meth_max[[#This Row],[Vergleich_lb]])+dict_DQ_Meth_max[[#This Row],[Vergleich_lb]]</f>
        <v>6017.5</v>
      </c>
      <c r="H1293" s="11" t="str">
        <f ca="1">VLOOKUP(VLOOKUP(dict_DQ_Meth_max[[#This Row],[ID_DataQualities]],table_DataQualities[],3),table_Units[],2)</f>
        <v>bit</v>
      </c>
      <c r="I1293" s="10"/>
      <c r="J1293" s="10"/>
      <c r="K1293" s="10"/>
      <c r="L1293" s="10">
        <f ca="1">VLOOKUP(dict_DQ_Meth_max[[#This Row],[ID_DataQualities]],table_DataQualities[],8,FALSE)</f>
        <v>57</v>
      </c>
      <c r="M1293" s="10">
        <f ca="1">VLOOKUP(dict_DQ_Meth_max[[#This Row],[ID_DataQualities]],table_DataQualities[],9,FALSE)</f>
        <v>8572</v>
      </c>
    </row>
    <row r="1294" spans="1:13" x14ac:dyDescent="0.45">
      <c r="A1294" s="10">
        <v>345</v>
      </c>
      <c r="B1294" s="10">
        <v>191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4059.0499999999997</v>
      </c>
      <c r="G1294" s="12">
        <f ca="1">(RANDBETWEEN(50,100)/100)*(dict_DQ_Meth_max[[#This Row],[Vergleich_ub]]-dict_DQ_Meth_max[[#This Row],[Vergleich_lb]])+dict_DQ_Meth_max[[#This Row],[Vergleich_lb]]</f>
        <v>4399.6499999999996</v>
      </c>
      <c r="H1294" s="11" t="str">
        <f ca="1">VLOOKUP(VLOOKUP(dict_DQ_Meth_max[[#This Row],[ID_DataQualities]],table_DataQualities[],3),table_Units[],2)</f>
        <v>bit</v>
      </c>
      <c r="I1294" s="10"/>
      <c r="J1294" s="10"/>
      <c r="K1294" s="10"/>
      <c r="L1294" s="10">
        <f ca="1">VLOOKUP(dict_DQ_Meth_max[[#This Row],[ID_DataQualities]],table_DataQualities[],8,FALSE)</f>
        <v>57</v>
      </c>
      <c r="M1294" s="10">
        <f ca="1">VLOOKUP(dict_DQ_Meth_max[[#This Row],[ID_DataQualities]],table_DataQualities[],9,FALSE)</f>
        <v>8572</v>
      </c>
    </row>
    <row r="1295" spans="1:13" x14ac:dyDescent="0.45">
      <c r="A1295" s="10">
        <v>345</v>
      </c>
      <c r="B1295" s="10">
        <v>644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3718.45</v>
      </c>
      <c r="G1295" s="12">
        <f ca="1">(RANDBETWEEN(50,100)/100)*(dict_DQ_Meth_max[[#This Row],[Vergleich_ub]]-dict_DQ_Meth_max[[#This Row],[Vergleich_lb]])+dict_DQ_Meth_max[[#This Row],[Vergleich_lb]]</f>
        <v>6358.1</v>
      </c>
      <c r="H1295" s="11" t="str">
        <f ca="1">VLOOKUP(VLOOKUP(dict_DQ_Meth_max[[#This Row],[ID_DataQualities]],table_DataQualities[],3),table_Units[],2)</f>
        <v>bit</v>
      </c>
      <c r="I1295" s="10"/>
      <c r="J1295" s="10"/>
      <c r="K1295" s="10"/>
      <c r="L1295" s="10">
        <f ca="1">VLOOKUP(dict_DQ_Meth_max[[#This Row],[ID_DataQualities]],table_DataQualities[],8,FALSE)</f>
        <v>57</v>
      </c>
      <c r="M1295" s="10">
        <f ca="1">VLOOKUP(dict_DQ_Meth_max[[#This Row],[ID_DataQualities]],table_DataQualities[],9,FALSE)</f>
        <v>8572</v>
      </c>
    </row>
    <row r="1296" spans="1:13" x14ac:dyDescent="0.45">
      <c r="A1296" s="10">
        <v>346</v>
      </c>
      <c r="B1296" s="10">
        <v>28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3968.2230999999997</v>
      </c>
      <c r="G1296" s="12">
        <f ca="1">(RANDBETWEEN(50,100)/100)*(dict_DQ_Meth_max[[#This Row],[Vergleich_ub]]-dict_DQ_Meth_max[[#This Row],[Vergleich_lb]])+dict_DQ_Meth_max[[#This Row],[Vergleich_lb]]</f>
        <v>6580.9888000000001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0.69</v>
      </c>
      <c r="M1296" s="10">
        <f ca="1">VLOOKUP(dict_DQ_Meth_max[[#This Row],[ID_DataQualities]],table_DataQualities[],9,FALSE)</f>
        <v>9677.6</v>
      </c>
    </row>
    <row r="1297" spans="1:13" x14ac:dyDescent="0.45">
      <c r="A1297" s="10">
        <v>346</v>
      </c>
      <c r="B1297" s="10">
        <v>48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3484.3775999999998</v>
      </c>
      <c r="G1297" s="12">
        <f ca="1">(RANDBETWEEN(50,100)/100)*(dict_DQ_Meth_max[[#This Row],[Vergleich_ub]]-dict_DQ_Meth_max[[#This Row],[Vergleich_lb]])+dict_DQ_Meth_max[[#This Row],[Vergleich_lb]]</f>
        <v>4839.1449999999995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0.69</v>
      </c>
      <c r="M1297" s="10">
        <f ca="1">VLOOKUP(dict_DQ_Meth_max[[#This Row],[ID_DataQualities]],table_DataQualities[],9,FALSE)</f>
        <v>9677.6</v>
      </c>
    </row>
    <row r="1298" spans="1:13" x14ac:dyDescent="0.45">
      <c r="A1298" s="10">
        <v>347</v>
      </c>
      <c r="B1298" s="10">
        <v>28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0.10141599999999999</v>
      </c>
      <c r="G1298" s="12">
        <f ca="1">(RANDBETWEEN(50,100)/100)*(dict_DQ_Meth_max[[#This Row],[Vergleich_ub]]-dict_DQ_Meth_max[[#This Row],[Vergleich_lb]])+dict_DQ_Meth_max[[#This Row],[Vergleich_lb]]</f>
        <v>0.59078200000000003</v>
      </c>
      <c r="H1298" s="11" t="str">
        <f ca="1">VLOOKUP(VLOOKUP(dict_DQ_Meth_max[[#This Row],[ID_DataQualities]],table_DataQualities[],3),table_Units[],2)</f>
        <v>+/- cm³/s</v>
      </c>
      <c r="I1298" s="10"/>
      <c r="J1298" s="10"/>
      <c r="K1298" s="10"/>
      <c r="L1298" s="10">
        <f ca="1">VLOOKUP(dict_DQ_Meth_max[[#This Row],[ID_DataQualities]],table_DataQualities[],8,FALSE)</f>
        <v>6.7000000000000002E-3</v>
      </c>
      <c r="M1298" s="10">
        <f ca="1">VLOOKUP(dict_DQ_Meth_max[[#This Row],[ID_DataQualities]],table_DataQualities[],9,FALSE)</f>
        <v>0.79600000000000004</v>
      </c>
    </row>
    <row r="1299" spans="1:13" x14ac:dyDescent="0.45">
      <c r="A1299" s="10">
        <v>347</v>
      </c>
      <c r="B1299" s="10">
        <v>48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0.20402500000000001</v>
      </c>
      <c r="G1299" s="12">
        <f ca="1">(RANDBETWEEN(50,100)/100)*(dict_DQ_Meth_max[[#This Row],[Vergleich_ub]]-dict_DQ_Meth_max[[#This Row],[Vergleich_lb]])+dict_DQ_Meth_max[[#This Row],[Vergleich_lb]]</f>
        <v>0.48817299999999997</v>
      </c>
      <c r="H1299" s="11" t="str">
        <f ca="1">VLOOKUP(VLOOKUP(dict_DQ_Meth_max[[#This Row],[ID_DataQualities]],table_DataQualities[],3),table_Units[],2)</f>
        <v>+/- cm³/s</v>
      </c>
      <c r="I1299" s="10"/>
      <c r="J1299" s="10"/>
      <c r="K1299" s="10"/>
      <c r="L1299" s="10">
        <f ca="1">VLOOKUP(dict_DQ_Meth_max[[#This Row],[ID_DataQualities]],table_DataQualities[],8,FALSE)</f>
        <v>6.7000000000000002E-3</v>
      </c>
      <c r="M1299" s="10">
        <f ca="1">VLOOKUP(dict_DQ_Meth_max[[#This Row],[ID_DataQualities]],table_DataQualities[],9,FALSE)</f>
        <v>0.79600000000000004</v>
      </c>
    </row>
    <row r="1300" spans="1:13" x14ac:dyDescent="0.45">
      <c r="A1300" s="10">
        <v>348</v>
      </c>
      <c r="B1300" s="10">
        <v>420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3737.8842700000005</v>
      </c>
      <c r="G1300" s="12">
        <f ca="1">(RANDBETWEEN(50,100)/100)*(dict_DQ_Meth_max[[#This Row],[Vergleich_ub]]-dict_DQ_Meth_max[[#This Row],[Vergleich_lb]])+dict_DQ_Meth_max[[#This Row],[Vergleich_lb]]</f>
        <v>5750.1028000000006</v>
      </c>
      <c r="H1300" s="11" t="str">
        <f ca="1">VLOOKUP(VLOOKUP(dict_DQ_Meth_max[[#This Row],[ID_DataQualities]],table_DataQualities[],3),table_Units[],2)</f>
        <v>Hz</v>
      </c>
      <c r="I1300" s="10"/>
      <c r="J1300" s="10"/>
      <c r="K1300" s="10"/>
      <c r="L1300" s="10">
        <f ca="1">VLOOKUP(dict_DQ_Meth_max[[#This Row],[ID_DataQualities]],table_DataQualities[],8,FALSE)</f>
        <v>0.90700000000000003</v>
      </c>
      <c r="M1300" s="10">
        <f ca="1">VLOOKUP(dict_DQ_Meth_max[[#This Row],[ID_DataQualities]],table_DataQualities[],9,FALSE)</f>
        <v>9582.9</v>
      </c>
    </row>
    <row r="1301" spans="1:13" x14ac:dyDescent="0.45">
      <c r="A1301" s="10">
        <v>348</v>
      </c>
      <c r="B1301" s="10">
        <v>634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2204.7653900000005</v>
      </c>
      <c r="G1301" s="12">
        <f ca="1">(RANDBETWEEN(50,100)/100)*(dict_DQ_Meth_max[[#This Row],[Vergleich_ub]]-dict_DQ_Meth_max[[#This Row],[Vergleich_lb]])+dict_DQ_Meth_max[[#This Row],[Vergleich_lb]]</f>
        <v>5941.7426600000008</v>
      </c>
      <c r="H1301" s="11" t="str">
        <f ca="1">VLOOKUP(VLOOKUP(dict_DQ_Meth_max[[#This Row],[ID_DataQualities]],table_DataQualities[],3),table_Units[],2)</f>
        <v>Hz</v>
      </c>
      <c r="I1301" s="10"/>
      <c r="J1301" s="10"/>
      <c r="K1301" s="10"/>
      <c r="L1301" s="10">
        <f ca="1">VLOOKUP(dict_DQ_Meth_max[[#This Row],[ID_DataQualities]],table_DataQualities[],8,FALSE)</f>
        <v>0.90700000000000003</v>
      </c>
      <c r="M1301" s="10">
        <f ca="1">VLOOKUP(dict_DQ_Meth_max[[#This Row],[ID_DataQualities]],table_DataQualities[],9,FALSE)</f>
        <v>9582.9</v>
      </c>
    </row>
    <row r="1302" spans="1:13" x14ac:dyDescent="0.45">
      <c r="A1302" s="10">
        <v>348</v>
      </c>
      <c r="B1302" s="10">
        <v>115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4504.4437100000005</v>
      </c>
      <c r="G1302" s="12">
        <f ca="1">(RANDBETWEEN(50,100)/100)*(dict_DQ_Meth_max[[#This Row],[Vergleich_ub]]-dict_DQ_Meth_max[[#This Row],[Vergleich_lb]])+dict_DQ_Meth_max[[#This Row],[Vergleich_lb]]</f>
        <v>9582.9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0.90700000000000003</v>
      </c>
      <c r="M1302" s="10">
        <f ca="1">VLOOKUP(dict_DQ_Meth_max[[#This Row],[ID_DataQualities]],table_DataQualities[],9,FALSE)</f>
        <v>9582.9</v>
      </c>
    </row>
    <row r="1303" spans="1:13" x14ac:dyDescent="0.45">
      <c r="A1303" s="10">
        <v>348</v>
      </c>
      <c r="B1303" s="10">
        <v>512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3546.2444100000002</v>
      </c>
      <c r="G1303" s="12">
        <f ca="1">(RANDBETWEEN(50,100)/100)*(dict_DQ_Meth_max[[#This Row],[Vergleich_ub]]-dict_DQ_Meth_max[[#This Row],[Vergleich_lb]])+dict_DQ_Meth_max[[#This Row],[Vergleich_lb]]</f>
        <v>9582.9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0.90700000000000003</v>
      </c>
      <c r="M1303" s="10">
        <f ca="1">VLOOKUP(dict_DQ_Meth_max[[#This Row],[ID_DataQualities]],table_DataQualities[],9,FALSE)</f>
        <v>9582.9</v>
      </c>
    </row>
    <row r="1304" spans="1:13" x14ac:dyDescent="0.45">
      <c r="A1304" s="10">
        <v>348</v>
      </c>
      <c r="B1304" s="10">
        <v>96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3642.0643400000004</v>
      </c>
      <c r="G1304" s="12">
        <f ca="1">(RANDBETWEEN(50,100)/100)*(dict_DQ_Meth_max[[#This Row],[Vergleich_ub]]-dict_DQ_Meth_max[[#This Row],[Vergleich_lb]])+dict_DQ_Meth_max[[#This Row],[Vergleich_lb]]</f>
        <v>9391.2601400000003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0.90700000000000003</v>
      </c>
      <c r="M1304" s="10">
        <f ca="1">VLOOKUP(dict_DQ_Meth_max[[#This Row],[ID_DataQualities]],table_DataQualities[],9,FALSE)</f>
        <v>9582.9</v>
      </c>
    </row>
    <row r="1305" spans="1:13" x14ac:dyDescent="0.45">
      <c r="A1305" s="10">
        <v>348</v>
      </c>
      <c r="B1305" s="10">
        <v>26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3642.0643400000004</v>
      </c>
      <c r="G1305" s="12">
        <f ca="1">(RANDBETWEEN(50,100)/100)*(dict_DQ_Meth_max[[#This Row],[Vergleich_ub]]-dict_DQ_Meth_max[[#This Row],[Vergleich_lb]])+dict_DQ_Meth_max[[#This Row],[Vergleich_lb]]</f>
        <v>8145.6010500000002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0.90700000000000003</v>
      </c>
      <c r="M1305" s="10">
        <f ca="1">VLOOKUP(dict_DQ_Meth_max[[#This Row],[ID_DataQualities]],table_DataQualities[],9,FALSE)</f>
        <v>9582.9</v>
      </c>
    </row>
    <row r="1306" spans="1:13" x14ac:dyDescent="0.45">
      <c r="A1306" s="10">
        <v>349</v>
      </c>
      <c r="B1306" s="10">
        <v>26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727.56000000000006</v>
      </c>
      <c r="G1306" s="12">
        <f ca="1">(RANDBETWEEN(50,100)/100)*(dict_DQ_Meth_max[[#This Row],[Vergleich_ub]]-dict_DQ_Meth_max[[#This Row],[Vergleich_lb]])+dict_DQ_Meth_max[[#This Row],[Vergleich_lb]]</f>
        <v>7027.7</v>
      </c>
      <c r="H1306" s="11" t="str">
        <f ca="1">VLOOKUP(VLOOKUP(dict_DQ_Meth_max[[#This Row],[ID_DataQualities]],table_DataQualities[],3),table_Units[],2)</f>
        <v>bit</v>
      </c>
      <c r="I1306" s="10"/>
      <c r="J1306" s="10"/>
      <c r="K1306" s="10"/>
      <c r="L1306" s="10">
        <f ca="1">VLOOKUP(dict_DQ_Meth_max[[#This Row],[ID_DataQualities]],table_DataQualities[],8,FALSE)</f>
        <v>73</v>
      </c>
      <c r="M1306" s="10">
        <f ca="1">VLOOKUP(dict_DQ_Meth_max[[#This Row],[ID_DataQualities]],table_DataQualities[],9,FALSE)</f>
        <v>8255</v>
      </c>
    </row>
    <row r="1307" spans="1:13" x14ac:dyDescent="0.45">
      <c r="A1307" s="10">
        <v>349</v>
      </c>
      <c r="B1307" s="10">
        <v>420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3509.44</v>
      </c>
      <c r="G1307" s="12">
        <f ca="1">(RANDBETWEEN(50,100)/100)*(dict_DQ_Meth_max[[#This Row],[Vergleich_ub]]-dict_DQ_Meth_max[[#This Row],[Vergleich_lb]])+dict_DQ_Meth_max[[#This Row],[Vergleich_lb]]</f>
        <v>7927.7199999999993</v>
      </c>
      <c r="H1307" s="11" t="str">
        <f ca="1">VLOOKUP(VLOOKUP(dict_DQ_Meth_max[[#This Row],[ID_DataQualities]],table_DataQualities[],3),table_Units[],2)</f>
        <v>bit</v>
      </c>
      <c r="I1307" s="10"/>
      <c r="J1307" s="10"/>
      <c r="K1307" s="10"/>
      <c r="L1307" s="10">
        <f ca="1">VLOOKUP(dict_DQ_Meth_max[[#This Row],[ID_DataQualities]],table_DataQualities[],8,FALSE)</f>
        <v>73</v>
      </c>
      <c r="M1307" s="10">
        <f ca="1">VLOOKUP(dict_DQ_Meth_max[[#This Row],[ID_DataQualities]],table_DataQualities[],9,FALSE)</f>
        <v>8255</v>
      </c>
    </row>
    <row r="1308" spans="1:13" x14ac:dyDescent="0.45">
      <c r="A1308" s="10">
        <v>349</v>
      </c>
      <c r="B1308" s="10">
        <v>634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2691.2400000000002</v>
      </c>
      <c r="G1308" s="12">
        <f ca="1">(RANDBETWEEN(50,100)/100)*(dict_DQ_Meth_max[[#This Row],[Vergleich_ub]]-dict_DQ_Meth_max[[#This Row],[Vergleich_lb]])+dict_DQ_Meth_max[[#This Row],[Vergleich_lb]]</f>
        <v>5800.4</v>
      </c>
      <c r="H1308" s="11" t="str">
        <f ca="1">VLOOKUP(VLOOKUP(dict_DQ_Meth_max[[#This Row],[ID_DataQualities]],table_DataQualities[],3),table_Units[],2)</f>
        <v>bit</v>
      </c>
      <c r="I1308" s="10"/>
      <c r="J1308" s="10"/>
      <c r="K1308" s="10"/>
      <c r="L1308" s="10">
        <f ca="1">VLOOKUP(dict_DQ_Meth_max[[#This Row],[ID_DataQualities]],table_DataQualities[],8,FALSE)</f>
        <v>73</v>
      </c>
      <c r="M1308" s="10">
        <f ca="1">VLOOKUP(dict_DQ_Meth_max[[#This Row],[ID_DataQualities]],table_DataQualities[],9,FALSE)</f>
        <v>8255</v>
      </c>
    </row>
    <row r="1309" spans="1:13" x14ac:dyDescent="0.45">
      <c r="A1309" s="10">
        <v>349</v>
      </c>
      <c r="B1309" s="10">
        <v>115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236.64000000000001</v>
      </c>
      <c r="G1309" s="12">
        <f ca="1">(RANDBETWEEN(50,100)/100)*(dict_DQ_Meth_max[[#This Row],[Vergleich_ub]]-dict_DQ_Meth_max[[#This Row],[Vergleich_lb]])+dict_DQ_Meth_max[[#This Row],[Vergleich_lb]]</f>
        <v>5718.58</v>
      </c>
      <c r="H1309" s="11" t="str">
        <f ca="1">VLOOKUP(VLOOKUP(dict_DQ_Meth_max[[#This Row],[ID_DataQualities]],table_DataQualities[],3),table_Units[],2)</f>
        <v>bit</v>
      </c>
      <c r="I1309" s="10"/>
      <c r="J1309" s="10"/>
      <c r="K1309" s="10"/>
      <c r="L1309" s="10">
        <f ca="1">VLOOKUP(dict_DQ_Meth_max[[#This Row],[ID_DataQualities]],table_DataQualities[],8,FALSE)</f>
        <v>73</v>
      </c>
      <c r="M1309" s="10">
        <f ca="1">VLOOKUP(dict_DQ_Meth_max[[#This Row],[ID_DataQualities]],table_DataQualities[],9,FALSE)</f>
        <v>8255</v>
      </c>
    </row>
    <row r="1310" spans="1:13" x14ac:dyDescent="0.45">
      <c r="A1310" s="10">
        <v>349</v>
      </c>
      <c r="B1310" s="10">
        <v>96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3263.98</v>
      </c>
      <c r="G1310" s="12">
        <f ca="1">(RANDBETWEEN(50,100)/100)*(dict_DQ_Meth_max[[#This Row],[Vergleich_ub]]-dict_DQ_Meth_max[[#This Row],[Vergleich_lb]])+dict_DQ_Meth_max[[#This Row],[Vergleich_lb]]</f>
        <v>6618.6</v>
      </c>
      <c r="H1310" s="11" t="str">
        <f ca="1">VLOOKUP(VLOOKUP(dict_DQ_Meth_max[[#This Row],[ID_DataQualities]],table_DataQualities[],3),table_Units[],2)</f>
        <v>bit</v>
      </c>
      <c r="I1310" s="10"/>
      <c r="J1310" s="10"/>
      <c r="K1310" s="10"/>
      <c r="L1310" s="10">
        <f ca="1">VLOOKUP(dict_DQ_Meth_max[[#This Row],[ID_DataQualities]],table_DataQualities[],8,FALSE)</f>
        <v>73</v>
      </c>
      <c r="M1310" s="10">
        <f ca="1">VLOOKUP(dict_DQ_Meth_max[[#This Row],[ID_DataQualities]],table_DataQualities[],9,FALSE)</f>
        <v>8255</v>
      </c>
    </row>
    <row r="1311" spans="1:13" x14ac:dyDescent="0.45">
      <c r="A1311" s="10">
        <v>349</v>
      </c>
      <c r="B1311" s="10">
        <v>512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1054.8399999999999</v>
      </c>
      <c r="G1311" s="12">
        <f ca="1">(RANDBETWEEN(50,100)/100)*(dict_DQ_Meth_max[[#This Row],[Vergleich_ub]]-dict_DQ_Meth_max[[#This Row],[Vergleich_lb]])+dict_DQ_Meth_max[[#This Row],[Vergleich_lb]]</f>
        <v>4409.46</v>
      </c>
      <c r="H1311" s="11" t="str">
        <f ca="1">VLOOKUP(VLOOKUP(dict_DQ_Meth_max[[#This Row],[ID_DataQualities]],table_DataQualities[],3),table_Units[],2)</f>
        <v>bit</v>
      </c>
      <c r="I1311" s="10"/>
      <c r="J1311" s="10"/>
      <c r="K1311" s="10"/>
      <c r="L1311" s="10">
        <f ca="1">VLOOKUP(dict_DQ_Meth_max[[#This Row],[ID_DataQualities]],table_DataQualities[],8,FALSE)</f>
        <v>73</v>
      </c>
      <c r="M1311" s="10">
        <f ca="1">VLOOKUP(dict_DQ_Meth_max[[#This Row],[ID_DataQualities]],table_DataQualities[],9,FALSE)</f>
        <v>8255</v>
      </c>
    </row>
    <row r="1312" spans="1:13" x14ac:dyDescent="0.45">
      <c r="A1312" s="10">
        <v>350</v>
      </c>
      <c r="B1312" s="10">
        <v>505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2121.0346</v>
      </c>
      <c r="G1312" s="12">
        <f ca="1">(RANDBETWEEN(50,100)/100)*(dict_DQ_Meth_max[[#This Row],[Vergleich_ub]]-dict_DQ_Meth_max[[#This Row],[Vergleich_lb]])+dict_DQ_Meth_max[[#This Row],[Vergleich_lb]]</f>
        <v>4400.5114699999995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0.59099999999999997</v>
      </c>
      <c r="M1312" s="10">
        <f ca="1">VLOOKUP(dict_DQ_Meth_max[[#This Row],[ID_DataQualities]],table_DataQualities[],9,FALSE)</f>
        <v>5301.7</v>
      </c>
    </row>
    <row r="1313" spans="1:13" x14ac:dyDescent="0.45">
      <c r="A1313" s="10">
        <v>350</v>
      </c>
      <c r="B1313" s="10">
        <v>208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954.79061999999988</v>
      </c>
      <c r="G1313" s="12">
        <f ca="1">(RANDBETWEEN(50,100)/100)*(dict_DQ_Meth_max[[#This Row],[Vergleich_ub]]-dict_DQ_Meth_max[[#This Row],[Vergleich_lb]])+dict_DQ_Meth_max[[#This Row],[Vergleich_lb]]</f>
        <v>3128.2453099999993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0.59099999999999997</v>
      </c>
      <c r="M1313" s="10">
        <f ca="1">VLOOKUP(dict_DQ_Meth_max[[#This Row],[ID_DataQualities]],table_DataQualities[],9,FALSE)</f>
        <v>5301.7</v>
      </c>
    </row>
    <row r="1314" spans="1:13" x14ac:dyDescent="0.45">
      <c r="A1314" s="10">
        <v>350</v>
      </c>
      <c r="B1314" s="10">
        <v>352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2280.0678699999999</v>
      </c>
      <c r="G1314" s="12">
        <f ca="1">(RANDBETWEEN(50,100)/100)*(dict_DQ_Meth_max[[#This Row],[Vergleich_ub]]-dict_DQ_Meth_max[[#This Row],[Vergleich_lb]])+dict_DQ_Meth_max[[#This Row],[Vergleich_lb]]</f>
        <v>3128.2453099999993</v>
      </c>
      <c r="H1314" s="11" t="str">
        <f ca="1">VLOOKUP(VLOOKUP(dict_DQ_Meth_max[[#This Row],[ID_DataQualities]],table_DataQualities[],3),table_Units[],2)</f>
        <v>Hz</v>
      </c>
      <c r="I1314" s="10"/>
      <c r="J1314" s="10"/>
      <c r="K1314" s="10"/>
      <c r="L1314" s="10">
        <f ca="1">VLOOKUP(dict_DQ_Meth_max[[#This Row],[ID_DataQualities]],table_DataQualities[],8,FALSE)</f>
        <v>0.59099999999999997</v>
      </c>
      <c r="M1314" s="10">
        <f ca="1">VLOOKUP(dict_DQ_Meth_max[[#This Row],[ID_DataQualities]],table_DataQualities[],9,FALSE)</f>
        <v>5301.7</v>
      </c>
    </row>
    <row r="1315" spans="1:13" x14ac:dyDescent="0.45">
      <c r="A1315" s="10">
        <v>351</v>
      </c>
      <c r="B1315" s="10">
        <v>505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4.4539999999999997</v>
      </c>
      <c r="G1315" s="12">
        <f ca="1">(RANDBETWEEN(50,100)/100)*(dict_DQ_Meth_max[[#This Row],[Vergleich_ub]]-dict_DQ_Meth_max[[#This Row],[Vergleich_lb]])+dict_DQ_Meth_max[[#This Row],[Vergleich_lb]]</f>
        <v>7.18</v>
      </c>
      <c r="H1315" s="11" t="str">
        <f ca="1">VLOOKUP(VLOOKUP(dict_DQ_Meth_max[[#This Row],[ID_DataQualities]],table_DataQualities[],3),table_Units[],2)</f>
        <v>+/- °C</v>
      </c>
      <c r="I1315" s="10"/>
      <c r="J1315" s="10"/>
      <c r="K1315" s="10"/>
      <c r="L1315" s="10">
        <f ca="1">VLOOKUP(dict_DQ_Meth_max[[#This Row],[ID_DataQualities]],table_DataQualities[],8,FALSE)</f>
        <v>0.6</v>
      </c>
      <c r="M1315" s="10">
        <f ca="1">VLOOKUP(dict_DQ_Meth_max[[#This Row],[ID_DataQualities]],table_DataQualities[],9,FALSE)</f>
        <v>10</v>
      </c>
    </row>
    <row r="1316" spans="1:13" x14ac:dyDescent="0.45">
      <c r="A1316" s="10">
        <v>351</v>
      </c>
      <c r="B1316" s="10">
        <v>208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5.1119999999999992</v>
      </c>
      <c r="G1316" s="12">
        <f ca="1">(RANDBETWEEN(50,100)/100)*(dict_DQ_Meth_max[[#This Row],[Vergleich_ub]]-dict_DQ_Meth_max[[#This Row],[Vergleich_lb]])+dict_DQ_Meth_max[[#This Row],[Vergleich_lb]]</f>
        <v>8.3079999999999998</v>
      </c>
      <c r="H1316" s="11" t="str">
        <f ca="1">VLOOKUP(VLOOKUP(dict_DQ_Meth_max[[#This Row],[ID_DataQualities]],table_DataQualities[],3),table_Units[],2)</f>
        <v>+/- °C</v>
      </c>
      <c r="I1316" s="10"/>
      <c r="J1316" s="10"/>
      <c r="K1316" s="10"/>
      <c r="L1316" s="10">
        <f ca="1">VLOOKUP(dict_DQ_Meth_max[[#This Row],[ID_DataQualities]],table_DataQualities[],8,FALSE)</f>
        <v>0.6</v>
      </c>
      <c r="M1316" s="10">
        <f ca="1">VLOOKUP(dict_DQ_Meth_max[[#This Row],[ID_DataQualities]],table_DataQualities[],9,FALSE)</f>
        <v>10</v>
      </c>
    </row>
    <row r="1317" spans="1:13" x14ac:dyDescent="0.45">
      <c r="A1317" s="10">
        <v>351</v>
      </c>
      <c r="B1317" s="10">
        <v>352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2.6680000000000001</v>
      </c>
      <c r="G1317" s="12">
        <f ca="1">(RANDBETWEEN(50,100)/100)*(dict_DQ_Meth_max[[#This Row],[Vergleich_ub]]-dict_DQ_Meth_max[[#This Row],[Vergleich_lb]])+dict_DQ_Meth_max[[#This Row],[Vergleich_lb]]</f>
        <v>10</v>
      </c>
      <c r="H1317" s="11" t="str">
        <f ca="1">VLOOKUP(VLOOKUP(dict_DQ_Meth_max[[#This Row],[ID_DataQualities]],table_DataQualities[],3),table_Units[],2)</f>
        <v>+/- °C</v>
      </c>
      <c r="I1317" s="10"/>
      <c r="J1317" s="10"/>
      <c r="K1317" s="10"/>
      <c r="L1317" s="10">
        <f ca="1">VLOOKUP(dict_DQ_Meth_max[[#This Row],[ID_DataQualities]],table_DataQualities[],8,FALSE)</f>
        <v>0.6</v>
      </c>
      <c r="M1317" s="10">
        <f ca="1">VLOOKUP(dict_DQ_Meth_max[[#This Row],[ID_DataQualities]],table_DataQualities[],9,FALSE)</f>
        <v>10</v>
      </c>
    </row>
    <row r="1318" spans="1:13" x14ac:dyDescent="0.45">
      <c r="A1318" s="10">
        <v>352</v>
      </c>
      <c r="B1318" s="10">
        <v>101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1659.1501199999998</v>
      </c>
      <c r="G1318" s="12">
        <f ca="1">(RANDBETWEEN(50,100)/100)*(dict_DQ_Meth_max[[#This Row],[Vergleich_ub]]-dict_DQ_Meth_max[[#This Row],[Vergleich_lb]])+dict_DQ_Meth_max[[#This Row],[Vergleich_lb]]</f>
        <v>4186.1171600000007</v>
      </c>
      <c r="H1318" s="11" t="str">
        <f ca="1">VLOOKUP(VLOOKUP(dict_DQ_Meth_max[[#This Row],[ID_DataQualities]],table_DataQualities[],3),table_Units[],2)</f>
        <v>Hz</v>
      </c>
      <c r="I1318" s="10"/>
      <c r="J1318" s="10"/>
      <c r="K1318" s="10"/>
      <c r="L1318" s="10">
        <f ca="1">VLOOKUP(dict_DQ_Meth_max[[#This Row],[ID_DataQualities]],table_DataQualities[],8,FALSE)</f>
        <v>0.82799999999999996</v>
      </c>
      <c r="M1318" s="10">
        <f ca="1">VLOOKUP(dict_DQ_Meth_max[[#This Row],[ID_DataQualities]],table_DataQualities[],9,FALSE)</f>
        <v>7897.6</v>
      </c>
    </row>
    <row r="1319" spans="1:13" x14ac:dyDescent="0.45">
      <c r="A1319" s="10">
        <v>352</v>
      </c>
      <c r="B1319" s="10">
        <v>296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3554.3753999999999</v>
      </c>
      <c r="G1319" s="12">
        <f ca="1">(RANDBETWEEN(50,100)/100)*(dict_DQ_Meth_max[[#This Row],[Vergleich_ub]]-dict_DQ_Meth_max[[#This Row],[Vergleich_lb]])+dict_DQ_Meth_max[[#This Row],[Vergleich_lb]]</f>
        <v>4423.0203200000005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0.82799999999999996</v>
      </c>
      <c r="M1319" s="10">
        <f ca="1">VLOOKUP(dict_DQ_Meth_max[[#This Row],[ID_DataQualities]],table_DataQualities[],9,FALSE)</f>
        <v>7897.6</v>
      </c>
    </row>
    <row r="1320" spans="1:13" x14ac:dyDescent="0.45">
      <c r="A1320" s="10">
        <v>352</v>
      </c>
      <c r="B1320" s="10">
        <v>52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2290.8918799999997</v>
      </c>
      <c r="G1320" s="12">
        <f ca="1">(RANDBETWEEN(50,100)/100)*(dict_DQ_Meth_max[[#This Row],[Vergleich_ub]]-dict_DQ_Meth_max[[#This Row],[Vergleich_lb]])+dict_DQ_Meth_max[[#This Row],[Vergleich_lb]]</f>
        <v>6634.1164799999997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0.82799999999999996</v>
      </c>
      <c r="M1320" s="10">
        <f ca="1">VLOOKUP(dict_DQ_Meth_max[[#This Row],[ID_DataQualities]],table_DataQualities[],9,FALSE)</f>
        <v>7897.6</v>
      </c>
    </row>
    <row r="1321" spans="1:13" x14ac:dyDescent="0.45">
      <c r="A1321" s="10">
        <v>353</v>
      </c>
      <c r="B1321" s="10">
        <v>101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0.27269499999999997</v>
      </c>
      <c r="G1321" s="12">
        <f ca="1">(RANDBETWEEN(50,100)/100)*(dict_DQ_Meth_max[[#This Row],[Vergleich_ub]]-dict_DQ_Meth_max[[#This Row],[Vergleich_lb]])+dict_DQ_Meth_max[[#This Row],[Vergleich_lb]]</f>
        <v>0.40344999999999998</v>
      </c>
      <c r="H1321" s="11" t="str">
        <f ca="1">VLOOKUP(VLOOKUP(dict_DQ_Meth_max[[#This Row],[ID_DataQualities]],table_DataQualities[],3),table_Units[],2)</f>
        <v>+/- cm³/s</v>
      </c>
      <c r="I1321" s="10"/>
      <c r="J1321" s="10"/>
      <c r="K1321" s="10"/>
      <c r="L1321" s="10">
        <f ca="1">VLOOKUP(dict_DQ_Meth_max[[#This Row],[ID_DataQualities]],table_DataQualities[],8,FALSE)</f>
        <v>5.4999999999999997E-3</v>
      </c>
      <c r="M1321" s="10">
        <f ca="1">VLOOKUP(dict_DQ_Meth_max[[#This Row],[ID_DataQualities]],table_DataQualities[],9,FALSE)</f>
        <v>0.57399999999999995</v>
      </c>
    </row>
    <row r="1322" spans="1:13" x14ac:dyDescent="0.45">
      <c r="A1322" s="10">
        <v>353</v>
      </c>
      <c r="B1322" s="10">
        <v>296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1.1185E-2</v>
      </c>
      <c r="G1322" s="12">
        <f ca="1">(RANDBETWEEN(50,100)/100)*(dict_DQ_Meth_max[[#This Row],[Vergleich_ub]]-dict_DQ_Meth_max[[#This Row],[Vergleich_lb]])+dict_DQ_Meth_max[[#This Row],[Vergleich_lb]]</f>
        <v>0.48303999999999997</v>
      </c>
      <c r="H1322" s="11" t="str">
        <f ca="1">VLOOKUP(VLOOKUP(dict_DQ_Meth_max[[#This Row],[ID_DataQualities]],table_DataQualities[],3),table_Units[],2)</f>
        <v>+/- cm³/s</v>
      </c>
      <c r="I1322" s="10"/>
      <c r="J1322" s="10"/>
      <c r="K1322" s="10"/>
      <c r="L1322" s="10">
        <f ca="1">VLOOKUP(dict_DQ_Meth_max[[#This Row],[ID_DataQualities]],table_DataQualities[],8,FALSE)</f>
        <v>5.4999999999999997E-3</v>
      </c>
      <c r="M1322" s="10">
        <f ca="1">VLOOKUP(dict_DQ_Meth_max[[#This Row],[ID_DataQualities]],table_DataQualities[],9,FALSE)</f>
        <v>0.57399999999999995</v>
      </c>
    </row>
    <row r="1323" spans="1:13" x14ac:dyDescent="0.45">
      <c r="A1323" s="10">
        <v>353</v>
      </c>
      <c r="B1323" s="10">
        <v>52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9.6460000000000004E-2</v>
      </c>
      <c r="G1323" s="12">
        <f ca="1">(RANDBETWEEN(50,100)/100)*(dict_DQ_Meth_max[[#This Row],[Vergleich_ub]]-dict_DQ_Meth_max[[#This Row],[Vergleich_lb]])+dict_DQ_Meth_max[[#This Row],[Vergleich_lb]]</f>
        <v>0.35228500000000001</v>
      </c>
      <c r="H1323" s="11" t="str">
        <f ca="1">VLOOKUP(VLOOKUP(dict_DQ_Meth_max[[#This Row],[ID_DataQualities]],table_DataQualities[],3),table_Units[],2)</f>
        <v>+/- cm³/s</v>
      </c>
      <c r="I1323" s="10"/>
      <c r="J1323" s="10"/>
      <c r="K1323" s="10"/>
      <c r="L1323" s="10">
        <f ca="1">VLOOKUP(dict_DQ_Meth_max[[#This Row],[ID_DataQualities]],table_DataQualities[],8,FALSE)</f>
        <v>5.4999999999999997E-3</v>
      </c>
      <c r="M1323" s="10">
        <f ca="1">VLOOKUP(dict_DQ_Meth_max[[#This Row],[ID_DataQualities]],table_DataQualities[],9,FALSE)</f>
        <v>0.57399999999999995</v>
      </c>
    </row>
    <row r="1324" spans="1:13" x14ac:dyDescent="0.45">
      <c r="A1324" s="10">
        <v>354</v>
      </c>
      <c r="B1324" s="10">
        <v>110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417.38885999999997</v>
      </c>
      <c r="G1324" s="12">
        <f ca="1">(RANDBETWEEN(50,100)/100)*(dict_DQ_Meth_max[[#This Row],[Vergleich_ub]]-dict_DQ_Meth_max[[#This Row],[Vergleich_lb]])+dict_DQ_Meth_max[[#This Row],[Vergleich_lb]]</f>
        <v>4026.3609799999999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0.96899999999999997</v>
      </c>
      <c r="M1324" s="10">
        <f ca="1">VLOOKUP(dict_DQ_Meth_max[[#This Row],[ID_DataQualities]],table_DataQualities[],9,FALSE)</f>
        <v>6941.3</v>
      </c>
    </row>
    <row r="1325" spans="1:13" x14ac:dyDescent="0.45">
      <c r="A1325" s="10">
        <v>354</v>
      </c>
      <c r="B1325" s="10">
        <v>136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2221.8749200000002</v>
      </c>
      <c r="G1325" s="12">
        <f ca="1">(RANDBETWEEN(50,100)/100)*(dict_DQ_Meth_max[[#This Row],[Vergleich_ub]]-dict_DQ_Meth_max[[#This Row],[Vergleich_lb]])+dict_DQ_Meth_max[[#This Row],[Vergleich_lb]]</f>
        <v>6524.8801400000002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0.96899999999999997</v>
      </c>
      <c r="M1325" s="10">
        <f ca="1">VLOOKUP(dict_DQ_Meth_max[[#This Row],[ID_DataQualities]],table_DataQualities[],9,FALSE)</f>
        <v>6941.3</v>
      </c>
    </row>
    <row r="1326" spans="1:13" x14ac:dyDescent="0.45">
      <c r="A1326" s="10">
        <v>354</v>
      </c>
      <c r="B1326" s="10">
        <v>251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556.19548000000009</v>
      </c>
      <c r="G1326" s="12">
        <f ca="1">(RANDBETWEEN(50,100)/100)*(dict_DQ_Meth_max[[#This Row],[Vergleich_ub]]-dict_DQ_Meth_max[[#This Row],[Vergleich_lb]])+dict_DQ_Meth_max[[#This Row],[Vergleich_lb]]</f>
        <v>3679.3444300000001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0.96899999999999997</v>
      </c>
      <c r="M1326" s="10">
        <f ca="1">VLOOKUP(dict_DQ_Meth_max[[#This Row],[ID_DataQualities]],table_DataQualities[],9,FALSE)</f>
        <v>6941.3</v>
      </c>
    </row>
    <row r="1327" spans="1:13" x14ac:dyDescent="0.45">
      <c r="A1327" s="10">
        <v>354</v>
      </c>
      <c r="B1327" s="10">
        <v>67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1458.43851</v>
      </c>
      <c r="G1327" s="12">
        <f ca="1">(RANDBETWEEN(50,100)/100)*(dict_DQ_Meth_max[[#This Row],[Vergleich_ub]]-dict_DQ_Meth_max[[#This Row],[Vergleich_lb]])+dict_DQ_Meth_max[[#This Row],[Vergleich_lb]]</f>
        <v>3818.1510500000004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0.96899999999999997</v>
      </c>
      <c r="M1327" s="10">
        <f ca="1">VLOOKUP(dict_DQ_Meth_max[[#This Row],[ID_DataQualities]],table_DataQualities[],9,FALSE)</f>
        <v>6941.3</v>
      </c>
    </row>
    <row r="1328" spans="1:13" x14ac:dyDescent="0.45">
      <c r="A1328" s="10">
        <v>354</v>
      </c>
      <c r="B1328" s="10">
        <v>631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1180.82527</v>
      </c>
      <c r="G1328" s="12">
        <f ca="1">(RANDBETWEEN(50,100)/100)*(dict_DQ_Meth_max[[#This Row],[Vergleich_ub]]-dict_DQ_Meth_max[[#This Row],[Vergleich_lb]])+dict_DQ_Meth_max[[#This Row],[Vergleich_lb]]</f>
        <v>4928.60401</v>
      </c>
      <c r="H1328" s="11" t="str">
        <f ca="1">VLOOKUP(VLOOKUP(dict_DQ_Meth_max[[#This Row],[ID_DataQualities]],table_DataQualities[],3),table_Units[],2)</f>
        <v>Hz</v>
      </c>
      <c r="I1328" s="10"/>
      <c r="J1328" s="10"/>
      <c r="K1328" s="10"/>
      <c r="L1328" s="10">
        <f ca="1">VLOOKUP(dict_DQ_Meth_max[[#This Row],[ID_DataQualities]],table_DataQualities[],8,FALSE)</f>
        <v>0.96899999999999997</v>
      </c>
      <c r="M1328" s="10">
        <f ca="1">VLOOKUP(dict_DQ_Meth_max[[#This Row],[ID_DataQualities]],table_DataQualities[],9,FALSE)</f>
        <v>6941.3</v>
      </c>
    </row>
    <row r="1329" spans="1:13" x14ac:dyDescent="0.45">
      <c r="A1329" s="10">
        <v>355</v>
      </c>
      <c r="B1329" s="10">
        <v>110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0.23182</v>
      </c>
      <c r="G1329" s="12">
        <f ca="1">(RANDBETWEEN(50,100)/100)*(dict_DQ_Meth_max[[#This Row],[Vergleich_ub]]-dict_DQ_Meth_max[[#This Row],[Vergleich_lb]])+dict_DQ_Meth_max[[#This Row],[Vergleich_lb]]</f>
        <v>4.6279600000000007</v>
      </c>
      <c r="H1329" s="11" t="str">
        <f ca="1">VLOOKUP(VLOOKUP(dict_DQ_Meth_max[[#This Row],[ID_DataQualities]],table_DataQualities[],3),table_Units[],2)</f>
        <v>+/- mm</v>
      </c>
      <c r="I1329" s="10"/>
      <c r="J1329" s="10"/>
      <c r="K1329" s="10"/>
      <c r="L1329" s="10">
        <f ca="1">VLOOKUP(dict_DQ_Meth_max[[#This Row],[ID_DataQualities]],table_DataQualities[],8,FALSE)</f>
        <v>6.9000000000000006E-2</v>
      </c>
      <c r="M1329" s="10">
        <f ca="1">VLOOKUP(dict_DQ_Meth_max[[#This Row],[ID_DataQualities]],table_DataQualities[],9,FALSE)</f>
        <v>8.2100000000000009</v>
      </c>
    </row>
    <row r="1330" spans="1:13" x14ac:dyDescent="0.45">
      <c r="A1330" s="10">
        <v>355</v>
      </c>
      <c r="B1330" s="10">
        <v>67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0.55746000000000007</v>
      </c>
      <c r="G1330" s="12">
        <f ca="1">(RANDBETWEEN(50,100)/100)*(dict_DQ_Meth_max[[#This Row],[Vergleich_ub]]-dict_DQ_Meth_max[[#This Row],[Vergleich_lb]])+dict_DQ_Meth_max[[#This Row],[Vergleich_lb]]</f>
        <v>7.1516700000000002</v>
      </c>
      <c r="H1330" s="11" t="str">
        <f ca="1">VLOOKUP(VLOOKUP(dict_DQ_Meth_max[[#This Row],[ID_DataQualities]],table_DataQualities[],3),table_Units[],2)</f>
        <v>+/- mm</v>
      </c>
      <c r="I1330" s="10"/>
      <c r="J1330" s="10"/>
      <c r="K1330" s="10"/>
      <c r="L1330" s="10">
        <f ca="1">VLOOKUP(dict_DQ_Meth_max[[#This Row],[ID_DataQualities]],table_DataQualities[],8,FALSE)</f>
        <v>6.9000000000000006E-2</v>
      </c>
      <c r="M1330" s="10">
        <f ca="1">VLOOKUP(dict_DQ_Meth_max[[#This Row],[ID_DataQualities]],table_DataQualities[],9,FALSE)</f>
        <v>8.2100000000000009</v>
      </c>
    </row>
    <row r="1331" spans="1:13" x14ac:dyDescent="0.45">
      <c r="A1331" s="10">
        <v>355</v>
      </c>
      <c r="B1331" s="10">
        <v>251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2.10425</v>
      </c>
      <c r="G1331" s="12">
        <f ca="1">(RANDBETWEEN(50,100)/100)*(dict_DQ_Meth_max[[#This Row],[Vergleich_ub]]-dict_DQ_Meth_max[[#This Row],[Vergleich_lb]])+dict_DQ_Meth_max[[#This Row],[Vergleich_lb]]</f>
        <v>5.2792399999999997</v>
      </c>
      <c r="H1331" s="11" t="str">
        <f ca="1">VLOOKUP(VLOOKUP(dict_DQ_Meth_max[[#This Row],[ID_DataQualities]],table_DataQualities[],3),table_Units[],2)</f>
        <v>+/- mm</v>
      </c>
      <c r="I1331" s="10"/>
      <c r="J1331" s="10"/>
      <c r="K1331" s="10"/>
      <c r="L1331" s="10">
        <f ca="1">VLOOKUP(dict_DQ_Meth_max[[#This Row],[ID_DataQualities]],table_DataQualities[],8,FALSE)</f>
        <v>6.9000000000000006E-2</v>
      </c>
      <c r="M1331" s="10">
        <f ca="1">VLOOKUP(dict_DQ_Meth_max[[#This Row],[ID_DataQualities]],table_DataQualities[],9,FALSE)</f>
        <v>8.2100000000000009</v>
      </c>
    </row>
    <row r="1332" spans="1:13" x14ac:dyDescent="0.45">
      <c r="A1332" s="10">
        <v>355</v>
      </c>
      <c r="B1332" s="10">
        <v>631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1.94143</v>
      </c>
      <c r="G1332" s="12">
        <f ca="1">(RANDBETWEEN(50,100)/100)*(dict_DQ_Meth_max[[#This Row],[Vergleich_ub]]-dict_DQ_Meth_max[[#This Row],[Vergleich_lb]])+dict_DQ_Meth_max[[#This Row],[Vergleich_lb]]</f>
        <v>7.88436</v>
      </c>
      <c r="H1332" s="11" t="str">
        <f ca="1">VLOOKUP(VLOOKUP(dict_DQ_Meth_max[[#This Row],[ID_DataQualities]],table_DataQualities[],3),table_Units[],2)</f>
        <v>+/- mm</v>
      </c>
      <c r="I1332" s="10"/>
      <c r="J1332" s="10"/>
      <c r="K1332" s="10"/>
      <c r="L1332" s="10">
        <f ca="1">VLOOKUP(dict_DQ_Meth_max[[#This Row],[ID_DataQualities]],table_DataQualities[],8,FALSE)</f>
        <v>6.9000000000000006E-2</v>
      </c>
      <c r="M1332" s="10">
        <f ca="1">VLOOKUP(dict_DQ_Meth_max[[#This Row],[ID_DataQualities]],table_DataQualities[],9,FALSE)</f>
        <v>8.2100000000000009</v>
      </c>
    </row>
    <row r="1333" spans="1:13" x14ac:dyDescent="0.45">
      <c r="A1333" s="10">
        <v>355</v>
      </c>
      <c r="B1333" s="10">
        <v>136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1.6972</v>
      </c>
      <c r="G1333" s="12">
        <f ca="1">(RANDBETWEEN(50,100)/100)*(dict_DQ_Meth_max[[#This Row],[Vergleich_ub]]-dict_DQ_Meth_max[[#This Row],[Vergleich_lb]])+dict_DQ_Meth_max[[#This Row],[Vergleich_lb]]</f>
        <v>4.8721899999999998</v>
      </c>
      <c r="H1333" s="11" t="str">
        <f ca="1">VLOOKUP(VLOOKUP(dict_DQ_Meth_max[[#This Row],[ID_DataQualities]],table_DataQualities[],3),table_Units[],2)</f>
        <v>+/- mm</v>
      </c>
      <c r="I1333" s="10"/>
      <c r="J1333" s="10"/>
      <c r="K1333" s="10"/>
      <c r="L1333" s="10">
        <f ca="1">VLOOKUP(dict_DQ_Meth_max[[#This Row],[ID_DataQualities]],table_DataQualities[],8,FALSE)</f>
        <v>6.9000000000000006E-2</v>
      </c>
      <c r="M1333" s="10">
        <f ca="1">VLOOKUP(dict_DQ_Meth_max[[#This Row],[ID_DataQualities]],table_DataQualities[],9,FALSE)</f>
        <v>8.2100000000000009</v>
      </c>
    </row>
    <row r="1334" spans="1:13" x14ac:dyDescent="0.45">
      <c r="A1334" s="10">
        <v>356</v>
      </c>
      <c r="B1334" s="10">
        <v>686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2272.2428800000002</v>
      </c>
      <c r="G1334" s="12">
        <f ca="1">(RANDBETWEEN(50,100)/100)*(dict_DQ_Meth_max[[#This Row],[Vergleich_ub]]-dict_DQ_Meth_max[[#This Row],[Vergleich_lb]])+dict_DQ_Meth_max[[#This Row],[Vergleich_lb]]</f>
        <v>5679.7012000000004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0.60399999999999998</v>
      </c>
      <c r="M1334" s="10">
        <f ca="1">VLOOKUP(dict_DQ_Meth_max[[#This Row],[ID_DataQualities]],table_DataQualities[],9,FALSE)</f>
        <v>8113.6</v>
      </c>
    </row>
    <row r="1335" spans="1:13" x14ac:dyDescent="0.45">
      <c r="A1335" s="10">
        <v>356</v>
      </c>
      <c r="B1335" s="10">
        <v>94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811.9036000000001</v>
      </c>
      <c r="G1335" s="12">
        <f ca="1">(RANDBETWEEN(50,100)/100)*(dict_DQ_Meth_max[[#This Row],[Vergleich_ub]]-dict_DQ_Meth_max[[#This Row],[Vergleich_lb]])+dict_DQ_Meth_max[[#This Row],[Vergleich_lb]]</f>
        <v>4787.2716399999999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0.60399999999999998</v>
      </c>
      <c r="M1335" s="10">
        <f ca="1">VLOOKUP(dict_DQ_Meth_max[[#This Row],[ID_DataQualities]],table_DataQualities[],9,FALSE)</f>
        <v>8113.6</v>
      </c>
    </row>
    <row r="1336" spans="1:13" x14ac:dyDescent="0.45">
      <c r="A1336" s="10">
        <v>356</v>
      </c>
      <c r="B1336" s="10">
        <v>36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1136.4234400000003</v>
      </c>
      <c r="G1336" s="12">
        <f ca="1">(RANDBETWEEN(50,100)/100)*(dict_DQ_Meth_max[[#This Row],[Vergleich_ub]]-dict_DQ_Meth_max[[#This Row],[Vergleich_lb]])+dict_DQ_Meth_max[[#This Row],[Vergleich_lb]]</f>
        <v>8113.6</v>
      </c>
      <c r="H1336" s="11" t="str">
        <f ca="1">VLOOKUP(VLOOKUP(dict_DQ_Meth_max[[#This Row],[ID_DataQualities]],table_DataQualities[],3),table_Units[],2)</f>
        <v>Hz</v>
      </c>
      <c r="I1336" s="10"/>
      <c r="J1336" s="10"/>
      <c r="K1336" s="10"/>
      <c r="L1336" s="10">
        <f ca="1">VLOOKUP(dict_DQ_Meth_max[[#This Row],[ID_DataQualities]],table_DataQualities[],8,FALSE)</f>
        <v>0.60399999999999998</v>
      </c>
      <c r="M1336" s="10">
        <f ca="1">VLOOKUP(dict_DQ_Meth_max[[#This Row],[ID_DataQualities]],table_DataQualities[],9,FALSE)</f>
        <v>8113.6</v>
      </c>
    </row>
    <row r="1337" spans="1:13" x14ac:dyDescent="0.45">
      <c r="A1337" s="10">
        <v>356</v>
      </c>
      <c r="B1337" s="10">
        <v>32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3570.32224</v>
      </c>
      <c r="G1337" s="12">
        <f ca="1">(RANDBETWEEN(50,100)/100)*(dict_DQ_Meth_max[[#This Row],[Vergleich_ub]]-dict_DQ_Meth_max[[#This Row],[Vergleich_lb]])+dict_DQ_Meth_max[[#This Row],[Vergleich_lb]]</f>
        <v>4706.1416799999997</v>
      </c>
      <c r="H1337" s="11" t="str">
        <f ca="1">VLOOKUP(VLOOKUP(dict_DQ_Meth_max[[#This Row],[ID_DataQualities]],table_DataQualities[],3),table_Units[],2)</f>
        <v>Hz</v>
      </c>
      <c r="I1337" s="10"/>
      <c r="J1337" s="10"/>
      <c r="K1337" s="10"/>
      <c r="L1337" s="10">
        <f ca="1">VLOOKUP(dict_DQ_Meth_max[[#This Row],[ID_DataQualities]],table_DataQualities[],8,FALSE)</f>
        <v>0.60399999999999998</v>
      </c>
      <c r="M1337" s="10">
        <f ca="1">VLOOKUP(dict_DQ_Meth_max[[#This Row],[ID_DataQualities]],table_DataQualities[],9,FALSE)</f>
        <v>8113.6</v>
      </c>
    </row>
    <row r="1338" spans="1:13" x14ac:dyDescent="0.45">
      <c r="A1338" s="10">
        <v>357</v>
      </c>
      <c r="B1338" s="10">
        <v>32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0.44528000000000001</v>
      </c>
      <c r="G1338" s="12">
        <f ca="1">(RANDBETWEEN(50,100)/100)*(dict_DQ_Meth_max[[#This Row],[Vergleich_ub]]-dict_DQ_Meth_max[[#This Row],[Vergleich_lb]])+dict_DQ_Meth_max[[#This Row],[Vergleich_lb]]</f>
        <v>0.71744000000000008</v>
      </c>
      <c r="H1338" s="11" t="str">
        <f ca="1">VLOOKUP(VLOOKUP(dict_DQ_Meth_max[[#This Row],[ID_DataQualities]],table_DataQualities[],3),table_Units[],2)</f>
        <v>+/- W</v>
      </c>
      <c r="I1338" s="10"/>
      <c r="J1338" s="10"/>
      <c r="K1338" s="10"/>
      <c r="L1338" s="10">
        <f ca="1">VLOOKUP(dict_DQ_Meth_max[[#This Row],[ID_DataQualities]],table_DataQualities[],8,FALSE)</f>
        <v>3.2000000000000001E-2</v>
      </c>
      <c r="M1338" s="10">
        <f ca="1">VLOOKUP(dict_DQ_Meth_max[[#This Row],[ID_DataQualities]],table_DataQualities[],9,FALSE)</f>
        <v>1.04</v>
      </c>
    </row>
    <row r="1339" spans="1:13" x14ac:dyDescent="0.45">
      <c r="A1339" s="10">
        <v>357</v>
      </c>
      <c r="B1339" s="10">
        <v>686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0.28400000000000003</v>
      </c>
      <c r="G1339" s="12">
        <f ca="1">(RANDBETWEEN(50,100)/100)*(dict_DQ_Meth_max[[#This Row],[Vergleich_ub]]-dict_DQ_Meth_max[[#This Row],[Vergleich_lb]])+dict_DQ_Meth_max[[#This Row],[Vergleich_lb]]</f>
        <v>0.74768000000000001</v>
      </c>
      <c r="H1339" s="11" t="str">
        <f ca="1">VLOOKUP(VLOOKUP(dict_DQ_Meth_max[[#This Row],[ID_DataQualities]],table_DataQualities[],3),table_Units[],2)</f>
        <v>+/- W</v>
      </c>
      <c r="I1339" s="10"/>
      <c r="J1339" s="10"/>
      <c r="K1339" s="10"/>
      <c r="L1339" s="10">
        <f ca="1">VLOOKUP(dict_DQ_Meth_max[[#This Row],[ID_DataQualities]],table_DataQualities[],8,FALSE)</f>
        <v>3.2000000000000001E-2</v>
      </c>
      <c r="M1339" s="10">
        <f ca="1">VLOOKUP(dict_DQ_Meth_max[[#This Row],[ID_DataQualities]],table_DataQualities[],9,FALSE)</f>
        <v>1.04</v>
      </c>
    </row>
    <row r="1340" spans="1:13" x14ac:dyDescent="0.45">
      <c r="A1340" s="10">
        <v>357</v>
      </c>
      <c r="B1340" s="10">
        <v>36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0.32431999999999994</v>
      </c>
      <c r="G1340" s="12">
        <f ca="1">(RANDBETWEEN(50,100)/100)*(dict_DQ_Meth_max[[#This Row],[Vergleich_ub]]-dict_DQ_Meth_max[[#This Row],[Vergleich_lb]])+dict_DQ_Meth_max[[#This Row],[Vergleich_lb]]</f>
        <v>0.87872000000000006</v>
      </c>
      <c r="H1340" s="11" t="str">
        <f ca="1">VLOOKUP(VLOOKUP(dict_DQ_Meth_max[[#This Row],[ID_DataQualities]],table_DataQualities[],3),table_Units[],2)</f>
        <v>+/- W</v>
      </c>
      <c r="I1340" s="10"/>
      <c r="J1340" s="10"/>
      <c r="K1340" s="10"/>
      <c r="L1340" s="10">
        <f ca="1">VLOOKUP(dict_DQ_Meth_max[[#This Row],[ID_DataQualities]],table_DataQualities[],8,FALSE)</f>
        <v>3.2000000000000001E-2</v>
      </c>
      <c r="M1340" s="10">
        <f ca="1">VLOOKUP(dict_DQ_Meth_max[[#This Row],[ID_DataQualities]],table_DataQualities[],9,FALSE)</f>
        <v>1.04</v>
      </c>
    </row>
    <row r="1341" spans="1:13" x14ac:dyDescent="0.45">
      <c r="A1341" s="10">
        <v>357</v>
      </c>
      <c r="B1341" s="10">
        <v>94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0.33440000000000003</v>
      </c>
      <c r="G1341" s="12">
        <f ca="1">(RANDBETWEEN(50,100)/100)*(dict_DQ_Meth_max[[#This Row],[Vergleich_ub]]-dict_DQ_Meth_max[[#This Row],[Vergleich_lb]])+dict_DQ_Meth_max[[#This Row],[Vergleich_lb]]</f>
        <v>0.84848000000000012</v>
      </c>
      <c r="H1341" s="11" t="str">
        <f ca="1">VLOOKUP(VLOOKUP(dict_DQ_Meth_max[[#This Row],[ID_DataQualities]],table_DataQualities[],3),table_Units[],2)</f>
        <v>+/- W</v>
      </c>
      <c r="I1341" s="10"/>
      <c r="J1341" s="10"/>
      <c r="K1341" s="10"/>
      <c r="L1341" s="10">
        <f ca="1">VLOOKUP(dict_DQ_Meth_max[[#This Row],[ID_DataQualities]],table_DataQualities[],8,FALSE)</f>
        <v>3.2000000000000001E-2</v>
      </c>
      <c r="M1341" s="10">
        <f ca="1">VLOOKUP(dict_DQ_Meth_max[[#This Row],[ID_DataQualities]],table_DataQualities[],9,FALSE)</f>
        <v>1.04</v>
      </c>
    </row>
    <row r="1342" spans="1:13" x14ac:dyDescent="0.45">
      <c r="A1342" s="10">
        <v>358</v>
      </c>
      <c r="B1342" s="10">
        <v>493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3430.6841799999993</v>
      </c>
      <c r="G1342" s="12">
        <f ca="1">(RANDBETWEEN(50,100)/100)*(dict_DQ_Meth_max[[#This Row],[Vergleich_ub]]-dict_DQ_Meth_max[[#This Row],[Vergleich_lb]])+dict_DQ_Meth_max[[#This Row],[Vergleich_lb]]</f>
        <v>6442.5514599999997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0.502</v>
      </c>
      <c r="M1342" s="10">
        <f ca="1">VLOOKUP(dict_DQ_Meth_max[[#This Row],[ID_DataQualities]],table_DataQualities[],9,FALSE)</f>
        <v>8366.7999999999993</v>
      </c>
    </row>
    <row r="1343" spans="1:13" x14ac:dyDescent="0.45">
      <c r="A1343" s="10">
        <v>358</v>
      </c>
      <c r="B1343" s="10">
        <v>619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1088.1207399999998</v>
      </c>
      <c r="G1343" s="12">
        <f ca="1">(RANDBETWEEN(50,100)/100)*(dict_DQ_Meth_max[[#This Row],[Vergleich_ub]]-dict_DQ_Meth_max[[#This Row],[Vergleich_lb]])+dict_DQ_Meth_max[[#This Row],[Vergleich_lb]]</f>
        <v>6777.2033799999999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0.502</v>
      </c>
      <c r="M1343" s="10">
        <f ca="1">VLOOKUP(dict_DQ_Meth_max[[#This Row],[ID_DataQualities]],table_DataQualities[],9,FALSE)</f>
        <v>8366.7999999999993</v>
      </c>
    </row>
    <row r="1344" spans="1:13" x14ac:dyDescent="0.45">
      <c r="A1344" s="10">
        <v>358</v>
      </c>
      <c r="B1344" s="10">
        <v>8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3848.9990799999996</v>
      </c>
      <c r="G1344" s="12">
        <f ca="1">(RANDBETWEEN(50,100)/100)*(dict_DQ_Meth_max[[#This Row],[Vergleich_ub]]-dict_DQ_Meth_max[[#This Row],[Vergleich_lb]])+dict_DQ_Meth_max[[#This Row],[Vergleich_lb]]</f>
        <v>7362.8442399999994</v>
      </c>
      <c r="H1344" s="11" t="str">
        <f ca="1">VLOOKUP(VLOOKUP(dict_DQ_Meth_max[[#This Row],[ID_DataQualities]],table_DataQualities[],3),table_Units[],2)</f>
        <v>Hz</v>
      </c>
      <c r="I1344" s="10"/>
      <c r="J1344" s="10"/>
      <c r="K1344" s="10"/>
      <c r="L1344" s="10">
        <f ca="1">VLOOKUP(dict_DQ_Meth_max[[#This Row],[ID_DataQualities]],table_DataQualities[],8,FALSE)</f>
        <v>0.502</v>
      </c>
      <c r="M1344" s="10">
        <f ca="1">VLOOKUP(dict_DQ_Meth_max[[#This Row],[ID_DataQualities]],table_DataQualities[],9,FALSE)</f>
        <v>8366.7999999999993</v>
      </c>
    </row>
    <row r="1345" spans="1:13" x14ac:dyDescent="0.45">
      <c r="A1345" s="10">
        <v>359</v>
      </c>
      <c r="B1345" s="10">
        <v>8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1.4822499999999998</v>
      </c>
      <c r="G1345" s="12">
        <f ca="1">(RANDBETWEEN(50,100)/100)*(dict_DQ_Meth_max[[#This Row],[Vergleich_ub]]-dict_DQ_Meth_max[[#This Row],[Vergleich_lb]])+dict_DQ_Meth_max[[#This Row],[Vergleich_lb]]</f>
        <v>7.6301500000000004</v>
      </c>
      <c r="H1345" s="11" t="str">
        <f ca="1">VLOOKUP(VLOOKUP(dict_DQ_Meth_max[[#This Row],[ID_DataQualities]],table_DataQualities[],3),table_Units[],2)</f>
        <v>+/- W</v>
      </c>
      <c r="I1345" s="10"/>
      <c r="J1345" s="10"/>
      <c r="K1345" s="10"/>
      <c r="L1345" s="10">
        <f ca="1">VLOOKUP(dict_DQ_Meth_max[[#This Row],[ID_DataQualities]],table_DataQualities[],8,FALSE)</f>
        <v>8.5000000000000006E-2</v>
      </c>
      <c r="M1345" s="10">
        <f ca="1">VLOOKUP(dict_DQ_Meth_max[[#This Row],[ID_DataQualities]],table_DataQualities[],9,FALSE)</f>
        <v>9.4</v>
      </c>
    </row>
    <row r="1346" spans="1:13" x14ac:dyDescent="0.45">
      <c r="A1346" s="10">
        <v>359</v>
      </c>
      <c r="B1346" s="10">
        <v>619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0.27129999999999999</v>
      </c>
      <c r="G1346" s="12">
        <f ca="1">(RANDBETWEEN(50,100)/100)*(dict_DQ_Meth_max[[#This Row],[Vergleich_ub]]-dict_DQ_Meth_max[[#This Row],[Vergleich_lb]])+dict_DQ_Meth_max[[#This Row],[Vergleich_lb]]</f>
        <v>5.9534500000000001</v>
      </c>
      <c r="H1346" s="11" t="str">
        <f ca="1">VLOOKUP(VLOOKUP(dict_DQ_Meth_max[[#This Row],[ID_DataQualities]],table_DataQualities[],3),table_Units[],2)</f>
        <v>+/- W</v>
      </c>
      <c r="I1346" s="10"/>
      <c r="J1346" s="10"/>
      <c r="K1346" s="10"/>
      <c r="L1346" s="10">
        <f ca="1">VLOOKUP(dict_DQ_Meth_max[[#This Row],[ID_DataQualities]],table_DataQualities[],8,FALSE)</f>
        <v>8.5000000000000006E-2</v>
      </c>
      <c r="M1346" s="10">
        <f ca="1">VLOOKUP(dict_DQ_Meth_max[[#This Row],[ID_DataQualities]],table_DataQualities[],9,FALSE)</f>
        <v>9.4</v>
      </c>
    </row>
    <row r="1347" spans="1:13" x14ac:dyDescent="0.45">
      <c r="A1347" s="10">
        <v>359</v>
      </c>
      <c r="B1347" s="10">
        <v>493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1.66855</v>
      </c>
      <c r="G1347" s="12">
        <f ca="1">(RANDBETWEEN(50,100)/100)*(dict_DQ_Meth_max[[#This Row],[Vergleich_ub]]-dict_DQ_Meth_max[[#This Row],[Vergleich_lb]])+dict_DQ_Meth_max[[#This Row],[Vergleich_lb]]</f>
        <v>8.5616500000000002</v>
      </c>
      <c r="H1347" s="11" t="str">
        <f ca="1">VLOOKUP(VLOOKUP(dict_DQ_Meth_max[[#This Row],[ID_DataQualities]],table_DataQualities[],3),table_Units[],2)</f>
        <v>+/- W</v>
      </c>
      <c r="I1347" s="10"/>
      <c r="J1347" s="10"/>
      <c r="K1347" s="10"/>
      <c r="L1347" s="10">
        <f ca="1">VLOOKUP(dict_DQ_Meth_max[[#This Row],[ID_DataQualities]],table_DataQualities[],8,FALSE)</f>
        <v>8.5000000000000006E-2</v>
      </c>
      <c r="M1347" s="10">
        <f ca="1">VLOOKUP(dict_DQ_Meth_max[[#This Row],[ID_DataQualities]],table_DataQualities[],9,FALSE)</f>
        <v>9.4</v>
      </c>
    </row>
    <row r="1348" spans="1:13" x14ac:dyDescent="0.45">
      <c r="A1348" s="10">
        <v>360</v>
      </c>
      <c r="B1348" s="10">
        <v>593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2414.7710400000001</v>
      </c>
      <c r="G1348" s="12">
        <f ca="1">(RANDBETWEEN(50,100)/100)*(dict_DQ_Meth_max[[#This Row],[Vergleich_ub]]-dict_DQ_Meth_max[[#This Row],[Vergleich_lb]])+dict_DQ_Meth_max[[#This Row],[Vergleich_lb]]</f>
        <v>4359.3701000000001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0.78600000000000003</v>
      </c>
      <c r="M1348" s="10">
        <f ca="1">VLOOKUP(dict_DQ_Meth_max[[#This Row],[ID_DataQualities]],table_DataQualities[],9,FALSE)</f>
        <v>6706.3</v>
      </c>
    </row>
    <row r="1349" spans="1:13" x14ac:dyDescent="0.45">
      <c r="A1349" s="10">
        <v>360</v>
      </c>
      <c r="B1349" s="10">
        <v>314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3085.3224400000004</v>
      </c>
      <c r="G1349" s="12">
        <f ca="1">(RANDBETWEEN(50,100)/100)*(dict_DQ_Meth_max[[#This Row],[Vergleich_ub]]-dict_DQ_Meth_max[[#This Row],[Vergleich_lb]])+dict_DQ_Meth_max[[#This Row],[Vergleich_lb]]</f>
        <v>3420.5981400000001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0.78600000000000003</v>
      </c>
      <c r="M1349" s="10">
        <f ca="1">VLOOKUP(dict_DQ_Meth_max[[#This Row],[ID_DataQualities]],table_DataQualities[],9,FALSE)</f>
        <v>6706.3</v>
      </c>
    </row>
    <row r="1350" spans="1:13" x14ac:dyDescent="0.45">
      <c r="A1350" s="10">
        <v>361</v>
      </c>
      <c r="B1350" s="10">
        <v>593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1.7424000000000002</v>
      </c>
      <c r="G1350" s="12">
        <f ca="1">(RANDBETWEEN(50,100)/100)*(dict_DQ_Meth_max[[#This Row],[Vergleich_ub]]-dict_DQ_Meth_max[[#This Row],[Vergleich_lb]])+dict_DQ_Meth_max[[#This Row],[Vergleich_lb]]</f>
        <v>6.3469999999999995</v>
      </c>
      <c r="H1350" s="11" t="str">
        <f ca="1">VLOOKUP(VLOOKUP(dict_DQ_Meth_max[[#This Row],[ID_DataQualities]],table_DataQualities[],3),table_Units[],2)</f>
        <v>+/- mm</v>
      </c>
      <c r="I1350" s="10"/>
      <c r="J1350" s="10"/>
      <c r="K1350" s="10"/>
      <c r="L1350" s="10">
        <f ca="1">VLOOKUP(dict_DQ_Meth_max[[#This Row],[ID_DataQualities]],table_DataQualities[],8,FALSE)</f>
        <v>6.8000000000000005E-2</v>
      </c>
      <c r="M1350" s="10">
        <f ca="1">VLOOKUP(dict_DQ_Meth_max[[#This Row],[ID_DataQualities]],table_DataQualities[],9,FALSE)</f>
        <v>8.44</v>
      </c>
    </row>
    <row r="1351" spans="1:13" x14ac:dyDescent="0.45">
      <c r="A1351" s="10">
        <v>361</v>
      </c>
      <c r="B1351" s="10">
        <v>314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1.5749599999999999</v>
      </c>
      <c r="G1351" s="12">
        <f ca="1">(RANDBETWEEN(50,100)/100)*(dict_DQ_Meth_max[[#This Row],[Vergleich_ub]]-dict_DQ_Meth_max[[#This Row],[Vergleich_lb]])+dict_DQ_Meth_max[[#This Row],[Vergleich_lb]]</f>
        <v>4.7563199999999997</v>
      </c>
      <c r="H1351" s="11" t="str">
        <f ca="1">VLOOKUP(VLOOKUP(dict_DQ_Meth_max[[#This Row],[ID_DataQualities]],table_DataQualities[],3),table_Units[],2)</f>
        <v>+/- mm</v>
      </c>
      <c r="I1351" s="10"/>
      <c r="J1351" s="10"/>
      <c r="K1351" s="10"/>
      <c r="L1351" s="10">
        <f ca="1">VLOOKUP(dict_DQ_Meth_max[[#This Row],[ID_DataQualities]],table_DataQualities[],8,FALSE)</f>
        <v>6.8000000000000005E-2</v>
      </c>
      <c r="M1351" s="10">
        <f ca="1">VLOOKUP(dict_DQ_Meth_max[[#This Row],[ID_DataQualities]],table_DataQualities[],9,FALSE)</f>
        <v>8.44</v>
      </c>
    </row>
    <row r="1352" spans="1:13" x14ac:dyDescent="0.45">
      <c r="A1352" s="10">
        <v>362</v>
      </c>
      <c r="B1352" s="10">
        <v>611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389.80997999999994</v>
      </c>
      <c r="G1352" s="12">
        <f ca="1">(RANDBETWEEN(50,100)/100)*(dict_DQ_Meth_max[[#This Row],[Vergleich_ub]]-dict_DQ_Meth_max[[#This Row],[Vergleich_lb]])+dict_DQ_Meth_max[[#This Row],[Vergleich_lb]]</f>
        <v>3504.9538200000002</v>
      </c>
      <c r="H1352" s="11" t="str">
        <f ca="1">VLOOKUP(VLOOKUP(dict_DQ_Meth_max[[#This Row],[ID_DataQualities]],table_DataQualities[],3),table_Units[],2)</f>
        <v>Hz</v>
      </c>
      <c r="I1352" s="10"/>
      <c r="J1352" s="10"/>
      <c r="K1352" s="10"/>
      <c r="L1352" s="10">
        <f ca="1">VLOOKUP(dict_DQ_Meth_max[[#This Row],[ID_DataQualities]],table_DataQualities[],8,FALSE)</f>
        <v>0.41699999999999998</v>
      </c>
      <c r="M1352" s="10">
        <f ca="1">VLOOKUP(dict_DQ_Meth_max[[#This Row],[ID_DataQualities]],table_DataQualities[],9,FALSE)</f>
        <v>6490.3</v>
      </c>
    </row>
    <row r="1353" spans="1:13" x14ac:dyDescent="0.45">
      <c r="A1353" s="10">
        <v>362</v>
      </c>
      <c r="B1353" s="10">
        <v>207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3115.5608399999996</v>
      </c>
      <c r="G1353" s="12">
        <f ca="1">(RANDBETWEEN(50,100)/100)*(dict_DQ_Meth_max[[#This Row],[Vergleich_ub]]-dict_DQ_Meth_max[[#This Row],[Vergleich_lb]])+dict_DQ_Meth_max[[#This Row],[Vergleich_lb]]</f>
        <v>5257.2222300000003</v>
      </c>
      <c r="H1353" s="11" t="str">
        <f ca="1">VLOOKUP(VLOOKUP(dict_DQ_Meth_max[[#This Row],[ID_DataQualities]],table_DataQualities[],3),table_Units[],2)</f>
        <v>Hz</v>
      </c>
      <c r="I1353" s="10"/>
      <c r="J1353" s="10"/>
      <c r="K1353" s="10"/>
      <c r="L1353" s="10">
        <f ca="1">VLOOKUP(dict_DQ_Meth_max[[#This Row],[ID_DataQualities]],table_DataQualities[],8,FALSE)</f>
        <v>0.41699999999999998</v>
      </c>
      <c r="M1353" s="10">
        <f ca="1">VLOOKUP(dict_DQ_Meth_max[[#This Row],[ID_DataQualities]],table_DataQualities[],9,FALSE)</f>
        <v>6490.3</v>
      </c>
    </row>
    <row r="1354" spans="1:13" x14ac:dyDescent="0.45">
      <c r="A1354" s="10">
        <v>362</v>
      </c>
      <c r="B1354" s="10">
        <v>97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1038.79828</v>
      </c>
      <c r="G1354" s="12">
        <f ca="1">(RANDBETWEEN(50,100)/100)*(dict_DQ_Meth_max[[#This Row],[Vergleich_ub]]-dict_DQ_Meth_max[[#This Row],[Vergleich_lb]])+dict_DQ_Meth_max[[#This Row],[Vergleich_lb]]</f>
        <v>4738.0315900000005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0.41699999999999998</v>
      </c>
      <c r="M1354" s="10">
        <f ca="1">VLOOKUP(dict_DQ_Meth_max[[#This Row],[ID_DataQualities]],table_DataQualities[],9,FALSE)</f>
        <v>6490.3</v>
      </c>
    </row>
    <row r="1355" spans="1:13" x14ac:dyDescent="0.45">
      <c r="A1355" s="10">
        <v>362</v>
      </c>
      <c r="B1355" s="10">
        <v>393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1168.5959399999999</v>
      </c>
      <c r="G1355" s="12">
        <f ca="1">(RANDBETWEEN(50,100)/100)*(dict_DQ_Meth_max[[#This Row],[Vergleich_ub]]-dict_DQ_Meth_max[[#This Row],[Vergleich_lb]])+dict_DQ_Meth_max[[#This Row],[Vergleich_lb]]</f>
        <v>6425.4011700000001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0.41699999999999998</v>
      </c>
      <c r="M1355" s="10">
        <f ca="1">VLOOKUP(dict_DQ_Meth_max[[#This Row],[ID_DataQualities]],table_DataQualities[],9,FALSE)</f>
        <v>6490.3</v>
      </c>
    </row>
    <row r="1356" spans="1:13" x14ac:dyDescent="0.45">
      <c r="A1356" s="10">
        <v>362</v>
      </c>
      <c r="B1356" s="10">
        <v>441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1493.0900899999999</v>
      </c>
      <c r="G1356" s="12">
        <f ca="1">(RANDBETWEEN(50,100)/100)*(dict_DQ_Meth_max[[#This Row],[Vergleich_ub]]-dict_DQ_Meth_max[[#This Row],[Vergleich_lb]])+dict_DQ_Meth_max[[#This Row],[Vergleich_lb]]</f>
        <v>5257.2222300000003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0.41699999999999998</v>
      </c>
      <c r="M1356" s="10">
        <f ca="1">VLOOKUP(dict_DQ_Meth_max[[#This Row],[ID_DataQualities]],table_DataQualities[],9,FALSE)</f>
        <v>6490.3</v>
      </c>
    </row>
    <row r="1357" spans="1:13" x14ac:dyDescent="0.45">
      <c r="A1357" s="10">
        <v>363</v>
      </c>
      <c r="B1357" s="10">
        <v>97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1.38018</v>
      </c>
      <c r="G1357" s="12">
        <f ca="1">(RANDBETWEEN(50,100)/100)*(dict_DQ_Meth_max[[#This Row],[Vergleich_ub]]-dict_DQ_Meth_max[[#This Row],[Vergleich_lb]])+dict_DQ_Meth_max[[#This Row],[Vergleich_lb]]</f>
        <v>6.7022699999999995</v>
      </c>
      <c r="H1357" s="11" t="str">
        <f ca="1">VLOOKUP(VLOOKUP(dict_DQ_Meth_max[[#This Row],[ID_DataQualities]],table_DataQualities[],3),table_Units[],2)</f>
        <v>+/- mm</v>
      </c>
      <c r="I1357" s="10"/>
      <c r="J1357" s="10"/>
      <c r="K1357" s="10"/>
      <c r="L1357" s="10">
        <f ca="1">VLOOKUP(dict_DQ_Meth_max[[#This Row],[ID_DataQualities]],table_DataQualities[],8,FALSE)</f>
        <v>7.2999999999999995E-2</v>
      </c>
      <c r="M1357" s="10">
        <f ca="1">VLOOKUP(dict_DQ_Meth_max[[#This Row],[ID_DataQualities]],table_DataQualities[],9,FALSE)</f>
        <v>9.41</v>
      </c>
    </row>
    <row r="1358" spans="1:13" x14ac:dyDescent="0.45">
      <c r="A1358" s="10">
        <v>363</v>
      </c>
      <c r="B1358" s="10">
        <v>441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0.63321999999999989</v>
      </c>
      <c r="G1358" s="12">
        <f ca="1">(RANDBETWEEN(50,100)/100)*(dict_DQ_Meth_max[[#This Row],[Vergleich_ub]]-dict_DQ_Meth_max[[#This Row],[Vergleich_lb]])+dict_DQ_Meth_max[[#This Row],[Vergleich_lb]]</f>
        <v>8.4763000000000002</v>
      </c>
      <c r="H1358" s="11" t="str">
        <f ca="1">VLOOKUP(VLOOKUP(dict_DQ_Meth_max[[#This Row],[ID_DataQualities]],table_DataQualities[],3),table_Units[],2)</f>
        <v>+/- mm</v>
      </c>
      <c r="I1358" s="10"/>
      <c r="J1358" s="10"/>
      <c r="K1358" s="10"/>
      <c r="L1358" s="10">
        <f ca="1">VLOOKUP(dict_DQ_Meth_max[[#This Row],[ID_DataQualities]],table_DataQualities[],8,FALSE)</f>
        <v>7.2999999999999995E-2</v>
      </c>
      <c r="M1358" s="10">
        <f ca="1">VLOOKUP(dict_DQ_Meth_max[[#This Row],[ID_DataQualities]],table_DataQualities[],9,FALSE)</f>
        <v>9.41</v>
      </c>
    </row>
    <row r="1359" spans="1:13" x14ac:dyDescent="0.45">
      <c r="A1359" s="10">
        <v>363</v>
      </c>
      <c r="B1359" s="10">
        <v>207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3.15421</v>
      </c>
      <c r="G1359" s="12">
        <f ca="1">(RANDBETWEEN(50,100)/100)*(dict_DQ_Meth_max[[#This Row],[Vergleich_ub]]-dict_DQ_Meth_max[[#This Row],[Vergleich_lb]])+dict_DQ_Meth_max[[#This Row],[Vergleich_lb]]</f>
        <v>4.9282400000000006</v>
      </c>
      <c r="H1359" s="11" t="str">
        <f ca="1">VLOOKUP(VLOOKUP(dict_DQ_Meth_max[[#This Row],[ID_DataQualities]],table_DataQualities[],3),table_Units[],2)</f>
        <v>+/- mm</v>
      </c>
      <c r="I1359" s="10"/>
      <c r="J1359" s="10"/>
      <c r="K1359" s="10"/>
      <c r="L1359" s="10">
        <f ca="1">VLOOKUP(dict_DQ_Meth_max[[#This Row],[ID_DataQualities]],table_DataQualities[],8,FALSE)</f>
        <v>7.2999999999999995E-2</v>
      </c>
      <c r="M1359" s="10">
        <f ca="1">VLOOKUP(dict_DQ_Meth_max[[#This Row],[ID_DataQualities]],table_DataQualities[],9,FALSE)</f>
        <v>9.41</v>
      </c>
    </row>
    <row r="1360" spans="1:13" x14ac:dyDescent="0.45">
      <c r="A1360" s="10">
        <v>363</v>
      </c>
      <c r="B1360" s="10">
        <v>393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2.3138799999999997</v>
      </c>
      <c r="G1360" s="12">
        <f ca="1">(RANDBETWEEN(50,100)/100)*(dict_DQ_Meth_max[[#This Row],[Vergleich_ub]]-dict_DQ_Meth_max[[#This Row],[Vergleich_lb]])+dict_DQ_Meth_max[[#This Row],[Vergleich_lb]]</f>
        <v>7.6359700000000004</v>
      </c>
      <c r="H1360" s="11" t="str">
        <f ca="1">VLOOKUP(VLOOKUP(dict_DQ_Meth_max[[#This Row],[ID_DataQualities]],table_DataQualities[],3),table_Units[],2)</f>
        <v>+/- mm</v>
      </c>
      <c r="I1360" s="10"/>
      <c r="J1360" s="10"/>
      <c r="K1360" s="10"/>
      <c r="L1360" s="10">
        <f ca="1">VLOOKUP(dict_DQ_Meth_max[[#This Row],[ID_DataQualities]],table_DataQualities[],8,FALSE)</f>
        <v>7.2999999999999995E-2</v>
      </c>
      <c r="M1360" s="10">
        <f ca="1">VLOOKUP(dict_DQ_Meth_max[[#This Row],[ID_DataQualities]],table_DataQualities[],9,FALSE)</f>
        <v>9.41</v>
      </c>
    </row>
    <row r="1361" spans="1:13" x14ac:dyDescent="0.45">
      <c r="A1361" s="10">
        <v>363</v>
      </c>
      <c r="B1361" s="10">
        <v>611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0.63321999999999989</v>
      </c>
      <c r="G1361" s="12">
        <f ca="1">(RANDBETWEEN(50,100)/100)*(dict_DQ_Meth_max[[#This Row],[Vergleich_ub]]-dict_DQ_Meth_max[[#This Row],[Vergleich_lb]])+dict_DQ_Meth_max[[#This Row],[Vergleich_lb]]</f>
        <v>7.3558600000000007</v>
      </c>
      <c r="H1361" s="11" t="str">
        <f ca="1">VLOOKUP(VLOOKUP(dict_DQ_Meth_max[[#This Row],[ID_DataQualities]],table_DataQualities[],3),table_Units[],2)</f>
        <v>+/- mm</v>
      </c>
      <c r="I1361" s="10"/>
      <c r="J1361" s="10"/>
      <c r="K1361" s="10"/>
      <c r="L1361" s="10">
        <f ca="1">VLOOKUP(dict_DQ_Meth_max[[#This Row],[ID_DataQualities]],table_DataQualities[],8,FALSE)</f>
        <v>7.2999999999999995E-2</v>
      </c>
      <c r="M1361" s="10">
        <f ca="1">VLOOKUP(dict_DQ_Meth_max[[#This Row],[ID_DataQualities]],table_DataQualities[],9,FALSE)</f>
        <v>9.41</v>
      </c>
    </row>
    <row r="1362" spans="1:13" x14ac:dyDescent="0.45">
      <c r="A1362" s="10">
        <v>364</v>
      </c>
      <c r="B1362" s="10">
        <v>586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3633.4360499999998</v>
      </c>
      <c r="G1362" s="12">
        <f ca="1">(RANDBETWEEN(50,100)/100)*(dict_DQ_Meth_max[[#This Row],[Vergleich_ub]]-dict_DQ_Meth_max[[#This Row],[Vergleich_lb]])+dict_DQ_Meth_max[[#This Row],[Vergleich_lb]]</f>
        <v>5123.7872500000003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0.70499999999999996</v>
      </c>
      <c r="M1362" s="10">
        <f ca="1">VLOOKUP(dict_DQ_Meth_max[[#This Row],[ID_DataQualities]],table_DataQualities[],9,FALSE)</f>
        <v>9315.4</v>
      </c>
    </row>
    <row r="1363" spans="1:13" x14ac:dyDescent="0.45">
      <c r="A1363" s="10">
        <v>364</v>
      </c>
      <c r="B1363" s="10">
        <v>254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2143.0848499999997</v>
      </c>
      <c r="G1363" s="12">
        <f ca="1">(RANDBETWEEN(50,100)/100)*(dict_DQ_Meth_max[[#This Row],[Vergleich_ub]]-dict_DQ_Meth_max[[#This Row],[Vergleich_lb]])+dict_DQ_Meth_max[[#This Row],[Vergleich_lb]]</f>
        <v>8011.3426999999992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0.70499999999999996</v>
      </c>
      <c r="M1363" s="10">
        <f ca="1">VLOOKUP(dict_DQ_Meth_max[[#This Row],[ID_DataQualities]],table_DataQualities[],9,FALSE)</f>
        <v>9315.4</v>
      </c>
    </row>
    <row r="1364" spans="1:13" x14ac:dyDescent="0.45">
      <c r="A1364" s="10">
        <v>364</v>
      </c>
      <c r="B1364" s="10">
        <v>317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1584.2031500000001</v>
      </c>
      <c r="G1364" s="12">
        <f ca="1">(RANDBETWEEN(50,100)/100)*(dict_DQ_Meth_max[[#This Row],[Vergleich_ub]]-dict_DQ_Meth_max[[#This Row],[Vergleich_lb]])+dict_DQ_Meth_max[[#This Row],[Vergleich_lb]]</f>
        <v>6334.6976000000004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0.70499999999999996</v>
      </c>
      <c r="M1364" s="10">
        <f ca="1">VLOOKUP(dict_DQ_Meth_max[[#This Row],[ID_DataQualities]],table_DataQualities[],9,FALSE)</f>
        <v>9315.4</v>
      </c>
    </row>
    <row r="1365" spans="1:13" x14ac:dyDescent="0.45">
      <c r="A1365" s="10">
        <v>365</v>
      </c>
      <c r="B1365" s="10">
        <v>586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2.1730399999999999</v>
      </c>
      <c r="G1365" s="12">
        <f ca="1">(RANDBETWEEN(50,100)/100)*(dict_DQ_Meth_max[[#This Row],[Vergleich_ub]]-dict_DQ_Meth_max[[#This Row],[Vergleich_lb]])+dict_DQ_Meth_max[[#This Row],[Vergleich_lb]]</f>
        <v>7.4206399999999997</v>
      </c>
      <c r="H1365" s="11" t="str">
        <f ca="1">VLOOKUP(VLOOKUP(dict_DQ_Meth_max[[#This Row],[ID_DataQualities]],table_DataQualities[],3),table_Units[],2)</f>
        <v>+/- W</v>
      </c>
      <c r="I1365" s="10"/>
      <c r="J1365" s="10"/>
      <c r="K1365" s="10"/>
      <c r="L1365" s="10">
        <f ca="1">VLOOKUP(dict_DQ_Meth_max[[#This Row],[ID_DataQualities]],table_DataQualities[],8,FALSE)</f>
        <v>7.3999999999999996E-2</v>
      </c>
      <c r="M1365" s="10">
        <f ca="1">VLOOKUP(dict_DQ_Meth_max[[#This Row],[ID_DataQualities]],table_DataQualities[],9,FALSE)</f>
        <v>8.82</v>
      </c>
    </row>
    <row r="1366" spans="1:13" x14ac:dyDescent="0.45">
      <c r="A1366" s="10">
        <v>365</v>
      </c>
      <c r="B1366" s="10">
        <v>317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1.1235200000000001</v>
      </c>
      <c r="G1366" s="12">
        <f ca="1">(RANDBETWEEN(50,100)/100)*(dict_DQ_Meth_max[[#This Row],[Vergleich_ub]]-dict_DQ_Meth_max[[#This Row],[Vergleich_lb]])+dict_DQ_Meth_max[[#This Row],[Vergleich_lb]]</f>
        <v>8.1203200000000013</v>
      </c>
      <c r="H1366" s="11" t="str">
        <f ca="1">VLOOKUP(VLOOKUP(dict_DQ_Meth_max[[#This Row],[ID_DataQualities]],table_DataQualities[],3),table_Units[],2)</f>
        <v>+/- W</v>
      </c>
      <c r="I1366" s="10"/>
      <c r="J1366" s="10"/>
      <c r="K1366" s="10"/>
      <c r="L1366" s="10">
        <f ca="1">VLOOKUP(dict_DQ_Meth_max[[#This Row],[ID_DataQualities]],table_DataQualities[],8,FALSE)</f>
        <v>7.3999999999999996E-2</v>
      </c>
      <c r="M1366" s="10">
        <f ca="1">VLOOKUP(dict_DQ_Meth_max[[#This Row],[ID_DataQualities]],table_DataQualities[],9,FALSE)</f>
        <v>8.82</v>
      </c>
    </row>
    <row r="1367" spans="1:13" x14ac:dyDescent="0.45">
      <c r="A1367" s="10">
        <v>365</v>
      </c>
      <c r="B1367" s="10">
        <v>254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1.91066</v>
      </c>
      <c r="G1367" s="12">
        <f ca="1">(RANDBETWEEN(50,100)/100)*(dict_DQ_Meth_max[[#This Row],[Vergleich_ub]]-dict_DQ_Meth_max[[#This Row],[Vergleich_lb]])+dict_DQ_Meth_max[[#This Row],[Vergleich_lb]]</f>
        <v>7.3331799999999996</v>
      </c>
      <c r="H1367" s="11" t="str">
        <f ca="1">VLOOKUP(VLOOKUP(dict_DQ_Meth_max[[#This Row],[ID_DataQualities]],table_DataQualities[],3),table_Units[],2)</f>
        <v>+/- W</v>
      </c>
      <c r="I1367" s="10"/>
      <c r="J1367" s="10"/>
      <c r="K1367" s="10"/>
      <c r="L1367" s="10">
        <f ca="1">VLOOKUP(dict_DQ_Meth_max[[#This Row],[ID_DataQualities]],table_DataQualities[],8,FALSE)</f>
        <v>7.3999999999999996E-2</v>
      </c>
      <c r="M1367" s="10">
        <f ca="1">VLOOKUP(dict_DQ_Meth_max[[#This Row],[ID_DataQualities]],table_DataQualities[],9,FALSE)</f>
        <v>8.82</v>
      </c>
    </row>
    <row r="1368" spans="1:13" x14ac:dyDescent="0.45">
      <c r="A1368" s="10">
        <v>366</v>
      </c>
      <c r="B1368" s="10">
        <v>261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16.529140000000002</v>
      </c>
      <c r="G1368" s="12">
        <f ca="1">(RANDBETWEEN(50,100)/100)*(dict_DQ_Meth_max[[#This Row],[Vergleich_ub]]-dict_DQ_Meth_max[[#This Row],[Vergleich_lb]])+dict_DQ_Meth_max[[#This Row],[Vergleich_lb]]</f>
        <v>429.09716000000003</v>
      </c>
      <c r="H1368" s="11" t="str">
        <f ca="1">VLOOKUP(VLOOKUP(dict_DQ_Meth_max[[#This Row],[ID_DataQualities]],table_DataQualities[],3),table_Units[],2)</f>
        <v>Hz</v>
      </c>
      <c r="I1368" s="10"/>
      <c r="J1368" s="10"/>
      <c r="K1368" s="10"/>
      <c r="L1368" s="10">
        <f ca="1">VLOOKUP(dict_DQ_Meth_max[[#This Row],[ID_DataQualities]],table_DataQualities[],8,FALSE)</f>
        <v>0.86199999999999999</v>
      </c>
      <c r="M1368" s="10">
        <f ca="1">VLOOKUP(dict_DQ_Meth_max[[#This Row],[ID_DataQualities]],table_DataQualities[],9,FALSE)</f>
        <v>523.1</v>
      </c>
    </row>
    <row r="1369" spans="1:13" x14ac:dyDescent="0.45">
      <c r="A1369" s="10">
        <v>366</v>
      </c>
      <c r="B1369" s="10">
        <v>468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21.751519999999999</v>
      </c>
      <c r="G1369" s="12">
        <f ca="1">(RANDBETWEEN(50,100)/100)*(dict_DQ_Meth_max[[#This Row],[Vergleich_ub]]-dict_DQ_Meth_max[[#This Row],[Vergleich_lb]])+dict_DQ_Meth_max[[#This Row],[Vergleich_lb]]</f>
        <v>371.65098000000006</v>
      </c>
      <c r="H1369" s="11" t="str">
        <f ca="1">VLOOKUP(VLOOKUP(dict_DQ_Meth_max[[#This Row],[ID_DataQualities]],table_DataQualities[],3),table_Units[],2)</f>
        <v>Hz</v>
      </c>
      <c r="I1369" s="10"/>
      <c r="J1369" s="10"/>
      <c r="K1369" s="10"/>
      <c r="L1369" s="10">
        <f ca="1">VLOOKUP(dict_DQ_Meth_max[[#This Row],[ID_DataQualities]],table_DataQualities[],8,FALSE)</f>
        <v>0.86199999999999999</v>
      </c>
      <c r="M1369" s="10">
        <f ca="1">VLOOKUP(dict_DQ_Meth_max[[#This Row],[ID_DataQualities]],table_DataQualities[],9,FALSE)</f>
        <v>523.1</v>
      </c>
    </row>
    <row r="1370" spans="1:13" x14ac:dyDescent="0.45">
      <c r="A1370" s="10">
        <v>366</v>
      </c>
      <c r="B1370" s="10">
        <v>222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89.642460000000014</v>
      </c>
      <c r="G1370" s="12">
        <f ca="1">(RANDBETWEEN(50,100)/100)*(dict_DQ_Meth_max[[#This Row],[Vergleich_ub]]-dict_DQ_Meth_max[[#This Row],[Vergleich_lb]])+dict_DQ_Meth_max[[#This Row],[Vergleich_lb]]</f>
        <v>376.87336000000005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0.86199999999999999</v>
      </c>
      <c r="M1370" s="10">
        <f ca="1">VLOOKUP(dict_DQ_Meth_max[[#This Row],[ID_DataQualities]],table_DataQualities[],9,FALSE)</f>
        <v>523.1</v>
      </c>
    </row>
    <row r="1371" spans="1:13" x14ac:dyDescent="0.45">
      <c r="A1371" s="10">
        <v>366</v>
      </c>
      <c r="B1371" s="10">
        <v>622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11.306760000000001</v>
      </c>
      <c r="G1371" s="12">
        <f ca="1">(RANDBETWEEN(50,100)/100)*(dict_DQ_Meth_max[[#This Row],[Vergleich_ub]]-dict_DQ_Meth_max[[#This Row],[Vergleich_lb]])+dict_DQ_Meth_max[[#This Row],[Vergleich_lb]]</f>
        <v>402.9852600000001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0.86199999999999999</v>
      </c>
      <c r="M1371" s="10">
        <f ca="1">VLOOKUP(dict_DQ_Meth_max[[#This Row],[ID_DataQualities]],table_DataQualities[],9,FALSE)</f>
        <v>523.1</v>
      </c>
    </row>
    <row r="1372" spans="1:13" x14ac:dyDescent="0.45">
      <c r="A1372" s="10">
        <v>367</v>
      </c>
      <c r="B1372" s="10">
        <v>468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1.18</v>
      </c>
      <c r="G1372" s="12">
        <f ca="1">(RANDBETWEEN(50,100)/100)*(dict_DQ_Meth_max[[#This Row],[Vergleich_ub]]-dict_DQ_Meth_max[[#This Row],[Vergleich_lb]])+dict_DQ_Meth_max[[#This Row],[Vergleich_lb]]</f>
        <v>3.7720000000000002</v>
      </c>
      <c r="H1372" s="11" t="str">
        <f ca="1">VLOOKUP(VLOOKUP(dict_DQ_Meth_max[[#This Row],[ID_DataQualities]],table_DataQualities[],3),table_Units[],2)</f>
        <v>+/- mm/s</v>
      </c>
      <c r="I1372" s="10"/>
      <c r="J1372" s="10"/>
      <c r="K1372" s="10"/>
      <c r="L1372" s="10">
        <f ca="1">VLOOKUP(dict_DQ_Meth_max[[#This Row],[ID_DataQualities]],table_DataQualities[],8,FALSE)</f>
        <v>0.7</v>
      </c>
      <c r="M1372" s="10">
        <f ca="1">VLOOKUP(dict_DQ_Meth_max[[#This Row],[ID_DataQualities]],table_DataQualities[],9,FALSE)</f>
        <v>3.9</v>
      </c>
    </row>
    <row r="1373" spans="1:13" x14ac:dyDescent="0.45">
      <c r="A1373" s="10">
        <v>367</v>
      </c>
      <c r="B1373" s="10">
        <v>222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0.95599999999999996</v>
      </c>
      <c r="G1373" s="12">
        <f ca="1">(RANDBETWEEN(50,100)/100)*(dict_DQ_Meth_max[[#This Row],[Vergleich_ub]]-dict_DQ_Meth_max[[#This Row],[Vergleich_lb]])+dict_DQ_Meth_max[[#This Row],[Vergleich_lb]]</f>
        <v>2.3639999999999999</v>
      </c>
      <c r="H1373" s="11" t="str">
        <f ca="1">VLOOKUP(VLOOKUP(dict_DQ_Meth_max[[#This Row],[ID_DataQualities]],table_DataQualities[],3),table_Units[],2)</f>
        <v>+/- mm/s</v>
      </c>
      <c r="I1373" s="10"/>
      <c r="J1373" s="10"/>
      <c r="K1373" s="10"/>
      <c r="L1373" s="10">
        <f ca="1">VLOOKUP(dict_DQ_Meth_max[[#This Row],[ID_DataQualities]],table_DataQualities[],8,FALSE)</f>
        <v>0.7</v>
      </c>
      <c r="M1373" s="10">
        <f ca="1">VLOOKUP(dict_DQ_Meth_max[[#This Row],[ID_DataQualities]],table_DataQualities[],9,FALSE)</f>
        <v>3.9</v>
      </c>
    </row>
    <row r="1374" spans="1:13" x14ac:dyDescent="0.45">
      <c r="A1374" s="10">
        <v>367</v>
      </c>
      <c r="B1374" s="10">
        <v>261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1.5</v>
      </c>
      <c r="G1374" s="12">
        <f ca="1">(RANDBETWEEN(50,100)/100)*(dict_DQ_Meth_max[[#This Row],[Vergleich_ub]]-dict_DQ_Meth_max[[#This Row],[Vergleich_lb]])+dict_DQ_Meth_max[[#This Row],[Vergleich_lb]]</f>
        <v>2.8120000000000003</v>
      </c>
      <c r="H1374" s="11" t="str">
        <f ca="1">VLOOKUP(VLOOKUP(dict_DQ_Meth_max[[#This Row],[ID_DataQualities]],table_DataQualities[],3),table_Units[],2)</f>
        <v>+/- mm/s</v>
      </c>
      <c r="I1374" s="10"/>
      <c r="J1374" s="10"/>
      <c r="K1374" s="10"/>
      <c r="L1374" s="10">
        <f ca="1">VLOOKUP(dict_DQ_Meth_max[[#This Row],[ID_DataQualities]],table_DataQualities[],8,FALSE)</f>
        <v>0.7</v>
      </c>
      <c r="M1374" s="10">
        <f ca="1">VLOOKUP(dict_DQ_Meth_max[[#This Row],[ID_DataQualities]],table_DataQualities[],9,FALSE)</f>
        <v>3.9</v>
      </c>
    </row>
    <row r="1375" spans="1:13" x14ac:dyDescent="0.45">
      <c r="A1375" s="10">
        <v>367</v>
      </c>
      <c r="B1375" s="10">
        <v>622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1.0840000000000001</v>
      </c>
      <c r="G1375" s="12">
        <f ca="1">(RANDBETWEEN(50,100)/100)*(dict_DQ_Meth_max[[#This Row],[Vergleich_ub]]-dict_DQ_Meth_max[[#This Row],[Vergleich_lb]])+dict_DQ_Meth_max[[#This Row],[Vergleich_lb]]</f>
        <v>3.484</v>
      </c>
      <c r="H1375" s="11" t="str">
        <f ca="1">VLOOKUP(VLOOKUP(dict_DQ_Meth_max[[#This Row],[ID_DataQualities]],table_DataQualities[],3),table_Units[],2)</f>
        <v>+/- mm/s</v>
      </c>
      <c r="I1375" s="10"/>
      <c r="J1375" s="10"/>
      <c r="K1375" s="10"/>
      <c r="L1375" s="10">
        <f ca="1">VLOOKUP(dict_DQ_Meth_max[[#This Row],[ID_DataQualities]],table_DataQualities[],8,FALSE)</f>
        <v>0.7</v>
      </c>
      <c r="M1375" s="10">
        <f ca="1">VLOOKUP(dict_DQ_Meth_max[[#This Row],[ID_DataQualities]],table_DataQualities[],9,FALSE)</f>
        <v>3.9</v>
      </c>
    </row>
    <row r="1376" spans="1:13" x14ac:dyDescent="0.45">
      <c r="A1376" s="10">
        <v>368</v>
      </c>
      <c r="B1376" s="10">
        <v>584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1172.18649</v>
      </c>
      <c r="G1376" s="12">
        <f ca="1">(RANDBETWEEN(50,100)/100)*(dict_DQ_Meth_max[[#This Row],[Vergleich_ub]]-dict_DQ_Meth_max[[#This Row],[Vergleich_lb]])+dict_DQ_Meth_max[[#This Row],[Vergleich_lb]]</f>
        <v>3103.1884599999998</v>
      </c>
      <c r="H1376" s="11" t="str">
        <f ca="1">VLOOKUP(VLOOKUP(dict_DQ_Meth_max[[#This Row],[ID_DataQualities]],table_DataQualities[],3),table_Units[],2)</f>
        <v>Hz</v>
      </c>
      <c r="I1376" s="10"/>
      <c r="J1376" s="10"/>
      <c r="K1376" s="10"/>
      <c r="L1376" s="10">
        <f ca="1">VLOOKUP(dict_DQ_Meth_max[[#This Row],[ID_DataQualities]],table_DataQualities[],8,FALSE)</f>
        <v>0.92300000000000004</v>
      </c>
      <c r="M1376" s="10">
        <f ca="1">VLOOKUP(dict_DQ_Meth_max[[#This Row],[ID_DataQualities]],table_DataQualities[],9,FALSE)</f>
        <v>3166.5</v>
      </c>
    </row>
    <row r="1377" spans="1:13" x14ac:dyDescent="0.45">
      <c r="A1377" s="10">
        <v>368</v>
      </c>
      <c r="B1377" s="10">
        <v>266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1013.9076400000001</v>
      </c>
      <c r="G1377" s="12">
        <f ca="1">(RANDBETWEEN(50,100)/100)*(dict_DQ_Meth_max[[#This Row],[Vergleich_ub]]-dict_DQ_Meth_max[[#This Row],[Vergleich_lb]])+dict_DQ_Meth_max[[#This Row],[Vergleich_lb]]</f>
        <v>2501.72883</v>
      </c>
      <c r="H1377" s="11" t="str">
        <f ca="1">VLOOKUP(VLOOKUP(dict_DQ_Meth_max[[#This Row],[ID_DataQualities]],table_DataQualities[],3),table_Units[],2)</f>
        <v>Hz</v>
      </c>
      <c r="I1377" s="10"/>
      <c r="J1377" s="10"/>
      <c r="K1377" s="10"/>
      <c r="L1377" s="10">
        <f ca="1">VLOOKUP(dict_DQ_Meth_max[[#This Row],[ID_DataQualities]],table_DataQualities[],8,FALSE)</f>
        <v>0.92300000000000004</v>
      </c>
      <c r="M1377" s="10">
        <f ca="1">VLOOKUP(dict_DQ_Meth_max[[#This Row],[ID_DataQualities]],table_DataQualities[],9,FALSE)</f>
        <v>3166.5</v>
      </c>
    </row>
    <row r="1378" spans="1:13" x14ac:dyDescent="0.45">
      <c r="A1378" s="10">
        <v>368</v>
      </c>
      <c r="B1378" s="10">
        <v>328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507.41532000000007</v>
      </c>
      <c r="G1378" s="12">
        <f ca="1">(RANDBETWEEN(50,100)/100)*(dict_DQ_Meth_max[[#This Row],[Vergleich_ub]]-dict_DQ_Meth_max[[#This Row],[Vergleich_lb]])+dict_DQ_Meth_max[[#This Row],[Vergleich_lb]]</f>
        <v>1836.95766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0.92300000000000004</v>
      </c>
      <c r="M1378" s="10">
        <f ca="1">VLOOKUP(dict_DQ_Meth_max[[#This Row],[ID_DataQualities]],table_DataQualities[],9,FALSE)</f>
        <v>3166.5</v>
      </c>
    </row>
    <row r="1379" spans="1:13" x14ac:dyDescent="0.45">
      <c r="A1379" s="10">
        <v>368</v>
      </c>
      <c r="B1379" s="10">
        <v>438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349.13647000000003</v>
      </c>
      <c r="G1379" s="12">
        <f ca="1">(RANDBETWEEN(50,100)/100)*(dict_DQ_Meth_max[[#This Row],[Vergleich_ub]]-dict_DQ_Meth_max[[#This Row],[Vergleich_lb]])+dict_DQ_Meth_max[[#This Row],[Vergleich_lb]]</f>
        <v>2628.3519099999999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0.92300000000000004</v>
      </c>
      <c r="M1379" s="10">
        <f ca="1">VLOOKUP(dict_DQ_Meth_max[[#This Row],[ID_DataQualities]],table_DataQualities[],9,FALSE)</f>
        <v>3166.5</v>
      </c>
    </row>
    <row r="1380" spans="1:13" x14ac:dyDescent="0.45">
      <c r="A1380" s="10">
        <v>368</v>
      </c>
      <c r="B1380" s="10">
        <v>181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64.23454000000001</v>
      </c>
      <c r="G1380" s="12">
        <f ca="1">(RANDBETWEEN(50,100)/100)*(dict_DQ_Meth_max[[#This Row],[Vergleich_ub]]-dict_DQ_Meth_max[[#This Row],[Vergleich_lb]])+dict_DQ_Meth_max[[#This Row],[Vergleich_lb]]</f>
        <v>2565.0403700000002</v>
      </c>
      <c r="H1380" s="11" t="str">
        <f ca="1">VLOOKUP(VLOOKUP(dict_DQ_Meth_max[[#This Row],[ID_DataQualities]],table_DataQualities[],3),table_Units[],2)</f>
        <v>Hz</v>
      </c>
      <c r="I1380" s="10"/>
      <c r="J1380" s="10"/>
      <c r="K1380" s="10"/>
      <c r="L1380" s="10">
        <f ca="1">VLOOKUP(dict_DQ_Meth_max[[#This Row],[ID_DataQualities]],table_DataQualities[],8,FALSE)</f>
        <v>0.92300000000000004</v>
      </c>
      <c r="M1380" s="10">
        <f ca="1">VLOOKUP(dict_DQ_Meth_max[[#This Row],[ID_DataQualities]],table_DataQualities[],9,FALSE)</f>
        <v>3166.5</v>
      </c>
    </row>
    <row r="1381" spans="1:13" x14ac:dyDescent="0.45">
      <c r="A1381" s="10">
        <v>369</v>
      </c>
      <c r="B1381" s="10">
        <v>181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8.1400000000000014E-2</v>
      </c>
      <c r="G1381" s="12">
        <f ca="1">(RANDBETWEEN(50,100)/100)*(dict_DQ_Meth_max[[#This Row],[Vergleich_ub]]-dict_DQ_Meth_max[[#This Row],[Vergleich_lb]])+dict_DQ_Meth_max[[#This Row],[Vergleich_lb]]</f>
        <v>0.71552000000000004</v>
      </c>
      <c r="H1381" s="11" t="str">
        <f ca="1">VLOOKUP(VLOOKUP(dict_DQ_Meth_max[[#This Row],[ID_DataQualities]],table_DataQualities[],3),table_Units[],2)</f>
        <v>+/- cm³/s</v>
      </c>
      <c r="I1381" s="10"/>
      <c r="J1381" s="10"/>
      <c r="K1381" s="10"/>
      <c r="L1381" s="10">
        <f ca="1">VLOOKUP(dict_DQ_Meth_max[[#This Row],[ID_DataQualities]],table_DataQualities[],8,FALSE)</f>
        <v>5.0000000000000001E-3</v>
      </c>
      <c r="M1381" s="10">
        <f ca="1">VLOOKUP(dict_DQ_Meth_max[[#This Row],[ID_DataQualities]],table_DataQualities[],9,FALSE)</f>
        <v>0.76900000000000002</v>
      </c>
    </row>
    <row r="1382" spans="1:13" x14ac:dyDescent="0.45">
      <c r="A1382" s="10">
        <v>369</v>
      </c>
      <c r="B1382" s="10">
        <v>266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0.17308000000000001</v>
      </c>
      <c r="G1382" s="12">
        <f ca="1">(RANDBETWEEN(50,100)/100)*(dict_DQ_Meth_max[[#This Row],[Vergleich_ub]]-dict_DQ_Meth_max[[#This Row],[Vergleich_lb]])+dict_DQ_Meth_max[[#This Row],[Vergleich_lb]]</f>
        <v>0.39463999999999999</v>
      </c>
      <c r="H1382" s="11" t="str">
        <f ca="1">VLOOKUP(VLOOKUP(dict_DQ_Meth_max[[#This Row],[ID_DataQualities]],table_DataQualities[],3),table_Units[],2)</f>
        <v>+/- cm³/s</v>
      </c>
      <c r="I1382" s="10"/>
      <c r="J1382" s="10"/>
      <c r="K1382" s="10"/>
      <c r="L1382" s="10">
        <f ca="1">VLOOKUP(dict_DQ_Meth_max[[#This Row],[ID_DataQualities]],table_DataQualities[],8,FALSE)</f>
        <v>5.0000000000000001E-3</v>
      </c>
      <c r="M1382" s="10">
        <f ca="1">VLOOKUP(dict_DQ_Meth_max[[#This Row],[ID_DataQualities]],table_DataQualities[],9,FALSE)</f>
        <v>0.76900000000000002</v>
      </c>
    </row>
    <row r="1383" spans="1:13" x14ac:dyDescent="0.45">
      <c r="A1383" s="10">
        <v>369</v>
      </c>
      <c r="B1383" s="10">
        <v>584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3.5560000000000001E-2</v>
      </c>
      <c r="G1383" s="12">
        <f ca="1">(RANDBETWEEN(50,100)/100)*(dict_DQ_Meth_max[[#This Row],[Vergleich_ub]]-dict_DQ_Meth_max[[#This Row],[Vergleich_lb]])+dict_DQ_Meth_max[[#This Row],[Vergleich_lb]]</f>
        <v>0.53979999999999995</v>
      </c>
      <c r="H1383" s="11" t="str">
        <f ca="1">VLOOKUP(VLOOKUP(dict_DQ_Meth_max[[#This Row],[ID_DataQualities]],table_DataQualities[],3),table_Units[],2)</f>
        <v>+/- cm³/s</v>
      </c>
      <c r="I1383" s="10"/>
      <c r="J1383" s="10"/>
      <c r="K1383" s="10"/>
      <c r="L1383" s="10">
        <f ca="1">VLOOKUP(dict_DQ_Meth_max[[#This Row],[ID_DataQualities]],table_DataQualities[],8,FALSE)</f>
        <v>5.0000000000000001E-3</v>
      </c>
      <c r="M1383" s="10">
        <f ca="1">VLOOKUP(dict_DQ_Meth_max[[#This Row],[ID_DataQualities]],table_DataQualities[],9,FALSE)</f>
        <v>0.76900000000000002</v>
      </c>
    </row>
    <row r="1384" spans="1:13" x14ac:dyDescent="0.45">
      <c r="A1384" s="10">
        <v>369</v>
      </c>
      <c r="B1384" s="10">
        <v>438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0.19600000000000001</v>
      </c>
      <c r="G1384" s="12">
        <f ca="1">(RANDBETWEEN(50,100)/100)*(dict_DQ_Meth_max[[#This Row],[Vergleich_ub]]-dict_DQ_Meth_max[[#This Row],[Vergleich_lb]])+dict_DQ_Meth_max[[#This Row],[Vergleich_lb]]</f>
        <v>0.71552000000000004</v>
      </c>
      <c r="H1384" s="11" t="str">
        <f ca="1">VLOOKUP(VLOOKUP(dict_DQ_Meth_max[[#This Row],[ID_DataQualities]],table_DataQualities[],3),table_Units[],2)</f>
        <v>+/- cm³/s</v>
      </c>
      <c r="I1384" s="10"/>
      <c r="J1384" s="10"/>
      <c r="K1384" s="10"/>
      <c r="L1384" s="10">
        <f ca="1">VLOOKUP(dict_DQ_Meth_max[[#This Row],[ID_DataQualities]],table_DataQualities[],8,FALSE)</f>
        <v>5.0000000000000001E-3</v>
      </c>
      <c r="M1384" s="10">
        <f ca="1">VLOOKUP(dict_DQ_Meth_max[[#This Row],[ID_DataQualities]],table_DataQualities[],9,FALSE)</f>
        <v>0.76900000000000002</v>
      </c>
    </row>
    <row r="1385" spans="1:13" x14ac:dyDescent="0.45">
      <c r="A1385" s="10">
        <v>369</v>
      </c>
      <c r="B1385" s="10">
        <v>328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2.0279999999999999E-2</v>
      </c>
      <c r="G1385" s="12">
        <f ca="1">(RANDBETWEEN(50,100)/100)*(dict_DQ_Meth_max[[#This Row],[Vergleich_ub]]-dict_DQ_Meth_max[[#This Row],[Vergleich_lb]])+dict_DQ_Meth_max[[#This Row],[Vergleich_lb]]</f>
        <v>0.75372000000000006</v>
      </c>
      <c r="H1385" s="11" t="str">
        <f ca="1">VLOOKUP(VLOOKUP(dict_DQ_Meth_max[[#This Row],[ID_DataQualities]],table_DataQualities[],3),table_Units[],2)</f>
        <v>+/- cm³/s</v>
      </c>
      <c r="I1385" s="10"/>
      <c r="J1385" s="10"/>
      <c r="K1385" s="10"/>
      <c r="L1385" s="10">
        <f ca="1">VLOOKUP(dict_DQ_Meth_max[[#This Row],[ID_DataQualities]],table_DataQualities[],8,FALSE)</f>
        <v>5.0000000000000001E-3</v>
      </c>
      <c r="M1385" s="10">
        <f ca="1">VLOOKUP(dict_DQ_Meth_max[[#This Row],[ID_DataQualities]],table_DataQualities[],9,FALSE)</f>
        <v>0.76900000000000002</v>
      </c>
    </row>
    <row r="1386" spans="1:13" x14ac:dyDescent="0.45">
      <c r="A1386" s="10">
        <v>370</v>
      </c>
      <c r="B1386" s="10">
        <v>29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2216.1749200000004</v>
      </c>
      <c r="G1386" s="12">
        <f ca="1">(RANDBETWEEN(50,100)/100)*(dict_DQ_Meth_max[[#This Row],[Vergleich_ub]]-dict_DQ_Meth_max[[#This Row],[Vergleich_lb]])+dict_DQ_Meth_max[[#This Row],[Vergleich_lb]]</f>
        <v>7005.8253599999998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6.8000000000000005E-2</v>
      </c>
      <c r="M1386" s="10">
        <f ca="1">VLOOKUP(dict_DQ_Meth_max[[#This Row],[ID_DataQualities]],table_DataQualities[],9,FALSE)</f>
        <v>7148.8</v>
      </c>
    </row>
    <row r="1387" spans="1:13" x14ac:dyDescent="0.45">
      <c r="A1387" s="10">
        <v>370</v>
      </c>
      <c r="B1387" s="10">
        <v>126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2645.0988400000001</v>
      </c>
      <c r="G1387" s="12">
        <f ca="1">(RANDBETWEEN(50,100)/100)*(dict_DQ_Meth_max[[#This Row],[Vergleich_ub]]-dict_DQ_Meth_max[[#This Row],[Vergleich_lb]])+dict_DQ_Meth_max[[#This Row],[Vergleich_lb]]</f>
        <v>5790.5409200000004</v>
      </c>
      <c r="H1387" s="11" t="str">
        <f ca="1">VLOOKUP(VLOOKUP(dict_DQ_Meth_max[[#This Row],[ID_DataQualities]],table_DataQualities[],3),table_Units[],2)</f>
        <v>Hz</v>
      </c>
      <c r="I1387" s="10"/>
      <c r="J1387" s="10"/>
      <c r="K1387" s="10"/>
      <c r="L1387" s="10">
        <f ca="1">VLOOKUP(dict_DQ_Meth_max[[#This Row],[ID_DataQualities]],table_DataQualities[],8,FALSE)</f>
        <v>6.8000000000000005E-2</v>
      </c>
      <c r="M1387" s="10">
        <f ca="1">VLOOKUP(dict_DQ_Meth_max[[#This Row],[ID_DataQualities]],table_DataQualities[],9,FALSE)</f>
        <v>7148.8</v>
      </c>
    </row>
    <row r="1388" spans="1:13" x14ac:dyDescent="0.45">
      <c r="A1388" s="10">
        <v>370</v>
      </c>
      <c r="B1388" s="10">
        <v>0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3002.5354400000001</v>
      </c>
      <c r="G1388" s="12">
        <f ca="1">(RANDBETWEEN(50,100)/100)*(dict_DQ_Meth_max[[#This Row],[Vergleich_ub]]-dict_DQ_Meth_max[[#This Row],[Vergleich_lb]])+dict_DQ_Meth_max[[#This Row],[Vergleich_lb]]</f>
        <v>5504.5916400000006</v>
      </c>
      <c r="H1388" s="11" t="str">
        <f ca="1">VLOOKUP(VLOOKUP(dict_DQ_Meth_max[[#This Row],[ID_DataQualities]],table_DataQualities[],3),table_Units[],2)</f>
        <v>Hz</v>
      </c>
      <c r="I1388" s="10"/>
      <c r="J1388" s="10"/>
      <c r="K1388" s="10"/>
      <c r="L1388" s="10">
        <f ca="1">VLOOKUP(dict_DQ_Meth_max[[#This Row],[ID_DataQualities]],table_DataQualities[],8,FALSE)</f>
        <v>6.8000000000000005E-2</v>
      </c>
      <c r="M1388" s="10">
        <f ca="1">VLOOKUP(dict_DQ_Meth_max[[#This Row],[ID_DataQualities]],table_DataQualities[],9,FALSE)</f>
        <v>7148.8</v>
      </c>
    </row>
    <row r="1389" spans="1:13" x14ac:dyDescent="0.45">
      <c r="A1389" s="10">
        <v>370</v>
      </c>
      <c r="B1389" s="10">
        <v>462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571.96655999999996</v>
      </c>
      <c r="G1389" s="12">
        <f ca="1">(RANDBETWEEN(50,100)/100)*(dict_DQ_Meth_max[[#This Row],[Vergleich_ub]]-dict_DQ_Meth_max[[#This Row],[Vergleich_lb]])+dict_DQ_Meth_max[[#This Row],[Vergleich_lb]]</f>
        <v>6433.9268000000002</v>
      </c>
      <c r="H1389" s="11" t="str">
        <f ca="1">VLOOKUP(VLOOKUP(dict_DQ_Meth_max[[#This Row],[ID_DataQualities]],table_DataQualities[],3),table_Units[],2)</f>
        <v>Hz</v>
      </c>
      <c r="I1389" s="10"/>
      <c r="J1389" s="10"/>
      <c r="K1389" s="10"/>
      <c r="L1389" s="10">
        <f ca="1">VLOOKUP(dict_DQ_Meth_max[[#This Row],[ID_DataQualities]],table_DataQualities[],8,FALSE)</f>
        <v>6.8000000000000005E-2</v>
      </c>
      <c r="M1389" s="10">
        <f ca="1">VLOOKUP(dict_DQ_Meth_max[[#This Row],[ID_DataQualities]],table_DataQualities[],9,FALSE)</f>
        <v>7148.8</v>
      </c>
    </row>
    <row r="1390" spans="1:13" x14ac:dyDescent="0.45">
      <c r="A1390" s="10">
        <v>371</v>
      </c>
      <c r="B1390" s="10">
        <v>462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0.95811999999999986</v>
      </c>
      <c r="G1390" s="12">
        <f ca="1">(RANDBETWEEN(50,100)/100)*(dict_DQ_Meth_max[[#This Row],[Vergleich_ub]]-dict_DQ_Meth_max[[#This Row],[Vergleich_lb]])+dict_DQ_Meth_max[[#This Row],[Vergleich_lb]]</f>
        <v>1.5188200000000001</v>
      </c>
      <c r="H1390" s="11" t="str">
        <f ca="1">VLOOKUP(VLOOKUP(dict_DQ_Meth_max[[#This Row],[ID_DataQualities]],table_DataQualities[],3),table_Units[],2)</f>
        <v>+/- mm</v>
      </c>
      <c r="I1390" s="10"/>
      <c r="J1390" s="10"/>
      <c r="K1390" s="10"/>
      <c r="L1390" s="10">
        <f ca="1">VLOOKUP(dict_DQ_Meth_max[[#This Row],[ID_DataQualities]],table_DataQualities[],8,FALSE)</f>
        <v>6.0999999999999999E-2</v>
      </c>
      <c r="M1390" s="10">
        <f ca="1">VLOOKUP(dict_DQ_Meth_max[[#This Row],[ID_DataQualities]],table_DataQualities[],9,FALSE)</f>
        <v>1.93</v>
      </c>
    </row>
    <row r="1391" spans="1:13" x14ac:dyDescent="0.45">
      <c r="A1391" s="10">
        <v>371</v>
      </c>
      <c r="B1391" s="10">
        <v>126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0.67776999999999998</v>
      </c>
      <c r="G1391" s="12">
        <f ca="1">(RANDBETWEEN(50,100)/100)*(dict_DQ_Meth_max[[#This Row],[Vergleich_ub]]-dict_DQ_Meth_max[[#This Row],[Vergleich_lb]])+dict_DQ_Meth_max[[#This Row],[Vergleich_lb]]</f>
        <v>1.3879899999999998</v>
      </c>
      <c r="H1391" s="11" t="str">
        <f ca="1">VLOOKUP(VLOOKUP(dict_DQ_Meth_max[[#This Row],[ID_DataQualities]],table_DataQualities[],3),table_Units[],2)</f>
        <v>+/- mm</v>
      </c>
      <c r="I1391" s="10"/>
      <c r="J1391" s="10"/>
      <c r="K1391" s="10"/>
      <c r="L1391" s="10">
        <f ca="1">VLOOKUP(dict_DQ_Meth_max[[#This Row],[ID_DataQualities]],table_DataQualities[],8,FALSE)</f>
        <v>6.0999999999999999E-2</v>
      </c>
      <c r="M1391" s="10">
        <f ca="1">VLOOKUP(dict_DQ_Meth_max[[#This Row],[ID_DataQualities]],table_DataQualities[],9,FALSE)</f>
        <v>1.93</v>
      </c>
    </row>
    <row r="1392" spans="1:13" x14ac:dyDescent="0.45">
      <c r="A1392" s="10">
        <v>371</v>
      </c>
      <c r="B1392" s="10">
        <v>0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0.28527999999999998</v>
      </c>
      <c r="G1392" s="12">
        <f ca="1">(RANDBETWEEN(50,100)/100)*(dict_DQ_Meth_max[[#This Row],[Vergleich_ub]]-dict_DQ_Meth_max[[#This Row],[Vergleich_lb]])+dict_DQ_Meth_max[[#This Row],[Vergleich_lb]]</f>
        <v>1.5748900000000001</v>
      </c>
      <c r="H1392" s="11" t="str">
        <f ca="1">VLOOKUP(VLOOKUP(dict_DQ_Meth_max[[#This Row],[ID_DataQualities]],table_DataQualities[],3),table_Units[],2)</f>
        <v>+/- mm</v>
      </c>
      <c r="I1392" s="10"/>
      <c r="J1392" s="10"/>
      <c r="K1392" s="10"/>
      <c r="L1392" s="10">
        <f ca="1">VLOOKUP(dict_DQ_Meth_max[[#This Row],[ID_DataQualities]],table_DataQualities[],8,FALSE)</f>
        <v>6.0999999999999999E-2</v>
      </c>
      <c r="M1392" s="10">
        <f ca="1">VLOOKUP(dict_DQ_Meth_max[[#This Row],[ID_DataQualities]],table_DataQualities[],9,FALSE)</f>
        <v>1.93</v>
      </c>
    </row>
    <row r="1393" spans="1:13" x14ac:dyDescent="0.45">
      <c r="A1393" s="10">
        <v>371</v>
      </c>
      <c r="B1393" s="10">
        <v>29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0.71514999999999995</v>
      </c>
      <c r="G1393" s="12">
        <f ca="1">(RANDBETWEEN(50,100)/100)*(dict_DQ_Meth_max[[#This Row],[Vergleich_ub]]-dict_DQ_Meth_max[[#This Row],[Vergleich_lb]])+dict_DQ_Meth_max[[#This Row],[Vergleich_lb]]</f>
        <v>1.5562</v>
      </c>
      <c r="H1393" s="11" t="str">
        <f ca="1">VLOOKUP(VLOOKUP(dict_DQ_Meth_max[[#This Row],[ID_DataQualities]],table_DataQualities[],3),table_Units[],2)</f>
        <v>+/- mm</v>
      </c>
      <c r="I1393" s="10"/>
      <c r="J1393" s="10"/>
      <c r="K1393" s="10"/>
      <c r="L1393" s="10">
        <f ca="1">VLOOKUP(dict_DQ_Meth_max[[#This Row],[ID_DataQualities]],table_DataQualities[],8,FALSE)</f>
        <v>6.0999999999999999E-2</v>
      </c>
      <c r="M1393" s="10">
        <f ca="1">VLOOKUP(dict_DQ_Meth_max[[#This Row],[ID_DataQualities]],table_DataQualities[],9,FALSE)</f>
        <v>1.93</v>
      </c>
    </row>
    <row r="1394" spans="1:13" x14ac:dyDescent="0.45">
      <c r="A1394" s="10">
        <v>372</v>
      </c>
      <c r="B1394" s="10">
        <v>430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2131.4358000000002</v>
      </c>
      <c r="G1394" s="12">
        <f ca="1">(RANDBETWEEN(50,100)/100)*(dict_DQ_Meth_max[[#This Row],[Vergleich_ub]]-dict_DQ_Meth_max[[#This Row],[Vergleich_lb]])+dict_DQ_Meth_max[[#This Row],[Vergleich_lb]]</f>
        <v>4687.9671600000001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0.99299999999999999</v>
      </c>
      <c r="M1394" s="10">
        <f ca="1">VLOOKUP(dict_DQ_Meth_max[[#This Row],[ID_DataQualities]],table_DataQualities[],9,FALSE)</f>
        <v>5327.1</v>
      </c>
    </row>
    <row r="1395" spans="1:13" x14ac:dyDescent="0.45">
      <c r="A1395" s="10">
        <v>372</v>
      </c>
      <c r="B1395" s="10">
        <v>6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1332.5197499999999</v>
      </c>
      <c r="G1395" s="12">
        <f ca="1">(RANDBETWEEN(50,100)/100)*(dict_DQ_Meth_max[[#This Row],[Vergleich_ub]]-dict_DQ_Meth_max[[#This Row],[Vergleich_lb]])+dict_DQ_Meth_max[[#This Row],[Vergleich_lb]]</f>
        <v>4794.4893000000002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0.99299999999999999</v>
      </c>
      <c r="M1395" s="10">
        <f ca="1">VLOOKUP(dict_DQ_Meth_max[[#This Row],[ID_DataQualities]],table_DataQualities[],9,FALSE)</f>
        <v>5327.1</v>
      </c>
    </row>
    <row r="1396" spans="1:13" x14ac:dyDescent="0.45">
      <c r="A1396" s="10">
        <v>372</v>
      </c>
      <c r="B1396" s="10">
        <v>394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640.12584000000004</v>
      </c>
      <c r="G1396" s="12">
        <f ca="1">(RANDBETWEEN(50,100)/100)*(dict_DQ_Meth_max[[#This Row],[Vergleich_ub]]-dict_DQ_Meth_max[[#This Row],[Vergleich_lb]])+dict_DQ_Meth_max[[#This Row],[Vergleich_lb]]</f>
        <v>4581.4450200000001</v>
      </c>
      <c r="H1396" s="11" t="str">
        <f ca="1">VLOOKUP(VLOOKUP(dict_DQ_Meth_max[[#This Row],[ID_DataQualities]],table_DataQualities[],3),table_Units[],2)</f>
        <v>Hz</v>
      </c>
      <c r="I1396" s="10"/>
      <c r="J1396" s="10"/>
      <c r="K1396" s="10"/>
      <c r="L1396" s="10">
        <f ca="1">VLOOKUP(dict_DQ_Meth_max[[#This Row],[ID_DataQualities]],table_DataQualities[],8,FALSE)</f>
        <v>0.99299999999999999</v>
      </c>
      <c r="M1396" s="10">
        <f ca="1">VLOOKUP(dict_DQ_Meth_max[[#This Row],[ID_DataQualities]],table_DataQualities[],9,FALSE)</f>
        <v>5327.1</v>
      </c>
    </row>
    <row r="1397" spans="1:13" x14ac:dyDescent="0.45">
      <c r="A1397" s="10">
        <v>373</v>
      </c>
      <c r="B1397" s="10">
        <v>394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0.58784000000000014</v>
      </c>
      <c r="G1397" s="12">
        <f ca="1">(RANDBETWEEN(50,100)/100)*(dict_DQ_Meth_max[[#This Row],[Vergleich_ub]]-dict_DQ_Meth_max[[#This Row],[Vergleich_lb]])+dict_DQ_Meth_max[[#This Row],[Vergleich_lb]]</f>
        <v>2.9677600000000002</v>
      </c>
      <c r="H1397" s="11" t="str">
        <f ca="1">VLOOKUP(VLOOKUP(dict_DQ_Meth_max[[#This Row],[ID_DataQualities]],table_DataQualities[],3),table_Units[],2)</f>
        <v>+/- W</v>
      </c>
      <c r="I1397" s="10"/>
      <c r="J1397" s="10"/>
      <c r="K1397" s="10"/>
      <c r="L1397" s="10">
        <f ca="1">VLOOKUP(dict_DQ_Meth_max[[#This Row],[ID_DataQualities]],table_DataQualities[],8,FALSE)</f>
        <v>1.7999999999999999E-2</v>
      </c>
      <c r="M1397" s="10">
        <f ca="1">VLOOKUP(dict_DQ_Meth_max[[#This Row],[ID_DataQualities]],table_DataQualities[],9,FALSE)</f>
        <v>3.37</v>
      </c>
    </row>
    <row r="1398" spans="1:13" x14ac:dyDescent="0.45">
      <c r="A1398" s="10">
        <v>373</v>
      </c>
      <c r="B1398" s="10">
        <v>6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0.72192000000000001</v>
      </c>
      <c r="G1398" s="12">
        <f ca="1">(RANDBETWEEN(50,100)/100)*(dict_DQ_Meth_max[[#This Row],[Vergleich_ub]]-dict_DQ_Meth_max[[#This Row],[Vergleich_lb]])+dict_DQ_Meth_max[[#This Row],[Vergleich_lb]]</f>
        <v>2.0962399999999999</v>
      </c>
      <c r="H1398" s="11" t="str">
        <f ca="1">VLOOKUP(VLOOKUP(dict_DQ_Meth_max[[#This Row],[ID_DataQualities]],table_DataQualities[],3),table_Units[],2)</f>
        <v>+/- W</v>
      </c>
      <c r="I1398" s="10"/>
      <c r="J1398" s="10"/>
      <c r="K1398" s="10"/>
      <c r="L1398" s="10">
        <f ca="1">VLOOKUP(dict_DQ_Meth_max[[#This Row],[ID_DataQualities]],table_DataQualities[],8,FALSE)</f>
        <v>1.7999999999999999E-2</v>
      </c>
      <c r="M1398" s="10">
        <f ca="1">VLOOKUP(dict_DQ_Meth_max[[#This Row],[ID_DataQualities]],table_DataQualities[],9,FALSE)</f>
        <v>3.37</v>
      </c>
    </row>
    <row r="1399" spans="1:13" x14ac:dyDescent="0.45">
      <c r="A1399" s="10">
        <v>373</v>
      </c>
      <c r="B1399" s="10">
        <v>430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0.18560000000000001</v>
      </c>
      <c r="G1399" s="12">
        <f ca="1">(RANDBETWEEN(50,100)/100)*(dict_DQ_Meth_max[[#This Row],[Vergleich_ub]]-dict_DQ_Meth_max[[#This Row],[Vergleich_lb]])+dict_DQ_Meth_max[[#This Row],[Vergleich_lb]]</f>
        <v>2.7331200000000004</v>
      </c>
      <c r="H1399" s="11" t="str">
        <f ca="1">VLOOKUP(VLOOKUP(dict_DQ_Meth_max[[#This Row],[ID_DataQualities]],table_DataQualities[],3),table_Units[],2)</f>
        <v>+/- W</v>
      </c>
      <c r="I1399" s="10"/>
      <c r="J1399" s="10"/>
      <c r="K1399" s="10"/>
      <c r="L1399" s="10">
        <f ca="1">VLOOKUP(dict_DQ_Meth_max[[#This Row],[ID_DataQualities]],table_DataQualities[],8,FALSE)</f>
        <v>1.7999999999999999E-2</v>
      </c>
      <c r="M1399" s="10">
        <f ca="1">VLOOKUP(dict_DQ_Meth_max[[#This Row],[ID_DataQualities]],table_DataQualities[],9,FALSE)</f>
        <v>3.37</v>
      </c>
    </row>
    <row r="1400" spans="1:13" x14ac:dyDescent="0.45">
      <c r="A1400" s="10">
        <v>374</v>
      </c>
      <c r="B1400" s="10">
        <v>13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471.34140000000002</v>
      </c>
      <c r="G1400" s="12">
        <f ca="1">(RANDBETWEEN(50,100)/100)*(dict_DQ_Meth_max[[#This Row],[Vergleich_ub]]-dict_DQ_Meth_max[[#This Row],[Vergleich_lb]])+dict_DQ_Meth_max[[#This Row],[Vergleich_lb]]</f>
        <v>2120.9137999999998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3.5000000000000003E-2</v>
      </c>
      <c r="M1400" s="10">
        <f ca="1">VLOOKUP(dict_DQ_Meth_max[[#This Row],[ID_DataQualities]],table_DataQualities[],9,FALSE)</f>
        <v>2945.7</v>
      </c>
    </row>
    <row r="1401" spans="1:13" x14ac:dyDescent="0.45">
      <c r="A1401" s="10">
        <v>374</v>
      </c>
      <c r="B1401" s="10">
        <v>478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1031.01775</v>
      </c>
      <c r="G1401" s="12">
        <f ca="1">(RANDBETWEEN(50,100)/100)*(dict_DQ_Meth_max[[#This Row],[Vergleich_ub]]-dict_DQ_Meth_max[[#This Row],[Vergleich_lb]])+dict_DQ_Meth_max[[#This Row],[Vergleich_lb]]</f>
        <v>2003.0872000000002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3.5000000000000003E-2</v>
      </c>
      <c r="M1401" s="10">
        <f ca="1">VLOOKUP(dict_DQ_Meth_max[[#This Row],[ID_DataQualities]],table_DataQualities[],9,FALSE)</f>
        <v>2945.7</v>
      </c>
    </row>
    <row r="1402" spans="1:13" x14ac:dyDescent="0.45">
      <c r="A1402" s="10">
        <v>374</v>
      </c>
      <c r="B1402" s="10">
        <v>140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1089.9310500000001</v>
      </c>
      <c r="G1402" s="12">
        <f ca="1">(RANDBETWEEN(50,100)/100)*(dict_DQ_Meth_max[[#This Row],[Vergleich_ub]]-dict_DQ_Meth_max[[#This Row],[Vergleich_lb]])+dict_DQ_Meth_max[[#This Row],[Vergleich_lb]]</f>
        <v>2032.5438499999998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3.5000000000000003E-2</v>
      </c>
      <c r="M1402" s="10">
        <f ca="1">VLOOKUP(dict_DQ_Meth_max[[#This Row],[ID_DataQualities]],table_DataQualities[],9,FALSE)</f>
        <v>2945.7</v>
      </c>
    </row>
    <row r="1403" spans="1:13" x14ac:dyDescent="0.45">
      <c r="A1403" s="10">
        <v>374</v>
      </c>
      <c r="B1403" s="10">
        <v>286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1178.3010000000002</v>
      </c>
      <c r="G1403" s="12">
        <f ca="1">(RANDBETWEEN(50,100)/100)*(dict_DQ_Meth_max[[#This Row],[Vergleich_ub]]-dict_DQ_Meth_max[[#This Row],[Vergleich_lb]])+dict_DQ_Meth_max[[#This Row],[Vergleich_lb]]</f>
        <v>1708.5207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3.5000000000000003E-2</v>
      </c>
      <c r="M1403" s="10">
        <f ca="1">VLOOKUP(dict_DQ_Meth_max[[#This Row],[ID_DataQualities]],table_DataQualities[],9,FALSE)</f>
        <v>2945.7</v>
      </c>
    </row>
    <row r="1404" spans="1:13" x14ac:dyDescent="0.45">
      <c r="A1404" s="10">
        <v>374</v>
      </c>
      <c r="B1404" s="10">
        <v>401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235.68819999999999</v>
      </c>
      <c r="G1404" s="12">
        <f ca="1">(RANDBETWEEN(50,100)/100)*(dict_DQ_Meth_max[[#This Row],[Vergleich_ub]]-dict_DQ_Meth_max[[#This Row],[Vergleich_lb]])+dict_DQ_Meth_max[[#This Row],[Vergleich_lb]]</f>
        <v>1767.434</v>
      </c>
      <c r="H1404" s="11" t="str">
        <f ca="1">VLOOKUP(VLOOKUP(dict_DQ_Meth_max[[#This Row],[ID_DataQualities]],table_DataQualities[],3),table_Units[],2)</f>
        <v>Hz</v>
      </c>
      <c r="I1404" s="10"/>
      <c r="J1404" s="10"/>
      <c r="K1404" s="10"/>
      <c r="L1404" s="10">
        <f ca="1">VLOOKUP(dict_DQ_Meth_max[[#This Row],[ID_DataQualities]],table_DataQualities[],8,FALSE)</f>
        <v>3.5000000000000003E-2</v>
      </c>
      <c r="M1404" s="10">
        <f ca="1">VLOOKUP(dict_DQ_Meth_max[[#This Row],[ID_DataQualities]],table_DataQualities[],9,FALSE)</f>
        <v>2945.7</v>
      </c>
    </row>
    <row r="1405" spans="1:13" x14ac:dyDescent="0.45">
      <c r="A1405" s="10">
        <v>375</v>
      </c>
      <c r="B1405" s="10">
        <v>13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1.2959999999999998</v>
      </c>
      <c r="G1405" s="12">
        <f ca="1">(RANDBETWEEN(50,100)/100)*(dict_DQ_Meth_max[[#This Row],[Vergleich_ub]]-dict_DQ_Meth_max[[#This Row],[Vergleich_lb]])+dict_DQ_Meth_max[[#This Row],[Vergleich_lb]]</f>
        <v>2.448</v>
      </c>
      <c r="H1405" s="11" t="str">
        <f ca="1">VLOOKUP(VLOOKUP(dict_DQ_Meth_max[[#This Row],[ID_DataQualities]],table_DataQualities[],3),table_Units[],2)</f>
        <v>+/- °C</v>
      </c>
      <c r="I1405" s="10"/>
      <c r="J1405" s="10"/>
      <c r="K1405" s="10"/>
      <c r="L1405" s="10">
        <f ca="1">VLOOKUP(dict_DQ_Meth_max[[#This Row],[ID_DataQualities]],table_DataQualities[],8,FALSE)</f>
        <v>0.6</v>
      </c>
      <c r="M1405" s="10">
        <f ca="1">VLOOKUP(dict_DQ_Meth_max[[#This Row],[ID_DataQualities]],table_DataQualities[],9,FALSE)</f>
        <v>3</v>
      </c>
    </row>
    <row r="1406" spans="1:13" x14ac:dyDescent="0.45">
      <c r="A1406" s="10">
        <v>375</v>
      </c>
      <c r="B1406" s="10">
        <v>478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0.79200000000000004</v>
      </c>
      <c r="G1406" s="12">
        <f ca="1">(RANDBETWEEN(50,100)/100)*(dict_DQ_Meth_max[[#This Row],[Vergleich_ub]]-dict_DQ_Meth_max[[#This Row],[Vergleich_lb]])+dict_DQ_Meth_max[[#This Row],[Vergleich_lb]]</f>
        <v>2.3039999999999998</v>
      </c>
      <c r="H1406" s="11" t="str">
        <f ca="1">VLOOKUP(VLOOKUP(dict_DQ_Meth_max[[#This Row],[ID_DataQualities]],table_DataQualities[],3),table_Units[],2)</f>
        <v>+/- °C</v>
      </c>
      <c r="I1406" s="10"/>
      <c r="J1406" s="10"/>
      <c r="K1406" s="10"/>
      <c r="L1406" s="10">
        <f ca="1">VLOOKUP(dict_DQ_Meth_max[[#This Row],[ID_DataQualities]],table_DataQualities[],8,FALSE)</f>
        <v>0.6</v>
      </c>
      <c r="M1406" s="10">
        <f ca="1">VLOOKUP(dict_DQ_Meth_max[[#This Row],[ID_DataQualities]],table_DataQualities[],9,FALSE)</f>
        <v>3</v>
      </c>
    </row>
    <row r="1407" spans="1:13" x14ac:dyDescent="0.45">
      <c r="A1407" s="10">
        <v>375</v>
      </c>
      <c r="B1407" s="10">
        <v>401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1.1520000000000001</v>
      </c>
      <c r="G1407" s="12">
        <f ca="1">(RANDBETWEEN(50,100)/100)*(dict_DQ_Meth_max[[#This Row],[Vergleich_ub]]-dict_DQ_Meth_max[[#This Row],[Vergleich_lb]])+dict_DQ_Meth_max[[#This Row],[Vergleich_lb]]</f>
        <v>2.7600000000000002</v>
      </c>
      <c r="H1407" s="11" t="str">
        <f ca="1">VLOOKUP(VLOOKUP(dict_DQ_Meth_max[[#This Row],[ID_DataQualities]],table_DataQualities[],3),table_Units[],2)</f>
        <v>+/- °C</v>
      </c>
      <c r="I1407" s="10"/>
      <c r="J1407" s="10"/>
      <c r="K1407" s="10"/>
      <c r="L1407" s="10">
        <f ca="1">VLOOKUP(dict_DQ_Meth_max[[#This Row],[ID_DataQualities]],table_DataQualities[],8,FALSE)</f>
        <v>0.6</v>
      </c>
      <c r="M1407" s="10">
        <f ca="1">VLOOKUP(dict_DQ_Meth_max[[#This Row],[ID_DataQualities]],table_DataQualities[],9,FALSE)</f>
        <v>3</v>
      </c>
    </row>
    <row r="1408" spans="1:13" x14ac:dyDescent="0.45">
      <c r="A1408" s="10">
        <v>375</v>
      </c>
      <c r="B1408" s="10">
        <v>286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0.86399999999999999</v>
      </c>
      <c r="G1408" s="12">
        <f ca="1">(RANDBETWEEN(50,100)/100)*(dict_DQ_Meth_max[[#This Row],[Vergleich_ub]]-dict_DQ_Meth_max[[#This Row],[Vergleich_lb]])+dict_DQ_Meth_max[[#This Row],[Vergleich_lb]]</f>
        <v>2.952</v>
      </c>
      <c r="H1408" s="11" t="str">
        <f ca="1">VLOOKUP(VLOOKUP(dict_DQ_Meth_max[[#This Row],[ID_DataQualities]],table_DataQualities[],3),table_Units[],2)</f>
        <v>+/- °C</v>
      </c>
      <c r="I1408" s="10"/>
      <c r="J1408" s="10"/>
      <c r="K1408" s="10"/>
      <c r="L1408" s="10">
        <f ca="1">VLOOKUP(dict_DQ_Meth_max[[#This Row],[ID_DataQualities]],table_DataQualities[],8,FALSE)</f>
        <v>0.6</v>
      </c>
      <c r="M1408" s="10">
        <f ca="1">VLOOKUP(dict_DQ_Meth_max[[#This Row],[ID_DataQualities]],table_DataQualities[],9,FALSE)</f>
        <v>3</v>
      </c>
    </row>
    <row r="1409" spans="1:13" x14ac:dyDescent="0.45">
      <c r="A1409" s="10">
        <v>375</v>
      </c>
      <c r="B1409" s="10">
        <v>140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1.08</v>
      </c>
      <c r="G1409" s="12">
        <f ca="1">(RANDBETWEEN(50,100)/100)*(dict_DQ_Meth_max[[#This Row],[Vergleich_ub]]-dict_DQ_Meth_max[[#This Row],[Vergleich_lb]])+dict_DQ_Meth_max[[#This Row],[Vergleich_lb]]</f>
        <v>2.5919999999999996</v>
      </c>
      <c r="H1409" s="11" t="str">
        <f ca="1">VLOOKUP(VLOOKUP(dict_DQ_Meth_max[[#This Row],[ID_DataQualities]],table_DataQualities[],3),table_Units[],2)</f>
        <v>+/- °C</v>
      </c>
      <c r="I1409" s="10"/>
      <c r="J1409" s="10"/>
      <c r="K1409" s="10"/>
      <c r="L1409" s="10">
        <f ca="1">VLOOKUP(dict_DQ_Meth_max[[#This Row],[ID_DataQualities]],table_DataQualities[],8,FALSE)</f>
        <v>0.6</v>
      </c>
      <c r="M1409" s="10">
        <f ca="1">VLOOKUP(dict_DQ_Meth_max[[#This Row],[ID_DataQualities]],table_DataQualities[],9,FALSE)</f>
        <v>3</v>
      </c>
    </row>
    <row r="1410" spans="1:13" x14ac:dyDescent="0.45">
      <c r="A1410" s="10">
        <v>376</v>
      </c>
      <c r="B1410" s="10">
        <v>640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2229.2304999999997</v>
      </c>
      <c r="G1410" s="12">
        <f ca="1">(RANDBETWEEN(50,100)/100)*(dict_DQ_Meth_max[[#This Row],[Vergleich_ub]]-dict_DQ_Meth_max[[#This Row],[Vergleich_lb]])+dict_DQ_Meth_max[[#This Row],[Vergleich_lb]]</f>
        <v>8022.9573999999993</v>
      </c>
      <c r="H1410" s="11" t="str">
        <f ca="1">VLOOKUP(VLOOKUP(dict_DQ_Meth_max[[#This Row],[ID_DataQualities]],table_DataQualities[],3),table_Units[],2)</f>
        <v>Hz</v>
      </c>
      <c r="I1410" s="10"/>
      <c r="J1410" s="10"/>
      <c r="K1410" s="10"/>
      <c r="L1410" s="10">
        <f ca="1">VLOOKUP(dict_DQ_Meth_max[[#This Row],[ID_DataQualities]],table_DataQualities[],8,FALSE)</f>
        <v>0.874</v>
      </c>
      <c r="M1410" s="10">
        <f ca="1">VLOOKUP(dict_DQ_Meth_max[[#This Row],[ID_DataQualities]],table_DataQualities[],9,FALSE)</f>
        <v>8914.2999999999993</v>
      </c>
    </row>
    <row r="1411" spans="1:13" x14ac:dyDescent="0.45">
      <c r="A1411" s="10">
        <v>377</v>
      </c>
      <c r="B1411" s="10">
        <v>640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0.36042999999999997</v>
      </c>
      <c r="G1411" s="12">
        <f ca="1">(RANDBETWEEN(50,100)/100)*(dict_DQ_Meth_max[[#This Row],[Vergleich_ub]]-dict_DQ_Meth_max[[#This Row],[Vergleich_lb]])+dict_DQ_Meth_max[[#This Row],[Vergleich_lb]]</f>
        <v>0.39078000000000002</v>
      </c>
      <c r="H1411" s="11" t="str">
        <f ca="1">VLOOKUP(VLOOKUP(dict_DQ_Meth_max[[#This Row],[ID_DataQualities]],table_DataQualities[],3),table_Units[],2)</f>
        <v>+/- mm</v>
      </c>
      <c r="I1411" s="10"/>
      <c r="J1411" s="10"/>
      <c r="K1411" s="10"/>
      <c r="L1411" s="10">
        <f ca="1">VLOOKUP(dict_DQ_Meth_max[[#This Row],[ID_DataQualities]],table_DataQualities[],8,FALSE)</f>
        <v>6.3E-2</v>
      </c>
      <c r="M1411" s="10">
        <f ca="1">VLOOKUP(dict_DQ_Meth_max[[#This Row],[ID_DataQualities]],table_DataQualities[],9,FALSE)</f>
        <v>0.67</v>
      </c>
    </row>
    <row r="1412" spans="1:13" x14ac:dyDescent="0.45">
      <c r="A1412" s="10">
        <v>378</v>
      </c>
      <c r="B1412" s="10">
        <v>3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2018.3866400000002</v>
      </c>
      <c r="G1412" s="12">
        <f ca="1">(RANDBETWEEN(50,100)/100)*(dict_DQ_Meth_max[[#This Row],[Vergleich_ub]]-dict_DQ_Meth_max[[#This Row],[Vergleich_lb]])+dict_DQ_Meth_max[[#This Row],[Vergleich_lb]]</f>
        <v>6985.4036000000006</v>
      </c>
      <c r="H1412" s="11" t="str">
        <f ca="1">VLOOKUP(VLOOKUP(dict_DQ_Meth_max[[#This Row],[ID_DataQualities]],table_DataQualities[],3),table_Units[],2)</f>
        <v>Hz</v>
      </c>
      <c r="I1412" s="10"/>
      <c r="J1412" s="10"/>
      <c r="K1412" s="10"/>
      <c r="L1412" s="10">
        <f ca="1">VLOOKUP(dict_DQ_Meth_max[[#This Row],[ID_DataQualities]],table_DataQualities[],8,FALSE)</f>
        <v>0.53600000000000003</v>
      </c>
      <c r="M1412" s="10">
        <f ca="1">VLOOKUP(dict_DQ_Meth_max[[#This Row],[ID_DataQualities]],table_DataQualities[],9,FALSE)</f>
        <v>7761.5</v>
      </c>
    </row>
    <row r="1413" spans="1:13" x14ac:dyDescent="0.45">
      <c r="A1413" s="10">
        <v>378</v>
      </c>
      <c r="B1413" s="10">
        <v>358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3337.7505200000001</v>
      </c>
      <c r="G1413" s="12">
        <f ca="1">(RANDBETWEEN(50,100)/100)*(dict_DQ_Meth_max[[#This Row],[Vergleich_ub]]-dict_DQ_Meth_max[[#This Row],[Vergleich_lb]])+dict_DQ_Meth_max[[#This Row],[Vergleich_lb]]</f>
        <v>4424.2854799999996</v>
      </c>
      <c r="H1413" s="11" t="str">
        <f ca="1">VLOOKUP(VLOOKUP(dict_DQ_Meth_max[[#This Row],[ID_DataQualities]],table_DataQualities[],3),table_Units[],2)</f>
        <v>Hz</v>
      </c>
      <c r="I1413" s="10"/>
      <c r="J1413" s="10"/>
      <c r="K1413" s="10"/>
      <c r="L1413" s="10">
        <f ca="1">VLOOKUP(dict_DQ_Meth_max[[#This Row],[ID_DataQualities]],table_DataQualities[],8,FALSE)</f>
        <v>0.53600000000000003</v>
      </c>
      <c r="M1413" s="10">
        <f ca="1">VLOOKUP(dict_DQ_Meth_max[[#This Row],[ID_DataQualities]],table_DataQualities[],9,FALSE)</f>
        <v>7761.5</v>
      </c>
    </row>
    <row r="1414" spans="1:13" x14ac:dyDescent="0.45">
      <c r="A1414" s="10">
        <v>378</v>
      </c>
      <c r="B1414" s="10">
        <v>659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3415.3601600000002</v>
      </c>
      <c r="G1414" s="12">
        <f ca="1">(RANDBETWEEN(50,100)/100)*(dict_DQ_Meth_max[[#This Row],[Vergleich_ub]]-dict_DQ_Meth_max[[#This Row],[Vergleich_lb]])+dict_DQ_Meth_max[[#This Row],[Vergleich_lb]]</f>
        <v>4967.55296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0.53600000000000003</v>
      </c>
      <c r="M1414" s="10">
        <f ca="1">VLOOKUP(dict_DQ_Meth_max[[#This Row],[ID_DataQualities]],table_DataQualities[],9,FALSE)</f>
        <v>7761.5</v>
      </c>
    </row>
    <row r="1415" spans="1:13" x14ac:dyDescent="0.45">
      <c r="A1415" s="10">
        <v>378</v>
      </c>
      <c r="B1415" s="10">
        <v>547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1940.777</v>
      </c>
      <c r="G1415" s="12">
        <f ca="1">(RANDBETWEEN(50,100)/100)*(dict_DQ_Meth_max[[#This Row],[Vergleich_ub]]-dict_DQ_Meth_max[[#This Row],[Vergleich_lb]])+dict_DQ_Meth_max[[#This Row],[Vergleich_lb]]</f>
        <v>6209.3072000000002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0.53600000000000003</v>
      </c>
      <c r="M1415" s="10">
        <f ca="1">VLOOKUP(dict_DQ_Meth_max[[#This Row],[ID_DataQualities]],table_DataQualities[],9,FALSE)</f>
        <v>7761.5</v>
      </c>
    </row>
    <row r="1416" spans="1:13" x14ac:dyDescent="0.45">
      <c r="A1416" s="10">
        <v>379</v>
      </c>
      <c r="B1416" s="10">
        <v>659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0.78411999999999993</v>
      </c>
      <c r="G1416" s="12">
        <f ca="1">(RANDBETWEEN(50,100)/100)*(dict_DQ_Meth_max[[#This Row],[Vergleich_ub]]-dict_DQ_Meth_max[[#This Row],[Vergleich_lb]])+dict_DQ_Meth_max[[#This Row],[Vergleich_lb]]</f>
        <v>3.3702399999999999</v>
      </c>
      <c r="H1416" s="11" t="str">
        <f ca="1">VLOOKUP(VLOOKUP(dict_DQ_Meth_max[[#This Row],[ID_DataQualities]],table_DataQualities[],3),table_Units[],2)</f>
        <v>+/- W</v>
      </c>
      <c r="I1416" s="10"/>
      <c r="J1416" s="10"/>
      <c r="K1416" s="10"/>
      <c r="L1416" s="10">
        <f ca="1">VLOOKUP(dict_DQ_Meth_max[[#This Row],[ID_DataQualities]],table_DataQualities[],8,FALSE)</f>
        <v>7.1999999999999995E-2</v>
      </c>
      <c r="M1416" s="10">
        <f ca="1">VLOOKUP(dict_DQ_Meth_max[[#This Row],[ID_DataQualities]],table_DataQualities[],9,FALSE)</f>
        <v>3.82</v>
      </c>
    </row>
    <row r="1417" spans="1:13" x14ac:dyDescent="0.45">
      <c r="A1417" s="10">
        <v>379</v>
      </c>
      <c r="B1417" s="10">
        <v>358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0.37184</v>
      </c>
      <c r="G1417" s="12">
        <f ca="1">(RANDBETWEEN(50,100)/100)*(dict_DQ_Meth_max[[#This Row],[Vergleich_ub]]-dict_DQ_Meth_max[[#This Row],[Vergleich_lb]])+dict_DQ_Meth_max[[#This Row],[Vergleich_lb]]</f>
        <v>2.84552</v>
      </c>
      <c r="H1417" s="11" t="str">
        <f ca="1">VLOOKUP(VLOOKUP(dict_DQ_Meth_max[[#This Row],[ID_DataQualities]],table_DataQualities[],3),table_Units[],2)</f>
        <v>+/- W</v>
      </c>
      <c r="I1417" s="10"/>
      <c r="J1417" s="10"/>
      <c r="K1417" s="10"/>
      <c r="L1417" s="10">
        <f ca="1">VLOOKUP(dict_DQ_Meth_max[[#This Row],[ID_DataQualities]],table_DataQualities[],8,FALSE)</f>
        <v>7.1999999999999995E-2</v>
      </c>
      <c r="M1417" s="10">
        <f ca="1">VLOOKUP(dict_DQ_Meth_max[[#This Row],[ID_DataQualities]],table_DataQualities[],9,FALSE)</f>
        <v>3.82</v>
      </c>
    </row>
    <row r="1418" spans="1:13" x14ac:dyDescent="0.45">
      <c r="A1418" s="10">
        <v>379</v>
      </c>
      <c r="B1418" s="10">
        <v>547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0.70916000000000001</v>
      </c>
      <c r="G1418" s="12">
        <f ca="1">(RANDBETWEEN(50,100)/100)*(dict_DQ_Meth_max[[#This Row],[Vergleich_ub]]-dict_DQ_Meth_max[[#This Row],[Vergleich_lb]])+dict_DQ_Meth_max[[#This Row],[Vergleich_lb]]</f>
        <v>2.3957600000000001</v>
      </c>
      <c r="H1418" s="11" t="str">
        <f ca="1">VLOOKUP(VLOOKUP(dict_DQ_Meth_max[[#This Row],[ID_DataQualities]],table_DataQualities[],3),table_Units[],2)</f>
        <v>+/- W</v>
      </c>
      <c r="I1418" s="10"/>
      <c r="J1418" s="10"/>
      <c r="K1418" s="10"/>
      <c r="L1418" s="10">
        <f ca="1">VLOOKUP(dict_DQ_Meth_max[[#This Row],[ID_DataQualities]],table_DataQualities[],8,FALSE)</f>
        <v>7.1999999999999995E-2</v>
      </c>
      <c r="M1418" s="10">
        <f ca="1">VLOOKUP(dict_DQ_Meth_max[[#This Row],[ID_DataQualities]],table_DataQualities[],9,FALSE)</f>
        <v>3.82</v>
      </c>
    </row>
    <row r="1419" spans="1:13" x14ac:dyDescent="0.45">
      <c r="A1419" s="10">
        <v>379</v>
      </c>
      <c r="B1419" s="10">
        <v>3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1.5712000000000002</v>
      </c>
      <c r="G1419" s="12">
        <f ca="1">(RANDBETWEEN(50,100)/100)*(dict_DQ_Meth_max[[#This Row],[Vergleich_ub]]-dict_DQ_Meth_max[[#This Row],[Vergleich_lb]])+dict_DQ_Meth_max[[#This Row],[Vergleich_lb]]</f>
        <v>2.92048</v>
      </c>
      <c r="H1419" s="11" t="str">
        <f ca="1">VLOOKUP(VLOOKUP(dict_DQ_Meth_max[[#This Row],[ID_DataQualities]],table_DataQualities[],3),table_Units[],2)</f>
        <v>+/- W</v>
      </c>
      <c r="I1419" s="10"/>
      <c r="J1419" s="10"/>
      <c r="K1419" s="10"/>
      <c r="L1419" s="10">
        <f ca="1">VLOOKUP(dict_DQ_Meth_max[[#This Row],[ID_DataQualities]],table_DataQualities[],8,FALSE)</f>
        <v>7.1999999999999995E-2</v>
      </c>
      <c r="M1419" s="10">
        <f ca="1">VLOOKUP(dict_DQ_Meth_max[[#This Row],[ID_DataQualities]],table_DataQualities[],9,FALSE)</f>
        <v>3.82</v>
      </c>
    </row>
    <row r="1420" spans="1:13" x14ac:dyDescent="0.45">
      <c r="A1420" s="10">
        <v>380</v>
      </c>
      <c r="B1420" s="10">
        <v>531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3449.1424999999999</v>
      </c>
      <c r="G1420" s="12">
        <f ca="1">(RANDBETWEEN(50,100)/100)*(dict_DQ_Meth_max[[#This Row],[Vergleich_ub]]-dict_DQ_Meth_max[[#This Row],[Vergleich_lb]])+dict_DQ_Meth_max[[#This Row],[Vergleich_lb]]</f>
        <v>5587.5581499999998</v>
      </c>
      <c r="H1420" s="11" t="str">
        <f ca="1">VLOOKUP(VLOOKUP(dict_DQ_Meth_max[[#This Row],[ID_DataQualities]],table_DataQualities[],3),table_Units[],2)</f>
        <v>Hz</v>
      </c>
      <c r="I1420" s="10"/>
      <c r="J1420" s="10"/>
      <c r="K1420" s="10"/>
      <c r="L1420" s="10">
        <f ca="1">VLOOKUP(dict_DQ_Meth_max[[#This Row],[ID_DataQualities]],table_DataQualities[],8,FALSE)</f>
        <v>8.5000000000000006E-2</v>
      </c>
      <c r="M1420" s="10">
        <f ca="1">VLOOKUP(dict_DQ_Meth_max[[#This Row],[ID_DataQualities]],table_DataQualities[],9,FALSE)</f>
        <v>6898.2</v>
      </c>
    </row>
    <row r="1421" spans="1:13" x14ac:dyDescent="0.45">
      <c r="A1421" s="10">
        <v>380</v>
      </c>
      <c r="B1421" s="10">
        <v>518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1862.5760500000001</v>
      </c>
      <c r="G1421" s="12">
        <f ca="1">(RANDBETWEEN(50,100)/100)*(dict_DQ_Meth_max[[#This Row],[Vergleich_ub]]-dict_DQ_Meth_max[[#This Row],[Vergleich_lb]])+dict_DQ_Meth_max[[#This Row],[Vergleich_lb]]</f>
        <v>6346.3508000000002</v>
      </c>
      <c r="H1421" s="11" t="str">
        <f ca="1">VLOOKUP(VLOOKUP(dict_DQ_Meth_max[[#This Row],[ID_DataQualities]],table_DataQualities[],3),table_Units[],2)</f>
        <v>Hz</v>
      </c>
      <c r="I1421" s="10"/>
      <c r="J1421" s="10"/>
      <c r="K1421" s="10"/>
      <c r="L1421" s="10">
        <f ca="1">VLOOKUP(dict_DQ_Meth_max[[#This Row],[ID_DataQualities]],table_DataQualities[],8,FALSE)</f>
        <v>8.5000000000000006E-2</v>
      </c>
      <c r="M1421" s="10">
        <f ca="1">VLOOKUP(dict_DQ_Meth_max[[#This Row],[ID_DataQualities]],table_DataQualities[],9,FALSE)</f>
        <v>6898.2</v>
      </c>
    </row>
    <row r="1422" spans="1:13" x14ac:dyDescent="0.45">
      <c r="A1422" s="10">
        <v>380</v>
      </c>
      <c r="B1422" s="10">
        <v>672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1655.6325999999999</v>
      </c>
      <c r="G1422" s="12">
        <f ca="1">(RANDBETWEEN(50,100)/100)*(dict_DQ_Meth_max[[#This Row],[Vergleich_ub]]-dict_DQ_Meth_max[[#This Row],[Vergleich_lb]])+dict_DQ_Meth_max[[#This Row],[Vergleich_lb]]</f>
        <v>5449.5958499999997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8.5000000000000006E-2</v>
      </c>
      <c r="M1422" s="10">
        <f ca="1">VLOOKUP(dict_DQ_Meth_max[[#This Row],[ID_DataQualities]],table_DataQualities[],9,FALSE)</f>
        <v>6898.2</v>
      </c>
    </row>
    <row r="1423" spans="1:13" x14ac:dyDescent="0.45">
      <c r="A1423" s="10">
        <v>380</v>
      </c>
      <c r="B1423" s="10">
        <v>285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2414.4252499999998</v>
      </c>
      <c r="G1423" s="12">
        <f ca="1">(RANDBETWEEN(50,100)/100)*(dict_DQ_Meth_max[[#This Row],[Vergleich_ub]]-dict_DQ_Meth_max[[#This Row],[Vergleich_lb]])+dict_DQ_Meth_max[[#This Row],[Vergleich_lb]]</f>
        <v>4483.8597499999996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8.5000000000000006E-2</v>
      </c>
      <c r="M1423" s="10">
        <f ca="1">VLOOKUP(dict_DQ_Meth_max[[#This Row],[ID_DataQualities]],table_DataQualities[],9,FALSE)</f>
        <v>6898.2</v>
      </c>
    </row>
    <row r="1424" spans="1:13" x14ac:dyDescent="0.45">
      <c r="A1424" s="10">
        <v>381</v>
      </c>
      <c r="B1424" s="10">
        <v>285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1585.24</v>
      </c>
      <c r="G1424" s="12">
        <f ca="1">(RANDBETWEEN(50,100)/100)*(dict_DQ_Meth_max[[#This Row],[Vergleich_ub]]-dict_DQ_Meth_max[[#This Row],[Vergleich_lb]])+dict_DQ_Meth_max[[#This Row],[Vergleich_lb]]</f>
        <v>7739.52</v>
      </c>
      <c r="H1424" s="11" t="str">
        <f ca="1">VLOOKUP(VLOOKUP(dict_DQ_Meth_max[[#This Row],[ID_DataQualities]],table_DataQualities[],3),table_Units[],2)</f>
        <v>bit</v>
      </c>
      <c r="I1424" s="10"/>
      <c r="J1424" s="10"/>
      <c r="K1424" s="10"/>
      <c r="L1424" s="10">
        <f ca="1">VLOOKUP(dict_DQ_Meth_max[[#This Row],[ID_DataQualities]],table_DataQualities[],8,FALSE)</f>
        <v>25</v>
      </c>
      <c r="M1424" s="10">
        <f ca="1">VLOOKUP(dict_DQ_Meth_max[[#This Row],[ID_DataQualities]],table_DataQualities[],9,FALSE)</f>
        <v>8693</v>
      </c>
    </row>
    <row r="1425" spans="1:13" x14ac:dyDescent="0.45">
      <c r="A1425" s="10">
        <v>381</v>
      </c>
      <c r="B1425" s="10">
        <v>672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3665.56</v>
      </c>
      <c r="G1425" s="12">
        <f ca="1">(RANDBETWEEN(50,100)/100)*(dict_DQ_Meth_max[[#This Row],[Vergleich_ub]]-dict_DQ_Meth_max[[#This Row],[Vergleich_lb]])+dict_DQ_Meth_max[[#This Row],[Vergleich_lb]]</f>
        <v>4792.4000000000005</v>
      </c>
      <c r="H1425" s="11" t="str">
        <f ca="1">VLOOKUP(VLOOKUP(dict_DQ_Meth_max[[#This Row],[ID_DataQualities]],table_DataQualities[],3),table_Units[],2)</f>
        <v>bit</v>
      </c>
      <c r="I1425" s="10"/>
      <c r="J1425" s="10"/>
      <c r="K1425" s="10"/>
      <c r="L1425" s="10">
        <f ca="1">VLOOKUP(dict_DQ_Meth_max[[#This Row],[ID_DataQualities]],table_DataQualities[],8,FALSE)</f>
        <v>25</v>
      </c>
      <c r="M1425" s="10">
        <f ca="1">VLOOKUP(dict_DQ_Meth_max[[#This Row],[ID_DataQualities]],table_DataQualities[],9,FALSE)</f>
        <v>8693</v>
      </c>
    </row>
    <row r="1426" spans="1:13" x14ac:dyDescent="0.45">
      <c r="A1426" s="10">
        <v>381</v>
      </c>
      <c r="B1426" s="10">
        <v>531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458.40000000000003</v>
      </c>
      <c r="G1426" s="12">
        <f ca="1">(RANDBETWEEN(50,100)/100)*(dict_DQ_Meth_max[[#This Row],[Vergleich_ub]]-dict_DQ_Meth_max[[#This Row],[Vergleich_lb]])+dict_DQ_Meth_max[[#This Row],[Vergleich_lb]]</f>
        <v>5745.88</v>
      </c>
      <c r="H1426" s="11" t="str">
        <f ca="1">VLOOKUP(VLOOKUP(dict_DQ_Meth_max[[#This Row],[ID_DataQualities]],table_DataQualities[],3),table_Units[],2)</f>
        <v>bit</v>
      </c>
      <c r="I1426" s="10"/>
      <c r="J1426" s="10"/>
      <c r="K1426" s="10"/>
      <c r="L1426" s="10">
        <f ca="1">VLOOKUP(dict_DQ_Meth_max[[#This Row],[ID_DataQualities]],table_DataQualities[],8,FALSE)</f>
        <v>25</v>
      </c>
      <c r="M1426" s="10">
        <f ca="1">VLOOKUP(dict_DQ_Meth_max[[#This Row],[ID_DataQualities]],table_DataQualities[],9,FALSE)</f>
        <v>8693</v>
      </c>
    </row>
    <row r="1427" spans="1:13" x14ac:dyDescent="0.45">
      <c r="A1427" s="10">
        <v>381</v>
      </c>
      <c r="B1427" s="10">
        <v>518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1065.1599999999999</v>
      </c>
      <c r="G1427" s="12">
        <f ca="1">(RANDBETWEEN(50,100)/100)*(dict_DQ_Meth_max[[#This Row],[Vergleich_ub]]-dict_DQ_Meth_max[[#This Row],[Vergleich_lb]])+dict_DQ_Meth_max[[#This Row],[Vergleich_lb]]</f>
        <v>7219.44</v>
      </c>
      <c r="H1427" s="11" t="str">
        <f ca="1">VLOOKUP(VLOOKUP(dict_DQ_Meth_max[[#This Row],[ID_DataQualities]],table_DataQualities[],3),table_Units[],2)</f>
        <v>bit</v>
      </c>
      <c r="I1427" s="10"/>
      <c r="J1427" s="10"/>
      <c r="K1427" s="10"/>
      <c r="L1427" s="10">
        <f ca="1">VLOOKUP(dict_DQ_Meth_max[[#This Row],[ID_DataQualities]],table_DataQualities[],8,FALSE)</f>
        <v>25</v>
      </c>
      <c r="M1427" s="10">
        <f ca="1">VLOOKUP(dict_DQ_Meth_max[[#This Row],[ID_DataQualities]],table_DataQualities[],9,FALSE)</f>
        <v>8693</v>
      </c>
    </row>
    <row r="1428" spans="1:13" x14ac:dyDescent="0.45">
      <c r="A1428" s="10">
        <v>382</v>
      </c>
      <c r="B1428" s="10">
        <v>45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992.46699999999998</v>
      </c>
      <c r="G1428" s="12">
        <f ca="1">(RANDBETWEEN(50,100)/100)*(dict_DQ_Meth_max[[#This Row],[Vergleich_ub]]-dict_DQ_Meth_max[[#This Row],[Vergleich_lb]])+dict_DQ_Meth_max[[#This Row],[Vergleich_lb]]</f>
        <v>1468.78684</v>
      </c>
      <c r="H1428" s="11" t="str">
        <f ca="1">VLOOKUP(VLOOKUP(dict_DQ_Meth_max[[#This Row],[ID_DataQualities]],table_DataQualities[],3),table_Units[],2)</f>
        <v>Hz</v>
      </c>
      <c r="I1428" s="10"/>
      <c r="J1428" s="10"/>
      <c r="K1428" s="10"/>
      <c r="L1428" s="10">
        <f ca="1">VLOOKUP(dict_DQ_Meth_max[[#This Row],[ID_DataQualities]],table_DataQualities[],8,FALSE)</f>
        <v>0.13400000000000001</v>
      </c>
      <c r="M1428" s="10">
        <f ca="1">VLOOKUP(dict_DQ_Meth_max[[#This Row],[ID_DataQualities]],table_DataQualities[],9,FALSE)</f>
        <v>1984.8</v>
      </c>
    </row>
    <row r="1429" spans="1:13" x14ac:dyDescent="0.45">
      <c r="A1429" s="10">
        <v>382</v>
      </c>
      <c r="B1429" s="10">
        <v>128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79.52064</v>
      </c>
      <c r="G1429" s="12">
        <f ca="1">(RANDBETWEEN(50,100)/100)*(dict_DQ_Meth_max[[#This Row],[Vergleich_ub]]-dict_DQ_Meth_max[[#This Row],[Vergleich_lb]])+dict_DQ_Meth_max[[#This Row],[Vergleich_lb]]</f>
        <v>1310.0135600000001</v>
      </c>
      <c r="H1429" s="11" t="str">
        <f ca="1">VLOOKUP(VLOOKUP(dict_DQ_Meth_max[[#This Row],[ID_DataQualities]],table_DataQualities[],3),table_Units[],2)</f>
        <v>Hz</v>
      </c>
      <c r="I1429" s="10"/>
      <c r="J1429" s="10"/>
      <c r="K1429" s="10"/>
      <c r="L1429" s="10">
        <f ca="1">VLOOKUP(dict_DQ_Meth_max[[#This Row],[ID_DataQualities]],table_DataQualities[],8,FALSE)</f>
        <v>0.13400000000000001</v>
      </c>
      <c r="M1429" s="10">
        <f ca="1">VLOOKUP(dict_DQ_Meth_max[[#This Row],[ID_DataQualities]],table_DataQualities[],9,FALSE)</f>
        <v>1984.8</v>
      </c>
    </row>
    <row r="1430" spans="1:13" x14ac:dyDescent="0.45">
      <c r="A1430" s="10">
        <v>382</v>
      </c>
      <c r="B1430" s="10">
        <v>692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754.30708000000004</v>
      </c>
      <c r="G1430" s="12">
        <f ca="1">(RANDBETWEEN(50,100)/100)*(dict_DQ_Meth_max[[#This Row],[Vergleich_ub]]-dict_DQ_Meth_max[[#This Row],[Vergleich_lb]])+dict_DQ_Meth_max[[#This Row],[Vergleich_lb]]</f>
        <v>1349.7068800000002</v>
      </c>
      <c r="H1430" s="11" t="str">
        <f ca="1">VLOOKUP(VLOOKUP(dict_DQ_Meth_max[[#This Row],[ID_DataQualities]],table_DataQualities[],3),table_Units[],2)</f>
        <v>Hz</v>
      </c>
      <c r="I1430" s="10"/>
      <c r="J1430" s="10"/>
      <c r="K1430" s="10"/>
      <c r="L1430" s="10">
        <f ca="1">VLOOKUP(dict_DQ_Meth_max[[#This Row],[ID_DataQualities]],table_DataQualities[],8,FALSE)</f>
        <v>0.13400000000000001</v>
      </c>
      <c r="M1430" s="10">
        <f ca="1">VLOOKUP(dict_DQ_Meth_max[[#This Row],[ID_DataQualities]],table_DataQualities[],9,FALSE)</f>
        <v>1984.8</v>
      </c>
    </row>
    <row r="1431" spans="1:13" x14ac:dyDescent="0.45">
      <c r="A1431" s="10">
        <v>382</v>
      </c>
      <c r="B1431" s="10">
        <v>345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516.14715999999999</v>
      </c>
      <c r="G1431" s="12">
        <f ca="1">(RANDBETWEEN(50,100)/100)*(dict_DQ_Meth_max[[#This Row],[Vergleich_ub]]-dict_DQ_Meth_max[[#This Row],[Vergleich_lb]])+dict_DQ_Meth_max[[#This Row],[Vergleich_lb]]</f>
        <v>1607.7134600000002</v>
      </c>
      <c r="H1431" s="11" t="str">
        <f ca="1">VLOOKUP(VLOOKUP(dict_DQ_Meth_max[[#This Row],[ID_DataQualities]],table_DataQualities[],3),table_Units[],2)</f>
        <v>Hz</v>
      </c>
      <c r="I1431" s="10"/>
      <c r="J1431" s="10"/>
      <c r="K1431" s="10"/>
      <c r="L1431" s="10">
        <f ca="1">VLOOKUP(dict_DQ_Meth_max[[#This Row],[ID_DataQualities]],table_DataQualities[],8,FALSE)</f>
        <v>0.13400000000000001</v>
      </c>
      <c r="M1431" s="10">
        <f ca="1">VLOOKUP(dict_DQ_Meth_max[[#This Row],[ID_DataQualities]],table_DataQualities[],9,FALSE)</f>
        <v>1984.8</v>
      </c>
    </row>
    <row r="1432" spans="1:13" x14ac:dyDescent="0.45">
      <c r="A1432" s="10">
        <v>383</v>
      </c>
      <c r="B1432" s="10">
        <v>345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5.2680000000000005E-2</v>
      </c>
      <c r="G1432" s="12">
        <f ca="1">(RANDBETWEEN(50,100)/100)*(dict_DQ_Meth_max[[#This Row],[Vergleich_ub]]-dict_DQ_Meth_max[[#This Row],[Vergleich_lb]])+dict_DQ_Meth_max[[#This Row],[Vergleich_lb]]</f>
        <v>0.20969399999999999</v>
      </c>
      <c r="H1432" s="11" t="str">
        <f ca="1">VLOOKUP(VLOOKUP(dict_DQ_Meth_max[[#This Row],[ID_DataQualities]],table_DataQualities[],3),table_Units[],2)</f>
        <v>+/- cm³/s</v>
      </c>
      <c r="I1432" s="10"/>
      <c r="J1432" s="10"/>
      <c r="K1432" s="10"/>
      <c r="L1432" s="10">
        <f ca="1">VLOOKUP(dict_DQ_Meth_max[[#This Row],[ID_DataQualities]],table_DataQualities[],8,FALSE)</f>
        <v>5.1000000000000004E-3</v>
      </c>
      <c r="M1432" s="10">
        <f ca="1">VLOOKUP(dict_DQ_Meth_max[[#This Row],[ID_DataQualities]],table_DataQualities[],9,FALSE)</f>
        <v>0.24299999999999999</v>
      </c>
    </row>
    <row r="1433" spans="1:13" x14ac:dyDescent="0.45">
      <c r="A1433" s="10">
        <v>383</v>
      </c>
      <c r="B1433" s="10">
        <v>692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4.7921999999999999E-2</v>
      </c>
      <c r="G1433" s="12">
        <f ca="1">(RANDBETWEEN(50,100)/100)*(dict_DQ_Meth_max[[#This Row],[Vergleich_ub]]-dict_DQ_Meth_max[[#This Row],[Vergleich_lb]])+dict_DQ_Meth_max[[#This Row],[Vergleich_lb]]</f>
        <v>0.190662</v>
      </c>
      <c r="H1433" s="11" t="str">
        <f ca="1">VLOOKUP(VLOOKUP(dict_DQ_Meth_max[[#This Row],[ID_DataQualities]],table_DataQualities[],3),table_Units[],2)</f>
        <v>+/- cm³/s</v>
      </c>
      <c r="I1433" s="10"/>
      <c r="J1433" s="10"/>
      <c r="K1433" s="10"/>
      <c r="L1433" s="10">
        <f ca="1">VLOOKUP(dict_DQ_Meth_max[[#This Row],[ID_DataQualities]],table_DataQualities[],8,FALSE)</f>
        <v>5.1000000000000004E-3</v>
      </c>
      <c r="M1433" s="10">
        <f ca="1">VLOOKUP(dict_DQ_Meth_max[[#This Row],[ID_DataQualities]],table_DataQualities[],9,FALSE)</f>
        <v>0.24299999999999999</v>
      </c>
    </row>
    <row r="1434" spans="1:13" x14ac:dyDescent="0.45">
      <c r="A1434" s="10">
        <v>383</v>
      </c>
      <c r="B1434" s="10">
        <v>128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2.4132000000000001E-2</v>
      </c>
      <c r="G1434" s="12">
        <f ca="1">(RANDBETWEEN(50,100)/100)*(dict_DQ_Meth_max[[#This Row],[Vergleich_ub]]-dict_DQ_Meth_max[[#This Row],[Vergleich_lb]])+dict_DQ_Meth_max[[#This Row],[Vergleich_lb]]</f>
        <v>0.13356599999999999</v>
      </c>
      <c r="H1434" s="11" t="str">
        <f ca="1">VLOOKUP(VLOOKUP(dict_DQ_Meth_max[[#This Row],[ID_DataQualities]],table_DataQualities[],3),table_Units[],2)</f>
        <v>+/- cm³/s</v>
      </c>
      <c r="I1434" s="10"/>
      <c r="J1434" s="10"/>
      <c r="K1434" s="10"/>
      <c r="L1434" s="10">
        <f ca="1">VLOOKUP(dict_DQ_Meth_max[[#This Row],[ID_DataQualities]],table_DataQualities[],8,FALSE)</f>
        <v>5.1000000000000004E-3</v>
      </c>
      <c r="M1434" s="10">
        <f ca="1">VLOOKUP(dict_DQ_Meth_max[[#This Row],[ID_DataQualities]],table_DataQualities[],9,FALSE)</f>
        <v>0.24299999999999999</v>
      </c>
    </row>
    <row r="1435" spans="1:13" x14ac:dyDescent="0.45">
      <c r="A1435" s="10">
        <v>383</v>
      </c>
      <c r="B1435" s="10">
        <v>45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0.10026000000000002</v>
      </c>
      <c r="G1435" s="12">
        <f ca="1">(RANDBETWEEN(50,100)/100)*(dict_DQ_Meth_max[[#This Row],[Vergleich_ub]]-dict_DQ_Meth_max[[#This Row],[Vergleich_lb]])+dict_DQ_Meth_max[[#This Row],[Vergleich_lb]]</f>
        <v>0.23824199999999998</v>
      </c>
      <c r="H1435" s="11" t="str">
        <f ca="1">VLOOKUP(VLOOKUP(dict_DQ_Meth_max[[#This Row],[ID_DataQualities]],table_DataQualities[],3),table_Units[],2)</f>
        <v>+/- cm³/s</v>
      </c>
      <c r="I1435" s="10"/>
      <c r="J1435" s="10"/>
      <c r="K1435" s="10"/>
      <c r="L1435" s="10">
        <f ca="1">VLOOKUP(dict_DQ_Meth_max[[#This Row],[ID_DataQualities]],table_DataQualities[],8,FALSE)</f>
        <v>5.1000000000000004E-3</v>
      </c>
      <c r="M1435" s="10">
        <f ca="1">VLOOKUP(dict_DQ_Meth_max[[#This Row],[ID_DataQualities]],table_DataQualities[],9,FALSE)</f>
        <v>0.24299999999999999</v>
      </c>
    </row>
    <row r="1436" spans="1:13" x14ac:dyDescent="0.45">
      <c r="A1436" s="10">
        <v>384</v>
      </c>
      <c r="B1436" s="10">
        <v>621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3919.5647599999998</v>
      </c>
      <c r="G1436" s="12">
        <f ca="1">(RANDBETWEEN(50,100)/100)*(dict_DQ_Meth_max[[#This Row],[Vergleich_ub]]-dict_DQ_Meth_max[[#This Row],[Vergleich_lb]])+dict_DQ_Meth_max[[#This Row],[Vergleich_lb]]</f>
        <v>4759.3167799999992</v>
      </c>
      <c r="H1436" s="11" t="str">
        <f ca="1">VLOOKUP(VLOOKUP(dict_DQ_Meth_max[[#This Row],[ID_DataQualities]],table_DataQualities[],3),table_Units[],2)</f>
        <v>Hz</v>
      </c>
      <c r="I1436" s="10"/>
      <c r="J1436" s="10"/>
      <c r="K1436" s="10"/>
      <c r="L1436" s="10">
        <f ca="1">VLOOKUP(dict_DQ_Meth_max[[#This Row],[ID_DataQualities]],table_DataQualities[],8,FALSE)</f>
        <v>0.72199999999999998</v>
      </c>
      <c r="M1436" s="10">
        <f ca="1">VLOOKUP(dict_DQ_Meth_max[[#This Row],[ID_DataQualities]],table_DataQualities[],9,FALSE)</f>
        <v>9331.2999999999993</v>
      </c>
    </row>
    <row r="1437" spans="1:13" x14ac:dyDescent="0.45">
      <c r="A1437" s="10">
        <v>384</v>
      </c>
      <c r="B1437" s="10">
        <v>213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2240.0607199999999</v>
      </c>
      <c r="G1437" s="12">
        <f ca="1">(RANDBETWEEN(50,100)/100)*(dict_DQ_Meth_max[[#This Row],[Vergleich_ub]]-dict_DQ_Meth_max[[#This Row],[Vergleich_lb]])+dict_DQ_Meth_max[[#This Row],[Vergleich_lb]]</f>
        <v>9331.2999999999993</v>
      </c>
      <c r="H1437" s="11" t="str">
        <f ca="1">VLOOKUP(VLOOKUP(dict_DQ_Meth_max[[#This Row],[ID_DataQualities]],table_DataQualities[],3),table_Units[],2)</f>
        <v>Hz</v>
      </c>
      <c r="I1437" s="10"/>
      <c r="J1437" s="10"/>
      <c r="K1437" s="10"/>
      <c r="L1437" s="10">
        <f ca="1">VLOOKUP(dict_DQ_Meth_max[[#This Row],[ID_DataQualities]],table_DataQualities[],8,FALSE)</f>
        <v>0.72199999999999998</v>
      </c>
      <c r="M1437" s="10">
        <f ca="1">VLOOKUP(dict_DQ_Meth_max[[#This Row],[ID_DataQualities]],table_DataQualities[],9,FALSE)</f>
        <v>9331.2999999999993</v>
      </c>
    </row>
    <row r="1438" spans="1:13" x14ac:dyDescent="0.45">
      <c r="A1438" s="10">
        <v>384</v>
      </c>
      <c r="B1438" s="10">
        <v>74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933.77980000000002</v>
      </c>
      <c r="G1438" s="12">
        <f ca="1">(RANDBETWEEN(50,100)/100)*(dict_DQ_Meth_max[[#This Row],[Vergleich_ub]]-dict_DQ_Meth_max[[#This Row],[Vergleich_lb]])+dict_DQ_Meth_max[[#This Row],[Vergleich_lb]]</f>
        <v>7185.2670599999992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0.72199999999999998</v>
      </c>
      <c r="M1438" s="10">
        <f ca="1">VLOOKUP(dict_DQ_Meth_max[[#This Row],[ID_DataQualities]],table_DataQualities[],9,FALSE)</f>
        <v>9331.2999999999993</v>
      </c>
    </row>
    <row r="1439" spans="1:13" x14ac:dyDescent="0.45">
      <c r="A1439" s="10">
        <v>384</v>
      </c>
      <c r="B1439" s="10">
        <v>385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4012.8705399999999</v>
      </c>
      <c r="G1439" s="12">
        <f ca="1">(RANDBETWEEN(50,100)/100)*(dict_DQ_Meth_max[[#This Row],[Vergleich_ub]]-dict_DQ_Meth_max[[#This Row],[Vergleich_lb]])+dict_DQ_Meth_max[[#This Row],[Vergleich_lb]]</f>
        <v>6252.2092599999996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0.72199999999999998</v>
      </c>
      <c r="M1439" s="10">
        <f ca="1">VLOOKUP(dict_DQ_Meth_max[[#This Row],[ID_DataQualities]],table_DataQualities[],9,FALSE)</f>
        <v>9331.2999999999993</v>
      </c>
    </row>
    <row r="1440" spans="1:13" x14ac:dyDescent="0.45">
      <c r="A1440" s="10">
        <v>385</v>
      </c>
      <c r="B1440" s="10">
        <v>213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1.4321999999999999</v>
      </c>
      <c r="G1440" s="12">
        <f ca="1">(RANDBETWEEN(50,100)/100)*(dict_DQ_Meth_max[[#This Row],[Vergleich_ub]]-dict_DQ_Meth_max[[#This Row],[Vergleich_lb]])+dict_DQ_Meth_max[[#This Row],[Vergleich_lb]]</f>
        <v>5.7099000000000002</v>
      </c>
      <c r="H1440" s="11" t="str">
        <f ca="1">VLOOKUP(VLOOKUP(dict_DQ_Meth_max[[#This Row],[ID_DataQualities]],table_DataQualities[],3),table_Units[],2)</f>
        <v>+/- mm/s</v>
      </c>
      <c r="I1440" s="10"/>
      <c r="J1440" s="10"/>
      <c r="K1440" s="10"/>
      <c r="L1440" s="10">
        <f ca="1">VLOOKUP(dict_DQ_Meth_max[[#This Row],[ID_DataQualities]],table_DataQualities[],8,FALSE)</f>
        <v>0.21</v>
      </c>
      <c r="M1440" s="10">
        <f ca="1">VLOOKUP(dict_DQ_Meth_max[[#This Row],[ID_DataQualities]],table_DataQualities[],9,FALSE)</f>
        <v>7</v>
      </c>
    </row>
    <row r="1441" spans="1:13" x14ac:dyDescent="0.45">
      <c r="A1441" s="10">
        <v>385</v>
      </c>
      <c r="B1441" s="10">
        <v>74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0.61739999999999995</v>
      </c>
      <c r="G1441" s="12">
        <f ca="1">(RANDBETWEEN(50,100)/100)*(dict_DQ_Meth_max[[#This Row],[Vergleich_ub]]-dict_DQ_Meth_max[[#This Row],[Vergleich_lb]])+dict_DQ_Meth_max[[#This Row],[Vergleich_lb]]</f>
        <v>6.4568000000000003</v>
      </c>
      <c r="H1441" s="11" t="str">
        <f ca="1">VLOOKUP(VLOOKUP(dict_DQ_Meth_max[[#This Row],[ID_DataQualities]],table_DataQualities[],3),table_Units[],2)</f>
        <v>+/- mm/s</v>
      </c>
      <c r="I1441" s="10"/>
      <c r="J1441" s="10"/>
      <c r="K1441" s="10"/>
      <c r="L1441" s="10">
        <f ca="1">VLOOKUP(dict_DQ_Meth_max[[#This Row],[ID_DataQualities]],table_DataQualities[],8,FALSE)</f>
        <v>0.21</v>
      </c>
      <c r="M1441" s="10">
        <f ca="1">VLOOKUP(dict_DQ_Meth_max[[#This Row],[ID_DataQualities]],table_DataQualities[],9,FALSE)</f>
        <v>7</v>
      </c>
    </row>
    <row r="1442" spans="1:13" x14ac:dyDescent="0.45">
      <c r="A1442" s="10">
        <v>385</v>
      </c>
      <c r="B1442" s="10">
        <v>385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2.3828</v>
      </c>
      <c r="G1442" s="12">
        <f ca="1">(RANDBETWEEN(50,100)/100)*(dict_DQ_Meth_max[[#This Row],[Vergleich_ub]]-dict_DQ_Meth_max[[#This Row],[Vergleich_lb]])+dict_DQ_Meth_max[[#This Row],[Vergleich_lb]]</f>
        <v>5.6420000000000003</v>
      </c>
      <c r="H1442" s="11" t="str">
        <f ca="1">VLOOKUP(VLOOKUP(dict_DQ_Meth_max[[#This Row],[ID_DataQualities]],table_DataQualities[],3),table_Units[],2)</f>
        <v>+/- mm/s</v>
      </c>
      <c r="I1442" s="10"/>
      <c r="J1442" s="10"/>
      <c r="K1442" s="10"/>
      <c r="L1442" s="10">
        <f ca="1">VLOOKUP(dict_DQ_Meth_max[[#This Row],[ID_DataQualities]],table_DataQualities[],8,FALSE)</f>
        <v>0.21</v>
      </c>
      <c r="M1442" s="10">
        <f ca="1">VLOOKUP(dict_DQ_Meth_max[[#This Row],[ID_DataQualities]],table_DataQualities[],9,FALSE)</f>
        <v>7</v>
      </c>
    </row>
    <row r="1443" spans="1:13" x14ac:dyDescent="0.45">
      <c r="A1443" s="10">
        <v>385</v>
      </c>
      <c r="B1443" s="10">
        <v>621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3.2654999999999998</v>
      </c>
      <c r="G1443" s="12">
        <f ca="1">(RANDBETWEEN(50,100)/100)*(dict_DQ_Meth_max[[#This Row],[Vergleich_ub]]-dict_DQ_Meth_max[[#This Row],[Vergleich_lb]])+dict_DQ_Meth_max[[#This Row],[Vergleich_lb]]</f>
        <v>6.5926</v>
      </c>
      <c r="H1443" s="11" t="str">
        <f ca="1">VLOOKUP(VLOOKUP(dict_DQ_Meth_max[[#This Row],[ID_DataQualities]],table_DataQualities[],3),table_Units[],2)</f>
        <v>+/- mm/s</v>
      </c>
      <c r="I1443" s="10"/>
      <c r="J1443" s="10"/>
      <c r="K1443" s="10"/>
      <c r="L1443" s="10">
        <f ca="1">VLOOKUP(dict_DQ_Meth_max[[#This Row],[ID_DataQualities]],table_DataQualities[],8,FALSE)</f>
        <v>0.21</v>
      </c>
      <c r="M1443" s="10">
        <f ca="1">VLOOKUP(dict_DQ_Meth_max[[#This Row],[ID_DataQualities]],table_DataQualities[],9,FALSE)</f>
        <v>7</v>
      </c>
    </row>
    <row r="1444" spans="1:13" x14ac:dyDescent="0.45">
      <c r="A1444" s="10">
        <v>386</v>
      </c>
      <c r="B1444" s="10">
        <v>264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4328.111069999999</v>
      </c>
      <c r="G1444" s="12">
        <f ca="1">(RANDBETWEEN(50,100)/100)*(dict_DQ_Meth_max[[#This Row],[Vergleich_ub]]-dict_DQ_Meth_max[[#This Row],[Vergleich_lb]])+dict_DQ_Meth_max[[#This Row],[Vergleich_lb]]</f>
        <v>7949.1256999999987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0.55700000000000005</v>
      </c>
      <c r="M1444" s="10">
        <f ca="1">VLOOKUP(dict_DQ_Meth_max[[#This Row],[ID_DataQualities]],table_DataQualities[],9,FALSE)</f>
        <v>8832.2999999999993</v>
      </c>
    </row>
    <row r="1445" spans="1:13" x14ac:dyDescent="0.45">
      <c r="A1445" s="10">
        <v>386</v>
      </c>
      <c r="B1445" s="10">
        <v>258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3533.2541999999994</v>
      </c>
      <c r="G1445" s="12">
        <f ca="1">(RANDBETWEEN(50,100)/100)*(dict_DQ_Meth_max[[#This Row],[Vergleich_ub]]-dict_DQ_Meth_max[[#This Row],[Vergleich_lb]])+dict_DQ_Meth_max[[#This Row],[Vergleich_lb]]</f>
        <v>8037.4431299999987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0.55700000000000005</v>
      </c>
      <c r="M1445" s="10">
        <f ca="1">VLOOKUP(dict_DQ_Meth_max[[#This Row],[ID_DataQualities]],table_DataQualities[],9,FALSE)</f>
        <v>8832.2999999999993</v>
      </c>
    </row>
    <row r="1446" spans="1:13" x14ac:dyDescent="0.45">
      <c r="A1446" s="10">
        <v>386</v>
      </c>
      <c r="B1446" s="10">
        <v>7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2208.4927499999994</v>
      </c>
      <c r="G1446" s="12">
        <f ca="1">(RANDBETWEEN(50,100)/100)*(dict_DQ_Meth_max[[#This Row],[Vergleich_ub]]-dict_DQ_Meth_max[[#This Row],[Vergleich_lb]])+dict_DQ_Meth_max[[#This Row],[Vergleich_lb]]</f>
        <v>6624.3642499999987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0.55700000000000005</v>
      </c>
      <c r="M1446" s="10">
        <f ca="1">VLOOKUP(dict_DQ_Meth_max[[#This Row],[ID_DataQualities]],table_DataQualities[],9,FALSE)</f>
        <v>8832.2999999999993</v>
      </c>
    </row>
    <row r="1447" spans="1:13" x14ac:dyDescent="0.45">
      <c r="A1447" s="10">
        <v>386</v>
      </c>
      <c r="B1447" s="10">
        <v>373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2826.7147599999994</v>
      </c>
      <c r="G1447" s="12">
        <f ca="1">(RANDBETWEEN(50,100)/100)*(dict_DQ_Meth_max[[#This Row],[Vergleich_ub]]-dict_DQ_Meth_max[[#This Row],[Vergleich_lb]])+dict_DQ_Meth_max[[#This Row],[Vergleich_lb]]</f>
        <v>6094.4596699999984</v>
      </c>
      <c r="H1447" s="11" t="str">
        <f ca="1">VLOOKUP(VLOOKUP(dict_DQ_Meth_max[[#This Row],[ID_DataQualities]],table_DataQualities[],3),table_Units[],2)</f>
        <v>Hz</v>
      </c>
      <c r="I1447" s="10"/>
      <c r="J1447" s="10"/>
      <c r="K1447" s="10"/>
      <c r="L1447" s="10">
        <f ca="1">VLOOKUP(dict_DQ_Meth_max[[#This Row],[ID_DataQualities]],table_DataQualities[],8,FALSE)</f>
        <v>0.55700000000000005</v>
      </c>
      <c r="M1447" s="10">
        <f ca="1">VLOOKUP(dict_DQ_Meth_max[[#This Row],[ID_DataQualities]],table_DataQualities[],9,FALSE)</f>
        <v>8832.2999999999993</v>
      </c>
    </row>
    <row r="1448" spans="1:13" x14ac:dyDescent="0.45">
      <c r="A1448" s="10">
        <v>387</v>
      </c>
      <c r="B1448" s="10">
        <v>7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1.3759999999999999</v>
      </c>
      <c r="G1448" s="12">
        <f ca="1">(RANDBETWEEN(50,100)/100)*(dict_DQ_Meth_max[[#This Row],[Vergleich_ub]]-dict_DQ_Meth_max[[#This Row],[Vergleich_lb]])+dict_DQ_Meth_max[[#This Row],[Vergleich_lb]]</f>
        <v>1.6520000000000001</v>
      </c>
      <c r="H1448" s="11" t="str">
        <f ca="1">VLOOKUP(VLOOKUP(dict_DQ_Meth_max[[#This Row],[ID_DataQualities]],table_DataQualities[],3),table_Units[],2)</f>
        <v>+/- °C</v>
      </c>
      <c r="I1448" s="10"/>
      <c r="J1448" s="10"/>
      <c r="K1448" s="10"/>
      <c r="L1448" s="10">
        <f ca="1">VLOOKUP(dict_DQ_Meth_max[[#This Row],[ID_DataQualities]],table_DataQualities[],8,FALSE)</f>
        <v>0.8</v>
      </c>
      <c r="M1448" s="10">
        <f ca="1">VLOOKUP(dict_DQ_Meth_max[[#This Row],[ID_DataQualities]],table_DataQualities[],9,FALSE)</f>
        <v>2</v>
      </c>
    </row>
    <row r="1449" spans="1:13" x14ac:dyDescent="0.45">
      <c r="A1449" s="10">
        <v>387</v>
      </c>
      <c r="B1449" s="10">
        <v>264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1.1480000000000001</v>
      </c>
      <c r="G1449" s="12">
        <f ca="1">(RANDBETWEEN(50,100)/100)*(dict_DQ_Meth_max[[#This Row],[Vergleich_ub]]-dict_DQ_Meth_max[[#This Row],[Vergleich_lb]])+dict_DQ_Meth_max[[#This Row],[Vergleich_lb]]</f>
        <v>1.484</v>
      </c>
      <c r="H1449" s="11" t="str">
        <f ca="1">VLOOKUP(VLOOKUP(dict_DQ_Meth_max[[#This Row],[ID_DataQualities]],table_DataQualities[],3),table_Units[],2)</f>
        <v>+/- °C</v>
      </c>
      <c r="I1449" s="10"/>
      <c r="J1449" s="10"/>
      <c r="K1449" s="10"/>
      <c r="L1449" s="10">
        <f ca="1">VLOOKUP(dict_DQ_Meth_max[[#This Row],[ID_DataQualities]],table_DataQualities[],8,FALSE)</f>
        <v>0.8</v>
      </c>
      <c r="M1449" s="10">
        <f ca="1">VLOOKUP(dict_DQ_Meth_max[[#This Row],[ID_DataQualities]],table_DataQualities[],9,FALSE)</f>
        <v>2</v>
      </c>
    </row>
    <row r="1450" spans="1:13" x14ac:dyDescent="0.45">
      <c r="A1450" s="10">
        <v>387</v>
      </c>
      <c r="B1450" s="10">
        <v>373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1.1000000000000001</v>
      </c>
      <c r="G1450" s="12">
        <f ca="1">(RANDBETWEEN(50,100)/100)*(dict_DQ_Meth_max[[#This Row],[Vergleich_ub]]-dict_DQ_Meth_max[[#This Row],[Vergleich_lb]])+dict_DQ_Meth_max[[#This Row],[Vergleich_lb]]</f>
        <v>1.472</v>
      </c>
      <c r="H1450" s="11" t="str">
        <f ca="1">VLOOKUP(VLOOKUP(dict_DQ_Meth_max[[#This Row],[ID_DataQualities]],table_DataQualities[],3),table_Units[],2)</f>
        <v>+/- °C</v>
      </c>
      <c r="I1450" s="10"/>
      <c r="J1450" s="10"/>
      <c r="K1450" s="10"/>
      <c r="L1450" s="10">
        <f ca="1">VLOOKUP(dict_DQ_Meth_max[[#This Row],[ID_DataQualities]],table_DataQualities[],8,FALSE)</f>
        <v>0.8</v>
      </c>
      <c r="M1450" s="10">
        <f ca="1">VLOOKUP(dict_DQ_Meth_max[[#This Row],[ID_DataQualities]],table_DataQualities[],9,FALSE)</f>
        <v>2</v>
      </c>
    </row>
    <row r="1451" spans="1:13" x14ac:dyDescent="0.45">
      <c r="A1451" s="10">
        <v>387</v>
      </c>
      <c r="B1451" s="10">
        <v>258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1.016</v>
      </c>
      <c r="G1451" s="12">
        <f ca="1">(RANDBETWEEN(50,100)/100)*(dict_DQ_Meth_max[[#This Row],[Vergleich_ub]]-dict_DQ_Meth_max[[#This Row],[Vergleich_lb]])+dict_DQ_Meth_max[[#This Row],[Vergleich_lb]]</f>
        <v>1.6880000000000002</v>
      </c>
      <c r="H1451" s="11" t="str">
        <f ca="1">VLOOKUP(VLOOKUP(dict_DQ_Meth_max[[#This Row],[ID_DataQualities]],table_DataQualities[],3),table_Units[],2)</f>
        <v>+/- °C</v>
      </c>
      <c r="I1451" s="10"/>
      <c r="J1451" s="10"/>
      <c r="K1451" s="10"/>
      <c r="L1451" s="10">
        <f ca="1">VLOOKUP(dict_DQ_Meth_max[[#This Row],[ID_DataQualities]],table_DataQualities[],8,FALSE)</f>
        <v>0.8</v>
      </c>
      <c r="M1451" s="10">
        <f ca="1">VLOOKUP(dict_DQ_Meth_max[[#This Row],[ID_DataQualities]],table_DataQualities[],9,FALSE)</f>
        <v>2</v>
      </c>
    </row>
    <row r="1452" spans="1:13" x14ac:dyDescent="0.45">
      <c r="A1452" s="10">
        <v>388</v>
      </c>
      <c r="B1452" s="10">
        <v>43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883.35337000000015</v>
      </c>
      <c r="G1452" s="12">
        <f ca="1">(RANDBETWEEN(50,100)/100)*(dict_DQ_Meth_max[[#This Row],[Vergleich_ub]]-dict_DQ_Meth_max[[#This Row],[Vergleich_lb]])+dict_DQ_Meth_max[[#This Row],[Vergleich_lb]]</f>
        <v>2027.4442200000001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0.76900000000000002</v>
      </c>
      <c r="M1452" s="10">
        <f ca="1">VLOOKUP(dict_DQ_Meth_max[[#This Row],[ID_DataQualities]],table_DataQualities[],9,FALSE)</f>
        <v>3269.6</v>
      </c>
    </row>
    <row r="1453" spans="1:13" x14ac:dyDescent="0.45">
      <c r="A1453" s="10">
        <v>388</v>
      </c>
      <c r="B1453" s="10">
        <v>168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1112.17154</v>
      </c>
      <c r="G1453" s="12">
        <f ca="1">(RANDBETWEEN(50,100)/100)*(dict_DQ_Meth_max[[#This Row],[Vergleich_ub]]-dict_DQ_Meth_max[[#This Row],[Vergleich_lb]])+dict_DQ_Meth_max[[#This Row],[Vergleich_lb]]</f>
        <v>3040.7818299999999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0.76900000000000002</v>
      </c>
      <c r="M1453" s="10">
        <f ca="1">VLOOKUP(dict_DQ_Meth_max[[#This Row],[ID_DataQualities]],table_DataQualities[],9,FALSE)</f>
        <v>3269.6</v>
      </c>
    </row>
    <row r="1454" spans="1:13" x14ac:dyDescent="0.45">
      <c r="A1454" s="10">
        <v>388</v>
      </c>
      <c r="B1454" s="10">
        <v>60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981.41830000000004</v>
      </c>
      <c r="G1454" s="12">
        <f ca="1">(RANDBETWEEN(50,100)/100)*(dict_DQ_Meth_max[[#This Row],[Vergleich_ub]]-dict_DQ_Meth_max[[#This Row],[Vergleich_lb]])+dict_DQ_Meth_max[[#This Row],[Vergleich_lb]]</f>
        <v>3236.9116899999999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0.76900000000000002</v>
      </c>
      <c r="M1454" s="10">
        <f ca="1">VLOOKUP(dict_DQ_Meth_max[[#This Row],[ID_DataQualities]],table_DataQualities[],9,FALSE)</f>
        <v>3269.6</v>
      </c>
    </row>
    <row r="1455" spans="1:13" x14ac:dyDescent="0.45">
      <c r="A1455" s="10">
        <v>389</v>
      </c>
      <c r="B1455" s="10">
        <v>168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1.3479999999999999</v>
      </c>
      <c r="G1455" s="12">
        <f ca="1">(RANDBETWEEN(50,100)/100)*(dict_DQ_Meth_max[[#This Row],[Vergleich_ub]]-dict_DQ_Meth_max[[#This Row],[Vergleich_lb]])+dict_DQ_Meth_max[[#This Row],[Vergleich_lb]]</f>
        <v>3.694</v>
      </c>
      <c r="H1455" s="11" t="str">
        <f ca="1">VLOOKUP(VLOOKUP(dict_DQ_Meth_max[[#This Row],[ID_DataQualities]],table_DataQualities[],3),table_Units[],2)</f>
        <v>+/- °C</v>
      </c>
      <c r="I1455" s="10"/>
      <c r="J1455" s="10"/>
      <c r="K1455" s="10"/>
      <c r="L1455" s="10">
        <f ca="1">VLOOKUP(dict_DQ_Meth_max[[#This Row],[ID_DataQualities]],table_DataQualities[],8,FALSE)</f>
        <v>0.6</v>
      </c>
      <c r="M1455" s="10">
        <f ca="1">VLOOKUP(dict_DQ_Meth_max[[#This Row],[ID_DataQualities]],table_DataQualities[],9,FALSE)</f>
        <v>4</v>
      </c>
    </row>
    <row r="1456" spans="1:13" x14ac:dyDescent="0.45">
      <c r="A1456" s="10">
        <v>389</v>
      </c>
      <c r="B1456" s="10">
        <v>43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2.0619999999999998</v>
      </c>
      <c r="G1456" s="12">
        <f ca="1">(RANDBETWEEN(50,100)/100)*(dict_DQ_Meth_max[[#This Row],[Vergleich_ub]]-dict_DQ_Meth_max[[#This Row],[Vergleich_lb]])+dict_DQ_Meth_max[[#This Row],[Vergleich_lb]]</f>
        <v>3.9660000000000002</v>
      </c>
      <c r="H1456" s="11" t="str">
        <f ca="1">VLOOKUP(VLOOKUP(dict_DQ_Meth_max[[#This Row],[ID_DataQualities]],table_DataQualities[],3),table_Units[],2)</f>
        <v>+/- °C</v>
      </c>
      <c r="I1456" s="10"/>
      <c r="J1456" s="10"/>
      <c r="K1456" s="10"/>
      <c r="L1456" s="10">
        <f ca="1">VLOOKUP(dict_DQ_Meth_max[[#This Row],[ID_DataQualities]],table_DataQualities[],8,FALSE)</f>
        <v>0.6</v>
      </c>
      <c r="M1456" s="10">
        <f ca="1">VLOOKUP(dict_DQ_Meth_max[[#This Row],[ID_DataQualities]],table_DataQualities[],9,FALSE)</f>
        <v>4</v>
      </c>
    </row>
    <row r="1457" spans="1:13" x14ac:dyDescent="0.45">
      <c r="A1457" s="10">
        <v>389</v>
      </c>
      <c r="B1457" s="10">
        <v>60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2.0960000000000001</v>
      </c>
      <c r="G1457" s="12">
        <f ca="1">(RANDBETWEEN(50,100)/100)*(dict_DQ_Meth_max[[#This Row],[Vergleich_ub]]-dict_DQ_Meth_max[[#This Row],[Vergleich_lb]])+dict_DQ_Meth_max[[#This Row],[Vergleich_lb]]</f>
        <v>2.4020000000000001</v>
      </c>
      <c r="H1457" s="11" t="str">
        <f ca="1">VLOOKUP(VLOOKUP(dict_DQ_Meth_max[[#This Row],[ID_DataQualities]],table_DataQualities[],3),table_Units[],2)</f>
        <v>+/- °C</v>
      </c>
      <c r="I1457" s="10"/>
      <c r="J1457" s="10"/>
      <c r="K1457" s="10"/>
      <c r="L1457" s="10">
        <f ca="1">VLOOKUP(dict_DQ_Meth_max[[#This Row],[ID_DataQualities]],table_DataQualities[],8,FALSE)</f>
        <v>0.6</v>
      </c>
      <c r="M1457" s="10">
        <f ca="1">VLOOKUP(dict_DQ_Meth_max[[#This Row],[ID_DataQualities]],table_DataQualities[],9,FALSE)</f>
        <v>4</v>
      </c>
    </row>
    <row r="1458" spans="1:13" x14ac:dyDescent="0.45">
      <c r="A1458" s="10">
        <v>390</v>
      </c>
      <c r="B1458" s="10">
        <v>559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247.85557</v>
      </c>
      <c r="G1458" s="12">
        <f ca="1">(RANDBETWEEN(50,100)/100)*(dict_DQ_Meth_max[[#This Row],[Vergleich_ub]]-dict_DQ_Meth_max[[#This Row],[Vergleich_lb]])+dict_DQ_Meth_max[[#This Row],[Vergleich_lb]]</f>
        <v>1238.5618499999998</v>
      </c>
      <c r="H1458" s="11" t="str">
        <f ca="1">VLOOKUP(VLOOKUP(dict_DQ_Meth_max[[#This Row],[ID_DataQualities]],table_DataQualities[],3),table_Units[],2)</f>
        <v>Hz</v>
      </c>
      <c r="I1458" s="10"/>
      <c r="J1458" s="10"/>
      <c r="K1458" s="10"/>
      <c r="L1458" s="10">
        <f ca="1">VLOOKUP(dict_DQ_Meth_max[[#This Row],[ID_DataQualities]],table_DataQualities[],8,FALSE)</f>
        <v>0.17899999999999999</v>
      </c>
      <c r="M1458" s="10">
        <f ca="1">VLOOKUP(dict_DQ_Meth_max[[#This Row],[ID_DataQualities]],table_DataQualities[],9,FALSE)</f>
        <v>1457.1</v>
      </c>
    </row>
    <row r="1459" spans="1:13" x14ac:dyDescent="0.45">
      <c r="A1459" s="10">
        <v>390</v>
      </c>
      <c r="B1459" s="10">
        <v>666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714.07028999999989</v>
      </c>
      <c r="G1459" s="12">
        <f ca="1">(RANDBETWEEN(50,100)/100)*(dict_DQ_Meth_max[[#This Row],[Vergleich_ub]]-dict_DQ_Meth_max[[#This Row],[Vergleich_lb]])+dict_DQ_Meth_max[[#This Row],[Vergleich_lb]]</f>
        <v>1427.9615799999999</v>
      </c>
      <c r="H1459" s="11" t="str">
        <f ca="1">VLOOKUP(VLOOKUP(dict_DQ_Meth_max[[#This Row],[ID_DataQualities]],table_DataQualities[],3),table_Units[],2)</f>
        <v>Hz</v>
      </c>
      <c r="I1459" s="10"/>
      <c r="J1459" s="10"/>
      <c r="K1459" s="10"/>
      <c r="L1459" s="10">
        <f ca="1">VLOOKUP(dict_DQ_Meth_max[[#This Row],[ID_DataQualities]],table_DataQualities[],8,FALSE)</f>
        <v>0.17899999999999999</v>
      </c>
      <c r="M1459" s="10">
        <f ca="1">VLOOKUP(dict_DQ_Meth_max[[#This Row],[ID_DataQualities]],table_DataQualities[],9,FALSE)</f>
        <v>1457.1</v>
      </c>
    </row>
    <row r="1460" spans="1:13" x14ac:dyDescent="0.45">
      <c r="A1460" s="10">
        <v>390</v>
      </c>
      <c r="B1460" s="10">
        <v>42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714.07028999999989</v>
      </c>
      <c r="G1460" s="12">
        <f ca="1">(RANDBETWEEN(50,100)/100)*(dict_DQ_Meth_max[[#This Row],[Vergleich_ub]]-dict_DQ_Meth_max[[#This Row],[Vergleich_lb]])+dict_DQ_Meth_max[[#This Row],[Vergleich_lb]]</f>
        <v>1020.0236999999997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0.17899999999999999</v>
      </c>
      <c r="M1460" s="10">
        <f ca="1">VLOOKUP(dict_DQ_Meth_max[[#This Row],[ID_DataQualities]],table_DataQualities[],9,FALSE)</f>
        <v>1457.1</v>
      </c>
    </row>
    <row r="1461" spans="1:13" x14ac:dyDescent="0.45">
      <c r="A1461" s="10">
        <v>390</v>
      </c>
      <c r="B1461" s="10">
        <v>116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655.79344999999989</v>
      </c>
      <c r="G1461" s="12">
        <f ca="1">(RANDBETWEEN(50,100)/100)*(dict_DQ_Meth_max[[#This Row],[Vergleich_ub]]-dict_DQ_Meth_max[[#This Row],[Vergleich_lb]])+dict_DQ_Meth_max[[#This Row],[Vergleich_lb]]</f>
        <v>947.17764999999986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0.17899999999999999</v>
      </c>
      <c r="M1461" s="10">
        <f ca="1">VLOOKUP(dict_DQ_Meth_max[[#This Row],[ID_DataQualities]],table_DataQualities[],9,FALSE)</f>
        <v>1457.1</v>
      </c>
    </row>
    <row r="1462" spans="1:13" x14ac:dyDescent="0.45">
      <c r="A1462" s="10">
        <v>391</v>
      </c>
      <c r="B1462" s="10">
        <v>116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2.4701</v>
      </c>
      <c r="G1462" s="12">
        <f ca="1">(RANDBETWEEN(50,100)/100)*(dict_DQ_Meth_max[[#This Row],[Vergleich_ub]]-dict_DQ_Meth_max[[#This Row],[Vergleich_lb]])+dict_DQ_Meth_max[[#This Row],[Vergleich_lb]]</f>
        <v>3.9114</v>
      </c>
      <c r="H1462" s="11" t="str">
        <f ca="1">VLOOKUP(VLOOKUP(dict_DQ_Meth_max[[#This Row],[ID_DataQualities]],table_DataQualities[],3),table_Units[],2)</f>
        <v>+/- mm/s</v>
      </c>
      <c r="I1462" s="10"/>
      <c r="J1462" s="10"/>
      <c r="K1462" s="10"/>
      <c r="L1462" s="10">
        <f ca="1">VLOOKUP(dict_DQ_Meth_max[[#This Row],[ID_DataQualities]],table_DataQualities[],8,FALSE)</f>
        <v>0.83</v>
      </c>
      <c r="M1462" s="10">
        <f ca="1">VLOOKUP(dict_DQ_Meth_max[[#This Row],[ID_DataQualities]],table_DataQualities[],9,FALSE)</f>
        <v>5.8</v>
      </c>
    </row>
    <row r="1463" spans="1:13" x14ac:dyDescent="0.45">
      <c r="A1463" s="10">
        <v>391</v>
      </c>
      <c r="B1463" s="10">
        <v>42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1.0785</v>
      </c>
      <c r="G1463" s="12">
        <f ca="1">(RANDBETWEEN(50,100)/100)*(dict_DQ_Meth_max[[#This Row],[Vergleich_ub]]-dict_DQ_Meth_max[[#This Row],[Vergleich_lb]])+dict_DQ_Meth_max[[#This Row],[Vergleich_lb]]</f>
        <v>3.4144000000000001</v>
      </c>
      <c r="H1463" s="11" t="str">
        <f ca="1">VLOOKUP(VLOOKUP(dict_DQ_Meth_max[[#This Row],[ID_DataQualities]],table_DataQualities[],3),table_Units[],2)</f>
        <v>+/- mm/s</v>
      </c>
      <c r="I1463" s="10"/>
      <c r="J1463" s="10"/>
      <c r="K1463" s="10"/>
      <c r="L1463" s="10">
        <f ca="1">VLOOKUP(dict_DQ_Meth_max[[#This Row],[ID_DataQualities]],table_DataQualities[],8,FALSE)</f>
        <v>0.83</v>
      </c>
      <c r="M1463" s="10">
        <f ca="1">VLOOKUP(dict_DQ_Meth_max[[#This Row],[ID_DataQualities]],table_DataQualities[],9,FALSE)</f>
        <v>5.8</v>
      </c>
    </row>
    <row r="1464" spans="1:13" x14ac:dyDescent="0.45">
      <c r="A1464" s="10">
        <v>391</v>
      </c>
      <c r="B1464" s="10">
        <v>559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2.6688999999999998</v>
      </c>
      <c r="G1464" s="12">
        <f ca="1">(RANDBETWEEN(50,100)/100)*(dict_DQ_Meth_max[[#This Row],[Vergleich_ub]]-dict_DQ_Meth_max[[#This Row],[Vergleich_lb]])+dict_DQ_Meth_max[[#This Row],[Vergleich_lb]]</f>
        <v>3.9114</v>
      </c>
      <c r="H1464" s="11" t="str">
        <f ca="1">VLOOKUP(VLOOKUP(dict_DQ_Meth_max[[#This Row],[ID_DataQualities]],table_DataQualities[],3),table_Units[],2)</f>
        <v>+/- mm/s</v>
      </c>
      <c r="I1464" s="10"/>
      <c r="J1464" s="10"/>
      <c r="K1464" s="10"/>
      <c r="L1464" s="10">
        <f ca="1">VLOOKUP(dict_DQ_Meth_max[[#This Row],[ID_DataQualities]],table_DataQualities[],8,FALSE)</f>
        <v>0.83</v>
      </c>
      <c r="M1464" s="10">
        <f ca="1">VLOOKUP(dict_DQ_Meth_max[[#This Row],[ID_DataQualities]],table_DataQualities[],9,FALSE)</f>
        <v>5.8</v>
      </c>
    </row>
    <row r="1465" spans="1:13" x14ac:dyDescent="0.45">
      <c r="A1465" s="10">
        <v>391</v>
      </c>
      <c r="B1465" s="10">
        <v>666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2.1221999999999999</v>
      </c>
      <c r="G1465" s="12">
        <f ca="1">(RANDBETWEEN(50,100)/100)*(dict_DQ_Meth_max[[#This Row],[Vergleich_ub]]-dict_DQ_Meth_max[[#This Row],[Vergleich_lb]])+dict_DQ_Meth_max[[#This Row],[Vergleich_lb]]</f>
        <v>4.9053999999999993</v>
      </c>
      <c r="H1465" s="11" t="str">
        <f ca="1">VLOOKUP(VLOOKUP(dict_DQ_Meth_max[[#This Row],[ID_DataQualities]],table_DataQualities[],3),table_Units[],2)</f>
        <v>+/- mm/s</v>
      </c>
      <c r="I1465" s="10"/>
      <c r="J1465" s="10"/>
      <c r="K1465" s="10"/>
      <c r="L1465" s="10">
        <f ca="1">VLOOKUP(dict_DQ_Meth_max[[#This Row],[ID_DataQualities]],table_DataQualities[],8,FALSE)</f>
        <v>0.83</v>
      </c>
      <c r="M1465" s="10">
        <f ca="1">VLOOKUP(dict_DQ_Meth_max[[#This Row],[ID_DataQualities]],table_DataQualities[],9,FALSE)</f>
        <v>5.8</v>
      </c>
    </row>
    <row r="1466" spans="1:13" x14ac:dyDescent="0.45">
      <c r="A1466" s="10">
        <v>392</v>
      </c>
      <c r="B1466" s="10">
        <v>452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108.47962</v>
      </c>
      <c r="G1466" s="12">
        <f ca="1">(RANDBETWEEN(50,100)/100)*(dict_DQ_Meth_max[[#This Row],[Vergleich_ub]]-dict_DQ_Meth_max[[#This Row],[Vergleich_lb]])+dict_DQ_Meth_max[[#This Row],[Vergleich_lb]]</f>
        <v>4532.8150400000004</v>
      </c>
      <c r="H1466" s="11" t="str">
        <f ca="1">VLOOKUP(VLOOKUP(dict_DQ_Meth_max[[#This Row],[ID_DataQualities]],table_DataQualities[],3),table_Units[],2)</f>
        <v>Hz</v>
      </c>
      <c r="I1466" s="10"/>
      <c r="J1466" s="10"/>
      <c r="K1466" s="10"/>
      <c r="L1466" s="10">
        <f ca="1">VLOOKUP(dict_DQ_Meth_max[[#This Row],[ID_DataQualities]],table_DataQualities[],8,FALSE)</f>
        <v>0.56899999999999995</v>
      </c>
      <c r="M1466" s="10">
        <f ca="1">VLOOKUP(dict_DQ_Meth_max[[#This Row],[ID_DataQualities]],table_DataQualities[],9,FALSE)</f>
        <v>5396.1</v>
      </c>
    </row>
    <row r="1467" spans="1:13" x14ac:dyDescent="0.45">
      <c r="A1467" s="10">
        <v>392</v>
      </c>
      <c r="B1467" s="10">
        <v>409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1727.1389199999999</v>
      </c>
      <c r="G1467" s="12">
        <f ca="1">(RANDBETWEEN(50,100)/100)*(dict_DQ_Meth_max[[#This Row],[Vergleich_ub]]-dict_DQ_Meth_max[[#This Row],[Vergleich_lb]])+dict_DQ_Meth_max[[#This Row],[Vergleich_lb]]</f>
        <v>3291.8429099999998</v>
      </c>
      <c r="H1467" s="11" t="str">
        <f ca="1">VLOOKUP(VLOOKUP(dict_DQ_Meth_max[[#This Row],[ID_DataQualities]],table_DataQualities[],3),table_Units[],2)</f>
        <v>Hz</v>
      </c>
      <c r="I1467" s="10"/>
      <c r="J1467" s="10"/>
      <c r="K1467" s="10"/>
      <c r="L1467" s="10">
        <f ca="1">VLOOKUP(dict_DQ_Meth_max[[#This Row],[ID_DataQualities]],table_DataQualities[],8,FALSE)</f>
        <v>0.56899999999999995</v>
      </c>
      <c r="M1467" s="10">
        <f ca="1">VLOOKUP(dict_DQ_Meth_max[[#This Row],[ID_DataQualities]],table_DataQualities[],9,FALSE)</f>
        <v>5396.1</v>
      </c>
    </row>
    <row r="1468" spans="1:13" x14ac:dyDescent="0.45">
      <c r="A1468" s="10">
        <v>392</v>
      </c>
      <c r="B1468" s="10">
        <v>171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108.47962</v>
      </c>
      <c r="G1468" s="12">
        <f ca="1">(RANDBETWEEN(50,100)/100)*(dict_DQ_Meth_max[[#This Row],[Vergleich_ub]]-dict_DQ_Meth_max[[#This Row],[Vergleich_lb]])+dict_DQ_Meth_max[[#This Row],[Vergleich_lb]]</f>
        <v>5288.1893800000007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0.56899999999999995</v>
      </c>
      <c r="M1468" s="10">
        <f ca="1">VLOOKUP(dict_DQ_Meth_max[[#This Row],[ID_DataQualities]],table_DataQualities[],9,FALSE)</f>
        <v>5396.1</v>
      </c>
    </row>
    <row r="1469" spans="1:13" x14ac:dyDescent="0.45">
      <c r="A1469" s="10">
        <v>392</v>
      </c>
      <c r="B1469" s="10">
        <v>93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1996.9154699999999</v>
      </c>
      <c r="G1469" s="12">
        <f ca="1">(RANDBETWEEN(50,100)/100)*(dict_DQ_Meth_max[[#This Row],[Vergleich_ub]]-dict_DQ_Meth_max[[#This Row],[Vergleich_lb]])+dict_DQ_Meth_max[[#This Row],[Vergleich_lb]]</f>
        <v>5342.1446900000001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0.56899999999999995</v>
      </c>
      <c r="M1469" s="10">
        <f ca="1">VLOOKUP(dict_DQ_Meth_max[[#This Row],[ID_DataQualities]],table_DataQualities[],9,FALSE)</f>
        <v>5396.1</v>
      </c>
    </row>
    <row r="1470" spans="1:13" x14ac:dyDescent="0.45">
      <c r="A1470" s="10">
        <v>392</v>
      </c>
      <c r="B1470" s="10">
        <v>48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2428.5579499999999</v>
      </c>
      <c r="G1470" s="12">
        <f ca="1">(RANDBETWEEN(50,100)/100)*(dict_DQ_Meth_max[[#This Row],[Vergleich_ub]]-dict_DQ_Meth_max[[#This Row],[Vergleich_lb]])+dict_DQ_Meth_max[[#This Row],[Vergleich_lb]]</f>
        <v>4964.4575200000008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0.56899999999999995</v>
      </c>
      <c r="M1470" s="10">
        <f ca="1">VLOOKUP(dict_DQ_Meth_max[[#This Row],[ID_DataQualities]],table_DataQualities[],9,FALSE)</f>
        <v>5396.1</v>
      </c>
    </row>
    <row r="1471" spans="1:13" x14ac:dyDescent="0.45">
      <c r="A1471" s="10">
        <v>393</v>
      </c>
      <c r="B1471" s="10">
        <v>171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0.77200000000000002</v>
      </c>
      <c r="G1471" s="12">
        <f ca="1">(RANDBETWEEN(50,100)/100)*(dict_DQ_Meth_max[[#This Row],[Vergleich_ub]]-dict_DQ_Meth_max[[#This Row],[Vergleich_lb]])+dict_DQ_Meth_max[[#This Row],[Vergleich_lb]]</f>
        <v>0.94399999999999995</v>
      </c>
      <c r="H1471" s="11" t="str">
        <f ca="1">VLOOKUP(VLOOKUP(dict_DQ_Meth_max[[#This Row],[ID_DataQualities]],table_DataQualities[],3),table_Units[],2)</f>
        <v>+/- °C</v>
      </c>
      <c r="I1471" s="10"/>
      <c r="J1471" s="10"/>
      <c r="K1471" s="10"/>
      <c r="L1471" s="10">
        <f ca="1">VLOOKUP(dict_DQ_Meth_max[[#This Row],[ID_DataQualities]],table_DataQualities[],8,FALSE)</f>
        <v>0.6</v>
      </c>
      <c r="M1471" s="10">
        <f ca="1">VLOOKUP(dict_DQ_Meth_max[[#This Row],[ID_DataQualities]],table_DataQualities[],9,FALSE)</f>
        <v>1</v>
      </c>
    </row>
    <row r="1472" spans="1:13" x14ac:dyDescent="0.45">
      <c r="A1472" s="10">
        <v>393</v>
      </c>
      <c r="B1472" s="10">
        <v>409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0.79200000000000004</v>
      </c>
      <c r="G1472" s="12">
        <f ca="1">(RANDBETWEEN(50,100)/100)*(dict_DQ_Meth_max[[#This Row],[Vergleich_ub]]-dict_DQ_Meth_max[[#This Row],[Vergleich_lb]])+dict_DQ_Meth_max[[#This Row],[Vergleich_lb]]</f>
        <v>0.89599999999999991</v>
      </c>
      <c r="H1472" s="11" t="str">
        <f ca="1">VLOOKUP(VLOOKUP(dict_DQ_Meth_max[[#This Row],[ID_DataQualities]],table_DataQualities[],3),table_Units[],2)</f>
        <v>+/- °C</v>
      </c>
      <c r="I1472" s="10"/>
      <c r="J1472" s="10"/>
      <c r="K1472" s="10"/>
      <c r="L1472" s="10">
        <f ca="1">VLOOKUP(dict_DQ_Meth_max[[#This Row],[ID_DataQualities]],table_DataQualities[],8,FALSE)</f>
        <v>0.6</v>
      </c>
      <c r="M1472" s="10">
        <f ca="1">VLOOKUP(dict_DQ_Meth_max[[#This Row],[ID_DataQualities]],table_DataQualities[],9,FALSE)</f>
        <v>1</v>
      </c>
    </row>
    <row r="1473" spans="1:13" x14ac:dyDescent="0.45">
      <c r="A1473" s="10">
        <v>393</v>
      </c>
      <c r="B1473" s="10">
        <v>452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0.60399999999999998</v>
      </c>
      <c r="G1473" s="12">
        <f ca="1">(RANDBETWEEN(50,100)/100)*(dict_DQ_Meth_max[[#This Row],[Vergleich_ub]]-dict_DQ_Meth_max[[#This Row],[Vergleich_lb]])+dict_DQ_Meth_max[[#This Row],[Vergleich_lb]]</f>
        <v>0.83599999999999997</v>
      </c>
      <c r="H1473" s="11" t="str">
        <f ca="1">VLOOKUP(VLOOKUP(dict_DQ_Meth_max[[#This Row],[ID_DataQualities]],table_DataQualities[],3),table_Units[],2)</f>
        <v>+/- °C</v>
      </c>
      <c r="I1473" s="10"/>
      <c r="J1473" s="10"/>
      <c r="K1473" s="10"/>
      <c r="L1473" s="10">
        <f ca="1">VLOOKUP(dict_DQ_Meth_max[[#This Row],[ID_DataQualities]],table_DataQualities[],8,FALSE)</f>
        <v>0.6</v>
      </c>
      <c r="M1473" s="10">
        <f ca="1">VLOOKUP(dict_DQ_Meth_max[[#This Row],[ID_DataQualities]],table_DataQualities[],9,FALSE)</f>
        <v>1</v>
      </c>
    </row>
    <row r="1474" spans="1:13" x14ac:dyDescent="0.45">
      <c r="A1474" s="10">
        <v>393</v>
      </c>
      <c r="B1474" s="10">
        <v>48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0.71199999999999997</v>
      </c>
      <c r="G1474" s="12">
        <f ca="1">(RANDBETWEEN(50,100)/100)*(dict_DQ_Meth_max[[#This Row],[Vergleich_ub]]-dict_DQ_Meth_max[[#This Row],[Vergleich_lb]])+dict_DQ_Meth_max[[#This Row],[Vergleich_lb]]</f>
        <v>0.96799999999999997</v>
      </c>
      <c r="H1474" s="11" t="str">
        <f ca="1">VLOOKUP(VLOOKUP(dict_DQ_Meth_max[[#This Row],[ID_DataQualities]],table_DataQualities[],3),table_Units[],2)</f>
        <v>+/- °C</v>
      </c>
      <c r="I1474" s="10"/>
      <c r="J1474" s="10"/>
      <c r="K1474" s="10"/>
      <c r="L1474" s="10">
        <f ca="1">VLOOKUP(dict_DQ_Meth_max[[#This Row],[ID_DataQualities]],table_DataQualities[],8,FALSE)</f>
        <v>0.6</v>
      </c>
      <c r="M1474" s="10">
        <f ca="1">VLOOKUP(dict_DQ_Meth_max[[#This Row],[ID_DataQualities]],table_DataQualities[],9,FALSE)</f>
        <v>1</v>
      </c>
    </row>
    <row r="1475" spans="1:13" x14ac:dyDescent="0.45">
      <c r="A1475" s="10">
        <v>393</v>
      </c>
      <c r="B1475" s="10">
        <v>93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0.7</v>
      </c>
      <c r="G1475" s="12">
        <f ca="1">(RANDBETWEEN(50,100)/100)*(dict_DQ_Meth_max[[#This Row],[Vergleich_ub]]-dict_DQ_Meth_max[[#This Row],[Vergleich_lb]])+dict_DQ_Meth_max[[#This Row],[Vergleich_lb]]</f>
        <v>0.97199999999999998</v>
      </c>
      <c r="H1475" s="11" t="str">
        <f ca="1">VLOOKUP(VLOOKUP(dict_DQ_Meth_max[[#This Row],[ID_DataQualities]],table_DataQualities[],3),table_Units[],2)</f>
        <v>+/- °C</v>
      </c>
      <c r="I1475" s="10"/>
      <c r="J1475" s="10"/>
      <c r="K1475" s="10"/>
      <c r="L1475" s="10">
        <f ca="1">VLOOKUP(dict_DQ_Meth_max[[#This Row],[ID_DataQualities]],table_DataQualities[],8,FALSE)</f>
        <v>0.6</v>
      </c>
      <c r="M1475" s="10">
        <f ca="1">VLOOKUP(dict_DQ_Meth_max[[#This Row],[ID_DataQualities]],table_DataQualities[],9,FALSE)</f>
        <v>1</v>
      </c>
    </row>
    <row r="1476" spans="1:13" x14ac:dyDescent="0.45">
      <c r="A1476" s="10">
        <v>394</v>
      </c>
      <c r="B1476" s="10">
        <v>78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3421.7858000000001</v>
      </c>
      <c r="G1476" s="12">
        <f ca="1">(RANDBETWEEN(50,100)/100)*(dict_DQ_Meth_max[[#This Row],[Vergleich_ub]]-dict_DQ_Meth_max[[#This Row],[Vergleich_lb]])+dict_DQ_Meth_max[[#This Row],[Vergleich_lb]]</f>
        <v>6415.1107499999998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0.84299999999999997</v>
      </c>
      <c r="M1476" s="10">
        <f ca="1">VLOOKUP(dict_DQ_Meth_max[[#This Row],[ID_DataQualities]],table_DataQualities[],9,FALSE)</f>
        <v>8553.2000000000007</v>
      </c>
    </row>
    <row r="1477" spans="1:13" x14ac:dyDescent="0.45">
      <c r="A1477" s="10">
        <v>394</v>
      </c>
      <c r="B1477" s="10">
        <v>695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1027.1258399999999</v>
      </c>
      <c r="G1477" s="12">
        <f ca="1">(RANDBETWEEN(50,100)/100)*(dict_DQ_Meth_max[[#This Row],[Vergleich_ub]]-dict_DQ_Meth_max[[#This Row],[Vergleich_lb]])+dict_DQ_Meth_max[[#This Row],[Vergleich_lb]]</f>
        <v>5730.9221900000002</v>
      </c>
      <c r="H1477" s="11" t="str">
        <f ca="1">VLOOKUP(VLOOKUP(dict_DQ_Meth_max[[#This Row],[ID_DataQualities]],table_DataQualities[],3),table_Units[],2)</f>
        <v>Hz</v>
      </c>
      <c r="I1477" s="10"/>
      <c r="J1477" s="10"/>
      <c r="K1477" s="10"/>
      <c r="L1477" s="10">
        <f ca="1">VLOOKUP(dict_DQ_Meth_max[[#This Row],[ID_DataQualities]],table_DataQualities[],8,FALSE)</f>
        <v>0.84299999999999997</v>
      </c>
      <c r="M1477" s="10">
        <f ca="1">VLOOKUP(dict_DQ_Meth_max[[#This Row],[ID_DataQualities]],table_DataQualities[],9,FALSE)</f>
        <v>8553.2000000000007</v>
      </c>
    </row>
    <row r="1478" spans="1:13" x14ac:dyDescent="0.45">
      <c r="A1478" s="10">
        <v>395</v>
      </c>
      <c r="B1478" s="10">
        <v>695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2911.15</v>
      </c>
      <c r="G1478" s="12">
        <f ca="1">(RANDBETWEEN(50,100)/100)*(dict_DQ_Meth_max[[#This Row],[Vergleich_ub]]-dict_DQ_Meth_max[[#This Row],[Vergleich_lb]])+dict_DQ_Meth_max[[#This Row],[Vergleich_lb]]</f>
        <v>6938.1</v>
      </c>
      <c r="H1478" s="11" t="str">
        <f ca="1">VLOOKUP(VLOOKUP(dict_DQ_Meth_max[[#This Row],[ID_DataQualities]],table_DataQualities[],3),table_Units[],2)</f>
        <v>bit</v>
      </c>
      <c r="I1478" s="10"/>
      <c r="J1478" s="10"/>
      <c r="K1478" s="10"/>
      <c r="L1478" s="10">
        <f ca="1">VLOOKUP(dict_DQ_Meth_max[[#This Row],[ID_DataQualities]],table_DataQualities[],8,FALSE)</f>
        <v>8</v>
      </c>
      <c r="M1478" s="10">
        <f ca="1">VLOOKUP(dict_DQ_Meth_max[[#This Row],[ID_DataQualities]],table_DataQualities[],9,FALSE)</f>
        <v>9373</v>
      </c>
    </row>
    <row r="1479" spans="1:13" x14ac:dyDescent="0.45">
      <c r="A1479" s="10">
        <v>395</v>
      </c>
      <c r="B1479" s="10">
        <v>78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1787.35</v>
      </c>
      <c r="G1479" s="12">
        <f ca="1">(RANDBETWEEN(50,100)/100)*(dict_DQ_Meth_max[[#This Row],[Vergleich_ub]]-dict_DQ_Meth_max[[#This Row],[Vergleich_lb]])+dict_DQ_Meth_max[[#This Row],[Vergleich_lb]]</f>
        <v>9092.0499999999993</v>
      </c>
      <c r="H1479" s="11" t="str">
        <f ca="1">VLOOKUP(VLOOKUP(dict_DQ_Meth_max[[#This Row],[ID_DataQualities]],table_DataQualities[],3),table_Units[],2)</f>
        <v>bit</v>
      </c>
      <c r="I1479" s="10"/>
      <c r="J1479" s="10"/>
      <c r="K1479" s="10"/>
      <c r="L1479" s="10">
        <f ca="1">VLOOKUP(dict_DQ_Meth_max[[#This Row],[ID_DataQualities]],table_DataQualities[],8,FALSE)</f>
        <v>8</v>
      </c>
      <c r="M1479" s="10">
        <f ca="1">VLOOKUP(dict_DQ_Meth_max[[#This Row],[ID_DataQualities]],table_DataQualities[],9,FALSE)</f>
        <v>9373</v>
      </c>
    </row>
    <row r="1480" spans="1:13" x14ac:dyDescent="0.45">
      <c r="A1480" s="10">
        <v>396</v>
      </c>
      <c r="B1480" s="10">
        <v>347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876.38483999999994</v>
      </c>
      <c r="G1480" s="12">
        <f ca="1">(RANDBETWEEN(50,100)/100)*(dict_DQ_Meth_max[[#This Row],[Vergleich_ub]]-dict_DQ_Meth_max[[#This Row],[Vergleich_lb]])+dict_DQ_Meth_max[[#This Row],[Vergleich_lb]]</f>
        <v>8855.5391600000003</v>
      </c>
      <c r="H1480" s="11" t="str">
        <f ca="1">VLOOKUP(VLOOKUP(dict_DQ_Meth_max[[#This Row],[ID_DataQualities]],table_DataQualities[],3),table_Units[],2)</f>
        <v>Hz</v>
      </c>
      <c r="I1480" s="10"/>
      <c r="J1480" s="10"/>
      <c r="K1480" s="10"/>
      <c r="L1480" s="10">
        <f ca="1">VLOOKUP(dict_DQ_Meth_max[[#This Row],[ID_DataQualities]],table_DataQualities[],8,FALSE)</f>
        <v>0.624</v>
      </c>
      <c r="M1480" s="10">
        <f ca="1">VLOOKUP(dict_DQ_Meth_max[[#This Row],[ID_DataQualities]],table_DataQualities[],9,FALSE)</f>
        <v>9731.2999999999993</v>
      </c>
    </row>
    <row r="1481" spans="1:13" x14ac:dyDescent="0.45">
      <c r="A1481" s="10">
        <v>396</v>
      </c>
      <c r="B1481" s="10">
        <v>284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4574.0417199999993</v>
      </c>
      <c r="G1481" s="12">
        <f ca="1">(RANDBETWEEN(50,100)/100)*(dict_DQ_Meth_max[[#This Row],[Vergleich_ub]]-dict_DQ_Meth_max[[#This Row],[Vergleich_lb]])+dict_DQ_Meth_max[[#This Row],[Vergleich_lb]]</f>
        <v>7687.8580400000001</v>
      </c>
      <c r="H1481" s="11" t="str">
        <f ca="1">VLOOKUP(VLOOKUP(dict_DQ_Meth_max[[#This Row],[ID_DataQualities]],table_DataQualities[],3),table_Units[],2)</f>
        <v>Hz</v>
      </c>
      <c r="I1481" s="10"/>
      <c r="J1481" s="10"/>
      <c r="K1481" s="10"/>
      <c r="L1481" s="10">
        <f ca="1">VLOOKUP(dict_DQ_Meth_max[[#This Row],[ID_DataQualities]],table_DataQualities[],8,FALSE)</f>
        <v>0.624</v>
      </c>
      <c r="M1481" s="10">
        <f ca="1">VLOOKUP(dict_DQ_Meth_max[[#This Row],[ID_DataQualities]],table_DataQualities[],9,FALSE)</f>
        <v>9731.2999999999993</v>
      </c>
    </row>
    <row r="1482" spans="1:13" x14ac:dyDescent="0.45">
      <c r="A1482" s="10">
        <v>396</v>
      </c>
      <c r="B1482" s="10">
        <v>217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195.23751999999999</v>
      </c>
      <c r="G1482" s="12">
        <f ca="1">(RANDBETWEEN(50,100)/100)*(dict_DQ_Meth_max[[#This Row],[Vergleich_ub]]-dict_DQ_Meth_max[[#This Row],[Vergleich_lb]])+dict_DQ_Meth_max[[#This Row],[Vergleich_lb]]</f>
        <v>5839.0295999999989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0.624</v>
      </c>
      <c r="M1482" s="10">
        <f ca="1">VLOOKUP(dict_DQ_Meth_max[[#This Row],[ID_DataQualities]],table_DataQualities[],9,FALSE)</f>
        <v>9731.2999999999993</v>
      </c>
    </row>
    <row r="1483" spans="1:13" x14ac:dyDescent="0.45">
      <c r="A1483" s="10">
        <v>396</v>
      </c>
      <c r="B1483" s="10">
        <v>391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389.85104000000001</v>
      </c>
      <c r="G1483" s="12">
        <f ca="1">(RANDBETWEEN(50,100)/100)*(dict_DQ_Meth_max[[#This Row],[Vergleich_ub]]-dict_DQ_Meth_max[[#This Row],[Vergleich_lb]])+dict_DQ_Meth_max[[#This Row],[Vergleich_lb]]</f>
        <v>8952.8459199999998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0.624</v>
      </c>
      <c r="M1483" s="10">
        <f ca="1">VLOOKUP(dict_DQ_Meth_max[[#This Row],[ID_DataQualities]],table_DataQualities[],9,FALSE)</f>
        <v>9731.2999999999993</v>
      </c>
    </row>
    <row r="1484" spans="1:13" x14ac:dyDescent="0.45">
      <c r="A1484" s="10">
        <v>397</v>
      </c>
      <c r="B1484" s="10">
        <v>347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950.33999999999992</v>
      </c>
      <c r="G1484" s="12">
        <f ca="1">(RANDBETWEEN(50,100)/100)*(dict_DQ_Meth_max[[#This Row],[Vergleich_ub]]-dict_DQ_Meth_max[[#This Row],[Vergleich_lb]])+dict_DQ_Meth_max[[#This Row],[Vergleich_lb]]</f>
        <v>4710.09</v>
      </c>
      <c r="H1484" s="11" t="str">
        <f ca="1">VLOOKUP(VLOOKUP(dict_DQ_Meth_max[[#This Row],[ID_DataQualities]],table_DataQualities[],3),table_Units[],2)</f>
        <v>bit</v>
      </c>
      <c r="I1484" s="10"/>
      <c r="J1484" s="10"/>
      <c r="K1484" s="10"/>
      <c r="L1484" s="10">
        <f ca="1">VLOOKUP(dict_DQ_Meth_max[[#This Row],[ID_DataQualities]],table_DataQualities[],8,FALSE)</f>
        <v>48</v>
      </c>
      <c r="M1484" s="10">
        <f ca="1">VLOOKUP(dict_DQ_Meth_max[[#This Row],[ID_DataQualities]],table_DataQualities[],9,FALSE)</f>
        <v>5061</v>
      </c>
    </row>
    <row r="1485" spans="1:13" x14ac:dyDescent="0.45">
      <c r="A1485" s="10">
        <v>397</v>
      </c>
      <c r="B1485" s="10">
        <v>284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2404.1099999999997</v>
      </c>
      <c r="G1485" s="12">
        <f ca="1">(RANDBETWEEN(50,100)/100)*(dict_DQ_Meth_max[[#This Row],[Vergleich_ub]]-dict_DQ_Meth_max[[#This Row],[Vergleich_lb]])+dict_DQ_Meth_max[[#This Row],[Vergleich_lb]]</f>
        <v>4710.09</v>
      </c>
      <c r="H1485" s="11" t="str">
        <f ca="1">VLOOKUP(VLOOKUP(dict_DQ_Meth_max[[#This Row],[ID_DataQualities]],table_DataQualities[],3),table_Units[],2)</f>
        <v>bit</v>
      </c>
      <c r="I1485" s="10"/>
      <c r="J1485" s="10"/>
      <c r="K1485" s="10"/>
      <c r="L1485" s="10">
        <f ca="1">VLOOKUP(dict_DQ_Meth_max[[#This Row],[ID_DataQualities]],table_DataQualities[],8,FALSE)</f>
        <v>48</v>
      </c>
      <c r="M1485" s="10">
        <f ca="1">VLOOKUP(dict_DQ_Meth_max[[#This Row],[ID_DataQualities]],table_DataQualities[],9,FALSE)</f>
        <v>5061</v>
      </c>
    </row>
    <row r="1486" spans="1:13" x14ac:dyDescent="0.45">
      <c r="A1486" s="10">
        <v>397</v>
      </c>
      <c r="B1486" s="10">
        <v>217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549.29999999999995</v>
      </c>
      <c r="G1486" s="12">
        <f ca="1">(RANDBETWEEN(50,100)/100)*(dict_DQ_Meth_max[[#This Row],[Vergleich_ub]]-dict_DQ_Meth_max[[#This Row],[Vergleich_lb]])+dict_DQ_Meth_max[[#This Row],[Vergleich_lb]]</f>
        <v>4158.66</v>
      </c>
      <c r="H1486" s="11" t="str">
        <f ca="1">VLOOKUP(VLOOKUP(dict_DQ_Meth_max[[#This Row],[ID_DataQualities]],table_DataQualities[],3),table_Units[],2)</f>
        <v>bit</v>
      </c>
      <c r="I1486" s="10"/>
      <c r="J1486" s="10"/>
      <c r="K1486" s="10"/>
      <c r="L1486" s="10">
        <f ca="1">VLOOKUP(dict_DQ_Meth_max[[#This Row],[ID_DataQualities]],table_DataQualities[],8,FALSE)</f>
        <v>48</v>
      </c>
      <c r="M1486" s="10">
        <f ca="1">VLOOKUP(dict_DQ_Meth_max[[#This Row],[ID_DataQualities]],table_DataQualities[],9,FALSE)</f>
        <v>5061</v>
      </c>
    </row>
    <row r="1487" spans="1:13" x14ac:dyDescent="0.45">
      <c r="A1487" s="10">
        <v>397</v>
      </c>
      <c r="B1487" s="10">
        <v>391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1150.8599999999999</v>
      </c>
      <c r="G1487" s="12">
        <f ca="1">(RANDBETWEEN(50,100)/100)*(dict_DQ_Meth_max[[#This Row],[Vergleich_ub]]-dict_DQ_Meth_max[[#This Row],[Vergleich_lb]])+dict_DQ_Meth_max[[#This Row],[Vergleich_lb]]</f>
        <v>2855.28</v>
      </c>
      <c r="H1487" s="11" t="str">
        <f ca="1">VLOOKUP(VLOOKUP(dict_DQ_Meth_max[[#This Row],[ID_DataQualities]],table_DataQualities[],3),table_Units[],2)</f>
        <v>bit</v>
      </c>
      <c r="I1487" s="10"/>
      <c r="J1487" s="10"/>
      <c r="K1487" s="10"/>
      <c r="L1487" s="10">
        <f ca="1">VLOOKUP(dict_DQ_Meth_max[[#This Row],[ID_DataQualities]],table_DataQualities[],8,FALSE)</f>
        <v>48</v>
      </c>
      <c r="M1487" s="10">
        <f ca="1">VLOOKUP(dict_DQ_Meth_max[[#This Row],[ID_DataQualities]],table_DataQualities[],9,FALSE)</f>
        <v>5061</v>
      </c>
    </row>
    <row r="1488" spans="1:13" x14ac:dyDescent="0.45">
      <c r="A1488" s="10">
        <v>398</v>
      </c>
      <c r="B1488" s="10">
        <v>230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1460.4915600000002</v>
      </c>
      <c r="G1488" s="12">
        <f ca="1">(RANDBETWEEN(50,100)/100)*(dict_DQ_Meth_max[[#This Row],[Vergleich_ub]]-dict_DQ_Meth_max[[#This Row],[Vergleich_lb]])+dict_DQ_Meth_max[[#This Row],[Vergleich_lb]]</f>
        <v>4379.5306800000008</v>
      </c>
      <c r="H1488" s="11" t="str">
        <f ca="1">VLOOKUP(VLOOKUP(dict_DQ_Meth_max[[#This Row],[ID_DataQualities]],table_DataQualities[],3),table_Units[],2)</f>
        <v>Hz</v>
      </c>
      <c r="I1488" s="10"/>
      <c r="J1488" s="10"/>
      <c r="K1488" s="10"/>
      <c r="L1488" s="10">
        <f ca="1">VLOOKUP(dict_DQ_Meth_max[[#This Row],[ID_DataQualities]],table_DataQualities[],8,FALSE)</f>
        <v>0.97199999999999998</v>
      </c>
      <c r="M1488" s="10">
        <f ca="1">VLOOKUP(dict_DQ_Meth_max[[#This Row],[ID_DataQualities]],table_DataQualities[],9,FALSE)</f>
        <v>5406.6</v>
      </c>
    </row>
    <row r="1489" spans="1:13" x14ac:dyDescent="0.45">
      <c r="A1489" s="10">
        <v>398</v>
      </c>
      <c r="B1489" s="10">
        <v>277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1190.2101600000001</v>
      </c>
      <c r="G1489" s="12">
        <f ca="1">(RANDBETWEEN(50,100)/100)*(dict_DQ_Meth_max[[#This Row],[Vergleich_ub]]-dict_DQ_Meth_max[[#This Row],[Vergleich_lb]])+dict_DQ_Meth_max[[#This Row],[Vergleich_lb]]</f>
        <v>2757.8422800000008</v>
      </c>
      <c r="H1489" s="11" t="str">
        <f ca="1">VLOOKUP(VLOOKUP(dict_DQ_Meth_max[[#This Row],[ID_DataQualities]],table_DataQualities[],3),table_Units[],2)</f>
        <v>Hz</v>
      </c>
      <c r="I1489" s="10"/>
      <c r="J1489" s="10"/>
      <c r="K1489" s="10"/>
      <c r="L1489" s="10">
        <f ca="1">VLOOKUP(dict_DQ_Meth_max[[#This Row],[ID_DataQualities]],table_DataQualities[],8,FALSE)</f>
        <v>0.97199999999999998</v>
      </c>
      <c r="M1489" s="10">
        <f ca="1">VLOOKUP(dict_DQ_Meth_max[[#This Row],[ID_DataQualities]],table_DataQualities[],9,FALSE)</f>
        <v>5406.6</v>
      </c>
    </row>
    <row r="1490" spans="1:13" x14ac:dyDescent="0.45">
      <c r="A1490" s="10">
        <v>398</v>
      </c>
      <c r="B1490" s="10">
        <v>471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1460.4915600000002</v>
      </c>
      <c r="G1490" s="12">
        <f ca="1">(RANDBETWEEN(50,100)/100)*(dict_DQ_Meth_max[[#This Row],[Vergleich_ub]]-dict_DQ_Meth_max[[#This Row],[Vergleich_lb]])+dict_DQ_Meth_max[[#This Row],[Vergleich_lb]]</f>
        <v>3028.1236800000011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0.97199999999999998</v>
      </c>
      <c r="M1490" s="10">
        <f ca="1">VLOOKUP(dict_DQ_Meth_max[[#This Row],[ID_DataQualities]],table_DataQualities[],9,FALSE)</f>
        <v>5406.6</v>
      </c>
    </row>
    <row r="1491" spans="1:13" x14ac:dyDescent="0.45">
      <c r="A1491" s="10">
        <v>398</v>
      </c>
      <c r="B1491" s="10">
        <v>193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973.98504000000003</v>
      </c>
      <c r="G1491" s="12">
        <f ca="1">(RANDBETWEEN(50,100)/100)*(dict_DQ_Meth_max[[#This Row],[Vergleich_ub]]-dict_DQ_Meth_max[[#This Row],[Vergleich_lb]])+dict_DQ_Meth_max[[#This Row],[Vergleich_lb]]</f>
        <v>3622.742760000001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0.97199999999999998</v>
      </c>
      <c r="M1491" s="10">
        <f ca="1">VLOOKUP(dict_DQ_Meth_max[[#This Row],[ID_DataQualities]],table_DataQualities[],9,FALSE)</f>
        <v>5406.6</v>
      </c>
    </row>
    <row r="1492" spans="1:13" x14ac:dyDescent="0.45">
      <c r="A1492" s="10">
        <v>399</v>
      </c>
      <c r="B1492" s="10">
        <v>230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0.97500000000000009</v>
      </c>
      <c r="G1492" s="12">
        <f ca="1">(RANDBETWEEN(50,100)/100)*(dict_DQ_Meth_max[[#This Row],[Vergleich_ub]]-dict_DQ_Meth_max[[#This Row],[Vergleich_lb]])+dict_DQ_Meth_max[[#This Row],[Vergleich_lb]]</f>
        <v>2.7840000000000003</v>
      </c>
      <c r="H1492" s="11" t="str">
        <f ca="1">VLOOKUP(VLOOKUP(dict_DQ_Meth_max[[#This Row],[ID_DataQualities]],table_DataQualities[],3),table_Units[],2)</f>
        <v>+/- °C</v>
      </c>
      <c r="I1492" s="10"/>
      <c r="J1492" s="10"/>
      <c r="K1492" s="10"/>
      <c r="L1492" s="10">
        <f ca="1">VLOOKUP(dict_DQ_Meth_max[[#This Row],[ID_DataQualities]],table_DataQualities[],8,FALSE)</f>
        <v>0.3</v>
      </c>
      <c r="M1492" s="10">
        <f ca="1">VLOOKUP(dict_DQ_Meth_max[[#This Row],[ID_DataQualities]],table_DataQualities[],9,FALSE)</f>
        <v>3</v>
      </c>
    </row>
    <row r="1493" spans="1:13" x14ac:dyDescent="0.45">
      <c r="A1493" s="10">
        <v>399</v>
      </c>
      <c r="B1493" s="10">
        <v>277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0.51600000000000001</v>
      </c>
      <c r="G1493" s="12">
        <f ca="1">(RANDBETWEEN(50,100)/100)*(dict_DQ_Meth_max[[#This Row],[Vergleich_ub]]-dict_DQ_Meth_max[[#This Row],[Vergleich_lb]])+dict_DQ_Meth_max[[#This Row],[Vergleich_lb]]</f>
        <v>2.028</v>
      </c>
      <c r="H1493" s="11" t="str">
        <f ca="1">VLOOKUP(VLOOKUP(dict_DQ_Meth_max[[#This Row],[ID_DataQualities]],table_DataQualities[],3),table_Units[],2)</f>
        <v>+/- °C</v>
      </c>
      <c r="I1493" s="10"/>
      <c r="J1493" s="10"/>
      <c r="K1493" s="10"/>
      <c r="L1493" s="10">
        <f ca="1">VLOOKUP(dict_DQ_Meth_max[[#This Row],[ID_DataQualities]],table_DataQualities[],8,FALSE)</f>
        <v>0.3</v>
      </c>
      <c r="M1493" s="10">
        <f ca="1">VLOOKUP(dict_DQ_Meth_max[[#This Row],[ID_DataQualities]],table_DataQualities[],9,FALSE)</f>
        <v>3</v>
      </c>
    </row>
    <row r="1494" spans="1:13" x14ac:dyDescent="0.45">
      <c r="A1494" s="10">
        <v>399</v>
      </c>
      <c r="B1494" s="10">
        <v>471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1.2449999999999999</v>
      </c>
      <c r="G1494" s="12">
        <f ca="1">(RANDBETWEEN(50,100)/100)*(dict_DQ_Meth_max[[#This Row],[Vergleich_ub]]-dict_DQ_Meth_max[[#This Row],[Vergleich_lb]])+dict_DQ_Meth_max[[#This Row],[Vergleich_lb]]</f>
        <v>1.7850000000000004</v>
      </c>
      <c r="H1494" s="11" t="str">
        <f ca="1">VLOOKUP(VLOOKUP(dict_DQ_Meth_max[[#This Row],[ID_DataQualities]],table_DataQualities[],3),table_Units[],2)</f>
        <v>+/- °C</v>
      </c>
      <c r="I1494" s="10"/>
      <c r="J1494" s="10"/>
      <c r="K1494" s="10"/>
      <c r="L1494" s="10">
        <f ca="1">VLOOKUP(dict_DQ_Meth_max[[#This Row],[ID_DataQualities]],table_DataQualities[],8,FALSE)</f>
        <v>0.3</v>
      </c>
      <c r="M1494" s="10">
        <f ca="1">VLOOKUP(dict_DQ_Meth_max[[#This Row],[ID_DataQualities]],table_DataQualities[],9,FALSE)</f>
        <v>3</v>
      </c>
    </row>
    <row r="1495" spans="1:13" x14ac:dyDescent="0.45">
      <c r="A1495" s="10">
        <v>399</v>
      </c>
      <c r="B1495" s="10">
        <v>193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1.5960000000000001</v>
      </c>
      <c r="G1495" s="12">
        <f ca="1">(RANDBETWEEN(50,100)/100)*(dict_DQ_Meth_max[[#This Row],[Vergleich_ub]]-dict_DQ_Meth_max[[#This Row],[Vergleich_lb]])+dict_DQ_Meth_max[[#This Row],[Vergleich_lb]]</f>
        <v>2.2439999999999998</v>
      </c>
      <c r="H1495" s="11" t="str">
        <f ca="1">VLOOKUP(VLOOKUP(dict_DQ_Meth_max[[#This Row],[ID_DataQualities]],table_DataQualities[],3),table_Units[],2)</f>
        <v>+/- °C</v>
      </c>
      <c r="I1495" s="10"/>
      <c r="J1495" s="10"/>
      <c r="K1495" s="10"/>
      <c r="L1495" s="10">
        <f ca="1">VLOOKUP(dict_DQ_Meth_max[[#This Row],[ID_DataQualities]],table_DataQualities[],8,FALSE)</f>
        <v>0.3</v>
      </c>
      <c r="M1495" s="10">
        <f ca="1">VLOOKUP(dict_DQ_Meth_max[[#This Row],[ID_DataQualities]],table_DataQualities[],9,FALSE)</f>
        <v>3</v>
      </c>
    </row>
    <row r="1496" spans="1:13" x14ac:dyDescent="0.45">
      <c r="A1496" s="10">
        <v>400</v>
      </c>
      <c r="B1496" s="10">
        <v>429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354.66475999999994</v>
      </c>
      <c r="G1496" s="12">
        <f ca="1">(RANDBETWEEN(50,100)/100)*(dict_DQ_Meth_max[[#This Row],[Vergleich_ub]]-dict_DQ_Meth_max[[#This Row],[Vergleich_lb]])+dict_DQ_Meth_max[[#This Row],[Vergleich_lb]]</f>
        <v>3951.7408199999995</v>
      </c>
      <c r="H1496" s="11" t="str">
        <f ca="1">VLOOKUP(VLOOKUP(dict_DQ_Meth_max[[#This Row],[ID_DataQualities]],table_DataQualities[],3),table_Units[],2)</f>
        <v>Hz</v>
      </c>
      <c r="I1496" s="10"/>
      <c r="J1496" s="10"/>
      <c r="K1496" s="10"/>
      <c r="L1496" s="10">
        <f ca="1">VLOOKUP(dict_DQ_Meth_max[[#This Row],[ID_DataQualities]],table_DataQualities[],8,FALSE)</f>
        <v>0.85399999999999998</v>
      </c>
      <c r="M1496" s="10">
        <f ca="1">VLOOKUP(dict_DQ_Meth_max[[#This Row],[ID_DataQualities]],table_DataQualities[],9,FALSE)</f>
        <v>5897.7</v>
      </c>
    </row>
    <row r="1497" spans="1:13" x14ac:dyDescent="0.45">
      <c r="A1497" s="10">
        <v>400</v>
      </c>
      <c r="B1497" s="10">
        <v>239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</row>
    <row r="1498" spans="1:13" x14ac:dyDescent="0.45">
      <c r="A1498" s="10">
        <v>400</v>
      </c>
      <c r="B1498" s="10">
        <v>75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</row>
    <row r="1499" spans="1:13" x14ac:dyDescent="0.45">
      <c r="A1499" s="10">
        <v>400</v>
      </c>
      <c r="B1499" s="10">
        <v>76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</row>
    <row r="1500" spans="1:13" x14ac:dyDescent="0.45">
      <c r="A1500" s="10">
        <v>400</v>
      </c>
      <c r="B1500" s="10">
        <v>523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0">
        <f ca="1">(RANDBETWEEN(0,50)/100)*(dict_DQ_Meth_max[[#This Row],[Vergleich_ub]]-dict_DQ_Meth_max[[#This Row],[Vergleich_lb]])+dict_DQ_Meth_max[[#This Row],[Vergleich_lb]]</f>
        <v>1180.2231999999999</v>
      </c>
      <c r="G1500" s="10">
        <f ca="1">(RANDBETWEEN(50,100)/100)*(dict_DQ_Meth_max[[#This Row],[Vergleich_ub]]-dict_DQ_Meth_max[[#This Row],[Vergleich_lb]])+dict_DQ_Meth_max[[#This Row],[Vergleich_lb]]</f>
        <v>4305.5515800000003</v>
      </c>
      <c r="H1500" s="10" t="str">
        <f ca="1">VLOOKUP(VLOOKUP(dict_DQ_Meth_max[[#This Row],[ID_DataQualities]],table_DataQualities[],3),table_Units[],2)</f>
        <v>Hz</v>
      </c>
      <c r="I1500" s="10"/>
      <c r="J1500" s="10"/>
      <c r="K1500" s="10"/>
      <c r="L1500" s="10">
        <f ca="1">VLOOKUP(dict_DQ_Meth_max[[#This Row],[ID_DataQualities]],table_DataQualities[],8,FALSE)</f>
        <v>0.85399999999999998</v>
      </c>
      <c r="M1500" s="10">
        <f ca="1">VLOOKUP(dict_DQ_Meth_max[[#This Row],[ID_DataQualities]],table_DataQualities!$A:$I,9,FALSE)</f>
        <v>5897.7</v>
      </c>
    </row>
    <row r="1501" spans="1:13" x14ac:dyDescent="0.45">
      <c r="A1501" s="10">
        <v>400</v>
      </c>
      <c r="B1501" s="10">
        <v>685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1710.9393399999999</v>
      </c>
      <c r="G1501" s="12">
        <f ca="1">(RANDBETWEEN(50,100)/100)*(dict_DQ_Meth_max[[#This Row],[Vergleich_ub]]-dict_DQ_Meth_max[[#This Row],[Vergleich_lb]])+dict_DQ_Meth_max[[#This Row],[Vergleich_lb]]</f>
        <v>4954.2046399999999</v>
      </c>
      <c r="H1501" s="11" t="str">
        <f ca="1">VLOOKUP(VLOOKUP(dict_DQ_Meth_max[[#This Row],[ID_DataQualities]],table_DataQualities[],3),table_Units[],2)</f>
        <v>Hz</v>
      </c>
      <c r="I1501" s="10"/>
      <c r="J1501" s="10"/>
      <c r="K1501" s="10"/>
      <c r="L1501" s="10">
        <f ca="1">VLOOKUP(dict_DQ_Meth_max[[#This Row],[ID_DataQualities]],table_DataQualities[],8,FALSE)</f>
        <v>0.85399999999999998</v>
      </c>
      <c r="M1501" s="10">
        <f ca="1">VLOOKUP(dict_DQ_Meth_max[[#This Row],[ID_DataQualities]],table_DataQualities!$A:$I,9,FALSE)</f>
        <v>5897.7</v>
      </c>
    </row>
    <row r="1502" spans="1:13" x14ac:dyDescent="0.45">
      <c r="A1502" s="10">
        <v>400</v>
      </c>
      <c r="B1502" s="10">
        <v>287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2595.4662399999997</v>
      </c>
      <c r="G1502" s="12">
        <f ca="1">(RANDBETWEEN(50,100)/100)*(dict_DQ_Meth_max[[#This Row],[Vergleich_ub]]-dict_DQ_Meth_max[[#This Row],[Vergleich_lb]])+dict_DQ_Meth_max[[#This Row],[Vergleich_lb]]</f>
        <v>4777.2992599999998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0.85399999999999998</v>
      </c>
      <c r="M1502" s="10">
        <f ca="1">VLOOKUP(dict_DQ_Meth_max[[#This Row],[ID_DataQualities]],table_DataQualities!$A:$I,9,FALSE)</f>
        <v>5897.7</v>
      </c>
    </row>
    <row r="1503" spans="1:13" x14ac:dyDescent="0.45">
      <c r="A1503" s="10">
        <v>400</v>
      </c>
      <c r="B1503" s="10">
        <v>632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</row>
    <row r="1504" spans="1:13" x14ac:dyDescent="0.45">
      <c r="A1504" s="10">
        <v>400</v>
      </c>
      <c r="B1504" s="10">
        <v>273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</row>
    <row r="1505" spans="1:13" x14ac:dyDescent="0.45">
      <c r="A1505" s="10">
        <v>400</v>
      </c>
      <c r="B1505" s="10">
        <v>25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</row>
    <row r="1506" spans="1:13" x14ac:dyDescent="0.45">
      <c r="A1506" s="10">
        <v>400</v>
      </c>
      <c r="B1506" s="10">
        <v>43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1887.8447199999998</v>
      </c>
      <c r="G1506" s="12">
        <f ca="1">(RANDBETWEEN(50,100)/100)*(dict_DQ_Meth_max[[#This Row],[Vergleich_ub]]-dict_DQ_Meth_max[[#This Row],[Vergleich_lb]])+dict_DQ_Meth_max[[#This Row],[Vergleich_lb]]</f>
        <v>3538.9615999999996</v>
      </c>
      <c r="H1506" s="11" t="str">
        <f ca="1">VLOOKUP(VLOOKUP(dict_DQ_Meth_max[[#This Row],[ID_DataQualities]],table_DataQualities[],3),table_Units[],2)</f>
        <v>Hz</v>
      </c>
      <c r="I1506" s="10"/>
      <c r="J1506" s="10"/>
      <c r="K1506" s="10"/>
      <c r="L1506" s="10">
        <f ca="1">VLOOKUP(dict_DQ_Meth_max[[#This Row],[ID_DataQualities]],table_DataQualities[],8,FALSE)</f>
        <v>0.85399999999999998</v>
      </c>
      <c r="M1506" s="10">
        <f ca="1">VLOOKUP(dict_DQ_Meth_max[[#This Row],[ID_DataQualities]],table_DataQualities!$A:$I,9,FALSE)</f>
        <v>5897.7</v>
      </c>
    </row>
    <row r="1507" spans="1:13" x14ac:dyDescent="0.45">
      <c r="A1507" s="10">
        <v>400</v>
      </c>
      <c r="B1507" s="10">
        <v>650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/>
      <c r="G1507" s="12"/>
      <c r="H1507" s="11"/>
      <c r="I1507" s="10"/>
      <c r="J1507" s="10"/>
      <c r="K1507" s="10"/>
      <c r="L1507" s="10"/>
      <c r="M1507" s="10"/>
    </row>
    <row r="1508" spans="1:13" x14ac:dyDescent="0.45">
      <c r="A1508" s="10">
        <v>400</v>
      </c>
      <c r="B1508" s="10">
        <v>247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</row>
    <row r="1509" spans="1:13" x14ac:dyDescent="0.45">
      <c r="A1509" s="10">
        <v>401</v>
      </c>
      <c r="B1509" s="10">
        <v>429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</row>
    <row r="1510" spans="1:13" x14ac:dyDescent="0.45">
      <c r="A1510" s="10">
        <v>401</v>
      </c>
      <c r="B1510" s="10">
        <v>247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</row>
    <row r="1511" spans="1:13" x14ac:dyDescent="0.45">
      <c r="A1511" s="10">
        <v>401</v>
      </c>
      <c r="B1511" s="10">
        <v>75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</row>
    <row r="1512" spans="1:13" x14ac:dyDescent="0.45">
      <c r="A1512" s="10">
        <v>401</v>
      </c>
      <c r="B1512" s="10">
        <v>76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</row>
    <row r="1513" spans="1:13" x14ac:dyDescent="0.45">
      <c r="A1513" s="10">
        <v>401</v>
      </c>
      <c r="B1513" s="10">
        <v>239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0.52800000000000002</v>
      </c>
      <c r="G1513" s="12">
        <f ca="1">(RANDBETWEEN(50,100)/100)*(dict_DQ_Meth_max[[#This Row],[Vergleich_ub]]-dict_DQ_Meth_max[[#This Row],[Vergleich_lb]])+dict_DQ_Meth_max[[#This Row],[Vergleich_lb]]</f>
        <v>7.6672000000000002</v>
      </c>
      <c r="H1513" s="11" t="str">
        <f ca="1">VLOOKUP(VLOOKUP(dict_DQ_Meth_max[[#This Row],[ID_DataQualities]],table_DataQualities[],3),table_Units[],2)</f>
        <v>+/- mm/s</v>
      </c>
      <c r="I1513" s="10"/>
      <c r="J1513" s="10"/>
      <c r="K1513" s="10"/>
      <c r="L1513" s="10">
        <f ca="1">VLOOKUP(dict_DQ_Meth_max[[#This Row],[ID_DataQualities]],table_DataQualities[],8,FALSE)</f>
        <v>0.14000000000000001</v>
      </c>
      <c r="M1513" s="10">
        <f ca="1">VLOOKUP(dict_DQ_Meth_max[[#This Row],[ID_DataQualities]],table_DataQualities!$A:$I,9,FALSE)</f>
        <v>7.9</v>
      </c>
    </row>
    <row r="1514" spans="1:13" x14ac:dyDescent="0.45">
      <c r="A1514" s="10">
        <v>401</v>
      </c>
      <c r="B1514" s="10">
        <v>273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1.2264000000000004</v>
      </c>
      <c r="G1514" s="12">
        <f ca="1">(RANDBETWEEN(50,100)/100)*(dict_DQ_Meth_max[[#This Row],[Vergleich_ub]]-dict_DQ_Meth_max[[#This Row],[Vergleich_lb]])+dict_DQ_Meth_max[[#This Row],[Vergleich_lb]]</f>
        <v>7.9</v>
      </c>
      <c r="H1514" s="11" t="str">
        <f ca="1">VLOOKUP(VLOOKUP(dict_DQ_Meth_max[[#This Row],[ID_DataQualities]],table_DataQualities[],3),table_Units[],2)</f>
        <v>+/- mm/s</v>
      </c>
      <c r="I1514" s="10"/>
      <c r="J1514" s="10"/>
      <c r="K1514" s="10"/>
      <c r="L1514" s="10">
        <f ca="1">VLOOKUP(dict_DQ_Meth_max[[#This Row],[ID_DataQualities]],table_DataQualities[],8,FALSE)</f>
        <v>0.14000000000000001</v>
      </c>
      <c r="M1514" s="10">
        <f ca="1">VLOOKUP(dict_DQ_Meth_max[[#This Row],[ID_DataQualities]],table_DataQualities!$A:$I,9,FALSE)</f>
        <v>7.9</v>
      </c>
    </row>
    <row r="1515" spans="1:13" x14ac:dyDescent="0.45">
      <c r="A1515" s="10">
        <v>401</v>
      </c>
      <c r="B1515" s="10">
        <v>523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3.7872000000000003</v>
      </c>
      <c r="G1515" s="12">
        <f ca="1">(RANDBETWEEN(50,100)/100)*(dict_DQ_Meth_max[[#This Row],[Vergleich_ub]]-dict_DQ_Meth_max[[#This Row],[Vergleich_lb]])+dict_DQ_Meth_max[[#This Row],[Vergleich_lb]]</f>
        <v>6.1152000000000006</v>
      </c>
      <c r="H1515" s="11" t="str">
        <f ca="1">VLOOKUP(VLOOKUP(dict_DQ_Meth_max[[#This Row],[ID_DataQualities]],table_DataQualities[],3),table_Units[],2)</f>
        <v>+/- mm/s</v>
      </c>
      <c r="I1515" s="10"/>
      <c r="J1515" s="10"/>
      <c r="K1515" s="10"/>
      <c r="L1515" s="10">
        <f ca="1">VLOOKUP(dict_DQ_Meth_max[[#This Row],[ID_DataQualities]],table_DataQualities[],8,FALSE)</f>
        <v>0.14000000000000001</v>
      </c>
      <c r="M1515" s="10">
        <f ca="1">VLOOKUP(dict_DQ_Meth_max[[#This Row],[ID_DataQualities]],table_DataQualities!$A:$I,9,FALSE)</f>
        <v>7.9</v>
      </c>
    </row>
    <row r="1516" spans="1:13" x14ac:dyDescent="0.45">
      <c r="A1516" s="10">
        <v>401</v>
      </c>
      <c r="B1516" s="10">
        <v>287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</row>
    <row r="1517" spans="1:13" x14ac:dyDescent="0.45">
      <c r="A1517" s="10">
        <v>401</v>
      </c>
      <c r="B1517" s="10">
        <v>685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0.14000000000000001</v>
      </c>
      <c r="G1517" s="12">
        <f ca="1">(RANDBETWEEN(50,100)/100)*(dict_DQ_Meth_max[[#This Row],[Vergleich_ub]]-dict_DQ_Meth_max[[#This Row],[Vergleich_lb]])+dict_DQ_Meth_max[[#This Row],[Vergleich_lb]]</f>
        <v>4.9512</v>
      </c>
      <c r="H1517" s="11" t="str">
        <f ca="1">VLOOKUP(VLOOKUP(dict_DQ_Meth_max[[#This Row],[ID_DataQualities]],table_DataQualities[],3),table_Units[],2)</f>
        <v>+/- mm/s</v>
      </c>
      <c r="I1517" s="10"/>
      <c r="J1517" s="10"/>
      <c r="K1517" s="10"/>
      <c r="L1517" s="10">
        <f ca="1">VLOOKUP(dict_DQ_Meth_max[[#This Row],[ID_DataQualities]],table_DataQualities[],8,FALSE)</f>
        <v>0.14000000000000001</v>
      </c>
      <c r="M1517" s="10">
        <f ca="1">VLOOKUP(dict_DQ_Meth_max[[#This Row],[ID_DataQualities]],table_DataQualities!$A:$I,9,FALSE)</f>
        <v>7.9</v>
      </c>
    </row>
    <row r="1518" spans="1:13" x14ac:dyDescent="0.45">
      <c r="A1518" s="10">
        <v>401</v>
      </c>
      <c r="B1518" s="10">
        <v>25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</row>
    <row r="1519" spans="1:13" x14ac:dyDescent="0.45">
      <c r="A1519" s="10">
        <v>401</v>
      </c>
      <c r="B1519" s="10">
        <v>632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</row>
    <row r="1520" spans="1:13" x14ac:dyDescent="0.45">
      <c r="A1520" s="10">
        <v>401</v>
      </c>
      <c r="B1520" s="10">
        <v>43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0.14000000000000001</v>
      </c>
      <c r="G1520" s="12">
        <f ca="1">(RANDBETWEEN(50,100)/100)*(dict_DQ_Meth_max[[#This Row],[Vergleich_ub]]-dict_DQ_Meth_max[[#This Row],[Vergleich_lb]])+dict_DQ_Meth_max[[#This Row],[Vergleich_lb]]</f>
        <v>6.8912000000000004</v>
      </c>
      <c r="H1520" s="11" t="str">
        <f ca="1">VLOOKUP(VLOOKUP(dict_DQ_Meth_max[[#This Row],[ID_DataQualities]],table_DataQualities[],3),table_Units[],2)</f>
        <v>+/- mm/s</v>
      </c>
      <c r="I1520" s="10"/>
      <c r="J1520" s="10"/>
      <c r="K1520" s="10"/>
      <c r="L1520" s="10">
        <f ca="1">VLOOKUP(dict_DQ_Meth_max[[#This Row],[ID_DataQualities]],table_DataQualities[],8,FALSE)</f>
        <v>0.14000000000000001</v>
      </c>
      <c r="M1520" s="10">
        <f ca="1">VLOOKUP(dict_DQ_Meth_max[[#This Row],[ID_DataQualities]],table_DataQualities!$A:$I,9,FALSE)</f>
        <v>7.9</v>
      </c>
    </row>
    <row r="1521" spans="1:13" x14ac:dyDescent="0.45">
      <c r="A1521" s="10">
        <v>401</v>
      </c>
      <c r="B1521" s="10">
        <v>650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</row>
  </sheetData>
  <conditionalFormatting sqref="G2:G1048576">
    <cfRule type="cellIs" dxfId="44" priority="1" operator="greaterThan">
      <formula>$M2</formula>
    </cfRule>
    <cfRule type="cellIs" dxfId="43" priority="3" operator="lessThan">
      <formula>$F2</formula>
    </cfRule>
  </conditionalFormatting>
  <conditionalFormatting sqref="F2:F1048576">
    <cfRule type="cellIs" dxfId="42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J9" sqref="J9"/>
    </sheetView>
    <sheetView topLeftCell="A748" workbookViewId="1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 s="3">
        <f ca="1">VLOOKUP(dict_zul_Var_Meth[[#This Row],[ignored_rank]],help_zuord_Var_Meth[],2)</f>
        <v>185</v>
      </c>
      <c r="B2">
        <v>0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">
        <f t="shared" ref="D2:D65" ca="1" si="0">RAND()</f>
        <v>0.10267945667294742</v>
      </c>
      <c r="E2" s="3">
        <f ca="1">RANK(dict_zul_Var_Meth[[#This Row],[ignored_rand]],dict_zul_Var_Meth[ignored_rand])</f>
        <v>693</v>
      </c>
      <c r="F2">
        <f ca="1">ROUNDUP(748/200*help_zuord_Var_Meth[[#This Row],[ignored_help_VarsID]],0)+RANDBETWEEN(0,1)-RANDBETWEEN(0,1)</f>
        <v>1</v>
      </c>
      <c r="G2">
        <v>0</v>
      </c>
    </row>
    <row r="3" spans="1:7" x14ac:dyDescent="0.45">
      <c r="A3">
        <f ca="1">VLOOKUP(dict_zul_Var_Meth[[#This Row],[ignored_rank]],help_zuord_Var_Meth[],2)</f>
        <v>120</v>
      </c>
      <c r="B3">
        <v>0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">
        <f t="shared" ca="1" si="0"/>
        <v>0.41821173222523167</v>
      </c>
      <c r="E3">
        <f ca="1">RANK(dict_zul_Var_Meth[[#This Row],[ignored_rand]],dict_zul_Var_Meth[ignored_rand])</f>
        <v>451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34</v>
      </c>
      <c r="B4">
        <v>1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">
        <f t="shared" ca="1" si="0"/>
        <v>0.80527368866782734</v>
      </c>
      <c r="E4">
        <f ca="1">RANK(dict_zul_Var_Meth[[#This Row],[ignored_rand]],dict_zul_Var_Meth[ignored_rand])</f>
        <v>129</v>
      </c>
      <c r="F4">
        <f ca="1">ROUNDUP(748/200*help_zuord_Var_Meth[[#This Row],[ignored_help_VarsID]],0)+RANDBETWEEN(0,1)-RANDBETWEEN(0,1)</f>
        <v>8</v>
      </c>
      <c r="G4">
        <v>2</v>
      </c>
    </row>
    <row r="5" spans="1:7" x14ac:dyDescent="0.45">
      <c r="A5">
        <f ca="1">VLOOKUP(dict_zul_Var_Meth[[#This Row],[ignored_rank]],help_zuord_Var_Meth[],2)</f>
        <v>84</v>
      </c>
      <c r="B5">
        <v>1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">
        <f t="shared" ca="1" si="0"/>
        <v>0.57592905957884932</v>
      </c>
      <c r="E5">
        <f ca="1">RANK(dict_zul_Var_Meth[[#This Row],[ignored_rand]],dict_zul_Var_Meth[ignored_rand])</f>
        <v>315</v>
      </c>
      <c r="F5">
        <f ca="1">ROUNDUP(748/200*help_zuord_Var_Meth[[#This Row],[ignored_help_VarsID]],0)+RANDBETWEEN(0,1)-RANDBETWEEN(0,1)</f>
        <v>13</v>
      </c>
      <c r="G5">
        <v>3</v>
      </c>
    </row>
    <row r="6" spans="1:7" x14ac:dyDescent="0.45">
      <c r="A6">
        <f ca="1">VLOOKUP(dict_zul_Var_Meth[[#This Row],[ignored_rank]],help_zuord_Var_Meth[],2)</f>
        <v>54</v>
      </c>
      <c r="B6">
        <v>2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">
        <f t="shared" ca="1" si="0"/>
        <v>0.71207892030959419</v>
      </c>
      <c r="E6">
        <f ca="1">RANK(dict_zul_Var_Meth[[#This Row],[ignored_rand]],dict_zul_Var_Meth[ignored_rand])</f>
        <v>202</v>
      </c>
      <c r="F6">
        <f ca="1">ROUNDUP(748/200*help_zuord_Var_Meth[[#This Row],[ignored_help_VarsID]],0)+RANDBETWEEN(0,1)-RANDBETWEEN(0,1)</f>
        <v>15</v>
      </c>
      <c r="G6">
        <v>4</v>
      </c>
    </row>
    <row r="7" spans="1:7" x14ac:dyDescent="0.45">
      <c r="A7">
        <f ca="1">VLOOKUP(dict_zul_Var_Meth[[#This Row],[ignored_rank]],help_zuord_Var_Meth[],2)</f>
        <v>75</v>
      </c>
      <c r="B7">
        <v>2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">
        <f t="shared" ca="1" si="0"/>
        <v>0.62556174559514499</v>
      </c>
      <c r="E7">
        <f ca="1">RANK(dict_zul_Var_Meth[[#This Row],[ignored_rand]],dict_zul_Var_Meth[ignored_rand])</f>
        <v>281</v>
      </c>
      <c r="F7">
        <f ca="1">ROUNDUP(748/200*help_zuord_Var_Meth[[#This Row],[ignored_help_VarsID]],0)+RANDBETWEEN(0,1)-RANDBETWEEN(0,1)</f>
        <v>18</v>
      </c>
      <c r="G7">
        <v>5</v>
      </c>
    </row>
    <row r="8" spans="1:7" x14ac:dyDescent="0.45">
      <c r="A8" s="3">
        <f ca="1">VLOOKUP(dict_zul_Var_Meth[[#This Row],[ignored_rank]],help_zuord_Var_Meth[],2)</f>
        <v>155</v>
      </c>
      <c r="B8">
        <v>3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">
        <f t="shared" ca="1" si="0"/>
        <v>0.24363970787974087</v>
      </c>
      <c r="E8" s="3">
        <f ca="1">RANK(dict_zul_Var_Meth[[#This Row],[ignored_rand]],dict_zul_Var_Meth[ignored_rand])</f>
        <v>582</v>
      </c>
      <c r="F8">
        <f ca="1">ROUNDUP(748/200*help_zuord_Var_Meth[[#This Row],[ignored_help_VarsID]],0)+RANDBETWEEN(0,1)-RANDBETWEEN(0,1)</f>
        <v>24</v>
      </c>
      <c r="G8">
        <v>6</v>
      </c>
    </row>
    <row r="9" spans="1:7" x14ac:dyDescent="0.45">
      <c r="A9">
        <f ca="1">VLOOKUP(dict_zul_Var_Meth[[#This Row],[ignored_rank]],help_zuord_Var_Meth[],2)</f>
        <v>189</v>
      </c>
      <c r="B9">
        <v>3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">
        <f t="shared" ca="1" si="0"/>
        <v>8.2620212374305391E-2</v>
      </c>
      <c r="E9">
        <f ca="1">RANK(dict_zul_Var_Meth[[#This Row],[ignored_rand]],dict_zul_Var_Meth[ignored_rand])</f>
        <v>707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25</v>
      </c>
      <c r="B10">
        <v>4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">
        <f t="shared" ca="1" si="0"/>
        <v>0.8619194396809835</v>
      </c>
      <c r="E10">
        <f ca="1">RANK(dict_zul_Var_Meth[[#This Row],[ignored_rand]],dict_zul_Var_Meth[ignored_rand])</f>
        <v>94</v>
      </c>
      <c r="F10">
        <f ca="1">ROUNDUP(748/200*help_zuord_Var_Meth[[#This Row],[ignored_help_VarsID]],0)+RANDBETWEEN(0,1)-RANDBETWEEN(0,1)</f>
        <v>31</v>
      </c>
      <c r="G10">
        <v>8</v>
      </c>
    </row>
    <row r="11" spans="1:7" x14ac:dyDescent="0.45">
      <c r="A11">
        <f ca="1">VLOOKUP(dict_zul_Var_Meth[[#This Row],[ignored_rank]],help_zuord_Var_Meth[],2)</f>
        <v>137</v>
      </c>
      <c r="B11">
        <v>4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">
        <f t="shared" ca="1" si="0"/>
        <v>0.33196491255937866</v>
      </c>
      <c r="E11">
        <f ca="1">RANK(dict_zul_Var_Meth[[#This Row],[ignored_rand]],dict_zul_Var_Meth[ignored_rand])</f>
        <v>517</v>
      </c>
      <c r="F11">
        <f ca="1">ROUNDUP(748/200*help_zuord_Var_Meth[[#This Row],[ignored_help_VarsID]],0)+RANDBETWEEN(0,1)-RANDBETWEEN(0,1)</f>
        <v>34</v>
      </c>
      <c r="G11">
        <v>9</v>
      </c>
    </row>
    <row r="12" spans="1:7" x14ac:dyDescent="0.45">
      <c r="A12" s="3">
        <f ca="1">VLOOKUP(dict_zul_Var_Meth[[#This Row],[ignored_rank]],help_zuord_Var_Meth[],2)</f>
        <v>71</v>
      </c>
      <c r="B12">
        <v>5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">
        <f t="shared" ca="1" si="0"/>
        <v>0.63791577764311347</v>
      </c>
      <c r="E12" s="3">
        <f ca="1">RANK(dict_zul_Var_Meth[[#This Row],[ignored_rand]],dict_zul_Var_Meth[ignored_rand])</f>
        <v>266</v>
      </c>
      <c r="F12">
        <f ca="1">ROUNDUP(748/200*help_zuord_Var_Meth[[#This Row],[ignored_help_VarsID]],0)+RANDBETWEEN(0,1)-RANDBETWEEN(0,1)</f>
        <v>38</v>
      </c>
      <c r="G12">
        <v>10</v>
      </c>
    </row>
    <row r="13" spans="1:7" x14ac:dyDescent="0.45">
      <c r="A13">
        <f ca="1">VLOOKUP(dict_zul_Var_Meth[[#This Row],[ignored_rank]],help_zuord_Var_Meth[],2)</f>
        <v>77</v>
      </c>
      <c r="B13">
        <v>5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">
        <f t="shared" ca="1" si="0"/>
        <v>0.6109135689261701</v>
      </c>
      <c r="E13">
        <f ca="1">RANK(dict_zul_Var_Meth[[#This Row],[ignored_rand]],dict_zul_Var_Meth[ignored_rand])</f>
        <v>291</v>
      </c>
      <c r="F13">
        <f ca="1">ROUNDUP(748/200*help_zuord_Var_Meth[[#This Row],[ignored_help_VarsID]],0)+RANDBETWEEN(0,1)-RANDBETWEEN(0,1)</f>
        <v>42</v>
      </c>
      <c r="G13">
        <v>11</v>
      </c>
    </row>
    <row r="14" spans="1:7" x14ac:dyDescent="0.45">
      <c r="A14">
        <f ca="1">VLOOKUP(dict_zul_Var_Meth[[#This Row],[ignored_rank]],help_zuord_Var_Meth[],2)</f>
        <v>152</v>
      </c>
      <c r="B14">
        <v>6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">
        <f t="shared" ca="1" si="0"/>
        <v>0.25471383638307932</v>
      </c>
      <c r="E14">
        <f ca="1">RANK(dict_zul_Var_Meth[[#This Row],[ignored_rand]],dict_zul_Var_Meth[ignored_rand])</f>
        <v>570</v>
      </c>
      <c r="F14">
        <f ca="1">ROUNDUP(748/200*help_zuord_Var_Meth[[#This Row],[ignored_help_VarsID]],0)+RANDBETWEEN(0,1)-RANDBETWEEN(0,1)</f>
        <v>44</v>
      </c>
      <c r="G14">
        <v>12</v>
      </c>
    </row>
    <row r="15" spans="1:7" x14ac:dyDescent="0.45">
      <c r="A15">
        <f ca="1">VLOOKUP(dict_zul_Var_Meth[[#This Row],[ignored_rank]],help_zuord_Var_Meth[],2)</f>
        <v>186</v>
      </c>
      <c r="B15">
        <v>6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">
        <f t="shared" ca="1" si="0"/>
        <v>9.9731237113513616E-2</v>
      </c>
      <c r="E15">
        <f ca="1">RANK(dict_zul_Var_Meth[[#This Row],[ignored_rand]],dict_zul_Var_Meth[ignored_rand])</f>
        <v>697</v>
      </c>
      <c r="F15">
        <f ca="1">ROUNDUP(748/200*help_zuord_Var_Meth[[#This Row],[ignored_help_VarsID]],0)+RANDBETWEEN(0,1)-RANDBETWEEN(0,1)</f>
        <v>49</v>
      </c>
      <c r="G15">
        <v>13</v>
      </c>
    </row>
    <row r="16" spans="1:7" x14ac:dyDescent="0.45">
      <c r="A16">
        <f ca="1">VLOOKUP(dict_zul_Var_Meth[[#This Row],[ignored_rank]],help_zuord_Var_Meth[],2)</f>
        <v>193</v>
      </c>
      <c r="B16">
        <v>7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">
        <f t="shared" ca="1" si="0"/>
        <v>6.139637714126589E-2</v>
      </c>
      <c r="E16">
        <f ca="1">RANK(dict_zul_Var_Meth[[#This Row],[ignored_rand]],dict_zul_Var_Meth[ignored_rand])</f>
        <v>723</v>
      </c>
      <c r="F16">
        <f ca="1">ROUNDUP(748/200*help_zuord_Var_Meth[[#This Row],[ignored_help_VarsID]],0)+RANDBETWEEN(0,1)-RANDBETWEEN(0,1)</f>
        <v>53</v>
      </c>
      <c r="G16">
        <v>14</v>
      </c>
    </row>
    <row r="17" spans="1:7" x14ac:dyDescent="0.45">
      <c r="A17">
        <f ca="1">VLOOKUP(dict_zul_Var_Meth[[#This Row],[ignored_rank]],help_zuord_Var_Meth[],2)</f>
        <v>74</v>
      </c>
      <c r="B17">
        <v>7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">
        <f t="shared" ca="1" si="0"/>
        <v>0.62567351407652394</v>
      </c>
      <c r="E17">
        <f ca="1">RANK(dict_zul_Var_Meth[[#This Row],[ignored_rand]],dict_zul_Var_Meth[ignored_rand])</f>
        <v>280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153</v>
      </c>
      <c r="B18">
        <v>8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">
        <f t="shared" ca="1" si="0"/>
        <v>0.2529977449804659</v>
      </c>
      <c r="E18">
        <f ca="1">RANK(dict_zul_Var_Meth[[#This Row],[ignored_rand]],dict_zul_Var_Meth[ignored_rand])</f>
        <v>573</v>
      </c>
      <c r="F18">
        <f ca="1">ROUNDUP(748/200*help_zuord_Var_Meth[[#This Row],[ignored_help_VarsID]],0)+RANDBETWEEN(0,1)-RANDBETWEEN(0,1)</f>
        <v>59</v>
      </c>
      <c r="G18">
        <v>16</v>
      </c>
    </row>
    <row r="19" spans="1:7" x14ac:dyDescent="0.45">
      <c r="A19">
        <f ca="1">VLOOKUP(dict_zul_Var_Meth[[#This Row],[ignored_rank]],help_zuord_Var_Meth[],2)</f>
        <v>179</v>
      </c>
      <c r="B19">
        <v>8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">
        <f t="shared" ca="1" si="0"/>
        <v>0.12324999070218678</v>
      </c>
      <c r="E19">
        <f ca="1">RANK(dict_zul_Var_Meth[[#This Row],[ignored_rand]],dict_zul_Var_Meth[ignored_rand])</f>
        <v>671</v>
      </c>
      <c r="F19">
        <f ca="1">ROUNDUP(748/200*help_zuord_Var_Meth[[#This Row],[ignored_help_VarsID]],0)+RANDBETWEEN(0,1)-RANDBETWEEN(0,1)</f>
        <v>64</v>
      </c>
      <c r="G19">
        <v>17</v>
      </c>
    </row>
    <row r="20" spans="1:7" x14ac:dyDescent="0.45">
      <c r="A20">
        <f ca="1">VLOOKUP(dict_zul_Var_Meth[[#This Row],[ignored_rank]],help_zuord_Var_Meth[],2)</f>
        <v>85</v>
      </c>
      <c r="B20">
        <v>9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">
        <f t="shared" ca="1" si="0"/>
        <v>0.57297876055864549</v>
      </c>
      <c r="E20">
        <f ca="1">RANK(dict_zul_Var_Meth[[#This Row],[ignored_rand]],dict_zul_Var_Meth[ignored_rand])</f>
        <v>317</v>
      </c>
      <c r="F20">
        <f ca="1">ROUNDUP(748/200*help_zuord_Var_Meth[[#This Row],[ignored_help_VarsID]],0)+RANDBETWEEN(0,1)-RANDBETWEEN(0,1)</f>
        <v>68</v>
      </c>
      <c r="G20">
        <v>18</v>
      </c>
    </row>
    <row r="21" spans="1:7" x14ac:dyDescent="0.45">
      <c r="A21">
        <f ca="1">VLOOKUP(dict_zul_Var_Meth[[#This Row],[ignored_rank]],help_zuord_Var_Meth[],2)</f>
        <v>94</v>
      </c>
      <c r="B21">
        <v>9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">
        <f t="shared" ca="1" si="0"/>
        <v>0.54038097614717051</v>
      </c>
      <c r="E21">
        <f ca="1">RANK(dict_zul_Var_Meth[[#This Row],[ignored_rand]],dict_zul_Var_Meth[ignored_rand])</f>
        <v>354</v>
      </c>
      <c r="F21">
        <f ca="1">ROUNDUP(748/200*help_zuord_Var_Meth[[#This Row],[ignored_help_VarsID]],0)+RANDBETWEEN(0,1)-RANDBETWEEN(0,1)</f>
        <v>72</v>
      </c>
      <c r="G21">
        <v>19</v>
      </c>
    </row>
    <row r="22" spans="1:7" x14ac:dyDescent="0.45">
      <c r="A22">
        <f ca="1">VLOOKUP(dict_zul_Var_Meth[[#This Row],[ignored_rank]],help_zuord_Var_Meth[],2)</f>
        <v>46</v>
      </c>
      <c r="B22">
        <v>10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">
        <f t="shared" ca="1" si="0"/>
        <v>0.74185851377264433</v>
      </c>
      <c r="E22">
        <f ca="1">RANK(dict_zul_Var_Meth[[#This Row],[ignored_rand]],dict_zul_Var_Meth[ignored_rand])</f>
        <v>173</v>
      </c>
      <c r="F22">
        <f ca="1">ROUNDUP(748/200*help_zuord_Var_Meth[[#This Row],[ignored_help_VarsID]],0)+RANDBETWEEN(0,1)-RANDBETWEEN(0,1)</f>
        <v>74</v>
      </c>
      <c r="G22">
        <v>20</v>
      </c>
    </row>
    <row r="23" spans="1:7" x14ac:dyDescent="0.45">
      <c r="A23">
        <f ca="1">VLOOKUP(dict_zul_Var_Meth[[#This Row],[ignored_rank]],help_zuord_Var_Meth[],2)</f>
        <v>42</v>
      </c>
      <c r="B23">
        <v>10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">
        <f t="shared" ca="1" si="0"/>
        <v>0.76608372295715432</v>
      </c>
      <c r="E23">
        <f ca="1">RANK(dict_zul_Var_Meth[[#This Row],[ignored_rand]],dict_zul_Var_Meth[ignored_rand])</f>
        <v>157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 s="3">
        <f ca="1">VLOOKUP(dict_zul_Var_Meth[[#This Row],[ignored_rank]],help_zuord_Var_Meth[],2)</f>
        <v>72</v>
      </c>
      <c r="B24">
        <v>11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">
        <f t="shared" ca="1" si="0"/>
        <v>0.6338330966393213</v>
      </c>
      <c r="E24" s="3">
        <f ca="1">RANK(dict_zul_Var_Meth[[#This Row],[ignored_rand]],dict_zul_Var_Meth[ignored_rand])</f>
        <v>271</v>
      </c>
      <c r="F24">
        <f ca="1">ROUNDUP(748/200*help_zuord_Var_Meth[[#This Row],[ignored_help_VarsID]],0)+RANDBETWEEN(0,1)-RANDBETWEEN(0,1)</f>
        <v>82</v>
      </c>
      <c r="G24">
        <v>22</v>
      </c>
    </row>
    <row r="25" spans="1:7" x14ac:dyDescent="0.45">
      <c r="A25">
        <f ca="1">VLOOKUP(dict_zul_Var_Meth[[#This Row],[ignored_rank]],help_zuord_Var_Meth[],2)</f>
        <v>33</v>
      </c>
      <c r="B25">
        <v>11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">
        <f t="shared" ca="1" si="0"/>
        <v>0.81201040043697681</v>
      </c>
      <c r="E25">
        <f ca="1">RANK(dict_zul_Var_Meth[[#This Row],[ignored_rand]],dict_zul_Var_Meth[ignored_rand])</f>
        <v>126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51</v>
      </c>
      <c r="B26">
        <v>12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">
        <f t="shared" ca="1" si="0"/>
        <v>0.72890464949367262</v>
      </c>
      <c r="E26">
        <f ca="1">RANK(dict_zul_Var_Meth[[#This Row],[ignored_rand]],dict_zul_Var_Meth[ignored_rand])</f>
        <v>192</v>
      </c>
      <c r="F26">
        <f ca="1">ROUNDUP(748/200*help_zuord_Var_Meth[[#This Row],[ignored_help_VarsID]],0)+RANDBETWEEN(0,1)-RANDBETWEEN(0,1)</f>
        <v>89</v>
      </c>
      <c r="G26">
        <v>24</v>
      </c>
    </row>
    <row r="27" spans="1:7" x14ac:dyDescent="0.45">
      <c r="A27">
        <f ca="1">VLOOKUP(dict_zul_Var_Meth[[#This Row],[ignored_rank]],help_zuord_Var_Meth[],2)</f>
        <v>147</v>
      </c>
      <c r="B27">
        <v>12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">
        <f t="shared" ca="1" si="0"/>
        <v>0.27528902770876984</v>
      </c>
      <c r="E27">
        <f ca="1">RANK(dict_zul_Var_Meth[[#This Row],[ignored_rand]],dict_zul_Var_Meth[ignored_rand])</f>
        <v>552</v>
      </c>
      <c r="F27">
        <f ca="1">ROUNDUP(748/200*help_zuord_Var_Meth[[#This Row],[ignored_help_VarsID]],0)+RANDBETWEEN(0,1)-RANDBETWEEN(0,1)</f>
        <v>93</v>
      </c>
      <c r="G27">
        <v>25</v>
      </c>
    </row>
    <row r="28" spans="1:7" x14ac:dyDescent="0.45">
      <c r="A28">
        <f ca="1">VLOOKUP(dict_zul_Var_Meth[[#This Row],[ignored_rank]],help_zuord_Var_Meth[],2)</f>
        <v>104</v>
      </c>
      <c r="B28">
        <v>13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">
        <f t="shared" ca="1" si="0"/>
        <v>0.48798308847410787</v>
      </c>
      <c r="E28">
        <f ca="1">RANK(dict_zul_Var_Meth[[#This Row],[ignored_rand]],dict_zul_Var_Meth[ignored_rand])</f>
        <v>392</v>
      </c>
      <c r="F28">
        <f ca="1">ROUNDUP(748/200*help_zuord_Var_Meth[[#This Row],[ignored_help_VarsID]],0)+RANDBETWEEN(0,1)-RANDBETWEEN(0,1)</f>
        <v>98</v>
      </c>
      <c r="G28">
        <v>26</v>
      </c>
    </row>
    <row r="29" spans="1:7" x14ac:dyDescent="0.45">
      <c r="A29">
        <f ca="1">VLOOKUP(dict_zul_Var_Meth[[#This Row],[ignored_rank]],help_zuord_Var_Meth[],2)</f>
        <v>187</v>
      </c>
      <c r="B29">
        <v>13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">
        <f t="shared" ca="1" si="0"/>
        <v>8.9740677191298079E-2</v>
      </c>
      <c r="E29">
        <f ca="1">RANK(dict_zul_Var_Meth[[#This Row],[ignored_rand]],dict_zul_Var_Meth[ignored_rand])</f>
        <v>702</v>
      </c>
      <c r="F29">
        <f ca="1">ROUNDUP(748/200*help_zuord_Var_Meth[[#This Row],[ignored_help_VarsID]],0)+RANDBETWEEN(0,1)-RANDBETWEEN(0,1)</f>
        <v>102</v>
      </c>
      <c r="G29">
        <v>27</v>
      </c>
    </row>
    <row r="30" spans="1:7" x14ac:dyDescent="0.45">
      <c r="A30">
        <f ca="1">VLOOKUP(dict_zul_Var_Meth[[#This Row],[ignored_rank]],help_zuord_Var_Meth[],2)</f>
        <v>54</v>
      </c>
      <c r="B30">
        <v>14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">
        <f t="shared" ca="1" si="0"/>
        <v>0.70818169951268584</v>
      </c>
      <c r="E30">
        <f ca="1">RANK(dict_zul_Var_Meth[[#This Row],[ignored_rand]],dict_zul_Var_Meth[ignored_rand])</f>
        <v>206</v>
      </c>
      <c r="F30">
        <f ca="1">ROUNDUP(748/200*help_zuord_Var_Meth[[#This Row],[ignored_help_VarsID]],0)+RANDBETWEEN(0,1)-RANDBETWEEN(0,1)</f>
        <v>104</v>
      </c>
      <c r="G30">
        <v>28</v>
      </c>
    </row>
    <row r="31" spans="1:7" x14ac:dyDescent="0.45">
      <c r="A31">
        <f ca="1">VLOOKUP(dict_zul_Var_Meth[[#This Row],[ignored_rank]],help_zuord_Var_Meth[],2)</f>
        <v>137</v>
      </c>
      <c r="B31">
        <v>14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">
        <f t="shared" ca="1" si="0"/>
        <v>0.3334589394483356</v>
      </c>
      <c r="E31">
        <f ca="1">RANK(dict_zul_Var_Meth[[#This Row],[ignored_rand]],dict_zul_Var_Meth[ignored_rand])</f>
        <v>516</v>
      </c>
      <c r="F31">
        <f ca="1">ROUNDUP(748/200*help_zuord_Var_Meth[[#This Row],[ignored_help_VarsID]],0)+RANDBETWEEN(0,1)-RANDBETWEEN(0,1)</f>
        <v>109</v>
      </c>
      <c r="G31">
        <v>29</v>
      </c>
    </row>
    <row r="32" spans="1:7" x14ac:dyDescent="0.45">
      <c r="A32">
        <f ca="1">VLOOKUP(dict_zul_Var_Meth[[#This Row],[ignored_rank]],help_zuord_Var_Meth[],2)</f>
        <v>134</v>
      </c>
      <c r="B32">
        <v>15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">
        <f t="shared" ca="1" si="0"/>
        <v>0.35988194305464882</v>
      </c>
      <c r="E32">
        <f ca="1">RANK(dict_zul_Var_Meth[[#This Row],[ignored_rand]],dict_zul_Var_Meth[ignored_rand])</f>
        <v>502</v>
      </c>
      <c r="F32">
        <f ca="1">ROUNDUP(748/200*help_zuord_Var_Meth[[#This Row],[ignored_help_VarsID]],0)+RANDBETWEEN(0,1)-RANDBETWEEN(0,1)</f>
        <v>114</v>
      </c>
      <c r="G32">
        <v>30</v>
      </c>
    </row>
    <row r="33" spans="1:7" x14ac:dyDescent="0.45">
      <c r="A33">
        <f ca="1">VLOOKUP(dict_zul_Var_Meth[[#This Row],[ignored_rank]],help_zuord_Var_Meth[],2)</f>
        <v>87</v>
      </c>
      <c r="B33">
        <v>15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">
        <f t="shared" ca="1" si="0"/>
        <v>0.55912080347062731</v>
      </c>
      <c r="E33">
        <f ca="1">RANK(dict_zul_Var_Meth[[#This Row],[ignored_rand]],dict_zul_Var_Meth[ignored_rand])</f>
        <v>327</v>
      </c>
      <c r="F33">
        <f ca="1">ROUNDUP(748/200*help_zuord_Var_Meth[[#This Row],[ignored_help_VarsID]],0)+RANDBETWEEN(0,1)-RANDBETWEEN(0,1)</f>
        <v>116</v>
      </c>
      <c r="G33">
        <v>31</v>
      </c>
    </row>
    <row r="34" spans="1:7" x14ac:dyDescent="0.45">
      <c r="A34">
        <f ca="1">VLOOKUP(dict_zul_Var_Meth[[#This Row],[ignored_rank]],help_zuord_Var_Meth[],2)</f>
        <v>114</v>
      </c>
      <c r="B34">
        <v>16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">
        <f t="shared" ca="1" si="0"/>
        <v>0.43793876709479129</v>
      </c>
      <c r="E34">
        <f ca="1">RANK(dict_zul_Var_Meth[[#This Row],[ignored_rand]],dict_zul_Var_Meth[ignored_rand])</f>
        <v>428</v>
      </c>
      <c r="F34">
        <f ca="1">ROUNDUP(748/200*help_zuord_Var_Meth[[#This Row],[ignored_help_VarsID]],0)+RANDBETWEEN(0,1)-RANDBETWEEN(0,1)</f>
        <v>120</v>
      </c>
      <c r="G34">
        <v>32</v>
      </c>
    </row>
    <row r="35" spans="1:7" x14ac:dyDescent="0.45">
      <c r="A35">
        <f ca="1">VLOOKUP(dict_zul_Var_Meth[[#This Row],[ignored_rank]],help_zuord_Var_Meth[],2)</f>
        <v>38</v>
      </c>
      <c r="B35">
        <v>16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">
        <f t="shared" ca="1" si="0"/>
        <v>0.77969714535913559</v>
      </c>
      <c r="E35">
        <f ca="1">RANK(dict_zul_Var_Meth[[#This Row],[ignored_rand]],dict_zul_Var_Meth[ignored_rand])</f>
        <v>143</v>
      </c>
      <c r="F35">
        <f ca="1">ROUNDUP(748/200*help_zuord_Var_Meth[[#This Row],[ignored_help_VarsID]],0)+RANDBETWEEN(0,1)-RANDBETWEEN(0,1)</f>
        <v>123</v>
      </c>
      <c r="G35">
        <v>33</v>
      </c>
    </row>
    <row r="36" spans="1:7" x14ac:dyDescent="0.45">
      <c r="A36">
        <f ca="1">VLOOKUP(dict_zul_Var_Meth[[#This Row],[ignored_rank]],help_zuord_Var_Meth[],2)</f>
        <v>60</v>
      </c>
      <c r="B36">
        <v>17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">
        <f t="shared" ca="1" si="0"/>
        <v>0.68065156979437214</v>
      </c>
      <c r="E36">
        <f ca="1">RANK(dict_zul_Var_Meth[[#This Row],[ignored_rand]],dict_zul_Var_Meth[ignored_rand])</f>
        <v>228</v>
      </c>
      <c r="F36">
        <f ca="1">ROUNDUP(748/200*help_zuord_Var_Meth[[#This Row],[ignored_help_VarsID]],0)+RANDBETWEEN(0,1)-RANDBETWEEN(0,1)</f>
        <v>127</v>
      </c>
      <c r="G36">
        <v>34</v>
      </c>
    </row>
    <row r="37" spans="1:7" x14ac:dyDescent="0.45">
      <c r="A37">
        <f ca="1">VLOOKUP(dict_zul_Var_Meth[[#This Row],[ignored_rank]],help_zuord_Var_Meth[],2)</f>
        <v>60</v>
      </c>
      <c r="B37">
        <v>17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">
        <f t="shared" ca="1" si="0"/>
        <v>0.68437267013250869</v>
      </c>
      <c r="E37">
        <f ca="1">RANK(dict_zul_Var_Meth[[#This Row],[ignored_rand]],dict_zul_Var_Meth[ignored_rand])</f>
        <v>225</v>
      </c>
      <c r="F37">
        <f ca="1">ROUNDUP(748/200*help_zuord_Var_Meth[[#This Row],[ignored_help_VarsID]],0)+RANDBETWEEN(0,1)-RANDBETWEEN(0,1)</f>
        <v>131</v>
      </c>
      <c r="G37">
        <v>35</v>
      </c>
    </row>
    <row r="38" spans="1:7" x14ac:dyDescent="0.45">
      <c r="A38">
        <f ca="1">VLOOKUP(dict_zul_Var_Meth[[#This Row],[ignored_rank]],help_zuord_Var_Meth[],2)</f>
        <v>167</v>
      </c>
      <c r="B38">
        <v>18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">
        <f t="shared" ca="1" si="0"/>
        <v>0.18339685994783694</v>
      </c>
      <c r="E38">
        <f ca="1">RANK(dict_zul_Var_Meth[[#This Row],[ignored_rand]],dict_zul_Var_Meth[ignored_rand])</f>
        <v>628</v>
      </c>
      <c r="F38">
        <f ca="1">ROUNDUP(748/200*help_zuord_Var_Meth[[#This Row],[ignored_help_VarsID]],0)+RANDBETWEEN(0,1)-RANDBETWEEN(0,1)</f>
        <v>134</v>
      </c>
      <c r="G38">
        <v>36</v>
      </c>
    </row>
    <row r="39" spans="1:7" x14ac:dyDescent="0.45">
      <c r="A39">
        <f ca="1">VLOOKUP(dict_zul_Var_Meth[[#This Row],[ignored_rank]],help_zuord_Var_Meth[],2)</f>
        <v>68</v>
      </c>
      <c r="B39">
        <v>18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">
        <f t="shared" ca="1" si="0"/>
        <v>0.6503365935876293</v>
      </c>
      <c r="E39">
        <f ca="1">RANK(dict_zul_Var_Meth[[#This Row],[ignored_rand]],dict_zul_Var_Meth[ignored_rand])</f>
        <v>256</v>
      </c>
      <c r="F39">
        <f ca="1">ROUNDUP(748/200*help_zuord_Var_Meth[[#This Row],[ignored_help_VarsID]],0)+RANDBETWEEN(0,1)-RANDBETWEEN(0,1)</f>
        <v>138</v>
      </c>
      <c r="G39">
        <v>37</v>
      </c>
    </row>
    <row r="40" spans="1:7" x14ac:dyDescent="0.45">
      <c r="A40" s="3">
        <f ca="1">VLOOKUP(dict_zul_Var_Meth[[#This Row],[ignored_rank]],help_zuord_Var_Meth[],2)</f>
        <v>125</v>
      </c>
      <c r="B40">
        <v>19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">
        <f t="shared" ca="1" si="0"/>
        <v>0.4026532592673836</v>
      </c>
      <c r="E40" s="3">
        <f ca="1">RANK(dict_zul_Var_Meth[[#This Row],[ignored_rand]],dict_zul_Var_Meth[ignored_rand])</f>
        <v>467</v>
      </c>
      <c r="F40">
        <f ca="1">ROUNDUP(748/200*help_zuord_Var_Meth[[#This Row],[ignored_help_VarsID]],0)+RANDBETWEEN(0,1)-RANDBETWEEN(0,1)</f>
        <v>143</v>
      </c>
      <c r="G40">
        <v>38</v>
      </c>
    </row>
    <row r="41" spans="1:7" x14ac:dyDescent="0.45">
      <c r="A41">
        <f ca="1">VLOOKUP(dict_zul_Var_Meth[[#This Row],[ignored_rank]],help_zuord_Var_Meth[],2)</f>
        <v>132</v>
      </c>
      <c r="B41">
        <v>19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">
        <f t="shared" ca="1" si="0"/>
        <v>0.36392727885861786</v>
      </c>
      <c r="E41">
        <f ca="1">RANK(dict_zul_Var_Meth[[#This Row],[ignored_rand]],dict_zul_Var_Meth[ignored_rand])</f>
        <v>495</v>
      </c>
      <c r="F41">
        <f ca="1">ROUNDUP(748/200*help_zuord_Var_Meth[[#This Row],[ignored_help_VarsID]],0)+RANDBETWEEN(0,1)-RANDBETWEEN(0,1)</f>
        <v>146</v>
      </c>
      <c r="G41">
        <v>39</v>
      </c>
    </row>
    <row r="42" spans="1:7" x14ac:dyDescent="0.45">
      <c r="A42">
        <f ca="1">VLOOKUP(dict_zul_Var_Meth[[#This Row],[ignored_rank]],help_zuord_Var_Meth[],2)</f>
        <v>146</v>
      </c>
      <c r="B42">
        <v>20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">
        <f t="shared" ca="1" si="0"/>
        <v>0.27981984417333994</v>
      </c>
      <c r="E42">
        <f ca="1">RANK(dict_zul_Var_Meth[[#This Row],[ignored_rand]],dict_zul_Var_Meth[ignored_rand])</f>
        <v>548</v>
      </c>
      <c r="F42">
        <f ca="1">ROUNDUP(748/200*help_zuord_Var_Meth[[#This Row],[ignored_help_VarsID]],0)+RANDBETWEEN(0,1)-RANDBETWEEN(0,1)</f>
        <v>151</v>
      </c>
      <c r="G42">
        <v>40</v>
      </c>
    </row>
    <row r="43" spans="1:7" x14ac:dyDescent="0.45">
      <c r="A43">
        <f ca="1">VLOOKUP(dict_zul_Var_Meth[[#This Row],[ignored_rank]],help_zuord_Var_Meth[],2)</f>
        <v>100</v>
      </c>
      <c r="B43">
        <v>20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">
        <f t="shared" ca="1" si="0"/>
        <v>0.51935878910769129</v>
      </c>
      <c r="E43">
        <f ca="1">RANK(dict_zul_Var_Meth[[#This Row],[ignored_rand]],dict_zul_Var_Meth[ignored_rand])</f>
        <v>375</v>
      </c>
      <c r="F43">
        <f ca="1">ROUNDUP(748/200*help_zuord_Var_Meth[[#This Row],[ignored_help_VarsID]],0)+RANDBETWEEN(0,1)-RANDBETWEEN(0,1)</f>
        <v>154</v>
      </c>
      <c r="G43">
        <v>41</v>
      </c>
    </row>
    <row r="44" spans="1:7" x14ac:dyDescent="0.45">
      <c r="A44">
        <f ca="1">VLOOKUP(dict_zul_Var_Meth[[#This Row],[ignored_rank]],help_zuord_Var_Meth[],2)</f>
        <v>150</v>
      </c>
      <c r="B44">
        <v>21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">
        <f t="shared" ca="1" si="0"/>
        <v>0.26481067789021151</v>
      </c>
      <c r="E44">
        <f ca="1">RANK(dict_zul_Var_Meth[[#This Row],[ignored_rand]],dict_zul_Var_Meth[ignored_rand])</f>
        <v>562</v>
      </c>
      <c r="F44">
        <f ca="1">ROUNDUP(748/200*help_zuord_Var_Meth[[#This Row],[ignored_help_VarsID]],0)+RANDBETWEEN(0,1)-RANDBETWEEN(0,1)</f>
        <v>157</v>
      </c>
      <c r="G44">
        <v>42</v>
      </c>
    </row>
    <row r="45" spans="1:7" x14ac:dyDescent="0.45">
      <c r="A45">
        <f ca="1">VLOOKUP(dict_zul_Var_Meth[[#This Row],[ignored_rank]],help_zuord_Var_Meth[],2)</f>
        <v>70</v>
      </c>
      <c r="B45">
        <v>21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">
        <f t="shared" ca="1" si="0"/>
        <v>0.63824355626653195</v>
      </c>
      <c r="E45">
        <f ca="1">RANK(dict_zul_Var_Meth[[#This Row],[ignored_rand]],dict_zul_Var_Meth[ignored_rand])</f>
        <v>264</v>
      </c>
      <c r="F45">
        <f ca="1">ROUNDUP(748/200*help_zuord_Var_Meth[[#This Row],[ignored_help_VarsID]],0)+RANDBETWEEN(0,1)-RANDBETWEEN(0,1)</f>
        <v>160</v>
      </c>
      <c r="G45">
        <v>43</v>
      </c>
    </row>
    <row r="46" spans="1:7" x14ac:dyDescent="0.45">
      <c r="A46" s="3">
        <f ca="1">VLOOKUP(dict_zul_Var_Meth[[#This Row],[ignored_rank]],help_zuord_Var_Meth[],2)</f>
        <v>104</v>
      </c>
      <c r="B46">
        <v>22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">
        <f t="shared" ca="1" si="0"/>
        <v>0.4924322219681867</v>
      </c>
      <c r="E46" s="3">
        <f ca="1">RANK(dict_zul_Var_Meth[[#This Row],[ignored_rand]],dict_zul_Var_Meth[ignored_rand])</f>
        <v>391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>
        <f ca="1">VLOOKUP(dict_zul_Var_Meth[[#This Row],[ignored_rank]],help_zuord_Var_Meth[],2)</f>
        <v>129</v>
      </c>
      <c r="B47">
        <v>22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">
        <f t="shared" ca="1" si="0"/>
        <v>0.382941362061757</v>
      </c>
      <c r="E47">
        <f ca="1">RANK(dict_zul_Var_Meth[[#This Row],[ignored_rand]],dict_zul_Var_Meth[ignored_rand])</f>
        <v>485</v>
      </c>
      <c r="F47">
        <f ca="1">ROUNDUP(748/200*help_zuord_Var_Meth[[#This Row],[ignored_help_VarsID]],0)+RANDBETWEEN(0,1)-RANDBETWEEN(0,1)</f>
        <v>170</v>
      </c>
      <c r="G47">
        <v>45</v>
      </c>
    </row>
    <row r="48" spans="1:7" x14ac:dyDescent="0.45">
      <c r="A48">
        <f ca="1">VLOOKUP(dict_zul_Var_Meth[[#This Row],[ignored_rank]],help_zuord_Var_Meth[],2)</f>
        <v>151</v>
      </c>
      <c r="B48">
        <v>23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">
        <f t="shared" ca="1" si="0"/>
        <v>0.25961772534650573</v>
      </c>
      <c r="E48">
        <f ca="1">RANK(dict_zul_Var_Meth[[#This Row],[ignored_rand]],dict_zul_Var_Meth[ignored_rand])</f>
        <v>567</v>
      </c>
      <c r="F48">
        <f ca="1">ROUNDUP(748/200*help_zuord_Var_Meth[[#This Row],[ignored_help_VarsID]],0)+RANDBETWEEN(0,1)-RANDBETWEEN(0,1)</f>
        <v>172</v>
      </c>
      <c r="G48">
        <v>46</v>
      </c>
    </row>
    <row r="49" spans="1:7" x14ac:dyDescent="0.45">
      <c r="A49">
        <f ca="1">VLOOKUP(dict_zul_Var_Meth[[#This Row],[ignored_rank]],help_zuord_Var_Meth[],2)</f>
        <v>95</v>
      </c>
      <c r="B49">
        <v>23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">
        <f t="shared" ca="1" si="0"/>
        <v>0.53581768404102526</v>
      </c>
      <c r="E49">
        <f ca="1">RANK(dict_zul_Var_Meth[[#This Row],[ignored_rand]],dict_zul_Var_Meth[ignored_rand])</f>
        <v>359</v>
      </c>
      <c r="F49">
        <f ca="1">ROUNDUP(748/200*help_zuord_Var_Meth[[#This Row],[ignored_help_VarsID]],0)+RANDBETWEEN(0,1)-RANDBETWEEN(0,1)</f>
        <v>176</v>
      </c>
      <c r="G49">
        <v>47</v>
      </c>
    </row>
    <row r="50" spans="1:7" x14ac:dyDescent="0.45">
      <c r="A50">
        <f ca="1">VLOOKUP(dict_zul_Var_Meth[[#This Row],[ignored_rank]],help_zuord_Var_Meth[],2)</f>
        <v>89</v>
      </c>
      <c r="B50">
        <v>24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">
        <f t="shared" ca="1" si="0"/>
        <v>0.55564884856025931</v>
      </c>
      <c r="E50">
        <f ca="1">RANK(dict_zul_Var_Meth[[#This Row],[ignored_rand]],dict_zul_Var_Meth[ignored_rand])</f>
        <v>333</v>
      </c>
      <c r="F50">
        <f ca="1">ROUNDUP(748/200*help_zuord_Var_Meth[[#This Row],[ignored_help_VarsID]],0)+RANDBETWEEN(0,1)-RANDBETWEEN(0,1)</f>
        <v>179</v>
      </c>
      <c r="G50">
        <v>48</v>
      </c>
    </row>
    <row r="51" spans="1:7" x14ac:dyDescent="0.45">
      <c r="A51">
        <f ca="1">VLOOKUP(dict_zul_Var_Meth[[#This Row],[ignored_rank]],help_zuord_Var_Meth[],2)</f>
        <v>98</v>
      </c>
      <c r="B51">
        <v>24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">
        <f t="shared" ca="1" si="0"/>
        <v>0.52988660910518859</v>
      </c>
      <c r="E51">
        <f ca="1">RANK(dict_zul_Var_Meth[[#This Row],[ignored_rand]],dict_zul_Var_Meth[ignored_rand])</f>
        <v>367</v>
      </c>
      <c r="F51">
        <f ca="1">ROUNDUP(748/200*help_zuord_Var_Meth[[#This Row],[ignored_help_VarsID]],0)+RANDBETWEEN(0,1)-RANDBETWEEN(0,1)</f>
        <v>185</v>
      </c>
      <c r="G51">
        <v>49</v>
      </c>
    </row>
    <row r="52" spans="1:7" x14ac:dyDescent="0.45">
      <c r="A52">
        <f ca="1">VLOOKUP(dict_zul_Var_Meth[[#This Row],[ignored_rank]],help_zuord_Var_Meth[],2)</f>
        <v>29</v>
      </c>
      <c r="B52">
        <v>25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">
        <f t="shared" ca="1" si="0"/>
        <v>0.83717657069973728</v>
      </c>
      <c r="E52">
        <f ca="1">RANK(dict_zul_Var_Meth[[#This Row],[ignored_rand]],dict_zul_Var_Meth[ignored_rand])</f>
        <v>110</v>
      </c>
      <c r="F52">
        <f ca="1">ROUNDUP(748/200*help_zuord_Var_Meth[[#This Row],[ignored_help_VarsID]],0)+RANDBETWEEN(0,1)-RANDBETWEEN(0,1)</f>
        <v>188</v>
      </c>
      <c r="G52">
        <v>50</v>
      </c>
    </row>
    <row r="53" spans="1:7" x14ac:dyDescent="0.45">
      <c r="A53">
        <f ca="1">VLOOKUP(dict_zul_Var_Meth[[#This Row],[ignored_rank]],help_zuord_Var_Meth[],2)</f>
        <v>200</v>
      </c>
      <c r="B53">
        <v>25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">
        <f t="shared" ca="1" si="0"/>
        <v>2.1355934499983631E-3</v>
      </c>
      <c r="E53">
        <f ca="1">RANK(dict_zul_Var_Meth[[#This Row],[ignored_rand]],dict_zul_Var_Meth[ignored_rand])</f>
        <v>760</v>
      </c>
      <c r="F53">
        <f ca="1">ROUNDUP(748/200*help_zuord_Var_Meth[[#This Row],[ignored_help_VarsID]],0)+RANDBETWEEN(0,1)-RANDBETWEEN(0,1)</f>
        <v>190</v>
      </c>
      <c r="G53">
        <v>51</v>
      </c>
    </row>
    <row r="54" spans="1:7" x14ac:dyDescent="0.45">
      <c r="A54">
        <f ca="1">VLOOKUP(dict_zul_Var_Meth[[#This Row],[ignored_rank]],help_zuord_Var_Meth[],2)</f>
        <v>22</v>
      </c>
      <c r="B54">
        <v>26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">
        <f t="shared" ca="1" si="0"/>
        <v>0.87262736816839559</v>
      </c>
      <c r="E54">
        <f ca="1">RANK(dict_zul_Var_Meth[[#This Row],[ignored_rand]],dict_zul_Var_Meth[ignored_rand])</f>
        <v>84</v>
      </c>
      <c r="F54">
        <f ca="1">ROUNDUP(748/200*help_zuord_Var_Meth[[#This Row],[ignored_help_VarsID]],0)+RANDBETWEEN(0,1)-RANDBETWEEN(0,1)</f>
        <v>196</v>
      </c>
      <c r="G54">
        <v>52</v>
      </c>
    </row>
    <row r="55" spans="1:7" x14ac:dyDescent="0.45">
      <c r="A55">
        <f ca="1">VLOOKUP(dict_zul_Var_Meth[[#This Row],[ignored_rank]],help_zuord_Var_Meth[],2)</f>
        <v>174</v>
      </c>
      <c r="B55">
        <v>26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">
        <f t="shared" ca="1" si="0"/>
        <v>0.15559952641109243</v>
      </c>
      <c r="E55">
        <f ca="1">RANK(dict_zul_Var_Meth[[#This Row],[ignored_rand]],dict_zul_Var_Meth[ignored_rand])</f>
        <v>652</v>
      </c>
      <c r="F55">
        <f ca="1">ROUNDUP(748/200*help_zuord_Var_Meth[[#This Row],[ignored_help_VarsID]],0)+RANDBETWEEN(0,1)-RANDBETWEEN(0,1)</f>
        <v>200</v>
      </c>
      <c r="G55">
        <v>53</v>
      </c>
    </row>
    <row r="56" spans="1:7" x14ac:dyDescent="0.45">
      <c r="A56">
        <f ca="1">VLOOKUP(dict_zul_Var_Meth[[#This Row],[ignored_rank]],help_zuord_Var_Meth[],2)</f>
        <v>37</v>
      </c>
      <c r="B56">
        <v>27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">
        <f t="shared" ca="1" si="0"/>
        <v>0.78694441459110942</v>
      </c>
      <c r="E56">
        <f ca="1">RANK(dict_zul_Var_Meth[[#This Row],[ignored_rand]],dict_zul_Var_Meth[ignored_rand])</f>
        <v>139</v>
      </c>
      <c r="F56">
        <f ca="1">ROUNDUP(748/200*help_zuord_Var_Meth[[#This Row],[ignored_help_VarsID]],0)+RANDBETWEEN(0,1)-RANDBETWEEN(0,1)</f>
        <v>202</v>
      </c>
      <c r="G56">
        <v>54</v>
      </c>
    </row>
    <row r="57" spans="1:7" x14ac:dyDescent="0.45">
      <c r="A57">
        <f ca="1">VLOOKUP(dict_zul_Var_Meth[[#This Row],[ignored_rank]],help_zuord_Var_Meth[],2)</f>
        <v>52</v>
      </c>
      <c r="B57">
        <v>27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">
        <f t="shared" ca="1" si="0"/>
        <v>0.72118754563202925</v>
      </c>
      <c r="E57">
        <f ca="1">RANK(dict_zul_Var_Meth[[#This Row],[ignored_rand]],dict_zul_Var_Meth[ignored_rand])</f>
        <v>196</v>
      </c>
      <c r="F57">
        <f ca="1">ROUNDUP(748/200*help_zuord_Var_Meth[[#This Row],[ignored_help_VarsID]],0)+RANDBETWEEN(0,1)-RANDBETWEEN(0,1)</f>
        <v>207</v>
      </c>
      <c r="G57">
        <v>55</v>
      </c>
    </row>
    <row r="58" spans="1:7" x14ac:dyDescent="0.45">
      <c r="A58">
        <f ca="1">VLOOKUP(dict_zul_Var_Meth[[#This Row],[ignored_rank]],help_zuord_Var_Meth[],2)</f>
        <v>173</v>
      </c>
      <c r="B58">
        <v>28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">
        <f t="shared" ca="1" si="0"/>
        <v>0.16096266791080838</v>
      </c>
      <c r="E58">
        <f ca="1">RANK(dict_zul_Var_Meth[[#This Row],[ignored_rand]],dict_zul_Var_Meth[ignored_rand])</f>
        <v>648</v>
      </c>
      <c r="F58">
        <f ca="1">ROUNDUP(748/200*help_zuord_Var_Meth[[#This Row],[ignored_help_VarsID]],0)+RANDBETWEEN(0,1)-RANDBETWEEN(0,1)</f>
        <v>211</v>
      </c>
      <c r="G58">
        <v>56</v>
      </c>
    </row>
    <row r="59" spans="1:7" x14ac:dyDescent="0.45">
      <c r="A59">
        <f ca="1">VLOOKUP(dict_zul_Var_Meth[[#This Row],[ignored_rank]],help_zuord_Var_Meth[],2)</f>
        <v>24</v>
      </c>
      <c r="B59">
        <v>28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">
        <f t="shared" ca="1" si="0"/>
        <v>0.86394662592513494</v>
      </c>
      <c r="E59">
        <f ca="1">RANK(dict_zul_Var_Meth[[#This Row],[ignored_rand]],dict_zul_Var_Meth[ignored_rand])</f>
        <v>91</v>
      </c>
      <c r="F59">
        <f ca="1">ROUNDUP(748/200*help_zuord_Var_Meth[[#This Row],[ignored_help_VarsID]],0)+RANDBETWEEN(0,1)-RANDBETWEEN(0,1)</f>
        <v>213</v>
      </c>
      <c r="G59">
        <v>57</v>
      </c>
    </row>
    <row r="60" spans="1:7" x14ac:dyDescent="0.45">
      <c r="A60" s="3">
        <f ca="1">VLOOKUP(dict_zul_Var_Meth[[#This Row],[ignored_rank]],help_zuord_Var_Meth[],2)</f>
        <v>58</v>
      </c>
      <c r="B60">
        <v>29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">
        <f t="shared" ca="1" si="0"/>
        <v>0.69443869195596908</v>
      </c>
      <c r="E60" s="3">
        <f ca="1">RANK(dict_zul_Var_Meth[[#This Row],[ignored_rand]],dict_zul_Var_Meth[ignored_rand])</f>
        <v>219</v>
      </c>
      <c r="F60">
        <f ca="1">ROUNDUP(748/200*help_zuord_Var_Meth[[#This Row],[ignored_help_VarsID]],0)+RANDBETWEEN(0,1)-RANDBETWEEN(0,1)</f>
        <v>218</v>
      </c>
      <c r="G60">
        <v>58</v>
      </c>
    </row>
    <row r="61" spans="1:7" x14ac:dyDescent="0.45">
      <c r="A61">
        <f ca="1">VLOOKUP(dict_zul_Var_Meth[[#This Row],[ignored_rank]],help_zuord_Var_Meth[],2)</f>
        <v>185</v>
      </c>
      <c r="B61">
        <v>29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">
        <f t="shared" ca="1" si="0"/>
        <v>9.9966489475862064E-2</v>
      </c>
      <c r="E61">
        <f ca="1">RANK(dict_zul_Var_Meth[[#This Row],[ignored_rand]],dict_zul_Var_Meth[ignored_rand])</f>
        <v>696</v>
      </c>
      <c r="F61">
        <f ca="1">ROUNDUP(748/200*help_zuord_Var_Meth[[#This Row],[ignored_help_VarsID]],0)+RANDBETWEEN(0,1)-RANDBETWEEN(0,1)</f>
        <v>222</v>
      </c>
      <c r="G61">
        <v>59</v>
      </c>
    </row>
    <row r="62" spans="1:7" x14ac:dyDescent="0.45">
      <c r="A62">
        <f ca="1">VLOOKUP(dict_zul_Var_Meth[[#This Row],[ignored_rank]],help_zuord_Var_Meth[],2)</f>
        <v>48</v>
      </c>
      <c r="B62">
        <v>30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">
        <f t="shared" ca="1" si="0"/>
        <v>0.73558403806772255</v>
      </c>
      <c r="E62">
        <f ca="1">RANK(dict_zul_Var_Meth[[#This Row],[ignored_rand]],dict_zul_Var_Meth[ignored_rand])</f>
        <v>183</v>
      </c>
      <c r="F62">
        <f ca="1">ROUNDUP(748/200*help_zuord_Var_Meth[[#This Row],[ignored_help_VarsID]],0)+RANDBETWEEN(0,1)-RANDBETWEEN(0,1)</f>
        <v>224</v>
      </c>
      <c r="G62">
        <v>60</v>
      </c>
    </row>
    <row r="63" spans="1:7" x14ac:dyDescent="0.45">
      <c r="A63">
        <f ca="1">VLOOKUP(dict_zul_Var_Meth[[#This Row],[ignored_rank]],help_zuord_Var_Meth[],2)</f>
        <v>37</v>
      </c>
      <c r="B63">
        <v>30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">
        <f t="shared" ca="1" si="0"/>
        <v>0.77969965128051255</v>
      </c>
      <c r="E63">
        <f ca="1">RANK(dict_zul_Var_Meth[[#This Row],[ignored_rand]],dict_zul_Var_Meth[ignored_rand])</f>
        <v>142</v>
      </c>
      <c r="F63">
        <f ca="1">ROUNDUP(748/200*help_zuord_Var_Meth[[#This Row],[ignored_help_VarsID]],0)+RANDBETWEEN(0,1)-RANDBETWEEN(0,1)</f>
        <v>229</v>
      </c>
      <c r="G63">
        <v>61</v>
      </c>
    </row>
    <row r="64" spans="1:7" x14ac:dyDescent="0.45">
      <c r="A64">
        <f ca="1">VLOOKUP(dict_zul_Var_Meth[[#This Row],[ignored_rank]],help_zuord_Var_Meth[],2)</f>
        <v>29</v>
      </c>
      <c r="B64">
        <v>31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">
        <f t="shared" ca="1" si="0"/>
        <v>0.83109804143639199</v>
      </c>
      <c r="E64">
        <f ca="1">RANK(dict_zul_Var_Meth[[#This Row],[ignored_rand]],dict_zul_Var_Meth[ignored_rand])</f>
        <v>113</v>
      </c>
      <c r="F64">
        <f ca="1">ROUNDUP(748/200*help_zuord_Var_Meth[[#This Row],[ignored_help_VarsID]],0)+RANDBETWEEN(0,1)-RANDBETWEEN(0,1)</f>
        <v>232</v>
      </c>
      <c r="G64">
        <v>62</v>
      </c>
    </row>
    <row r="65" spans="1:7" x14ac:dyDescent="0.45">
      <c r="A65">
        <f ca="1">VLOOKUP(dict_zul_Var_Meth[[#This Row],[ignored_rank]],help_zuord_Var_Meth[],2)</f>
        <v>37</v>
      </c>
      <c r="B65">
        <v>31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">
        <f t="shared" ca="1" si="0"/>
        <v>0.77990391162625816</v>
      </c>
      <c r="E65">
        <f ca="1">RANK(dict_zul_Var_Meth[[#This Row],[ignored_rand]],dict_zul_Var_Meth[ignored_rand])</f>
        <v>141</v>
      </c>
      <c r="F65">
        <f ca="1">ROUNDUP(748/200*help_zuord_Var_Meth[[#This Row],[ignored_help_VarsID]],0)+RANDBETWEEN(0,1)-RANDBETWEEN(0,1)</f>
        <v>236</v>
      </c>
      <c r="G65">
        <v>63</v>
      </c>
    </row>
    <row r="66" spans="1:7" x14ac:dyDescent="0.45">
      <c r="A66">
        <f ca="1">VLOOKUP(dict_zul_Var_Meth[[#This Row],[ignored_rank]],help_zuord_Var_Meth[],2)</f>
        <v>48</v>
      </c>
      <c r="B66">
        <v>32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">
        <f t="shared" ref="D66:D129" ca="1" si="1">RAND()</f>
        <v>0.73462968251868699</v>
      </c>
      <c r="E66">
        <f ca="1">RANK(dict_zul_Var_Meth[[#This Row],[ignored_rand]],dict_zul_Var_Meth[ignored_rand])</f>
        <v>184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178</v>
      </c>
      <c r="B67">
        <v>32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">
        <f t="shared" ca="1" si="1"/>
        <v>0.12387307863228569</v>
      </c>
      <c r="E67">
        <f ca="1">RANK(dict_zul_Var_Meth[[#This Row],[ignored_rand]],dict_zul_Var_Meth[ignored_rand])</f>
        <v>670</v>
      </c>
      <c r="F67">
        <f ca="1">ROUNDUP(748/200*help_zuord_Var_Meth[[#This Row],[ignored_help_VarsID]],0)+RANDBETWEEN(0,1)-RANDBETWEEN(0,1)</f>
        <v>245</v>
      </c>
      <c r="G67">
        <v>65</v>
      </c>
    </row>
    <row r="68" spans="1:7" x14ac:dyDescent="0.45">
      <c r="A68" s="3">
        <f ca="1">VLOOKUP(dict_zul_Var_Meth[[#This Row],[ignored_rank]],help_zuord_Var_Meth[],2)</f>
        <v>144</v>
      </c>
      <c r="B68">
        <v>33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">
        <f t="shared" ca="1" si="1"/>
        <v>0.29211777998676292</v>
      </c>
      <c r="E68" s="3">
        <f ca="1">RANK(dict_zul_Var_Meth[[#This Row],[ignored_rand]],dict_zul_Var_Meth[ignored_rand])</f>
        <v>541</v>
      </c>
      <c r="F68">
        <f ca="1">ROUNDUP(748/200*help_zuord_Var_Meth[[#This Row],[ignored_help_VarsID]],0)+RANDBETWEEN(0,1)-RANDBETWEEN(0,1)</f>
        <v>247</v>
      </c>
      <c r="G68">
        <v>66</v>
      </c>
    </row>
    <row r="69" spans="1:7" x14ac:dyDescent="0.45">
      <c r="A69">
        <f ca="1">VLOOKUP(dict_zul_Var_Meth[[#This Row],[ignored_rank]],help_zuord_Var_Meth[],2)</f>
        <v>162</v>
      </c>
      <c r="B69">
        <v>33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">
        <f t="shared" ca="1" si="1"/>
        <v>0.21090142893258201</v>
      </c>
      <c r="E69">
        <f ca="1">RANK(dict_zul_Var_Meth[[#This Row],[ignored_rand]],dict_zul_Var_Meth[ignored_rand])</f>
        <v>608</v>
      </c>
      <c r="F69">
        <f ca="1">ROUNDUP(748/200*help_zuord_Var_Meth[[#This Row],[ignored_help_VarsID]],0)+RANDBETWEEN(0,1)-RANDBETWEEN(0,1)</f>
        <v>250</v>
      </c>
      <c r="G69">
        <v>67</v>
      </c>
    </row>
    <row r="70" spans="1:7" x14ac:dyDescent="0.45">
      <c r="A70">
        <f ca="1">VLOOKUP(dict_zul_Var_Meth[[#This Row],[ignored_rank]],help_zuord_Var_Meth[],2)</f>
        <v>62</v>
      </c>
      <c r="B70">
        <v>34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">
        <f t="shared" ca="1" si="1"/>
        <v>0.66955316929615571</v>
      </c>
      <c r="E70">
        <f ca="1">RANK(dict_zul_Var_Meth[[#This Row],[ignored_rand]],dict_zul_Var_Meth[ignored_rand])</f>
        <v>234</v>
      </c>
      <c r="F70">
        <f ca="1">ROUNDUP(748/200*help_zuord_Var_Meth[[#This Row],[ignored_help_VarsID]],0)+RANDBETWEEN(0,1)-RANDBETWEEN(0,1)</f>
        <v>256</v>
      </c>
      <c r="G70">
        <v>68</v>
      </c>
    </row>
    <row r="71" spans="1:7" x14ac:dyDescent="0.45">
      <c r="A71">
        <f ca="1">VLOOKUP(dict_zul_Var_Meth[[#This Row],[ignored_rank]],help_zuord_Var_Meth[],2)</f>
        <v>124</v>
      </c>
      <c r="B71">
        <v>34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">
        <f t="shared" ca="1" si="1"/>
        <v>0.40431800059320078</v>
      </c>
      <c r="E71">
        <f ca="1">RANK(dict_zul_Var_Meth[[#This Row],[ignored_rand]],dict_zul_Var_Meth[ignored_rand])</f>
        <v>464</v>
      </c>
      <c r="F71">
        <f ca="1">ROUNDUP(748/200*help_zuord_Var_Meth[[#This Row],[ignored_help_VarsID]],0)+RANDBETWEEN(0,1)-RANDBETWEEN(0,1)</f>
        <v>259</v>
      </c>
      <c r="G71">
        <v>69</v>
      </c>
    </row>
    <row r="72" spans="1:7" x14ac:dyDescent="0.45">
      <c r="A72">
        <f ca="1">VLOOKUP(dict_zul_Var_Meth[[#This Row],[ignored_rank]],help_zuord_Var_Meth[],2)</f>
        <v>94</v>
      </c>
      <c r="B72">
        <v>35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">
        <f t="shared" ca="1" si="1"/>
        <v>0.54267105297531526</v>
      </c>
      <c r="E72">
        <f ca="1">RANK(dict_zul_Var_Meth[[#This Row],[ignored_rand]],dict_zul_Var_Meth[ignored_rand])</f>
        <v>353</v>
      </c>
      <c r="F72">
        <f ca="1">ROUNDUP(748/200*help_zuord_Var_Meth[[#This Row],[ignored_help_VarsID]],0)+RANDBETWEEN(0,1)-RANDBETWEEN(0,1)</f>
        <v>262</v>
      </c>
      <c r="G72">
        <v>70</v>
      </c>
    </row>
    <row r="73" spans="1:7" x14ac:dyDescent="0.45">
      <c r="A73">
        <f ca="1">VLOOKUP(dict_zul_Var_Meth[[#This Row],[ignored_rank]],help_zuord_Var_Meth[],2)</f>
        <v>139</v>
      </c>
      <c r="B73">
        <v>35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">
        <f t="shared" ca="1" si="1"/>
        <v>0.32482332941516801</v>
      </c>
      <c r="E73">
        <f ca="1">RANK(dict_zul_Var_Meth[[#This Row],[ignored_rand]],dict_zul_Var_Meth[ignored_rand])</f>
        <v>521</v>
      </c>
      <c r="F73">
        <f ca="1">ROUNDUP(748/200*help_zuord_Var_Meth[[#This Row],[ignored_help_VarsID]],0)+RANDBETWEEN(0,1)-RANDBETWEEN(0,1)</f>
        <v>266</v>
      </c>
      <c r="G73">
        <v>71</v>
      </c>
    </row>
    <row r="74" spans="1:7" x14ac:dyDescent="0.45">
      <c r="A74">
        <f ca="1">VLOOKUP(dict_zul_Var_Meth[[#This Row],[ignored_rank]],help_zuord_Var_Meth[],2)</f>
        <v>178</v>
      </c>
      <c r="B74">
        <v>36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">
        <f t="shared" ca="1" si="1"/>
        <v>0.13209709631722999</v>
      </c>
      <c r="E74">
        <f ca="1">RANK(dict_zul_Var_Meth[[#This Row],[ignored_rand]],dict_zul_Var_Meth[ignored_rand])</f>
        <v>668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>
        <f ca="1">VLOOKUP(dict_zul_Var_Meth[[#This Row],[ignored_rank]],help_zuord_Var_Meth[],2)</f>
        <v>26</v>
      </c>
      <c r="B75">
        <v>36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">
        <f t="shared" ca="1" si="1"/>
        <v>0.85834790639671821</v>
      </c>
      <c r="E75">
        <f ca="1">RANK(dict_zul_Var_Meth[[#This Row],[ignored_rand]],dict_zul_Var_Meth[ignored_rand])</f>
        <v>98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80</v>
      </c>
      <c r="B76">
        <v>37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t="shared" ca="1" si="1"/>
        <v>0.60248174603219917</v>
      </c>
      <c r="E76">
        <f ca="1">RANK(dict_zul_Var_Meth[[#This Row],[ignored_rand]],dict_zul_Var_Meth[ignored_rand])</f>
        <v>300</v>
      </c>
      <c r="F76">
        <f ca="1">ROUNDUP(748/200*help_zuord_Var_Meth[[#This Row],[ignored_help_VarsID]],0)+RANDBETWEEN(0,1)-RANDBETWEEN(0,1)</f>
        <v>276</v>
      </c>
      <c r="G76">
        <v>74</v>
      </c>
    </row>
    <row r="77" spans="1:7" x14ac:dyDescent="0.45">
      <c r="A77">
        <f ca="1">VLOOKUP(dict_zul_Var_Meth[[#This Row],[ignored_rank]],help_zuord_Var_Meth[],2)</f>
        <v>122</v>
      </c>
      <c r="B77">
        <v>37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t="shared" ca="1" si="1"/>
        <v>0.40848898661915078</v>
      </c>
      <c r="E77">
        <f ca="1">RANK(dict_zul_Var_Meth[[#This Row],[ignored_rand]],dict_zul_Var_Meth[ignored_rand])</f>
        <v>460</v>
      </c>
      <c r="F77">
        <f ca="1">ROUNDUP(748/200*help_zuord_Var_Meth[[#This Row],[ignored_help_VarsID]],0)+RANDBETWEEN(0,1)-RANDBETWEEN(0,1)</f>
        <v>281</v>
      </c>
      <c r="G77">
        <v>75</v>
      </c>
    </row>
    <row r="78" spans="1:7" x14ac:dyDescent="0.45">
      <c r="A78">
        <f ca="1">VLOOKUP(dict_zul_Var_Meth[[#This Row],[ignored_rank]],help_zuord_Var_Meth[],2)</f>
        <v>29</v>
      </c>
      <c r="B78">
        <v>38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t="shared" ca="1" si="1"/>
        <v>0.83875179559603008</v>
      </c>
      <c r="E78">
        <f ca="1">RANK(dict_zul_Var_Meth[[#This Row],[ignored_rand]],dict_zul_Var_Meth[ignored_rand])</f>
        <v>109</v>
      </c>
      <c r="F78">
        <f ca="1">ROUNDUP(748/200*help_zuord_Var_Meth[[#This Row],[ignored_help_VarsID]],0)+RANDBETWEEN(0,1)-RANDBETWEEN(0,1)</f>
        <v>285</v>
      </c>
      <c r="G78">
        <v>76</v>
      </c>
    </row>
    <row r="79" spans="1:7" x14ac:dyDescent="0.45">
      <c r="A79">
        <f ca="1">VLOOKUP(dict_zul_Var_Meth[[#This Row],[ignored_rank]],help_zuord_Var_Meth[],2)</f>
        <v>7</v>
      </c>
      <c r="B79">
        <v>38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t="shared" ca="1" si="1"/>
        <v>0.95359309293407202</v>
      </c>
      <c r="E79">
        <f ca="1">RANK(dict_zul_Var_Meth[[#This Row],[ignored_rand]],dict_zul_Var_Meth[ignored_rand])</f>
        <v>29</v>
      </c>
      <c r="F79">
        <f ca="1">ROUNDUP(748/200*help_zuord_Var_Meth[[#This Row],[ignored_help_VarsID]],0)+RANDBETWEEN(0,1)-RANDBETWEEN(0,1)</f>
        <v>289</v>
      </c>
      <c r="G79">
        <v>77</v>
      </c>
    </row>
    <row r="80" spans="1:7" x14ac:dyDescent="0.45">
      <c r="A80">
        <f ca="1">VLOOKUP(dict_zul_Var_Meth[[#This Row],[ignored_rank]],help_zuord_Var_Meth[],2)</f>
        <v>91</v>
      </c>
      <c r="B80">
        <v>39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t="shared" ca="1" si="1"/>
        <v>0.55300820267511863</v>
      </c>
      <c r="E80">
        <f ca="1">RANK(dict_zul_Var_Meth[[#This Row],[ignored_rand]],dict_zul_Var_Meth[ignored_rand])</f>
        <v>340</v>
      </c>
      <c r="F80">
        <f ca="1">ROUNDUP(748/200*help_zuord_Var_Meth[[#This Row],[ignored_help_VarsID]],0)+RANDBETWEEN(0,1)-RANDBETWEEN(0,1)</f>
        <v>293</v>
      </c>
      <c r="G80">
        <v>78</v>
      </c>
    </row>
    <row r="81" spans="1:7" x14ac:dyDescent="0.45">
      <c r="A81">
        <f ca="1">VLOOKUP(dict_zul_Var_Meth[[#This Row],[ignored_rank]],help_zuord_Var_Meth[],2)</f>
        <v>71</v>
      </c>
      <c r="B81">
        <v>39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t="shared" ca="1" si="1"/>
        <v>0.63769059380388027</v>
      </c>
      <c r="E81">
        <f ca="1">RANK(dict_zul_Var_Meth[[#This Row],[ignored_rand]],dict_zul_Var_Meth[ignored_rand])</f>
        <v>268</v>
      </c>
      <c r="F81">
        <f ca="1">ROUNDUP(748/200*help_zuord_Var_Meth[[#This Row],[ignored_help_VarsID]],0)+RANDBETWEEN(0,1)-RANDBETWEEN(0,1)</f>
        <v>295</v>
      </c>
      <c r="G81">
        <v>79</v>
      </c>
    </row>
    <row r="82" spans="1:7" x14ac:dyDescent="0.45">
      <c r="A82">
        <f ca="1">VLOOKUP(dict_zul_Var_Meth[[#This Row],[ignored_rank]],help_zuord_Var_Meth[],2)</f>
        <v>57</v>
      </c>
      <c r="B82">
        <v>40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t="shared" ca="1" si="1"/>
        <v>0.69640582775717885</v>
      </c>
      <c r="E82">
        <f ca="1">RANK(dict_zul_Var_Meth[[#This Row],[ignored_rand]],dict_zul_Var_Meth[ignored_rand])</f>
        <v>217</v>
      </c>
      <c r="F82">
        <f ca="1">ROUNDUP(748/200*help_zuord_Var_Meth[[#This Row],[ignored_help_VarsID]],0)+RANDBETWEEN(0,1)-RANDBETWEEN(0,1)</f>
        <v>300</v>
      </c>
      <c r="G82">
        <v>80</v>
      </c>
    </row>
    <row r="83" spans="1:7" x14ac:dyDescent="0.45">
      <c r="A83">
        <f ca="1">VLOOKUP(dict_zul_Var_Meth[[#This Row],[ignored_rank]],help_zuord_Var_Meth[],2)</f>
        <v>24</v>
      </c>
      <c r="B83">
        <v>40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t="shared" ca="1" si="1"/>
        <v>0.86409626471713175</v>
      </c>
      <c r="E83">
        <f ca="1">RANK(dict_zul_Var_Meth[[#This Row],[ignored_rand]],dict_zul_Var_Meth[ignored_rand])</f>
        <v>89</v>
      </c>
      <c r="F83">
        <f ca="1">ROUNDUP(748/200*help_zuord_Var_Meth[[#This Row],[ignored_help_VarsID]],0)+RANDBETWEEN(0,1)-RANDBETWEEN(0,1)</f>
        <v>303</v>
      </c>
      <c r="G83">
        <v>81</v>
      </c>
    </row>
    <row r="84" spans="1:7" x14ac:dyDescent="0.45">
      <c r="A84" s="3">
        <f ca="1">VLOOKUP(dict_zul_Var_Meth[[#This Row],[ignored_rank]],help_zuord_Var_Meth[],2)</f>
        <v>13</v>
      </c>
      <c r="B84">
        <v>41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t="shared" ca="1" si="1"/>
        <v>0.9170340983545201</v>
      </c>
      <c r="E84" s="3">
        <f ca="1">RANK(dict_zul_Var_Meth[[#This Row],[ignored_rand]],dict_zul_Var_Meth[ignored_rand])</f>
        <v>49</v>
      </c>
      <c r="F84">
        <f ca="1">ROUNDUP(748/200*help_zuord_Var_Meth[[#This Row],[ignored_help_VarsID]],0)+RANDBETWEEN(0,1)-RANDBETWEEN(0,1)</f>
        <v>307</v>
      </c>
      <c r="G84">
        <v>82</v>
      </c>
    </row>
    <row r="85" spans="1:7" x14ac:dyDescent="0.45">
      <c r="A85">
        <f ca="1">VLOOKUP(dict_zul_Var_Meth[[#This Row],[ignored_rank]],help_zuord_Var_Meth[],2)</f>
        <v>69</v>
      </c>
      <c r="B85">
        <v>41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t="shared" ca="1" si="1"/>
        <v>0.64119005346701097</v>
      </c>
      <c r="E85">
        <f ca="1">RANK(dict_zul_Var_Meth[[#This Row],[ignored_rand]],dict_zul_Var_Meth[ignored_rand])</f>
        <v>260</v>
      </c>
      <c r="F85">
        <f ca="1">ROUNDUP(748/200*help_zuord_Var_Meth[[#This Row],[ignored_help_VarsID]],0)+RANDBETWEEN(0,1)-RANDBETWEEN(0,1)</f>
        <v>311</v>
      </c>
      <c r="G85">
        <v>83</v>
      </c>
    </row>
    <row r="86" spans="1:7" x14ac:dyDescent="0.45">
      <c r="A86">
        <f ca="1">VLOOKUP(dict_zul_Var_Meth[[#This Row],[ignored_rank]],help_zuord_Var_Meth[],2)</f>
        <v>195</v>
      </c>
      <c r="B86">
        <v>42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t="shared" ca="1" si="1"/>
        <v>5.086140893108515E-2</v>
      </c>
      <c r="E86">
        <f ca="1">RANK(dict_zul_Var_Meth[[#This Row],[ignored_rand]],dict_zul_Var_Meth[ignored_rand])</f>
        <v>730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>
        <f ca="1">VLOOKUP(dict_zul_Var_Meth[[#This Row],[ignored_rank]],help_zuord_Var_Meth[],2)</f>
        <v>10</v>
      </c>
      <c r="B87">
        <v>42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t="shared" ca="1" si="1"/>
        <v>0.93784042097521447</v>
      </c>
      <c r="E87">
        <f ca="1">RANK(dict_zul_Var_Meth[[#This Row],[ignored_rand]],dict_zul_Var_Meth[ignored_rand])</f>
        <v>41</v>
      </c>
      <c r="F87">
        <f ca="1">ROUNDUP(748/200*help_zuord_Var_Meth[[#This Row],[ignored_help_VarsID]],0)+RANDBETWEEN(0,1)-RANDBETWEEN(0,1)</f>
        <v>317</v>
      </c>
      <c r="G87">
        <v>85</v>
      </c>
    </row>
    <row r="88" spans="1:7" x14ac:dyDescent="0.45">
      <c r="A88">
        <f ca="1">VLOOKUP(dict_zul_Var_Meth[[#This Row],[ignored_rank]],help_zuord_Var_Meth[],2)</f>
        <v>200</v>
      </c>
      <c r="B88">
        <v>43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t="shared" ca="1" si="1"/>
        <v>6.1726274861505503E-3</v>
      </c>
      <c r="E88">
        <f ca="1">RANK(dict_zul_Var_Meth[[#This Row],[ignored_rand]],dict_zul_Var_Meth[ignored_rand])</f>
        <v>758</v>
      </c>
      <c r="F88">
        <f ca="1">ROUNDUP(748/200*help_zuord_Var_Meth[[#This Row],[ignored_help_VarsID]],0)+RANDBETWEEN(0,1)-RANDBETWEEN(0,1)</f>
        <v>321</v>
      </c>
      <c r="G88">
        <v>86</v>
      </c>
    </row>
    <row r="89" spans="1:7" x14ac:dyDescent="0.45">
      <c r="A89">
        <f ca="1">VLOOKUP(dict_zul_Var_Meth[[#This Row],[ignored_rank]],help_zuord_Var_Meth[],2)</f>
        <v>194</v>
      </c>
      <c r="B89">
        <v>43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t="shared" ca="1" si="1"/>
        <v>5.3470029976738886E-2</v>
      </c>
      <c r="E89">
        <f ca="1">RANK(dict_zul_Var_Meth[[#This Row],[ignored_rand]],dict_zul_Var_Meth[ignored_rand])</f>
        <v>728</v>
      </c>
      <c r="F89">
        <f ca="1">ROUNDUP(748/200*help_zuord_Var_Meth[[#This Row],[ignored_help_VarsID]],0)+RANDBETWEEN(0,1)-RANDBETWEEN(0,1)</f>
        <v>325</v>
      </c>
      <c r="G89">
        <v>87</v>
      </c>
    </row>
    <row r="90" spans="1:7" x14ac:dyDescent="0.45">
      <c r="A90">
        <f ca="1">VLOOKUP(dict_zul_Var_Meth[[#This Row],[ignored_rank]],help_zuord_Var_Meth[],2)</f>
        <v>114</v>
      </c>
      <c r="B90">
        <v>44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t="shared" ca="1" si="1"/>
        <v>0.43782660697708775</v>
      </c>
      <c r="E90">
        <f ca="1">RANK(dict_zul_Var_Meth[[#This Row],[ignored_rand]],dict_zul_Var_Meth[ignored_rand])</f>
        <v>429</v>
      </c>
      <c r="F90">
        <f ca="1">ROUNDUP(748/200*help_zuord_Var_Meth[[#This Row],[ignored_help_VarsID]],0)+RANDBETWEEN(0,1)-RANDBETWEEN(0,1)</f>
        <v>330</v>
      </c>
      <c r="G90">
        <v>88</v>
      </c>
    </row>
    <row r="91" spans="1:7" x14ac:dyDescent="0.45">
      <c r="A91">
        <f ca="1">VLOOKUP(dict_zul_Var_Meth[[#This Row],[ignored_rank]],help_zuord_Var_Meth[],2)</f>
        <v>148</v>
      </c>
      <c r="B91">
        <v>44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t="shared" ca="1" si="1"/>
        <v>0.27203109573354944</v>
      </c>
      <c r="E91">
        <f ca="1">RANK(dict_zul_Var_Meth[[#This Row],[ignored_rand]],dict_zul_Var_Meth[ignored_rand])</f>
        <v>556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>
        <f ca="1">VLOOKUP(dict_zul_Var_Meth[[#This Row],[ignored_rank]],help_zuord_Var_Meth[],2)</f>
        <v>191</v>
      </c>
      <c r="B92">
        <v>45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t="shared" ca="1" si="1"/>
        <v>7.3778715144223184E-2</v>
      </c>
      <c r="E92">
        <f ca="1">RANK(dict_zul_Var_Meth[[#This Row],[ignored_rand]],dict_zul_Var_Meth[ignored_rand])</f>
        <v>714</v>
      </c>
      <c r="F92">
        <f ca="1">ROUNDUP(748/200*help_zuord_Var_Meth[[#This Row],[ignored_help_VarsID]],0)+RANDBETWEEN(0,1)-RANDBETWEEN(0,1)</f>
        <v>336</v>
      </c>
      <c r="G92">
        <v>90</v>
      </c>
    </row>
    <row r="93" spans="1:7" x14ac:dyDescent="0.45">
      <c r="A93">
        <f ca="1">VLOOKUP(dict_zul_Var_Meth[[#This Row],[ignored_rank]],help_zuord_Var_Meth[],2)</f>
        <v>36</v>
      </c>
      <c r="B93">
        <v>45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t="shared" ca="1" si="1"/>
        <v>0.7926298698381411</v>
      </c>
      <c r="E93">
        <f ca="1">RANK(dict_zul_Var_Meth[[#This Row],[ignored_rand]],dict_zul_Var_Meth[ignored_rand])</f>
        <v>136</v>
      </c>
      <c r="F93">
        <f ca="1">ROUNDUP(748/200*help_zuord_Var_Meth[[#This Row],[ignored_help_VarsID]],0)+RANDBETWEEN(0,1)-RANDBETWEEN(0,1)</f>
        <v>340</v>
      </c>
      <c r="G93">
        <v>91</v>
      </c>
    </row>
    <row r="94" spans="1:7" x14ac:dyDescent="0.45">
      <c r="A94">
        <f ca="1">VLOOKUP(dict_zul_Var_Meth[[#This Row],[ignored_rank]],help_zuord_Var_Meth[],2)</f>
        <v>113</v>
      </c>
      <c r="B94">
        <v>46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t="shared" ca="1" si="1"/>
        <v>0.440373058526218</v>
      </c>
      <c r="E94">
        <f ca="1">RANK(dict_zul_Var_Meth[[#This Row],[ignored_rand]],dict_zul_Var_Meth[ignored_rand])</f>
        <v>425</v>
      </c>
      <c r="F94">
        <f ca="1">ROUNDUP(748/200*help_zuord_Var_Meth[[#This Row],[ignored_help_VarsID]],0)+RANDBETWEEN(0,1)-RANDBETWEEN(0,1)</f>
        <v>345</v>
      </c>
      <c r="G94">
        <v>92</v>
      </c>
    </row>
    <row r="95" spans="1:7" x14ac:dyDescent="0.45">
      <c r="A95">
        <f ca="1">VLOOKUP(dict_zul_Var_Meth[[#This Row],[ignored_rank]],help_zuord_Var_Meth[],2)</f>
        <v>39</v>
      </c>
      <c r="B95">
        <v>46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t="shared" ca="1" si="1"/>
        <v>0.77733941847196375</v>
      </c>
      <c r="E95">
        <f ca="1">RANK(dict_zul_Var_Meth[[#This Row],[ignored_rand]],dict_zul_Var_Meth[ignored_rand])</f>
        <v>146</v>
      </c>
      <c r="F95">
        <f ca="1">ROUNDUP(748/200*help_zuord_Var_Meth[[#This Row],[ignored_help_VarsID]],0)+RANDBETWEEN(0,1)-RANDBETWEEN(0,1)</f>
        <v>347</v>
      </c>
      <c r="G95">
        <v>93</v>
      </c>
    </row>
    <row r="96" spans="1:7" x14ac:dyDescent="0.45">
      <c r="A96">
        <f ca="1">VLOOKUP(dict_zul_Var_Meth[[#This Row],[ignored_rank]],help_zuord_Var_Meth[],2)</f>
        <v>22</v>
      </c>
      <c r="B96">
        <v>47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t="shared" ca="1" si="1"/>
        <v>0.86946725794558422</v>
      </c>
      <c r="E96">
        <f ca="1">RANK(dict_zul_Var_Meth[[#This Row],[ignored_rand]],dict_zul_Var_Meth[ignored_rand])</f>
        <v>86</v>
      </c>
      <c r="F96">
        <f ca="1">ROUNDUP(748/200*help_zuord_Var_Meth[[#This Row],[ignored_help_VarsID]],0)+RANDBETWEEN(0,1)-RANDBETWEEN(0,1)</f>
        <v>352</v>
      </c>
      <c r="G96">
        <v>94</v>
      </c>
    </row>
    <row r="97" spans="1:7" x14ac:dyDescent="0.45">
      <c r="A97">
        <f ca="1">VLOOKUP(dict_zul_Var_Meth[[#This Row],[ignored_rank]],help_zuord_Var_Meth[],2)</f>
        <v>20</v>
      </c>
      <c r="B97">
        <v>47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t="shared" ca="1" si="1"/>
        <v>0.88046595498267799</v>
      </c>
      <c r="E97">
        <f ca="1">RANK(dict_zul_Var_Meth[[#This Row],[ignored_rand]],dict_zul_Var_Meth[ignored_rand])</f>
        <v>77</v>
      </c>
      <c r="F97">
        <f ca="1">ROUNDUP(748/200*help_zuord_Var_Meth[[#This Row],[ignored_help_VarsID]],0)+RANDBETWEEN(0,1)-RANDBETWEEN(0,1)</f>
        <v>356</v>
      </c>
      <c r="G97">
        <v>95</v>
      </c>
    </row>
    <row r="98" spans="1:7" x14ac:dyDescent="0.45">
      <c r="A98" s="3">
        <f ca="1">VLOOKUP(dict_zul_Var_Meth[[#This Row],[ignored_rank]],help_zuord_Var_Meth[],2)</f>
        <v>173</v>
      </c>
      <c r="B98">
        <v>48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t="shared" ca="1" si="1"/>
        <v>0.16015100001605698</v>
      </c>
      <c r="E98" s="3">
        <f ca="1">RANK(dict_zul_Var_Meth[[#This Row],[ignored_rand]],dict_zul_Var_Meth[ignored_rand])</f>
        <v>649</v>
      </c>
      <c r="F98">
        <f ca="1">ROUNDUP(748/200*help_zuord_Var_Meth[[#This Row],[ignored_help_VarsID]],0)+RANDBETWEEN(0,1)-RANDBETWEEN(0,1)</f>
        <v>360</v>
      </c>
      <c r="G98">
        <v>96</v>
      </c>
    </row>
    <row r="99" spans="1:7" x14ac:dyDescent="0.45">
      <c r="A99">
        <f ca="1">VLOOKUP(dict_zul_Var_Meth[[#This Row],[ignored_rank]],help_zuord_Var_Meth[],2)</f>
        <v>196</v>
      </c>
      <c r="B99">
        <v>48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t="shared" ca="1" si="1"/>
        <v>4.0953271988161899E-2</v>
      </c>
      <c r="E99">
        <f ca="1">RANK(dict_zul_Var_Meth[[#This Row],[ignored_rand]],dict_zul_Var_Meth[ignored_rand])</f>
        <v>737</v>
      </c>
      <c r="F99">
        <f ca="1">ROUNDUP(748/200*help_zuord_Var_Meth[[#This Row],[ignored_help_VarsID]],0)+RANDBETWEEN(0,1)-RANDBETWEEN(0,1)</f>
        <v>363</v>
      </c>
      <c r="G99">
        <v>97</v>
      </c>
    </row>
    <row r="100" spans="1:7" x14ac:dyDescent="0.45">
      <c r="A100">
        <f ca="1">VLOOKUP(dict_zul_Var_Meth[[#This Row],[ignored_rank]],help_zuord_Var_Meth[],2)</f>
        <v>106</v>
      </c>
      <c r="B100">
        <v>49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t="shared" ca="1" si="1"/>
        <v>0.48071252017853894</v>
      </c>
      <c r="E100">
        <f ca="1">RANK(dict_zul_Var_Meth[[#This Row],[ignored_rand]],dict_zul_Var_Meth[ignored_rand])</f>
        <v>397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>
        <f ca="1">VLOOKUP(dict_zul_Var_Meth[[#This Row],[ignored_rank]],help_zuord_Var_Meth[],2)</f>
        <v>16</v>
      </c>
      <c r="B101">
        <v>49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t="shared" ca="1" si="1"/>
        <v>0.89953134940563872</v>
      </c>
      <c r="E101">
        <f ca="1">RANK(dict_zul_Var_Meth[[#This Row],[ignored_rand]],dict_zul_Var_Meth[ignored_rand])</f>
        <v>62</v>
      </c>
      <c r="F101">
        <f ca="1">ROUNDUP(748/200*help_zuord_Var_Meth[[#This Row],[ignored_help_VarsID]],0)+RANDBETWEEN(0,1)-RANDBETWEEN(0,1)</f>
        <v>372</v>
      </c>
      <c r="G101">
        <v>99</v>
      </c>
    </row>
    <row r="102" spans="1:7" x14ac:dyDescent="0.45">
      <c r="A102">
        <f ca="1">VLOOKUP(dict_zul_Var_Meth[[#This Row],[ignored_rank]],help_zuord_Var_Meth[],2)</f>
        <v>1</v>
      </c>
      <c r="B102">
        <v>50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2">
        <f t="shared" ca="1" si="1"/>
        <v>0.99323492878843866</v>
      </c>
      <c r="E102">
        <f ca="1">RANK(dict_zul_Var_Meth[[#This Row],[ignored_rand]],dict_zul_Var_Meth[ignored_rand])</f>
        <v>5</v>
      </c>
      <c r="F102">
        <f ca="1">ROUNDUP(748/200*help_zuord_Var_Meth[[#This Row],[ignored_help_VarsID]],0)+RANDBETWEEN(0,1)-RANDBETWEEN(0,1)</f>
        <v>375</v>
      </c>
      <c r="G102">
        <v>100</v>
      </c>
    </row>
    <row r="103" spans="1:7" x14ac:dyDescent="0.45">
      <c r="A103">
        <f ca="1">VLOOKUP(dict_zul_Var_Meth[[#This Row],[ignored_rank]],help_zuord_Var_Meth[],2)</f>
        <v>142</v>
      </c>
      <c r="B103">
        <v>50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t="shared" ca="1" si="1"/>
        <v>0.31243282749782786</v>
      </c>
      <c r="E103">
        <f ca="1">RANK(dict_zul_Var_Meth[[#This Row],[ignored_rand]],dict_zul_Var_Meth[ignored_rand])</f>
        <v>533</v>
      </c>
      <c r="F103">
        <f ca="1">ROUNDUP(748/200*help_zuord_Var_Meth[[#This Row],[ignored_help_VarsID]],0)+RANDBETWEEN(0,1)-RANDBETWEEN(0,1)</f>
        <v>378</v>
      </c>
      <c r="G103">
        <v>101</v>
      </c>
    </row>
    <row r="104" spans="1:7" x14ac:dyDescent="0.45">
      <c r="A104">
        <f ca="1">VLOOKUP(dict_zul_Var_Meth[[#This Row],[ignored_rank]],help_zuord_Var_Meth[],2)</f>
        <v>129</v>
      </c>
      <c r="B104">
        <v>51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t="shared" ca="1" si="1"/>
        <v>0.38477550622336842</v>
      </c>
      <c r="E104">
        <f ca="1">RANK(dict_zul_Var_Meth[[#This Row],[ignored_rand]],dict_zul_Var_Meth[ignored_rand])</f>
        <v>482</v>
      </c>
      <c r="F104">
        <f ca="1">ROUNDUP(748/200*help_zuord_Var_Meth[[#This Row],[ignored_help_VarsID]],0)+RANDBETWEEN(0,1)-RANDBETWEEN(0,1)</f>
        <v>382</v>
      </c>
      <c r="G104">
        <v>102</v>
      </c>
    </row>
    <row r="105" spans="1:7" x14ac:dyDescent="0.45">
      <c r="A105">
        <f ca="1">VLOOKUP(dict_zul_Var_Meth[[#This Row],[ignored_rank]],help_zuord_Var_Meth[],2)</f>
        <v>75</v>
      </c>
      <c r="B105">
        <v>51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t="shared" ca="1" si="1"/>
        <v>0.62163525740674541</v>
      </c>
      <c r="E105">
        <f ca="1">RANK(dict_zul_Var_Meth[[#This Row],[ignored_rand]],dict_zul_Var_Meth[ignored_rand])</f>
        <v>284</v>
      </c>
      <c r="F105">
        <f ca="1">ROUNDUP(748/200*help_zuord_Var_Meth[[#This Row],[ignored_help_VarsID]],0)+RANDBETWEEN(0,1)-RANDBETWEEN(0,1)</f>
        <v>385</v>
      </c>
      <c r="G105">
        <v>103</v>
      </c>
    </row>
    <row r="106" spans="1:7" x14ac:dyDescent="0.45">
      <c r="A106" s="3">
        <f ca="1">VLOOKUP(dict_zul_Var_Meth[[#This Row],[ignored_rank]],help_zuord_Var_Meth[],2)</f>
        <v>46</v>
      </c>
      <c r="B106">
        <v>52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t="shared" ca="1" si="1"/>
        <v>0.74251007275904291</v>
      </c>
      <c r="E106" s="3">
        <f ca="1">RANK(dict_zul_Var_Meth[[#This Row],[ignored_rand]],dict_zul_Var_Meth[ignored_rand])</f>
        <v>172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>
        <f ca="1">VLOOKUP(dict_zul_Var_Meth[[#This Row],[ignored_rank]],help_zuord_Var_Meth[],2)</f>
        <v>176</v>
      </c>
      <c r="B107">
        <v>52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t="shared" ca="1" si="1"/>
        <v>0.14262629186470843</v>
      </c>
      <c r="E107">
        <f ca="1">RANK(dict_zul_Var_Meth[[#This Row],[ignored_rand]],dict_zul_Var_Meth[ignored_rand])</f>
        <v>659</v>
      </c>
      <c r="F107">
        <f ca="1">ROUNDUP(748/200*help_zuord_Var_Meth[[#This Row],[ignored_help_VarsID]],0)+RANDBETWEEN(0,1)-RANDBETWEEN(0,1)</f>
        <v>394</v>
      </c>
      <c r="G107">
        <v>105</v>
      </c>
    </row>
    <row r="108" spans="1:7" x14ac:dyDescent="0.45">
      <c r="A108">
        <f ca="1">VLOOKUP(dict_zul_Var_Meth[[#This Row],[ignored_rank]],help_zuord_Var_Meth[],2)</f>
        <v>85</v>
      </c>
      <c r="B108">
        <v>53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t="shared" ca="1" si="1"/>
        <v>0.57180355280822548</v>
      </c>
      <c r="E108">
        <f ca="1">RANK(dict_zul_Var_Meth[[#This Row],[ignored_rand]],dict_zul_Var_Meth[ignored_rand])</f>
        <v>318</v>
      </c>
      <c r="F108">
        <f ca="1">ROUNDUP(748/200*help_zuord_Var_Meth[[#This Row],[ignored_help_VarsID]],0)+RANDBETWEEN(0,1)-RANDBETWEEN(0,1)</f>
        <v>397</v>
      </c>
      <c r="G108">
        <v>106</v>
      </c>
    </row>
    <row r="109" spans="1:7" x14ac:dyDescent="0.45">
      <c r="A109">
        <f ca="1">VLOOKUP(dict_zul_Var_Meth[[#This Row],[ignored_rank]],help_zuord_Var_Meth[],2)</f>
        <v>90</v>
      </c>
      <c r="B109">
        <v>53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t="shared" ca="1" si="1"/>
        <v>0.55483291416620051</v>
      </c>
      <c r="E109">
        <f ca="1">RANK(dict_zul_Var_Meth[[#This Row],[ignored_rand]],dict_zul_Var_Meth[ignored_rand])</f>
        <v>336</v>
      </c>
      <c r="F109">
        <f ca="1">ROUNDUP(748/200*help_zuord_Var_Meth[[#This Row],[ignored_help_VarsID]],0)+RANDBETWEEN(0,1)-RANDBETWEEN(0,1)</f>
        <v>400</v>
      </c>
      <c r="G109">
        <v>107</v>
      </c>
    </row>
    <row r="110" spans="1:7" x14ac:dyDescent="0.45">
      <c r="A110">
        <f ca="1">VLOOKUP(dict_zul_Var_Meth[[#This Row],[ignored_rank]],help_zuord_Var_Meth[],2)</f>
        <v>121</v>
      </c>
      <c r="B110">
        <v>54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t="shared" ca="1" si="1"/>
        <v>0.4156658142820836</v>
      </c>
      <c r="E110">
        <f ca="1">RANK(dict_zul_Var_Meth[[#This Row],[ignored_rand]],dict_zul_Var_Meth[ignored_rand])</f>
        <v>453</v>
      </c>
      <c r="F110">
        <f ca="1">ROUNDUP(748/200*help_zuord_Var_Meth[[#This Row],[ignored_help_VarsID]],0)+RANDBETWEEN(0,1)-RANDBETWEEN(0,1)</f>
        <v>403</v>
      </c>
      <c r="G110">
        <v>108</v>
      </c>
    </row>
    <row r="111" spans="1:7" x14ac:dyDescent="0.45">
      <c r="A111">
        <f ca="1">VLOOKUP(dict_zul_Var_Meth[[#This Row],[ignored_rank]],help_zuord_Var_Meth[],2)</f>
        <v>6</v>
      </c>
      <c r="B111">
        <v>54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t="shared" ca="1" si="1"/>
        <v>0.95747915262493266</v>
      </c>
      <c r="E111">
        <f ca="1">RANK(dict_zul_Var_Meth[[#This Row],[ignored_rand]],dict_zul_Var_Meth[ignored_rand])</f>
        <v>26</v>
      </c>
      <c r="F111">
        <f ca="1">ROUNDUP(748/200*help_zuord_Var_Meth[[#This Row],[ignored_help_VarsID]],0)+RANDBETWEEN(0,1)-RANDBETWEEN(0,1)</f>
        <v>408</v>
      </c>
      <c r="G111">
        <v>109</v>
      </c>
    </row>
    <row r="112" spans="1:7" x14ac:dyDescent="0.45">
      <c r="A112">
        <f ca="1">VLOOKUP(dict_zul_Var_Meth[[#This Row],[ignored_rank]],help_zuord_Var_Meth[],2)</f>
        <v>44</v>
      </c>
      <c r="B112">
        <v>55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t="shared" ca="1" si="1"/>
        <v>0.75170906460464082</v>
      </c>
      <c r="E112">
        <f ca="1">RANK(dict_zul_Var_Meth[[#This Row],[ignored_rand]],dict_zul_Var_Meth[ignored_rand])</f>
        <v>166</v>
      </c>
      <c r="F112">
        <f ca="1">ROUNDUP(748/200*help_zuord_Var_Meth[[#This Row],[ignored_help_VarsID]],0)+RANDBETWEEN(0,1)-RANDBETWEEN(0,1)</f>
        <v>411</v>
      </c>
      <c r="G112">
        <v>110</v>
      </c>
    </row>
    <row r="113" spans="1:7" x14ac:dyDescent="0.45">
      <c r="A113">
        <f ca="1">VLOOKUP(dict_zul_Var_Meth[[#This Row],[ignored_rank]],help_zuord_Var_Meth[],2)</f>
        <v>85</v>
      </c>
      <c r="B113">
        <v>55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t="shared" ca="1" si="1"/>
        <v>0.57120878911996631</v>
      </c>
      <c r="E113">
        <f ca="1">RANK(dict_zul_Var_Meth[[#This Row],[ignored_rand]],dict_zul_Var_Meth[ignored_rand])</f>
        <v>319</v>
      </c>
      <c r="F113">
        <f ca="1">ROUNDUP(748/200*help_zuord_Var_Meth[[#This Row],[ignored_help_VarsID]],0)+RANDBETWEEN(0,1)-RANDBETWEEN(0,1)</f>
        <v>417</v>
      </c>
      <c r="G113">
        <v>111</v>
      </c>
    </row>
    <row r="114" spans="1:7" x14ac:dyDescent="0.45">
      <c r="A114">
        <f ca="1">VLOOKUP(dict_zul_Var_Meth[[#This Row],[ignored_rank]],help_zuord_Var_Meth[],2)</f>
        <v>44</v>
      </c>
      <c r="B114">
        <v>56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t="shared" ca="1" si="1"/>
        <v>0.75141612130624968</v>
      </c>
      <c r="E114">
        <f ca="1">RANK(dict_zul_Var_Meth[[#This Row],[ignored_rand]],dict_zul_Var_Meth[ignored_rand])</f>
        <v>167</v>
      </c>
      <c r="F114">
        <f ca="1">ROUNDUP(748/200*help_zuord_Var_Meth[[#This Row],[ignored_help_VarsID]],0)+RANDBETWEEN(0,1)-RANDBETWEEN(0,1)</f>
        <v>418</v>
      </c>
      <c r="G114">
        <v>112</v>
      </c>
    </row>
    <row r="115" spans="1:7" x14ac:dyDescent="0.45">
      <c r="A115">
        <f ca="1">VLOOKUP(dict_zul_Var_Meth[[#This Row],[ignored_rank]],help_zuord_Var_Meth[],2)</f>
        <v>152</v>
      </c>
      <c r="B115">
        <v>56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t="shared" ca="1" si="1"/>
        <v>0.25306524355842031</v>
      </c>
      <c r="E115">
        <f ca="1">RANK(dict_zul_Var_Meth[[#This Row],[ignored_rand]],dict_zul_Var_Meth[ignored_rand])</f>
        <v>572</v>
      </c>
      <c r="F115">
        <f ca="1">ROUNDUP(748/200*help_zuord_Var_Meth[[#This Row],[ignored_help_VarsID]],0)+RANDBETWEEN(0,1)-RANDBETWEEN(0,1)</f>
        <v>423</v>
      </c>
      <c r="G115">
        <v>113</v>
      </c>
    </row>
    <row r="116" spans="1:7" x14ac:dyDescent="0.45">
      <c r="A116">
        <f ca="1">VLOOKUP(dict_zul_Var_Meth[[#This Row],[ignored_rank]],help_zuord_Var_Meth[],2)</f>
        <v>21</v>
      </c>
      <c r="B116">
        <v>57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t="shared" ca="1" si="1"/>
        <v>0.87479885337562346</v>
      </c>
      <c r="E116">
        <f ca="1">RANK(dict_zul_Var_Meth[[#This Row],[ignored_rand]],dict_zul_Var_Meth[ignored_rand])</f>
        <v>80</v>
      </c>
      <c r="F116">
        <f ca="1">ROUNDUP(748/200*help_zuord_Var_Meth[[#This Row],[ignored_help_VarsID]],0)+RANDBETWEEN(0,1)-RANDBETWEEN(0,1)</f>
        <v>427</v>
      </c>
      <c r="G116">
        <v>114</v>
      </c>
    </row>
    <row r="117" spans="1:7" x14ac:dyDescent="0.45">
      <c r="A117">
        <f ca="1">VLOOKUP(dict_zul_Var_Meth[[#This Row],[ignored_rank]],help_zuord_Var_Meth[],2)</f>
        <v>79</v>
      </c>
      <c r="B117">
        <v>57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t="shared" ca="1" si="1"/>
        <v>0.60339567250834258</v>
      </c>
      <c r="E117">
        <f ca="1">RANK(dict_zul_Var_Meth[[#This Row],[ignored_rand]],dict_zul_Var_Meth[ignored_rand])</f>
        <v>299</v>
      </c>
      <c r="F117">
        <f ca="1">ROUNDUP(748/200*help_zuord_Var_Meth[[#This Row],[ignored_help_VarsID]],0)+RANDBETWEEN(0,1)-RANDBETWEEN(0,1)</f>
        <v>430</v>
      </c>
      <c r="G117">
        <v>115</v>
      </c>
    </row>
    <row r="118" spans="1:7" x14ac:dyDescent="0.45">
      <c r="A118">
        <f ca="1">VLOOKUP(dict_zul_Var_Meth[[#This Row],[ignored_rank]],help_zuord_Var_Meth[],2)</f>
        <v>99</v>
      </c>
      <c r="B118">
        <v>58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t="shared" ca="1" si="1"/>
        <v>0.52384106688880439</v>
      </c>
      <c r="E118">
        <f ca="1">RANK(dict_zul_Var_Meth[[#This Row],[ignored_rand]],dict_zul_Var_Meth[ignored_rand])</f>
        <v>372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>
        <f ca="1">VLOOKUP(dict_zul_Var_Meth[[#This Row],[ignored_rank]],help_zuord_Var_Meth[],2)</f>
        <v>135</v>
      </c>
      <c r="B119">
        <v>58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t="shared" ca="1" si="1"/>
        <v>0.35168120269452585</v>
      </c>
      <c r="E119">
        <f ca="1">RANK(dict_zul_Var_Meth[[#This Row],[ignored_rand]],dict_zul_Var_Meth[ignored_rand])</f>
        <v>507</v>
      </c>
      <c r="F119">
        <f ca="1">ROUNDUP(748/200*help_zuord_Var_Meth[[#This Row],[ignored_help_VarsID]],0)+RANDBETWEEN(0,1)-RANDBETWEEN(0,1)</f>
        <v>437</v>
      </c>
      <c r="G119">
        <v>117</v>
      </c>
    </row>
    <row r="120" spans="1:7" x14ac:dyDescent="0.45">
      <c r="A120">
        <f ca="1">VLOOKUP(dict_zul_Var_Meth[[#This Row],[ignored_rank]],help_zuord_Var_Meth[],2)</f>
        <v>97</v>
      </c>
      <c r="B120">
        <v>59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t="shared" ca="1" si="1"/>
        <v>0.53057530453909885</v>
      </c>
      <c r="E120">
        <f ca="1">RANK(dict_zul_Var_Meth[[#This Row],[ignored_rand]],dict_zul_Var_Meth[ignored_rand])</f>
        <v>366</v>
      </c>
      <c r="F120">
        <f ca="1">ROUNDUP(748/200*help_zuord_Var_Meth[[#This Row],[ignored_help_VarsID]],0)+RANDBETWEEN(0,1)-RANDBETWEEN(0,1)</f>
        <v>441</v>
      </c>
      <c r="G120">
        <v>118</v>
      </c>
    </row>
    <row r="121" spans="1:7" x14ac:dyDescent="0.45">
      <c r="A121">
        <f ca="1">VLOOKUP(dict_zul_Var_Meth[[#This Row],[ignored_rank]],help_zuord_Var_Meth[],2)</f>
        <v>194</v>
      </c>
      <c r="B121">
        <v>60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t="shared" ca="1" si="1"/>
        <v>5.6739564374376661E-2</v>
      </c>
      <c r="E121">
        <f ca="1">RANK(dict_zul_Var_Meth[[#This Row],[ignored_rand]],dict_zul_Var_Meth[ignored_rand])</f>
        <v>726</v>
      </c>
      <c r="F121">
        <f ca="1">ROUNDUP(748/200*help_zuord_Var_Meth[[#This Row],[ignored_help_VarsID]],0)+RANDBETWEEN(0,1)-RANDBETWEEN(0,1)</f>
        <v>447</v>
      </c>
      <c r="G121">
        <v>119</v>
      </c>
    </row>
    <row r="122" spans="1:7" x14ac:dyDescent="0.45">
      <c r="A122">
        <f ca="1">VLOOKUP(dict_zul_Var_Meth[[#This Row],[ignored_rank]],help_zuord_Var_Meth[],2)</f>
        <v>141</v>
      </c>
      <c r="B122">
        <v>61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t="shared" ca="1" si="1"/>
        <v>0.31626979677276246</v>
      </c>
      <c r="E122">
        <f ca="1">RANK(dict_zul_Var_Meth[[#This Row],[ignored_rand]],dict_zul_Var_Meth[ignored_rand])</f>
        <v>530</v>
      </c>
      <c r="F122">
        <f ca="1">ROUNDUP(748/200*help_zuord_Var_Meth[[#This Row],[ignored_help_VarsID]],0)+RANDBETWEEN(0,1)-RANDBETWEEN(0,1)</f>
        <v>450</v>
      </c>
      <c r="G122">
        <v>120</v>
      </c>
    </row>
    <row r="123" spans="1:7" x14ac:dyDescent="0.45">
      <c r="A123">
        <f ca="1">VLOOKUP(dict_zul_Var_Meth[[#This Row],[ignored_rank]],help_zuord_Var_Meth[],2)</f>
        <v>126</v>
      </c>
      <c r="B123">
        <v>62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t="shared" ca="1" si="1"/>
        <v>0.39057563966569475</v>
      </c>
      <c r="E123">
        <f ca="1">RANK(dict_zul_Var_Meth[[#This Row],[ignored_rand]],dict_zul_Var_Meth[ignored_rand])</f>
        <v>474</v>
      </c>
      <c r="F123">
        <f ca="1">ROUNDUP(748/200*help_zuord_Var_Meth[[#This Row],[ignored_help_VarsID]],0)+RANDBETWEEN(0,1)-RANDBETWEEN(0,1)</f>
        <v>453</v>
      </c>
      <c r="G123">
        <v>121</v>
      </c>
    </row>
    <row r="124" spans="1:7" x14ac:dyDescent="0.45">
      <c r="A124" s="3">
        <f ca="1">VLOOKUP(dict_zul_Var_Meth[[#This Row],[ignored_rank]],help_zuord_Var_Meth[],2)</f>
        <v>110</v>
      </c>
      <c r="B124">
        <v>63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t="shared" ca="1" si="1"/>
        <v>0.45721964031639206</v>
      </c>
      <c r="E124" s="3">
        <f ca="1">RANK(dict_zul_Var_Meth[[#This Row],[ignored_rand]],dict_zul_Var_Meth[ignored_rand])</f>
        <v>415</v>
      </c>
      <c r="F124">
        <f ca="1">ROUNDUP(748/200*help_zuord_Var_Meth[[#This Row],[ignored_help_VarsID]],0)+RANDBETWEEN(0,1)-RANDBETWEEN(0,1)</f>
        <v>456</v>
      </c>
      <c r="G124">
        <v>122</v>
      </c>
    </row>
    <row r="125" spans="1:7" x14ac:dyDescent="0.45">
      <c r="A125">
        <f ca="1">VLOOKUP(dict_zul_Var_Meth[[#This Row],[ignored_rank]],help_zuord_Var_Meth[],2)</f>
        <v>138</v>
      </c>
      <c r="B125">
        <v>64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t="shared" ca="1" si="1"/>
        <v>0.33128125216810789</v>
      </c>
      <c r="E125">
        <f ca="1">RANK(dict_zul_Var_Meth[[#This Row],[ignored_rand]],dict_zul_Var_Meth[ignored_rand])</f>
        <v>518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55</v>
      </c>
      <c r="B126">
        <v>65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t="shared" ca="1" si="1"/>
        <v>0.70425044659174274</v>
      </c>
      <c r="E126">
        <f ca="1">RANK(dict_zul_Var_Meth[[#This Row],[ignored_rand]],dict_zul_Var_Meth[ignored_rand])</f>
        <v>209</v>
      </c>
      <c r="F126">
        <f ca="1">ROUNDUP(748/200*help_zuord_Var_Meth[[#This Row],[ignored_help_VarsID]],0)+RANDBETWEEN(0,1)-RANDBETWEEN(0,1)</f>
        <v>463</v>
      </c>
      <c r="G126">
        <v>124</v>
      </c>
    </row>
    <row r="127" spans="1:7" x14ac:dyDescent="0.45">
      <c r="A127">
        <f ca="1">VLOOKUP(dict_zul_Var_Meth[[#This Row],[ignored_rank]],help_zuord_Var_Meth[],2)</f>
        <v>145</v>
      </c>
      <c r="B127">
        <v>66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t="shared" ca="1" si="1"/>
        <v>0.28341887542219624</v>
      </c>
      <c r="E127">
        <f ca="1">RANK(dict_zul_Var_Meth[[#This Row],[ignored_rand]],dict_zul_Var_Meth[ignored_rand])</f>
        <v>545</v>
      </c>
      <c r="F127">
        <f ca="1">ROUNDUP(748/200*help_zuord_Var_Meth[[#This Row],[ignored_help_VarsID]],0)+RANDBETWEEN(0,1)-RANDBETWEEN(0,1)</f>
        <v>467</v>
      </c>
      <c r="G127">
        <v>125</v>
      </c>
    </row>
    <row r="128" spans="1:7" x14ac:dyDescent="0.45">
      <c r="A128">
        <f ca="1">VLOOKUP(dict_zul_Var_Meth[[#This Row],[ignored_rank]],help_zuord_Var_Meth[],2)</f>
        <v>177</v>
      </c>
      <c r="B128">
        <v>67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t="shared" ca="1" si="1"/>
        <v>0.13762196268250093</v>
      </c>
      <c r="E128">
        <f ca="1">RANK(dict_zul_Var_Meth[[#This Row],[ignored_rand]],dict_zul_Var_Meth[ignored_rand])</f>
        <v>663</v>
      </c>
      <c r="F128">
        <f ca="1">ROUNDUP(748/200*help_zuord_Var_Meth[[#This Row],[ignored_help_VarsID]],0)+RANDBETWEEN(0,1)-RANDBETWEEN(0,1)</f>
        <v>472</v>
      </c>
      <c r="G128">
        <v>126</v>
      </c>
    </row>
    <row r="129" spans="1:7" x14ac:dyDescent="0.45">
      <c r="A129">
        <f ca="1">VLOOKUP(dict_zul_Var_Meth[[#This Row],[ignored_rank]],help_zuord_Var_Meth[],2)</f>
        <v>53</v>
      </c>
      <c r="B129">
        <v>68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t="shared" ca="1" si="1"/>
        <v>0.71359702426146454</v>
      </c>
      <c r="E129">
        <f ca="1">RANK(dict_zul_Var_Meth[[#This Row],[ignored_rand]],dict_zul_Var_Meth[ignored_rand])</f>
        <v>200</v>
      </c>
      <c r="F129">
        <f ca="1">ROUNDUP(748/200*help_zuord_Var_Meth[[#This Row],[ignored_help_VarsID]],0)+RANDBETWEEN(0,1)-RANDBETWEEN(0,1)</f>
        <v>476</v>
      </c>
      <c r="G129">
        <v>127</v>
      </c>
    </row>
    <row r="130" spans="1:7" x14ac:dyDescent="0.45">
      <c r="A130">
        <f ca="1">VLOOKUP(dict_zul_Var_Meth[[#This Row],[ignored_rank]],help_zuord_Var_Meth[],2)</f>
        <v>96</v>
      </c>
      <c r="B130">
        <v>69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t="shared" ref="D130:D193" ca="1" si="2">RAND()</f>
        <v>0.53546590231118818</v>
      </c>
      <c r="E130">
        <f ca="1">RANK(dict_zul_Var_Meth[[#This Row],[ignored_rand]],dict_zul_Var_Meth[ignored_rand])</f>
        <v>360</v>
      </c>
      <c r="F130">
        <f ca="1">ROUNDUP(748/200*help_zuord_Var_Meth[[#This Row],[ignored_help_VarsID]],0)+RANDBETWEEN(0,1)-RANDBETWEEN(0,1)</f>
        <v>480</v>
      </c>
      <c r="G130">
        <v>128</v>
      </c>
    </row>
    <row r="131" spans="1:7" x14ac:dyDescent="0.45">
      <c r="A131">
        <f ca="1">VLOOKUP(dict_zul_Var_Meth[[#This Row],[ignored_rank]],help_zuord_Var_Meth[],2)</f>
        <v>21</v>
      </c>
      <c r="B131">
        <v>70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t="shared" ca="1" si="2"/>
        <v>0.87648356296840835</v>
      </c>
      <c r="E131">
        <f ca="1">RANK(dict_zul_Var_Meth[[#This Row],[ignored_rand]],dict_zul_Var_Meth[ignored_rand])</f>
        <v>79</v>
      </c>
      <c r="F131">
        <f ca="1">ROUNDUP(748/200*help_zuord_Var_Meth[[#This Row],[ignored_help_VarsID]],0)+RANDBETWEEN(0,1)-RANDBETWEEN(0,1)</f>
        <v>482</v>
      </c>
      <c r="G131">
        <v>129</v>
      </c>
    </row>
    <row r="132" spans="1:7" x14ac:dyDescent="0.45">
      <c r="A132">
        <f ca="1">VLOOKUP(dict_zul_Var_Meth[[#This Row],[ignored_rank]],help_zuord_Var_Meth[],2)</f>
        <v>92</v>
      </c>
      <c r="B132">
        <v>71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t="shared" ca="1" si="2"/>
        <v>0.54988758951897221</v>
      </c>
      <c r="E132">
        <f ca="1">RANK(dict_zul_Var_Meth[[#This Row],[ignored_rand]],dict_zul_Var_Meth[ignored_rand])</f>
        <v>345</v>
      </c>
      <c r="F132">
        <f ca="1">ROUNDUP(748/200*help_zuord_Var_Meth[[#This Row],[ignored_help_VarsID]],0)+RANDBETWEEN(0,1)-RANDBETWEEN(0,1)</f>
        <v>487</v>
      </c>
      <c r="G132">
        <v>130</v>
      </c>
    </row>
    <row r="133" spans="1:7" x14ac:dyDescent="0.45">
      <c r="A133">
        <f ca="1">VLOOKUP(dict_zul_Var_Meth[[#This Row],[ignored_rank]],help_zuord_Var_Meth[],2)</f>
        <v>118</v>
      </c>
      <c r="B133">
        <v>72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t="shared" ca="1" si="2"/>
        <v>0.42448974573486031</v>
      </c>
      <c r="E133">
        <f ca="1">RANK(dict_zul_Var_Meth[[#This Row],[ignored_rand]],dict_zul_Var_Meth[ignored_rand])</f>
        <v>445</v>
      </c>
      <c r="F133">
        <f ca="1">ROUNDUP(748/200*help_zuord_Var_Meth[[#This Row],[ignored_help_VarsID]],0)+RANDBETWEEN(0,1)-RANDBETWEEN(0,1)</f>
        <v>491</v>
      </c>
      <c r="G133">
        <v>131</v>
      </c>
    </row>
    <row r="134" spans="1:7" x14ac:dyDescent="0.45">
      <c r="A134">
        <f ca="1">VLOOKUP(dict_zul_Var_Meth[[#This Row],[ignored_rank]],help_zuord_Var_Meth[],2)</f>
        <v>108</v>
      </c>
      <c r="B134">
        <v>73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t="shared" ca="1" si="2"/>
        <v>0.46371141165221941</v>
      </c>
      <c r="E134">
        <f ca="1">RANK(dict_zul_Var_Meth[[#This Row],[ignored_rand]],dict_zul_Var_Meth[ignored_rand])</f>
        <v>406</v>
      </c>
      <c r="F134">
        <f ca="1">ROUNDUP(748/200*help_zuord_Var_Meth[[#This Row],[ignored_help_VarsID]],0)+RANDBETWEEN(0,1)-RANDBETWEEN(0,1)</f>
        <v>494</v>
      </c>
      <c r="G134">
        <v>132</v>
      </c>
    </row>
    <row r="135" spans="1:7" x14ac:dyDescent="0.45">
      <c r="A135">
        <f ca="1">VLOOKUP(dict_zul_Var_Meth[[#This Row],[ignored_rank]],help_zuord_Var_Meth[],2)</f>
        <v>192</v>
      </c>
      <c r="B135">
        <v>74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t="shared" ca="1" si="2"/>
        <v>6.6688643531368941E-2</v>
      </c>
      <c r="E135">
        <f ca="1">RANK(dict_zul_Var_Meth[[#This Row],[ignored_rand]],dict_zul_Var_Meth[ignored_rand])</f>
        <v>720</v>
      </c>
      <c r="F135">
        <f ca="1">ROUNDUP(748/200*help_zuord_Var_Meth[[#This Row],[ignored_help_VarsID]],0)+RANDBETWEEN(0,1)-RANDBETWEEN(0,1)</f>
        <v>497</v>
      </c>
      <c r="G135">
        <v>133</v>
      </c>
    </row>
    <row r="136" spans="1:7" x14ac:dyDescent="0.45">
      <c r="A136" s="3">
        <f ca="1">VLOOKUP(dict_zul_Var_Meth[[#This Row],[ignored_rank]],help_zuord_Var_Meth[],2)</f>
        <v>200</v>
      </c>
      <c r="B136">
        <v>75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t="shared" ca="1" si="2"/>
        <v>2.3687127459438906E-2</v>
      </c>
      <c r="E136" s="3">
        <f ca="1">RANK(dict_zul_Var_Meth[[#This Row],[ignored_rand]],dict_zul_Var_Meth[ignored_rand])</f>
        <v>751</v>
      </c>
      <c r="F136">
        <f ca="1">ROUNDUP(748/200*help_zuord_Var_Meth[[#This Row],[ignored_help_VarsID]],0)+RANDBETWEEN(0,1)-RANDBETWEEN(0,1)</f>
        <v>502</v>
      </c>
      <c r="G136">
        <v>134</v>
      </c>
    </row>
    <row r="137" spans="1:7" x14ac:dyDescent="0.45">
      <c r="A137">
        <f ca="1">VLOOKUP(dict_zul_Var_Meth[[#This Row],[ignored_rank]],help_zuord_Var_Meth[],2)</f>
        <v>200</v>
      </c>
      <c r="B137">
        <v>76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t="shared" ca="1" si="2"/>
        <v>3.224094805038169E-2</v>
      </c>
      <c r="E137">
        <f ca="1">RANK(dict_zul_Var_Meth[[#This Row],[ignored_rand]],dict_zul_Var_Meth[ignored_rand])</f>
        <v>748</v>
      </c>
      <c r="F137">
        <f ca="1">ROUNDUP(748/200*help_zuord_Var_Meth[[#This Row],[ignored_help_VarsID]],0)+RANDBETWEEN(0,1)-RANDBETWEEN(0,1)</f>
        <v>505</v>
      </c>
      <c r="G137">
        <v>135</v>
      </c>
    </row>
    <row r="138" spans="1:7" x14ac:dyDescent="0.45">
      <c r="A138">
        <f ca="1">VLOOKUP(dict_zul_Var_Meth[[#This Row],[ignored_rank]],help_zuord_Var_Meth[],2)</f>
        <v>5</v>
      </c>
      <c r="B138">
        <v>77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t="shared" ca="1" si="2"/>
        <v>0.96008686775842444</v>
      </c>
      <c r="E138">
        <f ca="1">RANK(dict_zul_Var_Meth[[#This Row],[ignored_rand]],dict_zul_Var_Meth[ignored_rand])</f>
        <v>22</v>
      </c>
      <c r="F138">
        <f ca="1">ROUNDUP(748/200*help_zuord_Var_Meth[[#This Row],[ignored_help_VarsID]],0)+RANDBETWEEN(0,1)-RANDBETWEEN(0,1)</f>
        <v>509</v>
      </c>
      <c r="G138">
        <v>136</v>
      </c>
    </row>
    <row r="139" spans="1:7" x14ac:dyDescent="0.45">
      <c r="A139">
        <f ca="1">VLOOKUP(dict_zul_Var_Meth[[#This Row],[ignored_rank]],help_zuord_Var_Meth[],2)</f>
        <v>197</v>
      </c>
      <c r="B139">
        <v>78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t="shared" ca="1" si="2"/>
        <v>3.9781714618200792E-2</v>
      </c>
      <c r="E139">
        <f ca="1">RANK(dict_zul_Var_Meth[[#This Row],[ignored_rand]],dict_zul_Var_Meth[ignored_rand])</f>
        <v>738</v>
      </c>
      <c r="F139">
        <f ca="1">ROUNDUP(748/200*help_zuord_Var_Meth[[#This Row],[ignored_help_VarsID]],0)+RANDBETWEEN(0,1)-RANDBETWEEN(0,1)</f>
        <v>514</v>
      </c>
      <c r="G139">
        <v>137</v>
      </c>
    </row>
    <row r="140" spans="1:7" x14ac:dyDescent="0.45">
      <c r="A140">
        <f ca="1">VLOOKUP(dict_zul_Var_Meth[[#This Row],[ignored_rank]],help_zuord_Var_Meth[],2)</f>
        <v>6</v>
      </c>
      <c r="B140">
        <v>79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t="shared" ca="1" si="2"/>
        <v>0.95846069755296914</v>
      </c>
      <c r="E140">
        <f ca="1">RANK(dict_zul_Var_Meth[[#This Row],[ignored_rand]],dict_zul_Var_Meth[ignored_rand])</f>
        <v>24</v>
      </c>
      <c r="F140">
        <f ca="1">ROUNDUP(748/200*help_zuord_Var_Meth[[#This Row],[ignored_help_VarsID]],0)+RANDBETWEEN(0,1)-RANDBETWEEN(0,1)</f>
        <v>518</v>
      </c>
      <c r="G140">
        <v>138</v>
      </c>
    </row>
    <row r="141" spans="1:7" x14ac:dyDescent="0.45">
      <c r="A141">
        <f ca="1">VLOOKUP(dict_zul_Var_Meth[[#This Row],[ignored_rank]],help_zuord_Var_Meth[],2)</f>
        <v>150</v>
      </c>
      <c r="B141">
        <v>80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t="shared" ca="1" si="2"/>
        <v>0.26700746524802832</v>
      </c>
      <c r="E141">
        <f ca="1">RANK(dict_zul_Var_Meth[[#This Row],[ignored_rand]],dict_zul_Var_Meth[ignored_rand])</f>
        <v>561</v>
      </c>
      <c r="F141">
        <f ca="1">ROUNDUP(748/200*help_zuord_Var_Meth[[#This Row],[ignored_help_VarsID]],0)+RANDBETWEEN(0,1)-RANDBETWEEN(0,1)</f>
        <v>519</v>
      </c>
      <c r="G141">
        <v>139</v>
      </c>
    </row>
    <row r="142" spans="1:7" x14ac:dyDescent="0.45">
      <c r="A142">
        <f ca="1">VLOOKUP(dict_zul_Var_Meth[[#This Row],[ignored_rank]],help_zuord_Var_Meth[],2)</f>
        <v>109</v>
      </c>
      <c r="B142">
        <v>81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t="shared" ca="1" si="2"/>
        <v>0.46202019877792999</v>
      </c>
      <c r="E142">
        <f ca="1">RANK(dict_zul_Var_Meth[[#This Row],[ignored_rand]],dict_zul_Var_Meth[ignored_rand])</f>
        <v>409</v>
      </c>
      <c r="F142">
        <f ca="1">ROUNDUP(748/200*help_zuord_Var_Meth[[#This Row],[ignored_help_VarsID]],0)+RANDBETWEEN(0,1)-RANDBETWEEN(0,1)</f>
        <v>524</v>
      </c>
      <c r="G142">
        <v>140</v>
      </c>
    </row>
    <row r="143" spans="1:7" x14ac:dyDescent="0.45">
      <c r="A143">
        <f ca="1">VLOOKUP(dict_zul_Var_Meth[[#This Row],[ignored_rank]],help_zuord_Var_Meth[],2)</f>
        <v>43</v>
      </c>
      <c r="B143">
        <v>82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t="shared" ca="1" si="2"/>
        <v>0.75766209807605001</v>
      </c>
      <c r="E143">
        <f ca="1">RANK(dict_zul_Var_Meth[[#This Row],[ignored_rand]],dict_zul_Var_Meth[ignored_rand])</f>
        <v>162</v>
      </c>
      <c r="F143">
        <f ca="1">ROUNDUP(748/200*help_zuord_Var_Meth[[#This Row],[ignored_help_VarsID]],0)+RANDBETWEEN(0,1)-RANDBETWEEN(0,1)</f>
        <v>527</v>
      </c>
      <c r="G143">
        <v>141</v>
      </c>
    </row>
    <row r="144" spans="1:7" x14ac:dyDescent="0.45">
      <c r="A144">
        <f ca="1">VLOOKUP(dict_zul_Var_Meth[[#This Row],[ignored_rank]],help_zuord_Var_Meth[],2)</f>
        <v>114</v>
      </c>
      <c r="B144">
        <v>83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t="shared" ca="1" si="2"/>
        <v>0.44016779755310398</v>
      </c>
      <c r="E144">
        <f ca="1">RANK(dict_zul_Var_Meth[[#This Row],[ignored_rand]],dict_zul_Var_Meth[ignored_rand])</f>
        <v>427</v>
      </c>
      <c r="F144">
        <f ca="1">ROUNDUP(748/200*help_zuord_Var_Meth[[#This Row],[ignored_help_VarsID]],0)+RANDBETWEEN(0,1)-RANDBETWEEN(0,1)</f>
        <v>532</v>
      </c>
      <c r="G144">
        <v>142</v>
      </c>
    </row>
    <row r="145" spans="1:7" x14ac:dyDescent="0.45">
      <c r="A145">
        <f ca="1">VLOOKUP(dict_zul_Var_Meth[[#This Row],[ignored_rank]],help_zuord_Var_Meth[],2)</f>
        <v>2</v>
      </c>
      <c r="B145">
        <v>84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5">
        <f t="shared" ca="1" si="2"/>
        <v>0.98265193031215603</v>
      </c>
      <c r="E145">
        <f ca="1">RANK(dict_zul_Var_Meth[[#This Row],[ignored_rand]],dict_zul_Var_Meth[ignored_rand])</f>
        <v>9</v>
      </c>
      <c r="F145">
        <f ca="1">ROUNDUP(748/200*help_zuord_Var_Meth[[#This Row],[ignored_help_VarsID]],0)+RANDBETWEEN(0,1)-RANDBETWEEN(0,1)</f>
        <v>534</v>
      </c>
      <c r="G145">
        <v>143</v>
      </c>
    </row>
    <row r="146" spans="1:7" x14ac:dyDescent="0.45">
      <c r="A146" s="3">
        <f ca="1">VLOOKUP(dict_zul_Var_Meth[[#This Row],[ignored_rank]],help_zuord_Var_Meth[],2)</f>
        <v>162</v>
      </c>
      <c r="B146">
        <v>85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t="shared" ca="1" si="2"/>
        <v>0.20744899544196249</v>
      </c>
      <c r="E146" s="3">
        <f ca="1">RANK(dict_zul_Var_Meth[[#This Row],[ignored_rand]],dict_zul_Var_Meth[ignored_rand])</f>
        <v>609</v>
      </c>
      <c r="F146">
        <f ca="1">ROUNDUP(748/200*help_zuord_Var_Meth[[#This Row],[ignored_help_VarsID]],0)+RANDBETWEEN(0,1)-RANDBETWEEN(0,1)</f>
        <v>539</v>
      </c>
      <c r="G146">
        <v>144</v>
      </c>
    </row>
    <row r="147" spans="1:7" x14ac:dyDescent="0.45">
      <c r="A147">
        <f ca="1">VLOOKUP(dict_zul_Var_Meth[[#This Row],[ignored_rank]],help_zuord_Var_Meth[],2)</f>
        <v>118</v>
      </c>
      <c r="B147">
        <v>86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t="shared" ca="1" si="2"/>
        <v>0.4278425260044707</v>
      </c>
      <c r="E147">
        <f ca="1">RANK(dict_zul_Var_Meth[[#This Row],[ignored_rand]],dict_zul_Var_Meth[ignored_rand])</f>
        <v>442</v>
      </c>
      <c r="F147">
        <f ca="1">ROUNDUP(748/200*help_zuord_Var_Meth[[#This Row],[ignored_help_VarsID]],0)+RANDBETWEEN(0,1)-RANDBETWEEN(0,1)</f>
        <v>543</v>
      </c>
      <c r="G147">
        <v>145</v>
      </c>
    </row>
    <row r="148" spans="1:7" x14ac:dyDescent="0.45">
      <c r="A148">
        <f ca="1">VLOOKUP(dict_zul_Var_Meth[[#This Row],[ignored_rank]],help_zuord_Var_Meth[],2)</f>
        <v>74</v>
      </c>
      <c r="B148">
        <v>87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t="shared" ca="1" si="2"/>
        <v>0.62720767525690257</v>
      </c>
      <c r="E148">
        <f ca="1">RANK(dict_zul_Var_Meth[[#This Row],[ignored_rand]],dict_zul_Var_Meth[ignored_rand])</f>
        <v>279</v>
      </c>
      <c r="F148">
        <f ca="1">ROUNDUP(748/200*help_zuord_Var_Meth[[#This Row],[ignored_help_VarsID]],0)+RANDBETWEEN(0,1)-RANDBETWEEN(0,1)</f>
        <v>548</v>
      </c>
      <c r="G148">
        <v>146</v>
      </c>
    </row>
    <row r="149" spans="1:7" x14ac:dyDescent="0.45">
      <c r="A149">
        <f ca="1">VLOOKUP(dict_zul_Var_Meth[[#This Row],[ignored_rank]],help_zuord_Var_Meth[],2)</f>
        <v>99</v>
      </c>
      <c r="B149">
        <v>88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t="shared" ca="1" si="2"/>
        <v>0.51940058104940345</v>
      </c>
      <c r="E149">
        <f ca="1">RANK(dict_zul_Var_Meth[[#This Row],[ignored_rand]],dict_zul_Var_Meth[ignored_rand])</f>
        <v>374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126</v>
      </c>
      <c r="B150">
        <v>89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t="shared" ca="1" si="2"/>
        <v>0.39185713361251451</v>
      </c>
      <c r="E150">
        <f ca="1">RANK(dict_zul_Var_Meth[[#This Row],[ignored_rand]],dict_zul_Var_Meth[ignored_rand])</f>
        <v>473</v>
      </c>
      <c r="F150">
        <f ca="1">ROUNDUP(748/200*help_zuord_Var_Meth[[#This Row],[ignored_help_VarsID]],0)+RANDBETWEEN(0,1)-RANDBETWEEN(0,1)</f>
        <v>554</v>
      </c>
      <c r="G150">
        <v>148</v>
      </c>
    </row>
    <row r="151" spans="1:7" x14ac:dyDescent="0.45">
      <c r="A151">
        <f ca="1">VLOOKUP(dict_zul_Var_Meth[[#This Row],[ignored_rank]],help_zuord_Var_Meth[],2)</f>
        <v>60</v>
      </c>
      <c r="B151">
        <v>90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t="shared" ca="1" si="2"/>
        <v>0.68933577775490762</v>
      </c>
      <c r="E151">
        <f ca="1">RANK(dict_zul_Var_Meth[[#This Row],[ignored_rand]],dict_zul_Var_Meth[ignored_rand])</f>
        <v>224</v>
      </c>
      <c r="F151">
        <f ca="1">ROUNDUP(748/200*help_zuord_Var_Meth[[#This Row],[ignored_help_VarsID]],0)+RANDBETWEEN(0,1)-RANDBETWEEN(0,1)</f>
        <v>559</v>
      </c>
      <c r="G151">
        <v>149</v>
      </c>
    </row>
    <row r="152" spans="1:7" x14ac:dyDescent="0.45">
      <c r="A152">
        <f ca="1">VLOOKUP(dict_zul_Var_Meth[[#This Row],[ignored_rank]],help_zuord_Var_Meth[],2)</f>
        <v>87</v>
      </c>
      <c r="B152">
        <v>91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t="shared" ca="1" si="2"/>
        <v>0.55948610958878953</v>
      </c>
      <c r="E152">
        <f ca="1">RANK(dict_zul_Var_Meth[[#This Row],[ignored_rand]],dict_zul_Var_Meth[ignored_rand])</f>
        <v>326</v>
      </c>
      <c r="F152">
        <f ca="1">ROUNDUP(748/200*help_zuord_Var_Meth[[#This Row],[ignored_help_VarsID]],0)+RANDBETWEEN(0,1)-RANDBETWEEN(0,1)</f>
        <v>561</v>
      </c>
      <c r="G152">
        <v>150</v>
      </c>
    </row>
    <row r="153" spans="1:7" x14ac:dyDescent="0.45">
      <c r="A153">
        <f ca="1">VLOOKUP(dict_zul_Var_Meth[[#This Row],[ignored_rank]],help_zuord_Var_Meth[],2)</f>
        <v>13</v>
      </c>
      <c r="B153">
        <v>92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t="shared" ca="1" si="2"/>
        <v>0.91076176050739166</v>
      </c>
      <c r="E153">
        <f ca="1">RANK(dict_zul_Var_Meth[[#This Row],[ignored_rand]],dict_zul_Var_Meth[ignored_rand])</f>
        <v>51</v>
      </c>
      <c r="F153">
        <f ca="1">ROUNDUP(748/200*help_zuord_Var_Meth[[#This Row],[ignored_help_VarsID]],0)+RANDBETWEEN(0,1)-RANDBETWEEN(0,1)</f>
        <v>565</v>
      </c>
      <c r="G153">
        <v>151</v>
      </c>
    </row>
    <row r="154" spans="1:7" x14ac:dyDescent="0.45">
      <c r="A154">
        <f ca="1">VLOOKUP(dict_zul_Var_Meth[[#This Row],[ignored_rank]],help_zuord_Var_Meth[],2)</f>
        <v>196</v>
      </c>
      <c r="B154">
        <v>93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t="shared" ca="1" si="2"/>
        <v>4.5902249012905405E-2</v>
      </c>
      <c r="E154">
        <f ca="1">RANK(dict_zul_Var_Meth[[#This Row],[ignored_rand]],dict_zul_Var_Meth[ignored_rand])</f>
        <v>734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178</v>
      </c>
      <c r="B155">
        <v>94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t="shared" ca="1" si="2"/>
        <v>0.12428387561298282</v>
      </c>
      <c r="E155">
        <f ca="1">RANK(dict_zul_Var_Meth[[#This Row],[ignored_rand]],dict_zul_Var_Meth[ignored_rand])</f>
        <v>669</v>
      </c>
      <c r="F155">
        <f ca="1">ROUNDUP(748/200*help_zuord_Var_Meth[[#This Row],[ignored_help_VarsID]],0)+RANDBETWEEN(0,1)-RANDBETWEEN(0,1)</f>
        <v>573</v>
      </c>
      <c r="G155">
        <v>153</v>
      </c>
    </row>
    <row r="156" spans="1:7" x14ac:dyDescent="0.45">
      <c r="A156" s="3">
        <f ca="1">VLOOKUP(dict_zul_Var_Meth[[#This Row],[ignored_rank]],help_zuord_Var_Meth[],2)</f>
        <v>76</v>
      </c>
      <c r="B156">
        <v>95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t="shared" ca="1" si="2"/>
        <v>0.61988114499044</v>
      </c>
      <c r="E156" s="3">
        <f ca="1">RANK(dict_zul_Var_Meth[[#This Row],[ignored_rand]],dict_zul_Var_Meth[ignored_rand])</f>
        <v>286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174</v>
      </c>
      <c r="B157">
        <v>96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t="shared" ca="1" si="2"/>
        <v>0.15405470493099749</v>
      </c>
      <c r="E157">
        <f ca="1">RANK(dict_zul_Var_Meth[[#This Row],[ignored_rand]],dict_zul_Var_Meth[ignored_rand])</f>
        <v>653</v>
      </c>
      <c r="F157">
        <f ca="1">ROUNDUP(748/200*help_zuord_Var_Meth[[#This Row],[ignored_help_VarsID]],0)+RANDBETWEEN(0,1)-RANDBETWEEN(0,1)</f>
        <v>580</v>
      </c>
      <c r="G157">
        <v>155</v>
      </c>
    </row>
    <row r="158" spans="1:7" x14ac:dyDescent="0.45">
      <c r="A158">
        <f ca="1">VLOOKUP(dict_zul_Var_Meth[[#This Row],[ignored_rank]],help_zuord_Var_Meth[],2)</f>
        <v>181</v>
      </c>
      <c r="B158">
        <v>97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t="shared" ca="1" si="2"/>
        <v>0.11519458236905733</v>
      </c>
      <c r="E158">
        <f ca="1">RANK(dict_zul_Var_Meth[[#This Row],[ignored_rand]],dict_zul_Var_Meth[ignored_rand])</f>
        <v>678</v>
      </c>
      <c r="F158">
        <f ca="1">ROUNDUP(748/200*help_zuord_Var_Meth[[#This Row],[ignored_help_VarsID]],0)+RANDBETWEEN(0,1)-RANDBETWEEN(0,1)</f>
        <v>584</v>
      </c>
      <c r="G158">
        <v>156</v>
      </c>
    </row>
    <row r="159" spans="1:7" x14ac:dyDescent="0.45">
      <c r="A159">
        <f ca="1">VLOOKUP(dict_zul_Var_Meth[[#This Row],[ignored_rank]],help_zuord_Var_Meth[],2)</f>
        <v>65</v>
      </c>
      <c r="B159">
        <v>98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t="shared" ca="1" si="2"/>
        <v>0.65755883094884593</v>
      </c>
      <c r="E159">
        <f ca="1">RANK(dict_zul_Var_Meth[[#This Row],[ignored_rand]],dict_zul_Var_Meth[ignored_rand])</f>
        <v>246</v>
      </c>
      <c r="F159">
        <f ca="1">ROUNDUP(748/200*help_zuord_Var_Meth[[#This Row],[ignored_help_VarsID]],0)+RANDBETWEEN(0,1)-RANDBETWEEN(0,1)</f>
        <v>589</v>
      </c>
      <c r="G159">
        <v>157</v>
      </c>
    </row>
    <row r="160" spans="1:7" x14ac:dyDescent="0.45">
      <c r="A160">
        <f ca="1">VLOOKUP(dict_zul_Var_Meth[[#This Row],[ignored_rank]],help_zuord_Var_Meth[],2)</f>
        <v>5</v>
      </c>
      <c r="B160">
        <v>99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t="shared" ca="1" si="2"/>
        <v>0.96194510697043001</v>
      </c>
      <c r="E160">
        <f ca="1">RANK(dict_zul_Var_Meth[[#This Row],[ignored_rand]],dict_zul_Var_Meth[ignored_rand])</f>
        <v>19</v>
      </c>
      <c r="F160">
        <f ca="1">ROUNDUP(748/200*help_zuord_Var_Meth[[#This Row],[ignored_help_VarsID]],0)+RANDBETWEEN(0,1)-RANDBETWEEN(0,1)</f>
        <v>591</v>
      </c>
      <c r="G160">
        <v>158</v>
      </c>
    </row>
    <row r="161" spans="1:7" x14ac:dyDescent="0.45">
      <c r="A161">
        <f ca="1">VLOOKUP(dict_zul_Var_Meth[[#This Row],[ignored_rank]],help_zuord_Var_Meth[],2)</f>
        <v>69</v>
      </c>
      <c r="B161">
        <v>100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t="shared" ca="1" si="2"/>
        <v>0.63841523752738205</v>
      </c>
      <c r="E161">
        <f ca="1">RANK(dict_zul_Var_Meth[[#This Row],[ignored_rand]],dict_zul_Var_Meth[ignored_rand])</f>
        <v>261</v>
      </c>
      <c r="F161">
        <f ca="1">ROUNDUP(748/200*help_zuord_Var_Meth[[#This Row],[ignored_help_VarsID]],0)+RANDBETWEEN(0,1)-RANDBETWEEN(0,1)</f>
        <v>596</v>
      </c>
      <c r="G161">
        <v>159</v>
      </c>
    </row>
    <row r="162" spans="1:7" x14ac:dyDescent="0.45">
      <c r="A162" s="3">
        <f ca="1">VLOOKUP(dict_zul_Var_Meth[[#This Row],[ignored_rank]],help_zuord_Var_Meth[],2)</f>
        <v>176</v>
      </c>
      <c r="B162">
        <v>101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t="shared" ca="1" si="2"/>
        <v>0.14092026145496395</v>
      </c>
      <c r="E162" s="3">
        <f ca="1">RANK(dict_zul_Var_Meth[[#This Row],[ignored_rand]],dict_zul_Var_Meth[ignored_rand])</f>
        <v>661</v>
      </c>
      <c r="F162">
        <f ca="1">ROUNDUP(748/200*help_zuord_Var_Meth[[#This Row],[ignored_help_VarsID]],0)+RANDBETWEEN(0,1)-RANDBETWEEN(0,1)</f>
        <v>598</v>
      </c>
      <c r="G162">
        <v>160</v>
      </c>
    </row>
    <row r="163" spans="1:7" x14ac:dyDescent="0.45">
      <c r="A163" s="3">
        <f ca="1">VLOOKUP(dict_zul_Var_Meth[[#This Row],[ignored_rank]],help_zuord_Var_Meth[],2)</f>
        <v>125</v>
      </c>
      <c r="B163">
        <v>102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t="shared" ca="1" si="2"/>
        <v>0.39873655429441035</v>
      </c>
      <c r="E163" s="3">
        <f ca="1">RANK(dict_zul_Var_Meth[[#This Row],[ignored_rand]],dict_zul_Var_Meth[ignored_rand])</f>
        <v>471</v>
      </c>
      <c r="F163">
        <f ca="1">ROUNDUP(748/200*help_zuord_Var_Meth[[#This Row],[ignored_help_VarsID]],0)+RANDBETWEEN(0,1)-RANDBETWEEN(0,1)</f>
        <v>604</v>
      </c>
      <c r="G163">
        <v>161</v>
      </c>
    </row>
    <row r="164" spans="1:7" x14ac:dyDescent="0.45">
      <c r="A164">
        <f ca="1">VLOOKUP(dict_zul_Var_Meth[[#This Row],[ignored_rank]],help_zuord_Var_Meth[],2)</f>
        <v>154</v>
      </c>
      <c r="B164">
        <v>103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t="shared" ca="1" si="2"/>
        <v>0.24762529890344442</v>
      </c>
      <c r="E164">
        <f ca="1">RANK(dict_zul_Var_Meth[[#This Row],[ignored_rand]],dict_zul_Var_Meth[ignored_rand])</f>
        <v>578</v>
      </c>
      <c r="F164">
        <f ca="1">ROUNDUP(748/200*help_zuord_Var_Meth[[#This Row],[ignored_help_VarsID]],0)+RANDBETWEEN(0,1)-RANDBETWEEN(0,1)</f>
        <v>605</v>
      </c>
      <c r="G164">
        <v>162</v>
      </c>
    </row>
    <row r="165" spans="1:7" x14ac:dyDescent="0.45">
      <c r="A165">
        <f ca="1">VLOOKUP(dict_zul_Var_Meth[[#This Row],[ignored_rank]],help_zuord_Var_Meth[],2)</f>
        <v>132</v>
      </c>
      <c r="B165">
        <v>104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t="shared" ca="1" si="2"/>
        <v>0.3650862263415966</v>
      </c>
      <c r="E165">
        <f ca="1">RANK(dict_zul_Var_Meth[[#This Row],[ignored_rand]],dict_zul_Var_Meth[ignored_rand])</f>
        <v>494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>
        <f ca="1">VLOOKUP(dict_zul_Var_Meth[[#This Row],[ignored_rank]],help_zuord_Var_Meth[],2)</f>
        <v>42</v>
      </c>
      <c r="B166">
        <v>105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t="shared" ca="1" si="2"/>
        <v>0.76290641960941152</v>
      </c>
      <c r="E166">
        <f ca="1">RANK(dict_zul_Var_Meth[[#This Row],[ignored_rand]],dict_zul_Var_Meth[ignored_rand])</f>
        <v>158</v>
      </c>
      <c r="F166">
        <f ca="1">ROUNDUP(748/200*help_zuord_Var_Meth[[#This Row],[ignored_help_VarsID]],0)+RANDBETWEEN(0,1)-RANDBETWEEN(0,1)</f>
        <v>613</v>
      </c>
      <c r="G166">
        <v>164</v>
      </c>
    </row>
    <row r="167" spans="1:7" x14ac:dyDescent="0.45">
      <c r="A167">
        <f ca="1">VLOOKUP(dict_zul_Var_Meth[[#This Row],[ignored_rank]],help_zuord_Var_Meth[],2)</f>
        <v>37</v>
      </c>
      <c r="B167">
        <v>106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t="shared" ca="1" si="2"/>
        <v>0.78660262104349066</v>
      </c>
      <c r="E167">
        <f ca="1">RANK(dict_zul_Var_Meth[[#This Row],[ignored_rand]],dict_zul_Var_Meth[ignored_rand])</f>
        <v>140</v>
      </c>
      <c r="F167">
        <f ca="1">ROUNDUP(748/200*help_zuord_Var_Meth[[#This Row],[ignored_help_VarsID]],0)+RANDBETWEEN(0,1)-RANDBETWEEN(0,1)</f>
        <v>618</v>
      </c>
      <c r="G167">
        <v>165</v>
      </c>
    </row>
    <row r="168" spans="1:7" x14ac:dyDescent="0.45">
      <c r="A168">
        <f ca="1">VLOOKUP(dict_zul_Var_Meth[[#This Row],[ignored_rank]],help_zuord_Var_Meth[],2)</f>
        <v>83</v>
      </c>
      <c r="B168">
        <v>107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t="shared" ca="1" si="2"/>
        <v>0.58142435946144977</v>
      </c>
      <c r="E168">
        <f ca="1">RANK(dict_zul_Var_Meth[[#This Row],[ignored_rand]],dict_zul_Var_Meth[ignored_rand])</f>
        <v>313</v>
      </c>
      <c r="F168">
        <f ca="1">ROUNDUP(748/200*help_zuord_Var_Meth[[#This Row],[ignored_help_VarsID]],0)+RANDBETWEEN(0,1)-RANDBETWEEN(0,1)</f>
        <v>622</v>
      </c>
      <c r="G168">
        <v>166</v>
      </c>
    </row>
    <row r="169" spans="1:7" x14ac:dyDescent="0.45">
      <c r="A169">
        <f ca="1">VLOOKUP(dict_zul_Var_Meth[[#This Row],[ignored_rank]],help_zuord_Var_Meth[],2)</f>
        <v>91</v>
      </c>
      <c r="B169">
        <v>108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t="shared" ca="1" si="2"/>
        <v>0.55178963403794978</v>
      </c>
      <c r="E169">
        <f ca="1">RANK(dict_zul_Var_Meth[[#This Row],[ignored_rand]],dict_zul_Var_Meth[ignored_rand])</f>
        <v>341</v>
      </c>
      <c r="F169">
        <f ca="1">ROUNDUP(748/200*help_zuord_Var_Meth[[#This Row],[ignored_help_VarsID]],0)+RANDBETWEEN(0,1)-RANDBETWEEN(0,1)</f>
        <v>625</v>
      </c>
      <c r="G169">
        <v>167</v>
      </c>
    </row>
    <row r="170" spans="1:7" x14ac:dyDescent="0.45">
      <c r="A170">
        <f ca="1">VLOOKUP(dict_zul_Var_Meth[[#This Row],[ignored_rank]],help_zuord_Var_Meth[],2)</f>
        <v>120</v>
      </c>
      <c r="B170">
        <v>109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t="shared" ca="1" si="2"/>
        <v>0.41678048788996469</v>
      </c>
      <c r="E170">
        <f ca="1">RANK(dict_zul_Var_Meth[[#This Row],[ignored_rand]],dict_zul_Var_Meth[ignored_rand])</f>
        <v>452</v>
      </c>
      <c r="F170">
        <f ca="1">ROUNDUP(748/200*help_zuord_Var_Meth[[#This Row],[ignored_help_VarsID]],0)+RANDBETWEEN(0,1)-RANDBETWEEN(0,1)</f>
        <v>629</v>
      </c>
      <c r="G170">
        <v>168</v>
      </c>
    </row>
    <row r="171" spans="1:7" x14ac:dyDescent="0.45">
      <c r="A171">
        <f ca="1">VLOOKUP(dict_zul_Var_Meth[[#This Row],[ignored_rank]],help_zuord_Var_Meth[],2)</f>
        <v>177</v>
      </c>
      <c r="B171">
        <v>110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t="shared" ca="1" si="2"/>
        <v>0.13394618766116617</v>
      </c>
      <c r="E171">
        <f ca="1">RANK(dict_zul_Var_Meth[[#This Row],[ignored_rand]],dict_zul_Var_Meth[ignored_rand])</f>
        <v>666</v>
      </c>
      <c r="F171">
        <f ca="1">ROUNDUP(748/200*help_zuord_Var_Meth[[#This Row],[ignored_help_VarsID]],0)+RANDBETWEEN(0,1)-RANDBETWEEN(0,1)</f>
        <v>634</v>
      </c>
      <c r="G171">
        <v>169</v>
      </c>
    </row>
    <row r="172" spans="1:7" x14ac:dyDescent="0.45">
      <c r="A172">
        <f ca="1">VLOOKUP(dict_zul_Var_Meth[[#This Row],[ignored_rank]],help_zuord_Var_Meth[],2)</f>
        <v>5</v>
      </c>
      <c r="B172">
        <v>111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t="shared" ca="1" si="2"/>
        <v>0.96180043932454651</v>
      </c>
      <c r="E172">
        <f ca="1">RANK(dict_zul_Var_Meth[[#This Row],[ignored_rand]],dict_zul_Var_Meth[ignored_rand])</f>
        <v>20</v>
      </c>
      <c r="F172">
        <f ca="1">ROUNDUP(748/200*help_zuord_Var_Meth[[#This Row],[ignored_help_VarsID]],0)+RANDBETWEEN(0,1)-RANDBETWEEN(0,1)</f>
        <v>635</v>
      </c>
      <c r="G172">
        <v>170</v>
      </c>
    </row>
    <row r="173" spans="1:7" x14ac:dyDescent="0.45">
      <c r="A173">
        <f ca="1">VLOOKUP(dict_zul_Var_Meth[[#This Row],[ignored_rank]],help_zuord_Var_Meth[],2)</f>
        <v>83</v>
      </c>
      <c r="B173">
        <v>112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t="shared" ca="1" si="2"/>
        <v>0.58156905741285747</v>
      </c>
      <c r="E173">
        <f ca="1">RANK(dict_zul_Var_Meth[[#This Row],[ignored_rand]],dict_zul_Var_Meth[ignored_rand])</f>
        <v>312</v>
      </c>
      <c r="F173">
        <f ca="1">ROUNDUP(748/200*help_zuord_Var_Meth[[#This Row],[ignored_help_VarsID]],0)+RANDBETWEEN(0,1)-RANDBETWEEN(0,1)</f>
        <v>639</v>
      </c>
      <c r="G173">
        <v>171</v>
      </c>
    </row>
    <row r="174" spans="1:7" x14ac:dyDescent="0.45">
      <c r="A174">
        <f ca="1">VLOOKUP(dict_zul_Var_Meth[[#This Row],[ignored_rank]],help_zuord_Var_Meth[],2)</f>
        <v>63</v>
      </c>
      <c r="B174">
        <v>113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t="shared" ca="1" si="2"/>
        <v>0.66919518083915686</v>
      </c>
      <c r="E174">
        <f ca="1">RANK(dict_zul_Var_Meth[[#This Row],[ignored_rand]],dict_zul_Var_Meth[ignored_rand])</f>
        <v>236</v>
      </c>
      <c r="F174">
        <f ca="1">ROUNDUP(748/200*help_zuord_Var_Meth[[#This Row],[ignored_help_VarsID]],0)+RANDBETWEEN(0,1)-RANDBETWEEN(0,1)</f>
        <v>645</v>
      </c>
      <c r="G174">
        <v>172</v>
      </c>
    </row>
    <row r="175" spans="1:7" x14ac:dyDescent="0.45">
      <c r="A175">
        <f ca="1">VLOOKUP(dict_zul_Var_Meth[[#This Row],[ignored_rank]],help_zuord_Var_Meth[],2)</f>
        <v>70</v>
      </c>
      <c r="B175">
        <v>114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t="shared" ca="1" si="2"/>
        <v>0.63812599094434286</v>
      </c>
      <c r="E175">
        <f ca="1">RANK(dict_zul_Var_Meth[[#This Row],[ignored_rand]],dict_zul_Var_Meth[ignored_rand])</f>
        <v>265</v>
      </c>
      <c r="F175">
        <f ca="1">ROUNDUP(748/200*help_zuord_Var_Meth[[#This Row],[ignored_help_VarsID]],0)+RANDBETWEEN(0,1)-RANDBETWEEN(0,1)</f>
        <v>648</v>
      </c>
      <c r="G175">
        <v>173</v>
      </c>
    </row>
    <row r="176" spans="1:7" x14ac:dyDescent="0.45">
      <c r="A176">
        <f ca="1">VLOOKUP(dict_zul_Var_Meth[[#This Row],[ignored_rank]],help_zuord_Var_Meth[],2)</f>
        <v>174</v>
      </c>
      <c r="B176">
        <v>115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t="shared" ca="1" si="2"/>
        <v>0.15723598481674095</v>
      </c>
      <c r="E176">
        <f ca="1">RANK(dict_zul_Var_Meth[[#This Row],[ignored_rand]],dict_zul_Var_Meth[ignored_rand])</f>
        <v>651</v>
      </c>
      <c r="F176">
        <f ca="1">ROUNDUP(748/200*help_zuord_Var_Meth[[#This Row],[ignored_help_VarsID]],0)+RANDBETWEEN(0,1)-RANDBETWEEN(0,1)</f>
        <v>650</v>
      </c>
      <c r="G176">
        <v>174</v>
      </c>
    </row>
    <row r="177" spans="1:7" x14ac:dyDescent="0.45">
      <c r="A177">
        <f ca="1">VLOOKUP(dict_zul_Var_Meth[[#This Row],[ignored_rank]],help_zuord_Var_Meth[],2)</f>
        <v>195</v>
      </c>
      <c r="B177">
        <v>116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t="shared" ca="1" si="2"/>
        <v>5.2337283352757447E-2</v>
      </c>
      <c r="E177">
        <f ca="1">RANK(dict_zul_Var_Meth[[#This Row],[ignored_rand]],dict_zul_Var_Meth[ignored_rand])</f>
        <v>729</v>
      </c>
      <c r="F177">
        <f ca="1">ROUNDUP(748/200*help_zuord_Var_Meth[[#This Row],[ignored_help_VarsID]],0)+RANDBETWEEN(0,1)-RANDBETWEEN(0,1)</f>
        <v>656</v>
      </c>
      <c r="G177">
        <v>175</v>
      </c>
    </row>
    <row r="178" spans="1:7" x14ac:dyDescent="0.45">
      <c r="A178" s="3">
        <f ca="1">VLOOKUP(dict_zul_Var_Meth[[#This Row],[ignored_rank]],help_zuord_Var_Meth[],2)</f>
        <v>38</v>
      </c>
      <c r="B178">
        <v>117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t="shared" ca="1" si="2"/>
        <v>0.77918403963556204</v>
      </c>
      <c r="E178" s="3">
        <f ca="1">RANK(dict_zul_Var_Meth[[#This Row],[ignored_rand]],dict_zul_Var_Meth[ignored_rand])</f>
        <v>144</v>
      </c>
      <c r="F178">
        <f ca="1">ROUNDUP(748/200*help_zuord_Var_Meth[[#This Row],[ignored_help_VarsID]],0)+RANDBETWEEN(0,1)-RANDBETWEEN(0,1)</f>
        <v>659</v>
      </c>
      <c r="G178">
        <v>176</v>
      </c>
    </row>
    <row r="179" spans="1:7" x14ac:dyDescent="0.45">
      <c r="A179">
        <f ca="1">VLOOKUP(dict_zul_Var_Meth[[#This Row],[ignored_rank]],help_zuord_Var_Meth[],2)</f>
        <v>153</v>
      </c>
      <c r="B179">
        <v>118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t="shared" ca="1" si="2"/>
        <v>0.25103704877960187</v>
      </c>
      <c r="E179">
        <f ca="1">RANK(dict_zul_Var_Meth[[#This Row],[ignored_rand]],dict_zul_Var_Meth[ignored_rand])</f>
        <v>574</v>
      </c>
      <c r="F179">
        <f ca="1">ROUNDUP(748/200*help_zuord_Var_Meth[[#This Row],[ignored_help_VarsID]],0)+RANDBETWEEN(0,1)-RANDBETWEEN(0,1)</f>
        <v>662</v>
      </c>
      <c r="G179">
        <v>177</v>
      </c>
    </row>
    <row r="180" spans="1:7" x14ac:dyDescent="0.45">
      <c r="A180">
        <f ca="1">VLOOKUP(dict_zul_Var_Meth[[#This Row],[ignored_rank]],help_zuord_Var_Meth[],2)</f>
        <v>56</v>
      </c>
      <c r="B180">
        <v>119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t="shared" ca="1" si="2"/>
        <v>0.70281794112619145</v>
      </c>
      <c r="E180">
        <f ca="1">RANK(dict_zul_Var_Meth[[#This Row],[ignored_rand]],dict_zul_Var_Meth[ignored_rand])</f>
        <v>211</v>
      </c>
      <c r="F180">
        <f ca="1">ROUNDUP(748/200*help_zuord_Var_Meth[[#This Row],[ignored_help_VarsID]],0)+RANDBETWEEN(0,1)-RANDBETWEEN(0,1)</f>
        <v>667</v>
      </c>
      <c r="G180">
        <v>178</v>
      </c>
    </row>
    <row r="181" spans="1:7" x14ac:dyDescent="0.45">
      <c r="A181">
        <f ca="1">VLOOKUP(dict_zul_Var_Meth[[#This Row],[ignored_rank]],help_zuord_Var_Meth[],2)</f>
        <v>162</v>
      </c>
      <c r="B181">
        <v>120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t="shared" ca="1" si="2"/>
        <v>0.21390261889943729</v>
      </c>
      <c r="E181">
        <f ca="1">RANK(dict_zul_Var_Meth[[#This Row],[ignored_rand]],dict_zul_Var_Meth[ignored_rand])</f>
        <v>605</v>
      </c>
      <c r="F181">
        <f ca="1">ROUNDUP(748/200*help_zuord_Var_Meth[[#This Row],[ignored_help_VarsID]],0)+RANDBETWEEN(0,1)-RANDBETWEEN(0,1)</f>
        <v>671</v>
      </c>
      <c r="G181">
        <v>179</v>
      </c>
    </row>
    <row r="182" spans="1:7" x14ac:dyDescent="0.45">
      <c r="A182" s="3">
        <f ca="1">VLOOKUP(dict_zul_Var_Meth[[#This Row],[ignored_rank]],help_zuord_Var_Meth[],2)</f>
        <v>62</v>
      </c>
      <c r="B182">
        <v>121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t="shared" ca="1" si="2"/>
        <v>0.66968308543257915</v>
      </c>
      <c r="E182" s="3">
        <f ca="1">RANK(dict_zul_Var_Meth[[#This Row],[ignored_rand]],dict_zul_Var_Meth[ignored_rand])</f>
        <v>233</v>
      </c>
      <c r="F182">
        <f ca="1">ROUNDUP(748/200*help_zuord_Var_Meth[[#This Row],[ignored_help_VarsID]],0)+RANDBETWEEN(0,1)-RANDBETWEEN(0,1)</f>
        <v>674</v>
      </c>
      <c r="G182">
        <v>180</v>
      </c>
    </row>
    <row r="183" spans="1:7" x14ac:dyDescent="0.45">
      <c r="A183">
        <f ca="1">VLOOKUP(dict_zul_Var_Meth[[#This Row],[ignored_rank]],help_zuord_Var_Meth[],2)</f>
        <v>119</v>
      </c>
      <c r="B183">
        <v>122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t="shared" ca="1" si="2"/>
        <v>0.42149627453182648</v>
      </c>
      <c r="E183">
        <f ca="1">RANK(dict_zul_Var_Meth[[#This Row],[ignored_rand]],dict_zul_Var_Meth[ignored_rand])</f>
        <v>447</v>
      </c>
      <c r="F183">
        <f ca="1">ROUNDUP(748/200*help_zuord_Var_Meth[[#This Row],[ignored_help_VarsID]],0)+RANDBETWEEN(0,1)-RANDBETWEEN(0,1)</f>
        <v>676</v>
      </c>
      <c r="G183">
        <v>181</v>
      </c>
    </row>
    <row r="184" spans="1:7" x14ac:dyDescent="0.45">
      <c r="A184">
        <f ca="1">VLOOKUP(dict_zul_Var_Meth[[#This Row],[ignored_rank]],help_zuord_Var_Meth[],2)</f>
        <v>67</v>
      </c>
      <c r="B184">
        <v>123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t="shared" ca="1" si="2"/>
        <v>0.6524636687470593</v>
      </c>
      <c r="E184">
        <f ca="1">RANK(dict_zul_Var_Meth[[#This Row],[ignored_rand]],dict_zul_Var_Meth[ignored_rand])</f>
        <v>253</v>
      </c>
      <c r="F184">
        <f ca="1">ROUNDUP(748/200*help_zuord_Var_Meth[[#This Row],[ignored_help_VarsID]],0)+RANDBETWEEN(0,1)-RANDBETWEEN(0,1)</f>
        <v>681</v>
      </c>
      <c r="G184">
        <v>182</v>
      </c>
    </row>
    <row r="185" spans="1:7" x14ac:dyDescent="0.45">
      <c r="A185">
        <f ca="1">VLOOKUP(dict_zul_Var_Meth[[#This Row],[ignored_rank]],help_zuord_Var_Meth[],2)</f>
        <v>14</v>
      </c>
      <c r="B185">
        <v>124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t="shared" ca="1" si="2"/>
        <v>0.90404490911225155</v>
      </c>
      <c r="E185">
        <f ca="1">RANK(dict_zul_Var_Meth[[#This Row],[ignored_rand]],dict_zul_Var_Meth[ignored_rand])</f>
        <v>56</v>
      </c>
      <c r="F185">
        <f ca="1">ROUNDUP(748/200*help_zuord_Var_Meth[[#This Row],[ignored_help_VarsID]],0)+RANDBETWEEN(0,1)-RANDBETWEEN(0,1)</f>
        <v>684</v>
      </c>
      <c r="G185">
        <v>183</v>
      </c>
    </row>
    <row r="186" spans="1:7" x14ac:dyDescent="0.45">
      <c r="A186">
        <f ca="1">VLOOKUP(dict_zul_Var_Meth[[#This Row],[ignored_rank]],help_zuord_Var_Meth[],2)</f>
        <v>43</v>
      </c>
      <c r="B186">
        <v>125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t="shared" ca="1" si="2"/>
        <v>0.76129189901196281</v>
      </c>
      <c r="E186">
        <f ca="1">RANK(dict_zul_Var_Meth[[#This Row],[ignored_rand]],dict_zul_Var_Meth[ignored_rand])</f>
        <v>160</v>
      </c>
      <c r="F186">
        <f ca="1">ROUNDUP(748/200*help_zuord_Var_Meth[[#This Row],[ignored_help_VarsID]],0)+RANDBETWEEN(0,1)-RANDBETWEEN(0,1)</f>
        <v>688</v>
      </c>
      <c r="G186">
        <v>184</v>
      </c>
    </row>
    <row r="187" spans="1:7" x14ac:dyDescent="0.45">
      <c r="A187">
        <f ca="1">VLOOKUP(dict_zul_Var_Meth[[#This Row],[ignored_rank]],help_zuord_Var_Meth[],2)</f>
        <v>185</v>
      </c>
      <c r="B187">
        <v>126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t="shared" ca="1" si="2"/>
        <v>0.10033823536001096</v>
      </c>
      <c r="E187">
        <f ca="1">RANK(dict_zul_Var_Meth[[#This Row],[ignored_rand]],dict_zul_Var_Meth[ignored_rand])</f>
        <v>695</v>
      </c>
      <c r="F187">
        <f ca="1">ROUNDUP(748/200*help_zuord_Var_Meth[[#This Row],[ignored_help_VarsID]],0)+RANDBETWEEN(0,1)-RANDBETWEEN(0,1)</f>
        <v>693</v>
      </c>
      <c r="G187">
        <v>185</v>
      </c>
    </row>
    <row r="188" spans="1:7" x14ac:dyDescent="0.45">
      <c r="A188">
        <f ca="1">VLOOKUP(dict_zul_Var_Meth[[#This Row],[ignored_rank]],help_zuord_Var_Meth[],2)</f>
        <v>89</v>
      </c>
      <c r="B188">
        <v>127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t="shared" ca="1" si="2"/>
        <v>0.55549274972120299</v>
      </c>
      <c r="E188">
        <f ca="1">RANK(dict_zul_Var_Meth[[#This Row],[ignored_rand]],dict_zul_Var_Meth[ignored_rand])</f>
        <v>335</v>
      </c>
      <c r="F188">
        <f ca="1">ROUNDUP(748/200*help_zuord_Var_Meth[[#This Row],[ignored_help_VarsID]],0)+RANDBETWEEN(0,1)-RANDBETWEEN(0,1)</f>
        <v>697</v>
      </c>
      <c r="G188">
        <v>186</v>
      </c>
    </row>
    <row r="189" spans="1:7" x14ac:dyDescent="0.45">
      <c r="A189">
        <f ca="1">VLOOKUP(dict_zul_Var_Meth[[#This Row],[ignored_rank]],help_zuord_Var_Meth[],2)</f>
        <v>191</v>
      </c>
      <c r="B189">
        <v>128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t="shared" ca="1" si="2"/>
        <v>7.0960236097485363E-2</v>
      </c>
      <c r="E189">
        <f ca="1">RANK(dict_zul_Var_Meth[[#This Row],[ignored_rand]],dict_zul_Var_Meth[ignored_rand])</f>
        <v>717</v>
      </c>
      <c r="F189">
        <f ca="1">ROUNDUP(748/200*help_zuord_Var_Meth[[#This Row],[ignored_help_VarsID]],0)+RANDBETWEEN(0,1)-RANDBETWEEN(0,1)</f>
        <v>700</v>
      </c>
      <c r="G189">
        <v>187</v>
      </c>
    </row>
    <row r="190" spans="1:7" x14ac:dyDescent="0.45">
      <c r="A190">
        <f ca="1">VLOOKUP(dict_zul_Var_Meth[[#This Row],[ignored_rank]],help_zuord_Var_Meth[],2)</f>
        <v>163</v>
      </c>
      <c r="B190">
        <v>129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t="shared" ca="1" si="2"/>
        <v>0.2009512608729912</v>
      </c>
      <c r="E190">
        <f ca="1">RANK(dict_zul_Var_Meth[[#This Row],[ignored_rand]],dict_zul_Var_Meth[ignored_rand])</f>
        <v>612</v>
      </c>
      <c r="F190">
        <f ca="1">ROUNDUP(748/200*help_zuord_Var_Meth[[#This Row],[ignored_help_VarsID]],0)+RANDBETWEEN(0,1)-RANDBETWEEN(0,1)</f>
        <v>705</v>
      </c>
      <c r="G190">
        <v>188</v>
      </c>
    </row>
    <row r="191" spans="1:7" x14ac:dyDescent="0.45">
      <c r="A191">
        <f ca="1">VLOOKUP(dict_zul_Var_Meth[[#This Row],[ignored_rank]],help_zuord_Var_Meth[],2)</f>
        <v>171</v>
      </c>
      <c r="B191">
        <v>130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t="shared" ca="1" si="2"/>
        <v>0.16998318402720214</v>
      </c>
      <c r="E191">
        <f ca="1">RANK(dict_zul_Var_Meth[[#This Row],[ignored_rand]],dict_zul_Var_Meth[ignored_rand])</f>
        <v>640</v>
      </c>
      <c r="F191">
        <f ca="1">ROUNDUP(748/200*help_zuord_Var_Meth[[#This Row],[ignored_help_VarsID]],0)+RANDBETWEEN(0,1)-RANDBETWEEN(0,1)</f>
        <v>706</v>
      </c>
      <c r="G191">
        <v>189</v>
      </c>
    </row>
    <row r="192" spans="1:7" x14ac:dyDescent="0.45">
      <c r="A192">
        <f ca="1">VLOOKUP(dict_zul_Var_Meth[[#This Row],[ignored_rank]],help_zuord_Var_Meth[],2)</f>
        <v>121</v>
      </c>
      <c r="B192">
        <v>131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t="shared" ca="1" si="2"/>
        <v>0.41153151767752283</v>
      </c>
      <c r="E192">
        <f ca="1">RANK(dict_zul_Var_Meth[[#This Row],[ignored_rand]],dict_zul_Var_Meth[ignored_rand])</f>
        <v>455</v>
      </c>
      <c r="F192">
        <f ca="1">ROUNDUP(748/200*help_zuord_Var_Meth[[#This Row],[ignored_help_VarsID]],0)+RANDBETWEEN(0,1)-RANDBETWEEN(0,1)</f>
        <v>710</v>
      </c>
      <c r="G192">
        <v>190</v>
      </c>
    </row>
    <row r="193" spans="1:7" x14ac:dyDescent="0.45">
      <c r="A193">
        <f ca="1">VLOOKUP(dict_zul_Var_Meth[[#This Row],[ignored_rank]],help_zuord_Var_Meth[],2)</f>
        <v>49</v>
      </c>
      <c r="B193">
        <v>132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t="shared" ca="1" si="2"/>
        <v>0.73282241905559264</v>
      </c>
      <c r="E193">
        <f ca="1">RANK(dict_zul_Var_Meth[[#This Row],[ignored_rand]],dict_zul_Var_Meth[ignored_rand])</f>
        <v>187</v>
      </c>
      <c r="F193">
        <f ca="1">ROUNDUP(748/200*help_zuord_Var_Meth[[#This Row],[ignored_help_VarsID]],0)+RANDBETWEEN(0,1)-RANDBETWEEN(0,1)</f>
        <v>714</v>
      </c>
      <c r="G193">
        <v>191</v>
      </c>
    </row>
    <row r="194" spans="1:7" x14ac:dyDescent="0.45">
      <c r="A194">
        <f ca="1">VLOOKUP(dict_zul_Var_Meth[[#This Row],[ignored_rank]],help_zuord_Var_Meth[],2)</f>
        <v>27</v>
      </c>
      <c r="B194">
        <v>133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t="shared" ref="D194:D257" ca="1" si="3">RAND()</f>
        <v>0.8497192242149777</v>
      </c>
      <c r="E194">
        <f ca="1">RANK(dict_zul_Var_Meth[[#This Row],[ignored_rand]],dict_zul_Var_Meth[ignored_rand])</f>
        <v>103</v>
      </c>
      <c r="F194">
        <f ca="1">ROUNDUP(748/200*help_zuord_Var_Meth[[#This Row],[ignored_help_VarsID]],0)+RANDBETWEEN(0,1)-RANDBETWEEN(0,1)</f>
        <v>718</v>
      </c>
      <c r="G194">
        <v>192</v>
      </c>
    </row>
    <row r="195" spans="1:7" x14ac:dyDescent="0.45">
      <c r="A195">
        <f ca="1">VLOOKUP(dict_zul_Var_Meth[[#This Row],[ignored_rank]],help_zuord_Var_Meth[],2)</f>
        <v>172</v>
      </c>
      <c r="B195">
        <v>134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t="shared" ca="1" si="3"/>
        <v>0.16316017695547336</v>
      </c>
      <c r="E195">
        <f ca="1">RANK(dict_zul_Var_Meth[[#This Row],[ignored_rand]],dict_zul_Var_Meth[ignored_rand])</f>
        <v>646</v>
      </c>
      <c r="F195">
        <f ca="1">ROUNDUP(748/200*help_zuord_Var_Meth[[#This Row],[ignored_help_VarsID]],0)+RANDBETWEEN(0,1)-RANDBETWEEN(0,1)</f>
        <v>722</v>
      </c>
      <c r="G195">
        <v>193</v>
      </c>
    </row>
    <row r="196" spans="1:7" x14ac:dyDescent="0.45">
      <c r="A196">
        <f ca="1">VLOOKUP(dict_zul_Var_Meth[[#This Row],[ignored_rank]],help_zuord_Var_Meth[],2)</f>
        <v>58</v>
      </c>
      <c r="B196">
        <v>135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t="shared" ca="1" si="3"/>
        <v>0.69435134387117814</v>
      </c>
      <c r="E196">
        <f ca="1">RANK(dict_zul_Var_Meth[[#This Row],[ignored_rand]],dict_zul_Var_Meth[ignored_rand])</f>
        <v>220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177</v>
      </c>
      <c r="B197">
        <v>136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t="shared" ca="1" si="3"/>
        <v>0.13982925681961422</v>
      </c>
      <c r="E197">
        <f ca="1">RANK(dict_zul_Var_Meth[[#This Row],[ignored_rand]],dict_zul_Var_Meth[ignored_rand])</f>
        <v>662</v>
      </c>
      <c r="F197">
        <f ca="1">ROUNDUP(748/200*help_zuord_Var_Meth[[#This Row],[ignored_help_VarsID]],0)+RANDBETWEEN(0,1)-RANDBETWEEN(0,1)</f>
        <v>729</v>
      </c>
      <c r="G197">
        <v>195</v>
      </c>
    </row>
    <row r="198" spans="1:7" x14ac:dyDescent="0.45">
      <c r="A198" s="3">
        <f ca="1">VLOOKUP(dict_zul_Var_Meth[[#This Row],[ignored_rank]],help_zuord_Var_Meth[],2)</f>
        <v>109</v>
      </c>
      <c r="B198">
        <v>137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t="shared" ca="1" si="3"/>
        <v>0.46032508935853456</v>
      </c>
      <c r="E198" s="3">
        <f ca="1">RANK(dict_zul_Var_Meth[[#This Row],[ignored_rand]],dict_zul_Var_Meth[ignored_rand])</f>
        <v>410</v>
      </c>
      <c r="F198">
        <f ca="1">ROUNDUP(748/200*help_zuord_Var_Meth[[#This Row],[ignored_help_VarsID]],0)+RANDBETWEEN(0,1)-RANDBETWEEN(0,1)</f>
        <v>733</v>
      </c>
      <c r="G198">
        <v>196</v>
      </c>
    </row>
    <row r="199" spans="1:7" x14ac:dyDescent="0.45">
      <c r="A199">
        <f ca="1">VLOOKUP(dict_zul_Var_Meth[[#This Row],[ignored_rank]],help_zuord_Var_Meth[],2)</f>
        <v>154</v>
      </c>
      <c r="B199">
        <v>138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t="shared" ca="1" si="3"/>
        <v>0.24818067466665528</v>
      </c>
      <c r="E199">
        <f ca="1">RANK(dict_zul_Var_Meth[[#This Row],[ignored_rand]],dict_zul_Var_Meth[ignored_rand])</f>
        <v>576</v>
      </c>
      <c r="F199">
        <f ca="1">ROUNDUP(748/200*help_zuord_Var_Meth[[#This Row],[ignored_help_VarsID]],0)+RANDBETWEEN(0,1)-RANDBETWEEN(0,1)</f>
        <v>738</v>
      </c>
      <c r="G199">
        <v>197</v>
      </c>
    </row>
    <row r="200" spans="1:7" x14ac:dyDescent="0.45">
      <c r="A200">
        <f ca="1">VLOOKUP(dict_zul_Var_Meth[[#This Row],[ignored_rank]],help_zuord_Var_Meth[],2)</f>
        <v>165</v>
      </c>
      <c r="B200">
        <v>139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t="shared" ca="1" si="3"/>
        <v>0.19514198012315054</v>
      </c>
      <c r="E200">
        <f ca="1">RANK(dict_zul_Var_Meth[[#This Row],[ignored_rand]],dict_zul_Var_Meth[ignored_rand])</f>
        <v>620</v>
      </c>
      <c r="F200">
        <f ca="1">ROUNDUP(748/200*help_zuord_Var_Meth[[#This Row],[ignored_help_VarsID]],0)+RANDBETWEEN(0,1)-RANDBETWEEN(0,1)</f>
        <v>740</v>
      </c>
      <c r="G200">
        <v>198</v>
      </c>
    </row>
    <row r="201" spans="1:7" x14ac:dyDescent="0.45">
      <c r="A201">
        <f ca="1">VLOOKUP(dict_zul_Var_Meth[[#This Row],[ignored_rank]],help_zuord_Var_Meth[],2)</f>
        <v>187</v>
      </c>
      <c r="B201">
        <v>140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t="shared" ca="1" si="3"/>
        <v>8.7906727354741143E-2</v>
      </c>
      <c r="E201">
        <f ca="1">RANK(dict_zul_Var_Meth[[#This Row],[ignored_rand]],dict_zul_Var_Meth[ignored_rand])</f>
        <v>703</v>
      </c>
      <c r="F201">
        <f ca="1">ROUNDUP(748/200*help_zuord_Var_Meth[[#This Row],[ignored_help_VarsID]],0)+RANDBETWEEN(0,1)-RANDBETWEEN(0,1)</f>
        <v>744</v>
      </c>
      <c r="G201">
        <v>199</v>
      </c>
    </row>
    <row r="202" spans="1:7" x14ac:dyDescent="0.45">
      <c r="A202">
        <f ca="1">VLOOKUP(dict_zul_Var_Meth[[#This Row],[ignored_rank]],help_zuord_Var_Meth[],2)</f>
        <v>81</v>
      </c>
      <c r="B202">
        <v>141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t="shared" ca="1" si="3"/>
        <v>0.59507782267136045</v>
      </c>
      <c r="E202">
        <f ca="1">RANK(dict_zul_Var_Meth[[#This Row],[ignored_rand]],dict_zul_Var_Meth[ignored_rand])</f>
        <v>306</v>
      </c>
      <c r="F202">
        <f ca="1">ROUNDUP(748/200*help_zuord_Var_Meth[[#This Row],[ignored_help_VarsID]],0)+RANDBETWEEN(0,1)-RANDBETWEEN(0,1)</f>
        <v>748</v>
      </c>
      <c r="G202">
        <v>200</v>
      </c>
    </row>
    <row r="203" spans="1:7" x14ac:dyDescent="0.45">
      <c r="A203">
        <f ca="1">VLOOKUP(dict_zul_Var_Meth[[#This Row],[ignored_rank]],help_zuord_Var_Meth[],2)</f>
        <v>63</v>
      </c>
      <c r="B203">
        <v>142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t="shared" ca="1" si="3"/>
        <v>0.66335287063050696</v>
      </c>
      <c r="E203">
        <f ca="1">RANK(dict_zul_Var_Meth[[#This Row],[ignored_rand]],dict_zul_Var_Meth[ignored_rand])</f>
        <v>239</v>
      </c>
    </row>
    <row r="204" spans="1:7" x14ac:dyDescent="0.45">
      <c r="A204">
        <f ca="1">VLOOKUP(dict_zul_Var_Meth[[#This Row],[ignored_rank]],help_zuord_Var_Meth[],2)</f>
        <v>120</v>
      </c>
      <c r="B204">
        <v>143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t="shared" ca="1" si="3"/>
        <v>0.4186032939687836</v>
      </c>
      <c r="E204">
        <f ca="1">RANK(dict_zul_Var_Meth[[#This Row],[ignored_rand]],dict_zul_Var_Meth[ignored_rand])</f>
        <v>450</v>
      </c>
    </row>
    <row r="205" spans="1:7" x14ac:dyDescent="0.45">
      <c r="A205">
        <f ca="1">VLOOKUP(dict_zul_Var_Meth[[#This Row],[ignored_rank]],help_zuord_Var_Meth[],2)</f>
        <v>47</v>
      </c>
      <c r="B205">
        <v>144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t="shared" ca="1" si="3"/>
        <v>0.73893553697841519</v>
      </c>
      <c r="E205">
        <f ca="1">RANK(dict_zul_Var_Meth[[#This Row],[ignored_rand]],dict_zul_Var_Meth[ignored_rand])</f>
        <v>178</v>
      </c>
    </row>
    <row r="206" spans="1:7" x14ac:dyDescent="0.45">
      <c r="A206">
        <f ca="1">VLOOKUP(dict_zul_Var_Meth[[#This Row],[ignored_rank]],help_zuord_Var_Meth[],2)</f>
        <v>151</v>
      </c>
      <c r="B206">
        <v>145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t="shared" ca="1" si="3"/>
        <v>0.25923278541021766</v>
      </c>
      <c r="E206">
        <f ca="1">RANK(dict_zul_Var_Meth[[#This Row],[ignored_rand]],dict_zul_Var_Meth[ignored_rand])</f>
        <v>569</v>
      </c>
    </row>
    <row r="207" spans="1:7" x14ac:dyDescent="0.45">
      <c r="A207">
        <f ca="1">VLOOKUP(dict_zul_Var_Meth[[#This Row],[ignored_rank]],help_zuord_Var_Meth[],2)</f>
        <v>119</v>
      </c>
      <c r="B207">
        <v>146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t="shared" ca="1" si="3"/>
        <v>0.4212856162726486</v>
      </c>
      <c r="E207">
        <f ca="1">RANK(dict_zul_Var_Meth[[#This Row],[ignored_rand]],dict_zul_Var_Meth[ignored_rand])</f>
        <v>449</v>
      </c>
    </row>
    <row r="208" spans="1:7" x14ac:dyDescent="0.45">
      <c r="A208">
        <f ca="1">VLOOKUP(dict_zul_Var_Meth[[#This Row],[ignored_rank]],help_zuord_Var_Meth[],2)</f>
        <v>137</v>
      </c>
      <c r="B208">
        <v>147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t="shared" ca="1" si="3"/>
        <v>0.33445471757826561</v>
      </c>
      <c r="E208">
        <f ca="1">RANK(dict_zul_Var_Meth[[#This Row],[ignored_rand]],dict_zul_Var_Meth[ignored_rand])</f>
        <v>514</v>
      </c>
    </row>
    <row r="209" spans="1:5" x14ac:dyDescent="0.45">
      <c r="A209">
        <f ca="1">VLOOKUP(dict_zul_Var_Meth[[#This Row],[ignored_rank]],help_zuord_Var_Meth[],2)</f>
        <v>160</v>
      </c>
      <c r="B209">
        <v>148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t="shared" ca="1" si="3"/>
        <v>0.21771299112798859</v>
      </c>
      <c r="E209">
        <f ca="1">RANK(dict_zul_Var_Meth[[#This Row],[ignored_rand]],dict_zul_Var_Meth[ignored_rand])</f>
        <v>600</v>
      </c>
    </row>
    <row r="210" spans="1:5" x14ac:dyDescent="0.45">
      <c r="A210">
        <f ca="1">VLOOKUP(dict_zul_Var_Meth[[#This Row],[ignored_rank]],help_zuord_Var_Meth[],2)</f>
        <v>77</v>
      </c>
      <c r="B210">
        <v>149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t="shared" ca="1" si="3"/>
        <v>0.61451319217617506</v>
      </c>
      <c r="E210">
        <f ca="1">RANK(dict_zul_Var_Meth[[#This Row],[ignored_rand]],dict_zul_Var_Meth[ignored_rand])</f>
        <v>289</v>
      </c>
    </row>
    <row r="211" spans="1:5" x14ac:dyDescent="0.45">
      <c r="A211">
        <f ca="1">VLOOKUP(dict_zul_Var_Meth[[#This Row],[ignored_rank]],help_zuord_Var_Meth[],2)</f>
        <v>31</v>
      </c>
      <c r="B211">
        <v>150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t="shared" ca="1" si="3"/>
        <v>0.83062637318992583</v>
      </c>
      <c r="E211">
        <f ca="1">RANK(dict_zul_Var_Meth[[#This Row],[ignored_rand]],dict_zul_Var_Meth[ignored_rand])</f>
        <v>116</v>
      </c>
    </row>
    <row r="212" spans="1:5" x14ac:dyDescent="0.45">
      <c r="A212">
        <f ca="1">VLOOKUP(dict_zul_Var_Meth[[#This Row],[ignored_rank]],help_zuord_Var_Meth[],2)</f>
        <v>45</v>
      </c>
      <c r="B212">
        <v>151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t="shared" ca="1" si="3"/>
        <v>0.74410758920545506</v>
      </c>
      <c r="E212">
        <f ca="1">RANK(dict_zul_Var_Meth[[#This Row],[ignored_rand]],dict_zul_Var_Meth[ignored_rand])</f>
        <v>171</v>
      </c>
    </row>
    <row r="213" spans="1:5" x14ac:dyDescent="0.45">
      <c r="A213">
        <f ca="1">VLOOKUP(dict_zul_Var_Meth[[#This Row],[ignored_rank]],help_zuord_Var_Meth[],2)</f>
        <v>143</v>
      </c>
      <c r="B213">
        <v>152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t="shared" ca="1" si="3"/>
        <v>0.31034364199190712</v>
      </c>
      <c r="E213">
        <f ca="1">RANK(dict_zul_Var_Meth[[#This Row],[ignored_rand]],dict_zul_Var_Meth[ignored_rand])</f>
        <v>534</v>
      </c>
    </row>
    <row r="214" spans="1:5" x14ac:dyDescent="0.45">
      <c r="A214" s="3">
        <f ca="1">VLOOKUP(dict_zul_Var_Meth[[#This Row],[ignored_rank]],help_zuord_Var_Meth[],2)</f>
        <v>167</v>
      </c>
      <c r="B214">
        <v>153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t="shared" ca="1" si="3"/>
        <v>0.18421710061695062</v>
      </c>
      <c r="E214" s="3">
        <f ca="1">RANK(dict_zul_Var_Meth[[#This Row],[ignored_rand]],dict_zul_Var_Meth[ignored_rand])</f>
        <v>626</v>
      </c>
    </row>
    <row r="215" spans="1:5" x14ac:dyDescent="0.45">
      <c r="A215">
        <f ca="1">VLOOKUP(dict_zul_Var_Meth[[#This Row],[ignored_rank]],help_zuord_Var_Meth[],2)</f>
        <v>149</v>
      </c>
      <c r="B215">
        <v>154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t="shared" ca="1" si="3"/>
        <v>0.26943587122959056</v>
      </c>
      <c r="E215">
        <f ca="1">RANK(dict_zul_Var_Meth[[#This Row],[ignored_rand]],dict_zul_Var_Meth[ignored_rand])</f>
        <v>560</v>
      </c>
    </row>
    <row r="216" spans="1:5" x14ac:dyDescent="0.45">
      <c r="A216">
        <f ca="1">VLOOKUP(dict_zul_Var_Meth[[#This Row],[ignored_rank]],help_zuord_Var_Meth[],2)</f>
        <v>107</v>
      </c>
      <c r="B216">
        <v>155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t="shared" ca="1" si="3"/>
        <v>0.47214269016917509</v>
      </c>
      <c r="E216">
        <f ca="1">RANK(dict_zul_Var_Meth[[#This Row],[ignored_rand]],dict_zul_Var_Meth[ignored_rand])</f>
        <v>401</v>
      </c>
    </row>
    <row r="217" spans="1:5" x14ac:dyDescent="0.45">
      <c r="A217">
        <f ca="1">VLOOKUP(dict_zul_Var_Meth[[#This Row],[ignored_rank]],help_zuord_Var_Meth[],2)</f>
        <v>66</v>
      </c>
      <c r="B217">
        <v>156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t="shared" ca="1" si="3"/>
        <v>0.65727071132903447</v>
      </c>
      <c r="E217">
        <f ca="1">RANK(dict_zul_Var_Meth[[#This Row],[ignored_rand]],dict_zul_Var_Meth[ignored_rand])</f>
        <v>247</v>
      </c>
    </row>
    <row r="218" spans="1:5" x14ac:dyDescent="0.45">
      <c r="A218">
        <f ca="1">VLOOKUP(dict_zul_Var_Meth[[#This Row],[ignored_rank]],help_zuord_Var_Meth[],2)</f>
        <v>24</v>
      </c>
      <c r="B218">
        <v>157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t="shared" ca="1" si="3"/>
        <v>0.86397907387592587</v>
      </c>
      <c r="E218">
        <f ca="1">RANK(dict_zul_Var_Meth[[#This Row],[ignored_rand]],dict_zul_Var_Meth[ignored_rand])</f>
        <v>90</v>
      </c>
    </row>
    <row r="219" spans="1:5" x14ac:dyDescent="0.45">
      <c r="A219">
        <f ca="1">VLOOKUP(dict_zul_Var_Meth[[#This Row],[ignored_rank]],help_zuord_Var_Meth[],2)</f>
        <v>101</v>
      </c>
      <c r="B219">
        <v>158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t="shared" ca="1" si="3"/>
        <v>0.51493930803102816</v>
      </c>
      <c r="E219">
        <f ca="1">RANK(dict_zul_Var_Meth[[#This Row],[ignored_rand]],dict_zul_Var_Meth[ignored_rand])</f>
        <v>378</v>
      </c>
    </row>
    <row r="220" spans="1:5" x14ac:dyDescent="0.45">
      <c r="A220">
        <f ca="1">VLOOKUP(dict_zul_Var_Meth[[#This Row],[ignored_rank]],help_zuord_Var_Meth[],2)</f>
        <v>67</v>
      </c>
      <c r="B220">
        <v>159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t="shared" ca="1" si="3"/>
        <v>0.65261071713708541</v>
      </c>
      <c r="E220">
        <f ca="1">RANK(dict_zul_Var_Meth[[#This Row],[ignored_rand]],dict_zul_Var_Meth[ignored_rand])</f>
        <v>252</v>
      </c>
    </row>
    <row r="221" spans="1:5" x14ac:dyDescent="0.45">
      <c r="A221">
        <f ca="1">VLOOKUP(dict_zul_Var_Meth[[#This Row],[ignored_rank]],help_zuord_Var_Meth[],2)</f>
        <v>36</v>
      </c>
      <c r="B221">
        <v>160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t="shared" ca="1" si="3"/>
        <v>0.79352032495494051</v>
      </c>
      <c r="E221">
        <f ca="1">RANK(dict_zul_Var_Meth[[#This Row],[ignored_rand]],dict_zul_Var_Meth[ignored_rand])</f>
        <v>135</v>
      </c>
    </row>
    <row r="222" spans="1:5" x14ac:dyDescent="0.45">
      <c r="A222">
        <f ca="1">VLOOKUP(dict_zul_Var_Meth[[#This Row],[ignored_rank]],help_zuord_Var_Meth[],2)</f>
        <v>12</v>
      </c>
      <c r="B222">
        <v>161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t="shared" ca="1" si="3"/>
        <v>0.92985706359936393</v>
      </c>
      <c r="E222">
        <f ca="1">RANK(dict_zul_Var_Meth[[#This Row],[ignored_rand]],dict_zul_Var_Meth[ignored_rand])</f>
        <v>45</v>
      </c>
    </row>
    <row r="223" spans="1:5" x14ac:dyDescent="0.45">
      <c r="A223" s="3">
        <f ca="1">VLOOKUP(dict_zul_Var_Meth[[#This Row],[ignored_rank]],help_zuord_Var_Meth[],2)</f>
        <v>86</v>
      </c>
      <c r="B223">
        <v>162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t="shared" ca="1" si="3"/>
        <v>0.56881023282620635</v>
      </c>
      <c r="E223" s="3">
        <f ca="1">RANK(dict_zul_Var_Meth[[#This Row],[ignored_rand]],dict_zul_Var_Meth[ignored_rand])</f>
        <v>321</v>
      </c>
    </row>
    <row r="224" spans="1:5" x14ac:dyDescent="0.45">
      <c r="A224">
        <f ca="1">VLOOKUP(dict_zul_Var_Meth[[#This Row],[ignored_rank]],help_zuord_Var_Meth[],2)</f>
        <v>108</v>
      </c>
      <c r="B224">
        <v>163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t="shared" ca="1" si="3"/>
        <v>0.46878911053560779</v>
      </c>
      <c r="E224">
        <f ca="1">RANK(dict_zul_Var_Meth[[#This Row],[ignored_rand]],dict_zul_Var_Meth[ignored_rand])</f>
        <v>403</v>
      </c>
    </row>
    <row r="225" spans="1:5" x14ac:dyDescent="0.45">
      <c r="A225">
        <f ca="1">VLOOKUP(dict_zul_Var_Meth[[#This Row],[ignored_rank]],help_zuord_Var_Meth[],2)</f>
        <v>115</v>
      </c>
      <c r="B225">
        <v>164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t="shared" ca="1" si="3"/>
        <v>0.43550249660628282</v>
      </c>
      <c r="E225">
        <f ca="1">RANK(dict_zul_Var_Meth[[#This Row],[ignored_rand]],dict_zul_Var_Meth[ignored_rand])</f>
        <v>433</v>
      </c>
    </row>
    <row r="226" spans="1:5" x14ac:dyDescent="0.45">
      <c r="A226">
        <f ca="1">VLOOKUP(dict_zul_Var_Meth[[#This Row],[ignored_rank]],help_zuord_Var_Meth[],2)</f>
        <v>79</v>
      </c>
      <c r="B226">
        <v>165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t="shared" ca="1" si="3"/>
        <v>0.60479707423207629</v>
      </c>
      <c r="E226">
        <f ca="1">RANK(dict_zul_Var_Meth[[#This Row],[ignored_rand]],dict_zul_Var_Meth[ignored_rand])</f>
        <v>297</v>
      </c>
    </row>
    <row r="227" spans="1:5" x14ac:dyDescent="0.45">
      <c r="A227">
        <f ca="1">VLOOKUP(dict_zul_Var_Meth[[#This Row],[ignored_rank]],help_zuord_Var_Meth[],2)</f>
        <v>0</v>
      </c>
      <c r="B227">
        <v>166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7">
        <f t="shared" ca="1" si="3"/>
        <v>0.99708523962990681</v>
      </c>
      <c r="E227">
        <f ca="1">RANK(dict_zul_Var_Meth[[#This Row],[ignored_rand]],dict_zul_Var_Meth[ignored_rand])</f>
        <v>3</v>
      </c>
    </row>
    <row r="228" spans="1:5" x14ac:dyDescent="0.45">
      <c r="A228">
        <f ca="1">VLOOKUP(dict_zul_Var_Meth[[#This Row],[ignored_rank]],help_zuord_Var_Meth[],2)</f>
        <v>83</v>
      </c>
      <c r="B228">
        <v>167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t="shared" ca="1" si="3"/>
        <v>0.57835464350165144</v>
      </c>
      <c r="E228">
        <f ca="1">RANK(dict_zul_Var_Meth[[#This Row],[ignored_rand]],dict_zul_Var_Meth[ignored_rand])</f>
        <v>314</v>
      </c>
    </row>
    <row r="229" spans="1:5" x14ac:dyDescent="0.45">
      <c r="A229">
        <f ca="1">VLOOKUP(dict_zul_Var_Meth[[#This Row],[ignored_rank]],help_zuord_Var_Meth[],2)</f>
        <v>194</v>
      </c>
      <c r="B229">
        <v>168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t="shared" ca="1" si="3"/>
        <v>5.4733303411020673E-2</v>
      </c>
      <c r="E229">
        <f ca="1">RANK(dict_zul_Var_Meth[[#This Row],[ignored_rand]],dict_zul_Var_Meth[ignored_rand])</f>
        <v>727</v>
      </c>
    </row>
    <row r="230" spans="1:5" x14ac:dyDescent="0.45">
      <c r="A230">
        <f ca="1">VLOOKUP(dict_zul_Var_Meth[[#This Row],[ignored_rank]],help_zuord_Var_Meth[],2)</f>
        <v>41</v>
      </c>
      <c r="B230">
        <v>169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t="shared" ca="1" si="3"/>
        <v>0.76861136220386106</v>
      </c>
      <c r="E230">
        <f ca="1">RANK(dict_zul_Var_Meth[[#This Row],[ignored_rand]],dict_zul_Var_Meth[ignored_rand])</f>
        <v>155</v>
      </c>
    </row>
    <row r="231" spans="1:5" x14ac:dyDescent="0.45">
      <c r="A231" s="3">
        <f ca="1">VLOOKUP(dict_zul_Var_Meth[[#This Row],[ignored_rank]],help_zuord_Var_Meth[],2)</f>
        <v>143</v>
      </c>
      <c r="B231">
        <v>170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t="shared" ca="1" si="3"/>
        <v>0.29775197011200039</v>
      </c>
      <c r="E231" s="3">
        <f ca="1">RANK(dict_zul_Var_Meth[[#This Row],[ignored_rand]],dict_zul_Var_Meth[ignored_rand])</f>
        <v>537</v>
      </c>
    </row>
    <row r="232" spans="1:5" x14ac:dyDescent="0.45">
      <c r="A232">
        <f ca="1">VLOOKUP(dict_zul_Var_Meth[[#This Row],[ignored_rank]],help_zuord_Var_Meth[],2)</f>
        <v>196</v>
      </c>
      <c r="B232">
        <v>171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t="shared" ca="1" si="3"/>
        <v>4.6604673606138514E-2</v>
      </c>
      <c r="E232">
        <f ca="1">RANK(dict_zul_Var_Meth[[#This Row],[ignored_rand]],dict_zul_Var_Meth[ignored_rand])</f>
        <v>733</v>
      </c>
    </row>
    <row r="233" spans="1:5" x14ac:dyDescent="0.45">
      <c r="A233">
        <f ca="1">VLOOKUP(dict_zul_Var_Meth[[#This Row],[ignored_rank]],help_zuord_Var_Meth[],2)</f>
        <v>104</v>
      </c>
      <c r="B233">
        <v>172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t="shared" ca="1" si="3"/>
        <v>0.49401958635215992</v>
      </c>
      <c r="E233">
        <f ca="1">RANK(dict_zul_Var_Meth[[#This Row],[ignored_rand]],dict_zul_Var_Meth[ignored_rand])</f>
        <v>389</v>
      </c>
    </row>
    <row r="234" spans="1:5" x14ac:dyDescent="0.45">
      <c r="A234">
        <f ca="1">VLOOKUP(dict_zul_Var_Meth[[#This Row],[ignored_rank]],help_zuord_Var_Meth[],2)</f>
        <v>132</v>
      </c>
      <c r="B234">
        <v>173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t="shared" ca="1" si="3"/>
        <v>0.36351910791260866</v>
      </c>
      <c r="E234">
        <f ca="1">RANK(dict_zul_Var_Meth[[#This Row],[ignored_rand]],dict_zul_Var_Meth[ignored_rand])</f>
        <v>496</v>
      </c>
    </row>
    <row r="235" spans="1:5" x14ac:dyDescent="0.45">
      <c r="A235">
        <f ca="1">VLOOKUP(dict_zul_Var_Meth[[#This Row],[ignored_rank]],help_zuord_Var_Meth[],2)</f>
        <v>53</v>
      </c>
      <c r="B235">
        <v>174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t="shared" ca="1" si="3"/>
        <v>0.71351019587398523</v>
      </c>
      <c r="E235">
        <f ca="1">RANK(dict_zul_Var_Meth[[#This Row],[ignored_rand]],dict_zul_Var_Meth[ignored_rand])</f>
        <v>201</v>
      </c>
    </row>
    <row r="236" spans="1:5" x14ac:dyDescent="0.45">
      <c r="A236">
        <f ca="1">VLOOKUP(dict_zul_Var_Meth[[#This Row],[ignored_rank]],help_zuord_Var_Meth[],2)</f>
        <v>112</v>
      </c>
      <c r="B236">
        <v>175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t="shared" ca="1" si="3"/>
        <v>0.45212447288232083</v>
      </c>
      <c r="E236">
        <f ca="1">RANK(dict_zul_Var_Meth[[#This Row],[ignored_rand]],dict_zul_Var_Meth[ignored_rand])</f>
        <v>419</v>
      </c>
    </row>
    <row r="237" spans="1:5" x14ac:dyDescent="0.45">
      <c r="A237" s="3">
        <f ca="1">VLOOKUP(dict_zul_Var_Meth[[#This Row],[ignored_rank]],help_zuord_Var_Meth[],2)</f>
        <v>168</v>
      </c>
      <c r="B237">
        <v>176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t="shared" ca="1" si="3"/>
        <v>0.17953464763570071</v>
      </c>
      <c r="E237" s="3">
        <f ca="1">RANK(dict_zul_Var_Meth[[#This Row],[ignored_rand]],dict_zul_Var_Meth[ignored_rand])</f>
        <v>631</v>
      </c>
    </row>
    <row r="238" spans="1:5" x14ac:dyDescent="0.45">
      <c r="A238">
        <f ca="1">VLOOKUP(dict_zul_Var_Meth[[#This Row],[ignored_rank]],help_zuord_Var_Meth[],2)</f>
        <v>25</v>
      </c>
      <c r="B238">
        <v>177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t="shared" ca="1" si="3"/>
        <v>0.86234618117679729</v>
      </c>
      <c r="E238">
        <f ca="1">RANK(dict_zul_Var_Meth[[#This Row],[ignored_rand]],dict_zul_Var_Meth[ignored_rand])</f>
        <v>93</v>
      </c>
    </row>
    <row r="239" spans="1:5" x14ac:dyDescent="0.45">
      <c r="A239">
        <f ca="1">VLOOKUP(dict_zul_Var_Meth[[#This Row],[ignored_rank]],help_zuord_Var_Meth[],2)</f>
        <v>1</v>
      </c>
      <c r="B239">
        <v>178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9">
        <f t="shared" ca="1" si="3"/>
        <v>0.98331873994159558</v>
      </c>
      <c r="E239">
        <f ca="1">RANK(dict_zul_Var_Meth[[#This Row],[ignored_rand]],dict_zul_Var_Meth[ignored_rand])</f>
        <v>7</v>
      </c>
    </row>
    <row r="240" spans="1:5" x14ac:dyDescent="0.45">
      <c r="A240">
        <f ca="1">VLOOKUP(dict_zul_Var_Meth[[#This Row],[ignored_rank]],help_zuord_Var_Meth[],2)</f>
        <v>51</v>
      </c>
      <c r="B240">
        <v>179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t="shared" ca="1" si="3"/>
        <v>0.73037178020847671</v>
      </c>
      <c r="E240">
        <f ca="1">RANK(dict_zul_Var_Meth[[#This Row],[ignored_rand]],dict_zul_Var_Meth[ignored_rand])</f>
        <v>191</v>
      </c>
    </row>
    <row r="241" spans="1:5" x14ac:dyDescent="0.45">
      <c r="A241">
        <f ca="1">VLOOKUP(dict_zul_Var_Meth[[#This Row],[ignored_rank]],help_zuord_Var_Meth[],2)</f>
        <v>16</v>
      </c>
      <c r="B241">
        <v>180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t="shared" ca="1" si="3"/>
        <v>0.89981499963855061</v>
      </c>
      <c r="E241">
        <f ca="1">RANK(dict_zul_Var_Meth[[#This Row],[ignored_rand]],dict_zul_Var_Meth[ignored_rand])</f>
        <v>61</v>
      </c>
    </row>
    <row r="242" spans="1:5" x14ac:dyDescent="0.45">
      <c r="A242">
        <f ca="1">VLOOKUP(dict_zul_Var_Meth[[#This Row],[ignored_rank]],help_zuord_Var_Meth[],2)</f>
        <v>184</v>
      </c>
      <c r="B242">
        <v>181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t="shared" ca="1" si="3"/>
        <v>0.10771800412700483</v>
      </c>
      <c r="E242">
        <f ca="1">RANK(dict_zul_Var_Meth[[#This Row],[ignored_rand]],dict_zul_Var_Meth[ignored_rand])</f>
        <v>689</v>
      </c>
    </row>
    <row r="243" spans="1:5" x14ac:dyDescent="0.45">
      <c r="A243">
        <f ca="1">VLOOKUP(dict_zul_Var_Meth[[#This Row],[ignored_rank]],help_zuord_Var_Meth[],2)</f>
        <v>162</v>
      </c>
      <c r="B243">
        <v>182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t="shared" ca="1" si="3"/>
        <v>0.21220589334110296</v>
      </c>
      <c r="E243">
        <f ca="1">RANK(dict_zul_Var_Meth[[#This Row],[ignored_rand]],dict_zul_Var_Meth[ignored_rand])</f>
        <v>607</v>
      </c>
    </row>
    <row r="244" spans="1:5" x14ac:dyDescent="0.45">
      <c r="A244">
        <f ca="1">VLOOKUP(dict_zul_Var_Meth[[#This Row],[ignored_rank]],help_zuord_Var_Meth[],2)</f>
        <v>125</v>
      </c>
      <c r="B244">
        <v>183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t="shared" ca="1" si="3"/>
        <v>0.39962448457871391</v>
      </c>
      <c r="E244">
        <f ca="1">RANK(dict_zul_Var_Meth[[#This Row],[ignored_rand]],dict_zul_Var_Meth[ignored_rand])</f>
        <v>470</v>
      </c>
    </row>
    <row r="245" spans="1:5" x14ac:dyDescent="0.45">
      <c r="A245">
        <f ca="1">VLOOKUP(dict_zul_Var_Meth[[#This Row],[ignored_rank]],help_zuord_Var_Meth[],2)</f>
        <v>140</v>
      </c>
      <c r="B245">
        <v>184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t="shared" ca="1" si="3"/>
        <v>0.32237678892241795</v>
      </c>
      <c r="E245">
        <f ca="1">RANK(dict_zul_Var_Meth[[#This Row],[ignored_rand]],dict_zul_Var_Meth[ignored_rand])</f>
        <v>525</v>
      </c>
    </row>
    <row r="246" spans="1:5" x14ac:dyDescent="0.45">
      <c r="A246">
        <f ca="1">VLOOKUP(dict_zul_Var_Meth[[#This Row],[ignored_rank]],help_zuord_Var_Meth[],2)</f>
        <v>72</v>
      </c>
      <c r="B246">
        <v>185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t="shared" ca="1" si="3"/>
        <v>0.63368482310613317</v>
      </c>
      <c r="E246">
        <f ca="1">RANK(dict_zul_Var_Meth[[#This Row],[ignored_rand]],dict_zul_Var_Meth[ignored_rand])</f>
        <v>273</v>
      </c>
    </row>
    <row r="247" spans="1:5" x14ac:dyDescent="0.45">
      <c r="A247">
        <f ca="1">VLOOKUP(dict_zul_Var_Meth[[#This Row],[ignored_rank]],help_zuord_Var_Meth[],2)</f>
        <v>29</v>
      </c>
      <c r="B247">
        <v>186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t="shared" ca="1" si="3"/>
        <v>0.83540739208762149</v>
      </c>
      <c r="E247">
        <f ca="1">RANK(dict_zul_Var_Meth[[#This Row],[ignored_rand]],dict_zul_Var_Meth[ignored_rand])</f>
        <v>111</v>
      </c>
    </row>
    <row r="248" spans="1:5" x14ac:dyDescent="0.45">
      <c r="A248">
        <f ca="1">VLOOKUP(dict_zul_Var_Meth[[#This Row],[ignored_rank]],help_zuord_Var_Meth[],2)</f>
        <v>18</v>
      </c>
      <c r="B248">
        <v>187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t="shared" ca="1" si="3"/>
        <v>0.88728213175272008</v>
      </c>
      <c r="E248">
        <f ca="1">RANK(dict_zul_Var_Meth[[#This Row],[ignored_rand]],dict_zul_Var_Meth[ignored_rand])</f>
        <v>70</v>
      </c>
    </row>
    <row r="249" spans="1:5" x14ac:dyDescent="0.45">
      <c r="A249">
        <f ca="1">VLOOKUP(dict_zul_Var_Meth[[#This Row],[ignored_rank]],help_zuord_Var_Meth[],2)</f>
        <v>154</v>
      </c>
      <c r="B249">
        <v>188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t="shared" ca="1" si="3"/>
        <v>0.24788523114352801</v>
      </c>
      <c r="E249">
        <f ca="1">RANK(dict_zul_Var_Meth[[#This Row],[ignored_rand]],dict_zul_Var_Meth[ignored_rand])</f>
        <v>577</v>
      </c>
    </row>
    <row r="250" spans="1:5" x14ac:dyDescent="0.45">
      <c r="A250">
        <f ca="1">VLOOKUP(dict_zul_Var_Meth[[#This Row],[ignored_rank]],help_zuord_Var_Meth[],2)</f>
        <v>28</v>
      </c>
      <c r="B250">
        <v>189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t="shared" ca="1" si="3"/>
        <v>0.84106196314371473</v>
      </c>
      <c r="E250">
        <f ca="1">RANK(dict_zul_Var_Meth[[#This Row],[ignored_rand]],dict_zul_Var_Meth[ignored_rand])</f>
        <v>107</v>
      </c>
    </row>
    <row r="251" spans="1:5" x14ac:dyDescent="0.45">
      <c r="A251" s="3">
        <f ca="1">VLOOKUP(dict_zul_Var_Meth[[#This Row],[ignored_rank]],help_zuord_Var_Meth[],2)</f>
        <v>104</v>
      </c>
      <c r="B251">
        <v>190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t="shared" ca="1" si="3"/>
        <v>0.48723072261495604</v>
      </c>
      <c r="E251" s="3">
        <f ca="1">RANK(dict_zul_Var_Meth[[#This Row],[ignored_rand]],dict_zul_Var_Meth[ignored_rand])</f>
        <v>393</v>
      </c>
    </row>
    <row r="252" spans="1:5" x14ac:dyDescent="0.45">
      <c r="A252">
        <f ca="1">VLOOKUP(dict_zul_Var_Meth[[#This Row],[ignored_rank]],help_zuord_Var_Meth[],2)</f>
        <v>172</v>
      </c>
      <c r="B252">
        <v>191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t="shared" ca="1" si="3"/>
        <v>0.16630275232467284</v>
      </c>
      <c r="E252">
        <f ca="1">RANK(dict_zul_Var_Meth[[#This Row],[ignored_rand]],dict_zul_Var_Meth[ignored_rand])</f>
        <v>645</v>
      </c>
    </row>
    <row r="253" spans="1:5" x14ac:dyDescent="0.45">
      <c r="A253">
        <f ca="1">VLOOKUP(dict_zul_Var_Meth[[#This Row],[ignored_rank]],help_zuord_Var_Meth[],2)</f>
        <v>168</v>
      </c>
      <c r="B253">
        <v>192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t="shared" ca="1" si="3"/>
        <v>0.17887319740514351</v>
      </c>
      <c r="E253">
        <f ca="1">RANK(dict_zul_Var_Meth[[#This Row],[ignored_rand]],dict_zul_Var_Meth[ignored_rand])</f>
        <v>632</v>
      </c>
    </row>
    <row r="254" spans="1:5" x14ac:dyDescent="0.45">
      <c r="A254">
        <f ca="1">VLOOKUP(dict_zul_Var_Meth[[#This Row],[ignored_rank]],help_zuord_Var_Meth[],2)</f>
        <v>199</v>
      </c>
      <c r="B254">
        <v>193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t="shared" ca="1" si="3"/>
        <v>3.251672228990965E-2</v>
      </c>
      <c r="E254">
        <f ca="1">RANK(dict_zul_Var_Meth[[#This Row],[ignored_rand]],dict_zul_Var_Meth[ignored_rand])</f>
        <v>747</v>
      </c>
    </row>
    <row r="255" spans="1:5" x14ac:dyDescent="0.45">
      <c r="A255">
        <f ca="1">VLOOKUP(dict_zul_Var_Meth[[#This Row],[ignored_rank]],help_zuord_Var_Meth[],2)</f>
        <v>8</v>
      </c>
      <c r="B255">
        <v>194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t="shared" ca="1" si="3"/>
        <v>0.951259277713421</v>
      </c>
      <c r="E255">
        <f ca="1">RANK(dict_zul_Var_Meth[[#This Row],[ignored_rand]],dict_zul_Var_Meth[ignored_rand])</f>
        <v>31</v>
      </c>
    </row>
    <row r="256" spans="1:5" x14ac:dyDescent="0.45">
      <c r="A256">
        <f ca="1">VLOOKUP(dict_zul_Var_Meth[[#This Row],[ignored_rank]],help_zuord_Var_Meth[],2)</f>
        <v>115</v>
      </c>
      <c r="B256">
        <v>195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t="shared" ca="1" si="3"/>
        <v>0.43696227294585555</v>
      </c>
      <c r="E256">
        <f ca="1">RANK(dict_zul_Var_Meth[[#This Row],[ignored_rand]],dict_zul_Var_Meth[ignored_rand])</f>
        <v>432</v>
      </c>
    </row>
    <row r="257" spans="1:5" x14ac:dyDescent="0.45">
      <c r="A257">
        <f ca="1">VLOOKUP(dict_zul_Var_Meth[[#This Row],[ignored_rank]],help_zuord_Var_Meth[],2)</f>
        <v>64</v>
      </c>
      <c r="B257">
        <v>196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t="shared" ca="1" si="3"/>
        <v>0.66045600503718949</v>
      </c>
      <c r="E257">
        <f ca="1">RANK(dict_zul_Var_Meth[[#This Row],[ignored_rand]],dict_zul_Var_Meth[ignored_rand])</f>
        <v>243</v>
      </c>
    </row>
    <row r="258" spans="1:5" x14ac:dyDescent="0.45">
      <c r="A258">
        <f ca="1">VLOOKUP(dict_zul_Var_Meth[[#This Row],[ignored_rank]],help_zuord_Var_Meth[],2)</f>
        <v>103</v>
      </c>
      <c r="B258">
        <v>197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t="shared" ref="D258:D321" ca="1" si="4">RAND()</f>
        <v>0.50039126039226434</v>
      </c>
      <c r="E258">
        <f ca="1">RANK(dict_zul_Var_Meth[[#This Row],[ignored_rand]],dict_zul_Var_Meth[ignored_rand])</f>
        <v>385</v>
      </c>
    </row>
    <row r="259" spans="1:5" x14ac:dyDescent="0.45">
      <c r="A259">
        <f ca="1">VLOOKUP(dict_zul_Var_Meth[[#This Row],[ignored_rank]],help_zuord_Var_Meth[],2)</f>
        <v>52</v>
      </c>
      <c r="B259">
        <v>198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t="shared" ca="1" si="4"/>
        <v>0.71398711019636341</v>
      </c>
      <c r="E259">
        <f ca="1">RANK(dict_zul_Var_Meth[[#This Row],[ignored_rand]],dict_zul_Var_Meth[ignored_rand])</f>
        <v>199</v>
      </c>
    </row>
    <row r="260" spans="1:5" x14ac:dyDescent="0.45">
      <c r="A260">
        <f ca="1">VLOOKUP(dict_zul_Var_Meth[[#This Row],[ignored_rank]],help_zuord_Var_Meth[],2)</f>
        <v>90</v>
      </c>
      <c r="B260">
        <v>199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t="shared" ca="1" si="4"/>
        <v>0.55316847942903602</v>
      </c>
      <c r="E260">
        <f ca="1">RANK(dict_zul_Var_Meth[[#This Row],[ignored_rand]],dict_zul_Var_Meth[ignored_rand])</f>
        <v>339</v>
      </c>
    </row>
    <row r="261" spans="1:5" x14ac:dyDescent="0.45">
      <c r="A261" s="3">
        <f ca="1">VLOOKUP(dict_zul_Var_Meth[[#This Row],[ignored_rank]],help_zuord_Var_Meth[],2)</f>
        <v>170</v>
      </c>
      <c r="B261">
        <v>200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t="shared" ca="1" si="4"/>
        <v>0.17455321293912007</v>
      </c>
      <c r="E261" s="3">
        <f ca="1">RANK(dict_zul_Var_Meth[[#This Row],[ignored_rand]],dict_zul_Var_Meth[ignored_rand])</f>
        <v>637</v>
      </c>
    </row>
    <row r="262" spans="1:5" x14ac:dyDescent="0.45">
      <c r="A262">
        <f ca="1">VLOOKUP(dict_zul_Var_Meth[[#This Row],[ignored_rank]],help_zuord_Var_Meth[],2)</f>
        <v>39</v>
      </c>
      <c r="B262">
        <v>201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t="shared" ca="1" si="4"/>
        <v>0.77367858781852028</v>
      </c>
      <c r="E262">
        <f ca="1">RANK(dict_zul_Var_Meth[[#This Row],[ignored_rand]],dict_zul_Var_Meth[ignored_rand])</f>
        <v>150</v>
      </c>
    </row>
    <row r="263" spans="1:5" x14ac:dyDescent="0.45">
      <c r="A263">
        <f ca="1">VLOOKUP(dict_zul_Var_Meth[[#This Row],[ignored_rank]],help_zuord_Var_Meth[],2)</f>
        <v>31</v>
      </c>
      <c r="B263">
        <v>202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t="shared" ca="1" si="4"/>
        <v>0.82277883280550834</v>
      </c>
      <c r="E263">
        <f ca="1">RANK(dict_zul_Var_Meth[[#This Row],[ignored_rand]],dict_zul_Var_Meth[ignored_rand])</f>
        <v>118</v>
      </c>
    </row>
    <row r="264" spans="1:5" x14ac:dyDescent="0.45">
      <c r="A264">
        <f ca="1">VLOOKUP(dict_zul_Var_Meth[[#This Row],[ignored_rank]],help_zuord_Var_Meth[],2)</f>
        <v>110</v>
      </c>
      <c r="B264">
        <v>203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t="shared" ca="1" si="4"/>
        <v>0.45865500524952441</v>
      </c>
      <c r="E264">
        <f ca="1">RANK(dict_zul_Var_Meth[[#This Row],[ignored_rand]],dict_zul_Var_Meth[ignored_rand])</f>
        <v>412</v>
      </c>
    </row>
    <row r="265" spans="1:5" x14ac:dyDescent="0.45">
      <c r="A265">
        <f ca="1">VLOOKUP(dict_zul_Var_Meth[[#This Row],[ignored_rank]],help_zuord_Var_Meth[],2)</f>
        <v>62</v>
      </c>
      <c r="B265">
        <v>204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t="shared" ca="1" si="4"/>
        <v>0.67273320548564197</v>
      </c>
      <c r="E265">
        <f ca="1">RANK(dict_zul_Var_Meth[[#This Row],[ignored_rand]],dict_zul_Var_Meth[ignored_rand])</f>
        <v>232</v>
      </c>
    </row>
    <row r="266" spans="1:5" x14ac:dyDescent="0.45">
      <c r="A266">
        <f ca="1">VLOOKUP(dict_zul_Var_Meth[[#This Row],[ignored_rank]],help_zuord_Var_Meth[],2)</f>
        <v>76</v>
      </c>
      <c r="B266">
        <v>205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t="shared" ca="1" si="4"/>
        <v>0.61822656441670376</v>
      </c>
      <c r="E266">
        <f ca="1">RANK(dict_zul_Var_Meth[[#This Row],[ignored_rand]],dict_zul_Var_Meth[ignored_rand])</f>
        <v>288</v>
      </c>
    </row>
    <row r="267" spans="1:5" x14ac:dyDescent="0.45">
      <c r="A267">
        <f ca="1">VLOOKUP(dict_zul_Var_Meth[[#This Row],[ignored_rank]],help_zuord_Var_Meth[],2)</f>
        <v>146</v>
      </c>
      <c r="B267">
        <v>206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t="shared" ca="1" si="4"/>
        <v>0.27794904367248841</v>
      </c>
      <c r="E267">
        <f ca="1">RANK(dict_zul_Var_Meth[[#This Row],[ignored_rand]],dict_zul_Var_Meth[ignored_rand])</f>
        <v>549</v>
      </c>
    </row>
    <row r="268" spans="1:5" x14ac:dyDescent="0.45">
      <c r="A268">
        <f ca="1">VLOOKUP(dict_zul_Var_Meth[[#This Row],[ignored_rank]],help_zuord_Var_Meth[],2)</f>
        <v>181</v>
      </c>
      <c r="B268">
        <v>207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t="shared" ca="1" si="4"/>
        <v>0.11519883288290178</v>
      </c>
      <c r="E268">
        <f ca="1">RANK(dict_zul_Var_Meth[[#This Row],[ignored_rand]],dict_zul_Var_Meth[ignored_rand])</f>
        <v>677</v>
      </c>
    </row>
    <row r="269" spans="1:5" x14ac:dyDescent="0.45">
      <c r="A269">
        <f ca="1">VLOOKUP(dict_zul_Var_Meth[[#This Row],[ignored_rank]],help_zuord_Var_Meth[],2)</f>
        <v>175</v>
      </c>
      <c r="B269">
        <v>208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t="shared" ca="1" si="4"/>
        <v>0.14844386445723057</v>
      </c>
      <c r="E269">
        <f ca="1">RANK(dict_zul_Var_Meth[[#This Row],[ignored_rand]],dict_zul_Var_Meth[ignored_rand])</f>
        <v>657</v>
      </c>
    </row>
    <row r="270" spans="1:5" x14ac:dyDescent="0.45">
      <c r="A270">
        <f ca="1">VLOOKUP(dict_zul_Var_Meth[[#This Row],[ignored_rank]],help_zuord_Var_Meth[],2)</f>
        <v>140</v>
      </c>
      <c r="B270">
        <v>209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t="shared" ca="1" si="4"/>
        <v>0.31967486653815602</v>
      </c>
      <c r="E270">
        <f ca="1">RANK(dict_zul_Var_Meth[[#This Row],[ignored_rand]],dict_zul_Var_Meth[ignored_rand])</f>
        <v>526</v>
      </c>
    </row>
    <row r="271" spans="1:5" x14ac:dyDescent="0.45">
      <c r="A271">
        <f ca="1">VLOOKUP(dict_zul_Var_Meth[[#This Row],[ignored_rank]],help_zuord_Var_Meth[],2)</f>
        <v>98</v>
      </c>
      <c r="B271">
        <v>210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t="shared" ca="1" si="4"/>
        <v>0.52725545394338369</v>
      </c>
      <c r="E271">
        <f ca="1">RANK(dict_zul_Var_Meth[[#This Row],[ignored_rand]],dict_zul_Var_Meth[ignored_rand])</f>
        <v>368</v>
      </c>
    </row>
    <row r="272" spans="1:5" x14ac:dyDescent="0.45">
      <c r="A272">
        <f ca="1">VLOOKUP(dict_zul_Var_Meth[[#This Row],[ignored_rank]],help_zuord_Var_Meth[],2)</f>
        <v>140</v>
      </c>
      <c r="B272">
        <v>211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t="shared" ca="1" si="4"/>
        <v>0.32245763309199871</v>
      </c>
      <c r="E272">
        <f ca="1">RANK(dict_zul_Var_Meth[[#This Row],[ignored_rand]],dict_zul_Var_Meth[ignored_rand])</f>
        <v>524</v>
      </c>
    </row>
    <row r="273" spans="1:5" x14ac:dyDescent="0.45">
      <c r="A273">
        <f ca="1">VLOOKUP(dict_zul_Var_Meth[[#This Row],[ignored_rank]],help_zuord_Var_Meth[],2)</f>
        <v>11</v>
      </c>
      <c r="B273">
        <v>212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t="shared" ca="1" si="4"/>
        <v>0.93597408807508908</v>
      </c>
      <c r="E273">
        <f ca="1">RANK(dict_zul_Var_Meth[[#This Row],[ignored_rand]],dict_zul_Var_Meth[ignored_rand])</f>
        <v>43</v>
      </c>
    </row>
    <row r="274" spans="1:5" x14ac:dyDescent="0.45">
      <c r="A274">
        <f ca="1">VLOOKUP(dict_zul_Var_Meth[[#This Row],[ignored_rank]],help_zuord_Var_Meth[],2)</f>
        <v>192</v>
      </c>
      <c r="B274">
        <v>213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t="shared" ca="1" si="4"/>
        <v>6.1522104906112096E-2</v>
      </c>
      <c r="E274">
        <f ca="1">RANK(dict_zul_Var_Meth[[#This Row],[ignored_rand]],dict_zul_Var_Meth[ignored_rand])</f>
        <v>721</v>
      </c>
    </row>
    <row r="275" spans="1:5" x14ac:dyDescent="0.45">
      <c r="A275">
        <f ca="1">VLOOKUP(dict_zul_Var_Meth[[#This Row],[ignored_rank]],help_zuord_Var_Meth[],2)</f>
        <v>55</v>
      </c>
      <c r="B275">
        <v>214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t="shared" ca="1" si="4"/>
        <v>0.70494824143120249</v>
      </c>
      <c r="E275">
        <f ca="1">RANK(dict_zul_Var_Meth[[#This Row],[ignored_rand]],dict_zul_Var_Meth[ignored_rand])</f>
        <v>208</v>
      </c>
    </row>
    <row r="276" spans="1:5" x14ac:dyDescent="0.45">
      <c r="A276" s="3">
        <f ca="1">VLOOKUP(dict_zul_Var_Meth[[#This Row],[ignored_rank]],help_zuord_Var_Meth[],2)</f>
        <v>14</v>
      </c>
      <c r="B276">
        <v>215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t="shared" ca="1" si="4"/>
        <v>0.90524826430965943</v>
      </c>
      <c r="E276" s="3">
        <f ca="1">RANK(dict_zul_Var_Meth[[#This Row],[ignored_rand]],dict_zul_Var_Meth[ignored_rand])</f>
        <v>54</v>
      </c>
    </row>
    <row r="277" spans="1:5" x14ac:dyDescent="0.45">
      <c r="A277">
        <f ca="1">VLOOKUP(dict_zul_Var_Meth[[#This Row],[ignored_rank]],help_zuord_Var_Meth[],2)</f>
        <v>81</v>
      </c>
      <c r="B277">
        <v>216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t="shared" ca="1" si="4"/>
        <v>0.59584918762097439</v>
      </c>
      <c r="E277">
        <f ca="1">RANK(dict_zul_Var_Meth[[#This Row],[ignored_rand]],dict_zul_Var_Meth[ignored_rand])</f>
        <v>305</v>
      </c>
    </row>
    <row r="278" spans="1:5" x14ac:dyDescent="0.45">
      <c r="A278">
        <f ca="1">VLOOKUP(dict_zul_Var_Meth[[#This Row],[ignored_rank]],help_zuord_Var_Meth[],2)</f>
        <v>198</v>
      </c>
      <c r="B278">
        <v>217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t="shared" ca="1" si="4"/>
        <v>3.7117944625637667E-2</v>
      </c>
      <c r="E278">
        <f ca="1">RANK(dict_zul_Var_Meth[[#This Row],[ignored_rand]],dict_zul_Var_Meth[ignored_rand])</f>
        <v>742</v>
      </c>
    </row>
    <row r="279" spans="1:5" x14ac:dyDescent="0.45">
      <c r="A279">
        <f ca="1">VLOOKUP(dict_zul_Var_Meth[[#This Row],[ignored_rank]],help_zuord_Var_Meth[],2)</f>
        <v>14</v>
      </c>
      <c r="B279">
        <v>218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t="shared" ca="1" si="4"/>
        <v>0.90492378029992182</v>
      </c>
      <c r="E279">
        <f ca="1">RANK(dict_zul_Var_Meth[[#This Row],[ignored_rand]],dict_zul_Var_Meth[ignored_rand])</f>
        <v>55</v>
      </c>
    </row>
    <row r="280" spans="1:5" x14ac:dyDescent="0.45">
      <c r="A280">
        <f ca="1">VLOOKUP(dict_zul_Var_Meth[[#This Row],[ignored_rank]],help_zuord_Var_Meth[],2)</f>
        <v>8</v>
      </c>
      <c r="B280">
        <v>219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t="shared" ca="1" si="4"/>
        <v>0.94804387069019902</v>
      </c>
      <c r="E280">
        <f ca="1">RANK(dict_zul_Var_Meth[[#This Row],[ignored_rand]],dict_zul_Var_Meth[ignored_rand])</f>
        <v>33</v>
      </c>
    </row>
    <row r="281" spans="1:5" x14ac:dyDescent="0.45">
      <c r="A281">
        <f ca="1">VLOOKUP(dict_zul_Var_Meth[[#This Row],[ignored_rank]],help_zuord_Var_Meth[],2)</f>
        <v>128</v>
      </c>
      <c r="B281">
        <v>220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t="shared" ca="1" si="4"/>
        <v>0.38556197370492262</v>
      </c>
      <c r="E281">
        <f ca="1">RANK(dict_zul_Var_Meth[[#This Row],[ignored_rand]],dict_zul_Var_Meth[ignored_rand])</f>
        <v>481</v>
      </c>
    </row>
    <row r="282" spans="1:5" x14ac:dyDescent="0.45">
      <c r="A282" s="3">
        <f ca="1">VLOOKUP(dict_zul_Var_Meth[[#This Row],[ignored_rank]],help_zuord_Var_Meth[],2)</f>
        <v>117</v>
      </c>
      <c r="B282">
        <v>221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t="shared" ca="1" si="4"/>
        <v>0.43043301958395852</v>
      </c>
      <c r="E282" s="3">
        <f ca="1">RANK(dict_zul_Var_Meth[[#This Row],[ignored_rand]],dict_zul_Var_Meth[ignored_rand])</f>
        <v>439</v>
      </c>
    </row>
    <row r="283" spans="1:5" x14ac:dyDescent="0.45">
      <c r="A283">
        <f ca="1">VLOOKUP(dict_zul_Var_Meth[[#This Row],[ignored_rank]],help_zuord_Var_Meth[],2)</f>
        <v>183</v>
      </c>
      <c r="B283">
        <v>222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t="shared" ca="1" si="4"/>
        <v>0.11101061514461574</v>
      </c>
      <c r="E283">
        <f ca="1">RANK(dict_zul_Var_Meth[[#This Row],[ignored_rand]],dict_zul_Var_Meth[ignored_rand])</f>
        <v>685</v>
      </c>
    </row>
    <row r="284" spans="1:5" x14ac:dyDescent="0.45">
      <c r="A284">
        <f ca="1">VLOOKUP(dict_zul_Var_Meth[[#This Row],[ignored_rank]],help_zuord_Var_Meth[],2)</f>
        <v>57</v>
      </c>
      <c r="B284">
        <v>223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t="shared" ca="1" si="4"/>
        <v>0.69916523587503421</v>
      </c>
      <c r="E284">
        <f ca="1">RANK(dict_zul_Var_Meth[[#This Row],[ignored_rand]],dict_zul_Var_Meth[ignored_rand])</f>
        <v>215</v>
      </c>
    </row>
    <row r="285" spans="1:5" x14ac:dyDescent="0.45">
      <c r="A285">
        <f ca="1">VLOOKUP(dict_zul_Var_Meth[[#This Row],[ignored_rank]],help_zuord_Var_Meth[],2)</f>
        <v>162</v>
      </c>
      <c r="B285">
        <v>224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t="shared" ca="1" si="4"/>
        <v>0.21260558559843035</v>
      </c>
      <c r="E285">
        <f ca="1">RANK(dict_zul_Var_Meth[[#This Row],[ignored_rand]],dict_zul_Var_Meth[ignored_rand])</f>
        <v>606</v>
      </c>
    </row>
    <row r="286" spans="1:5" x14ac:dyDescent="0.45">
      <c r="A286">
        <f ca="1">VLOOKUP(dict_zul_Var_Meth[[#This Row],[ignored_rank]],help_zuord_Var_Meth[],2)</f>
        <v>79</v>
      </c>
      <c r="B286">
        <v>225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t="shared" ca="1" si="4"/>
        <v>0.60434893909133025</v>
      </c>
      <c r="E286">
        <f ca="1">RANK(dict_zul_Var_Meth[[#This Row],[ignored_rand]],dict_zul_Var_Meth[ignored_rand])</f>
        <v>298</v>
      </c>
    </row>
    <row r="287" spans="1:5" x14ac:dyDescent="0.45">
      <c r="A287">
        <f ca="1">VLOOKUP(dict_zul_Var_Meth[[#This Row],[ignored_rank]],help_zuord_Var_Meth[],2)</f>
        <v>159</v>
      </c>
      <c r="B287">
        <v>226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t="shared" ca="1" si="4"/>
        <v>0.22576493302430523</v>
      </c>
      <c r="E287">
        <f ca="1">RANK(dict_zul_Var_Meth[[#This Row],[ignored_rand]],dict_zul_Var_Meth[ignored_rand])</f>
        <v>596</v>
      </c>
    </row>
    <row r="288" spans="1:5" x14ac:dyDescent="0.45">
      <c r="A288">
        <f ca="1">VLOOKUP(dict_zul_Var_Meth[[#This Row],[ignored_rank]],help_zuord_Var_Meth[],2)</f>
        <v>67</v>
      </c>
      <c r="B288">
        <v>227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t="shared" ca="1" si="4"/>
        <v>0.65164079512027828</v>
      </c>
      <c r="E288">
        <f ca="1">RANK(dict_zul_Var_Meth[[#This Row],[ignored_rand]],dict_zul_Var_Meth[ignored_rand])</f>
        <v>254</v>
      </c>
    </row>
    <row r="289" spans="1:5" x14ac:dyDescent="0.45">
      <c r="A289">
        <f ca="1">VLOOKUP(dict_zul_Var_Meth[[#This Row],[ignored_rank]],help_zuord_Var_Meth[],2)</f>
        <v>1</v>
      </c>
      <c r="B289">
        <v>228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9">
        <f t="shared" ca="1" si="4"/>
        <v>0.99399350371348782</v>
      </c>
      <c r="E289">
        <f ca="1">RANK(dict_zul_Var_Meth[[#This Row],[ignored_rand]],dict_zul_Var_Meth[ignored_rand])</f>
        <v>4</v>
      </c>
    </row>
    <row r="290" spans="1:5" x14ac:dyDescent="0.45">
      <c r="A290">
        <f ca="1">VLOOKUP(dict_zul_Var_Meth[[#This Row],[ignored_rank]],help_zuord_Var_Meth[],2)</f>
        <v>20</v>
      </c>
      <c r="B290">
        <v>229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t="shared" ca="1" si="4"/>
        <v>0.88161058272899184</v>
      </c>
      <c r="E290">
        <f ca="1">RANK(dict_zul_Var_Meth[[#This Row],[ignored_rand]],dict_zul_Var_Meth[ignored_rand])</f>
        <v>75</v>
      </c>
    </row>
    <row r="291" spans="1:5" x14ac:dyDescent="0.45">
      <c r="A291">
        <f ca="1">VLOOKUP(dict_zul_Var_Meth[[#This Row],[ignored_rank]],help_zuord_Var_Meth[],2)</f>
        <v>199</v>
      </c>
      <c r="B291">
        <v>230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t="shared" ca="1" si="4"/>
        <v>3.2873917808102227E-2</v>
      </c>
      <c r="E291">
        <f ca="1">RANK(dict_zul_Var_Meth[[#This Row],[ignored_rand]],dict_zul_Var_Meth[ignored_rand])</f>
        <v>746</v>
      </c>
    </row>
    <row r="292" spans="1:5" x14ac:dyDescent="0.45">
      <c r="A292">
        <f ca="1">VLOOKUP(dict_zul_Var_Meth[[#This Row],[ignored_rank]],help_zuord_Var_Meth[],2)</f>
        <v>133</v>
      </c>
      <c r="B292">
        <v>231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t="shared" ca="1" si="4"/>
        <v>0.36268023319090936</v>
      </c>
      <c r="E292">
        <f ca="1">RANK(dict_zul_Var_Meth[[#This Row],[ignored_rand]],dict_zul_Var_Meth[ignored_rand])</f>
        <v>498</v>
      </c>
    </row>
    <row r="293" spans="1:5" x14ac:dyDescent="0.45">
      <c r="A293">
        <f ca="1">VLOOKUP(dict_zul_Var_Meth[[#This Row],[ignored_rank]],help_zuord_Var_Meth[],2)</f>
        <v>58</v>
      </c>
      <c r="B293">
        <v>232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t="shared" ca="1" si="4"/>
        <v>0.6926415336920797</v>
      </c>
      <c r="E293">
        <f ca="1">RANK(dict_zul_Var_Meth[[#This Row],[ignored_rand]],dict_zul_Var_Meth[ignored_rand])</f>
        <v>221</v>
      </c>
    </row>
    <row r="294" spans="1:5" x14ac:dyDescent="0.45">
      <c r="A294">
        <f ca="1">VLOOKUP(dict_zul_Var_Meth[[#This Row],[ignored_rank]],help_zuord_Var_Meth[],2)</f>
        <v>155</v>
      </c>
      <c r="B294">
        <v>233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t="shared" ca="1" si="4"/>
        <v>0.2466121036835085</v>
      </c>
      <c r="E294">
        <f ca="1">RANK(dict_zul_Var_Meth[[#This Row],[ignored_rand]],dict_zul_Var_Meth[ignored_rand])</f>
        <v>580</v>
      </c>
    </row>
    <row r="295" spans="1:5" x14ac:dyDescent="0.45">
      <c r="A295">
        <f ca="1">VLOOKUP(dict_zul_Var_Meth[[#This Row],[ignored_rank]],help_zuord_Var_Meth[],2)</f>
        <v>76</v>
      </c>
      <c r="B295">
        <v>234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t="shared" ca="1" si="4"/>
        <v>0.62051695925832895</v>
      </c>
      <c r="E295">
        <f ca="1">RANK(dict_zul_Var_Meth[[#This Row],[ignored_rand]],dict_zul_Var_Meth[ignored_rand])</f>
        <v>285</v>
      </c>
    </row>
    <row r="296" spans="1:5" x14ac:dyDescent="0.45">
      <c r="A296">
        <f ca="1">VLOOKUP(dict_zul_Var_Meth[[#This Row],[ignored_rank]],help_zuord_Var_Meth[],2)</f>
        <v>40</v>
      </c>
      <c r="B296">
        <v>235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t="shared" ca="1" si="4"/>
        <v>0.77245994363893911</v>
      </c>
      <c r="E296">
        <f ca="1">RANK(dict_zul_Var_Meth[[#This Row],[ignored_rand]],dict_zul_Var_Meth[ignored_rand])</f>
        <v>151</v>
      </c>
    </row>
    <row r="297" spans="1:5" x14ac:dyDescent="0.45">
      <c r="A297" s="3">
        <f ca="1">VLOOKUP(dict_zul_Var_Meth[[#This Row],[ignored_rank]],help_zuord_Var_Meth[],2)</f>
        <v>72</v>
      </c>
      <c r="B297">
        <v>236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t="shared" ca="1" si="4"/>
        <v>0.63381441200975019</v>
      </c>
      <c r="E297" s="3">
        <f ca="1">RANK(dict_zul_Var_Meth[[#This Row],[ignored_rand]],dict_zul_Var_Meth[ignored_rand])</f>
        <v>272</v>
      </c>
    </row>
    <row r="298" spans="1:5" x14ac:dyDescent="0.45">
      <c r="A298">
        <f ca="1">VLOOKUP(dict_zul_Var_Meth[[#This Row],[ignored_rank]],help_zuord_Var_Meth[],2)</f>
        <v>15</v>
      </c>
      <c r="B298">
        <v>237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t="shared" ca="1" si="4"/>
        <v>0.90206295387084068</v>
      </c>
      <c r="E298">
        <f ca="1">RANK(dict_zul_Var_Meth[[#This Row],[ignored_rand]],dict_zul_Var_Meth[ignored_rand])</f>
        <v>58</v>
      </c>
    </row>
    <row r="299" spans="1:5" x14ac:dyDescent="0.45">
      <c r="A299">
        <f ca="1">VLOOKUP(dict_zul_Var_Meth[[#This Row],[ignored_rank]],help_zuord_Var_Meth[],2)</f>
        <v>117</v>
      </c>
      <c r="B299">
        <v>238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t="shared" ca="1" si="4"/>
        <v>0.43109219094550366</v>
      </c>
      <c r="E299">
        <f ca="1">RANK(dict_zul_Var_Meth[[#This Row],[ignored_rand]],dict_zul_Var_Meth[ignored_rand])</f>
        <v>438</v>
      </c>
    </row>
    <row r="300" spans="1:5" x14ac:dyDescent="0.45">
      <c r="A300">
        <f ca="1">VLOOKUP(dict_zul_Var_Meth[[#This Row],[ignored_rank]],help_zuord_Var_Meth[],2)</f>
        <v>200</v>
      </c>
      <c r="B300">
        <v>239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t="shared" ca="1" si="4"/>
        <v>2.4574619710340362E-2</v>
      </c>
      <c r="E300">
        <f ca="1">RANK(dict_zul_Var_Meth[[#This Row],[ignored_rand]],dict_zul_Var_Meth[ignored_rand])</f>
        <v>750</v>
      </c>
    </row>
    <row r="301" spans="1:5" x14ac:dyDescent="0.45">
      <c r="A301">
        <f ca="1">VLOOKUP(dict_zul_Var_Meth[[#This Row],[ignored_rank]],help_zuord_Var_Meth[],2)</f>
        <v>58</v>
      </c>
      <c r="B301">
        <v>240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t="shared" ca="1" si="4"/>
        <v>0.6958397271336062</v>
      </c>
      <c r="E301">
        <f ca="1">RANK(dict_zul_Var_Meth[[#This Row],[ignored_rand]],dict_zul_Var_Meth[ignored_rand])</f>
        <v>218</v>
      </c>
    </row>
    <row r="302" spans="1:5" x14ac:dyDescent="0.45">
      <c r="A302">
        <f ca="1">VLOOKUP(dict_zul_Var_Meth[[#This Row],[ignored_rank]],help_zuord_Var_Meth[],2)</f>
        <v>22</v>
      </c>
      <c r="B302">
        <v>241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t="shared" ca="1" si="4"/>
        <v>0.87360335207486961</v>
      </c>
      <c r="E302">
        <f ca="1">RANK(dict_zul_Var_Meth[[#This Row],[ignored_rand]],dict_zul_Var_Meth[ignored_rand])</f>
        <v>82</v>
      </c>
    </row>
    <row r="303" spans="1:5" x14ac:dyDescent="0.45">
      <c r="A303">
        <f ca="1">VLOOKUP(dict_zul_Var_Meth[[#This Row],[ignored_rank]],help_zuord_Var_Meth[],2)</f>
        <v>97</v>
      </c>
      <c r="B303">
        <v>242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t="shared" ca="1" si="4"/>
        <v>0.5332068550568505</v>
      </c>
      <c r="E303">
        <f ca="1">RANK(dict_zul_Var_Meth[[#This Row],[ignored_rand]],dict_zul_Var_Meth[ignored_rand])</f>
        <v>364</v>
      </c>
    </row>
    <row r="304" spans="1:5" x14ac:dyDescent="0.45">
      <c r="A304">
        <f ca="1">VLOOKUP(dict_zul_Var_Meth[[#This Row],[ignored_rank]],help_zuord_Var_Meth[],2)</f>
        <v>28</v>
      </c>
      <c r="B304">
        <v>243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t="shared" ca="1" si="4"/>
        <v>0.84061379175372064</v>
      </c>
      <c r="E304">
        <f ca="1">RANK(dict_zul_Var_Meth[[#This Row],[ignored_rand]],dict_zul_Var_Meth[ignored_rand])</f>
        <v>108</v>
      </c>
    </row>
    <row r="305" spans="1:5" x14ac:dyDescent="0.45">
      <c r="A305">
        <f ca="1">VLOOKUP(dict_zul_Var_Meth[[#This Row],[ignored_rank]],help_zuord_Var_Meth[],2)</f>
        <v>54</v>
      </c>
      <c r="B305">
        <v>244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t="shared" ca="1" si="4"/>
        <v>0.7117033947236886</v>
      </c>
      <c r="E305">
        <f ca="1">RANK(dict_zul_Var_Meth[[#This Row],[ignored_rand]],dict_zul_Var_Meth[ignored_rand])</f>
        <v>203</v>
      </c>
    </row>
    <row r="306" spans="1:5" x14ac:dyDescent="0.45">
      <c r="A306">
        <f ca="1">VLOOKUP(dict_zul_Var_Meth[[#This Row],[ignored_rank]],help_zuord_Var_Meth[],2)</f>
        <v>165</v>
      </c>
      <c r="B306">
        <v>245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t="shared" ca="1" si="4"/>
        <v>0.1931365093829206</v>
      </c>
      <c r="E306">
        <f ca="1">RANK(dict_zul_Var_Meth[[#This Row],[ignored_rand]],dict_zul_Var_Meth[ignored_rand])</f>
        <v>621</v>
      </c>
    </row>
    <row r="307" spans="1:5" x14ac:dyDescent="0.45">
      <c r="A307" s="3">
        <f ca="1">VLOOKUP(dict_zul_Var_Meth[[#This Row],[ignored_rank]],help_zuord_Var_Meth[],2)</f>
        <v>52</v>
      </c>
      <c r="B307">
        <v>246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t="shared" ca="1" si="4"/>
        <v>0.7186333587774314</v>
      </c>
      <c r="E307" s="3">
        <f ca="1">RANK(dict_zul_Var_Meth[[#This Row],[ignored_rand]],dict_zul_Var_Meth[ignored_rand])</f>
        <v>197</v>
      </c>
    </row>
    <row r="308" spans="1:5" x14ac:dyDescent="0.45">
      <c r="A308" s="3">
        <f ca="1">VLOOKUP(dict_zul_Var_Meth[[#This Row],[ignored_rank]],help_zuord_Var_Meth[],2)</f>
        <v>200</v>
      </c>
      <c r="B308">
        <v>247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t="shared" ca="1" si="4"/>
        <v>6.5338842462250302E-3</v>
      </c>
      <c r="E308" s="3">
        <f ca="1">RANK(dict_zul_Var_Meth[[#This Row],[ignored_rand]],dict_zul_Var_Meth[ignored_rand])</f>
        <v>757</v>
      </c>
    </row>
    <row r="309" spans="1:5" x14ac:dyDescent="0.45">
      <c r="A309">
        <f ca="1">VLOOKUP(dict_zul_Var_Meth[[#This Row],[ignored_rank]],help_zuord_Var_Meth[],2)</f>
        <v>143</v>
      </c>
      <c r="B309">
        <v>248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t="shared" ca="1" si="4"/>
        <v>0.3044163934409313</v>
      </c>
      <c r="E309">
        <f ca="1">RANK(dict_zul_Var_Meth[[#This Row],[ignored_rand]],dict_zul_Var_Meth[ignored_rand])</f>
        <v>535</v>
      </c>
    </row>
    <row r="310" spans="1:5" x14ac:dyDescent="0.45">
      <c r="A310">
        <f ca="1">VLOOKUP(dict_zul_Var_Meth[[#This Row],[ignored_rank]],help_zuord_Var_Meth[],2)</f>
        <v>51</v>
      </c>
      <c r="B310">
        <v>249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t="shared" ca="1" si="4"/>
        <v>0.7306736500462887</v>
      </c>
      <c r="E310">
        <f ca="1">RANK(dict_zul_Var_Meth[[#This Row],[ignored_rand]],dict_zul_Var_Meth[ignored_rand])</f>
        <v>190</v>
      </c>
    </row>
    <row r="311" spans="1:5" x14ac:dyDescent="0.45">
      <c r="A311">
        <f ca="1">VLOOKUP(dict_zul_Var_Meth[[#This Row],[ignored_rank]],help_zuord_Var_Meth[],2)</f>
        <v>110</v>
      </c>
      <c r="B311">
        <v>250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t="shared" ca="1" si="4"/>
        <v>0.45970545370310134</v>
      </c>
      <c r="E311">
        <f ca="1">RANK(dict_zul_Var_Meth[[#This Row],[ignored_rand]],dict_zul_Var_Meth[ignored_rand])</f>
        <v>411</v>
      </c>
    </row>
    <row r="312" spans="1:5" x14ac:dyDescent="0.45">
      <c r="A312">
        <f ca="1">VLOOKUP(dict_zul_Var_Meth[[#This Row],[ignored_rank]],help_zuord_Var_Meth[],2)</f>
        <v>177</v>
      </c>
      <c r="B312">
        <v>251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t="shared" ca="1" si="4"/>
        <v>0.13515087825244332</v>
      </c>
      <c r="E312">
        <f ca="1">RANK(dict_zul_Var_Meth[[#This Row],[ignored_rand]],dict_zul_Var_Meth[ignored_rand])</f>
        <v>665</v>
      </c>
    </row>
    <row r="313" spans="1:5" x14ac:dyDescent="0.45">
      <c r="A313">
        <f ca="1">VLOOKUP(dict_zul_Var_Meth[[#This Row],[ignored_rank]],help_zuord_Var_Meth[],2)</f>
        <v>2</v>
      </c>
      <c r="B313">
        <v>252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3">
        <f t="shared" ca="1" si="4"/>
        <v>0.98278645428523159</v>
      </c>
      <c r="E313">
        <f ca="1">RANK(dict_zul_Var_Meth[[#This Row],[ignored_rand]],dict_zul_Var_Meth[ignored_rand])</f>
        <v>8</v>
      </c>
    </row>
    <row r="314" spans="1:5" x14ac:dyDescent="0.45">
      <c r="A314">
        <f ca="1">VLOOKUP(dict_zul_Var_Meth[[#This Row],[ignored_rank]],help_zuord_Var_Meth[],2)</f>
        <v>63</v>
      </c>
      <c r="B314">
        <v>253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t="shared" ca="1" si="4"/>
        <v>0.66743797269936567</v>
      </c>
      <c r="E314">
        <f ca="1">RANK(dict_zul_Var_Meth[[#This Row],[ignored_rand]],dict_zul_Var_Meth[ignored_rand])</f>
        <v>237</v>
      </c>
    </row>
    <row r="315" spans="1:5" x14ac:dyDescent="0.45">
      <c r="A315">
        <f ca="1">VLOOKUP(dict_zul_Var_Meth[[#This Row],[ignored_rank]],help_zuord_Var_Meth[],2)</f>
        <v>182</v>
      </c>
      <c r="B315">
        <v>254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t="shared" ca="1" si="4"/>
        <v>0.11326399117533215</v>
      </c>
      <c r="E315">
        <f ca="1">RANK(dict_zul_Var_Meth[[#This Row],[ignored_rand]],dict_zul_Var_Meth[ignored_rand])</f>
        <v>682</v>
      </c>
    </row>
    <row r="316" spans="1:5" x14ac:dyDescent="0.45">
      <c r="A316">
        <f ca="1">VLOOKUP(dict_zul_Var_Meth[[#This Row],[ignored_rank]],help_zuord_Var_Meth[],2)</f>
        <v>11</v>
      </c>
      <c r="B316">
        <v>255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t="shared" ca="1" si="4"/>
        <v>0.93683059305745009</v>
      </c>
      <c r="E316">
        <f ca="1">RANK(dict_zul_Var_Meth[[#This Row],[ignored_rand]],dict_zul_Var_Meth[ignored_rand])</f>
        <v>42</v>
      </c>
    </row>
    <row r="317" spans="1:5" x14ac:dyDescent="0.45">
      <c r="A317">
        <f ca="1">VLOOKUP(dict_zul_Var_Meth[[#This Row],[ignored_rank]],help_zuord_Var_Meth[],2)</f>
        <v>9</v>
      </c>
      <c r="B317">
        <v>256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t="shared" ca="1" si="4"/>
        <v>0.94496412625835635</v>
      </c>
      <c r="E317">
        <f ca="1">RANK(dict_zul_Var_Meth[[#This Row],[ignored_rand]],dict_zul_Var_Meth[ignored_rand])</f>
        <v>35</v>
      </c>
    </row>
    <row r="318" spans="1:5" x14ac:dyDescent="0.45">
      <c r="A318">
        <f ca="1">VLOOKUP(dict_zul_Var_Meth[[#This Row],[ignored_rank]],help_zuord_Var_Meth[],2)</f>
        <v>97</v>
      </c>
      <c r="B318">
        <v>257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t="shared" ca="1" si="4"/>
        <v>0.53340378601572813</v>
      </c>
      <c r="E318">
        <f ca="1">RANK(dict_zul_Var_Meth[[#This Row],[ignored_rand]],dict_zul_Var_Meth[ignored_rand])</f>
        <v>363</v>
      </c>
    </row>
    <row r="319" spans="1:5" x14ac:dyDescent="0.45">
      <c r="A319">
        <f ca="1">VLOOKUP(dict_zul_Var_Meth[[#This Row],[ignored_rank]],help_zuord_Var_Meth[],2)</f>
        <v>193</v>
      </c>
      <c r="B319">
        <v>258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t="shared" ca="1" si="4"/>
        <v>5.7121401286125639E-2</v>
      </c>
      <c r="E319">
        <f ca="1">RANK(dict_zul_Var_Meth[[#This Row],[ignored_rand]],dict_zul_Var_Meth[ignored_rand])</f>
        <v>725</v>
      </c>
    </row>
    <row r="320" spans="1:5" x14ac:dyDescent="0.45">
      <c r="A320">
        <f ca="1">VLOOKUP(dict_zul_Var_Meth[[#This Row],[ignored_rank]],help_zuord_Var_Meth[],2)</f>
        <v>98</v>
      </c>
      <c r="B320">
        <v>259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t="shared" ca="1" si="4"/>
        <v>0.52497144027361908</v>
      </c>
      <c r="E320">
        <f ca="1">RANK(dict_zul_Var_Meth[[#This Row],[ignored_rand]],dict_zul_Var_Meth[ignored_rand])</f>
        <v>371</v>
      </c>
    </row>
    <row r="321" spans="1:5" x14ac:dyDescent="0.45">
      <c r="A321">
        <f ca="1">VLOOKUP(dict_zul_Var_Meth[[#This Row],[ignored_rank]],help_zuord_Var_Meth[],2)</f>
        <v>147</v>
      </c>
      <c r="B321">
        <v>260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t="shared" ca="1" si="4"/>
        <v>0.27780502040432509</v>
      </c>
      <c r="E321">
        <f ca="1">RANK(dict_zul_Var_Meth[[#This Row],[ignored_rand]],dict_zul_Var_Meth[ignored_rand])</f>
        <v>551</v>
      </c>
    </row>
    <row r="322" spans="1:5" x14ac:dyDescent="0.45">
      <c r="A322">
        <f ca="1">VLOOKUP(dict_zul_Var_Meth[[#This Row],[ignored_rank]],help_zuord_Var_Meth[],2)</f>
        <v>183</v>
      </c>
      <c r="B322">
        <v>261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t="shared" ref="D322:D385" ca="1" si="5">RAND()</f>
        <v>0.11041581911980713</v>
      </c>
      <c r="E322">
        <f ca="1">RANK(dict_zul_Var_Meth[[#This Row],[ignored_rand]],dict_zul_Var_Meth[ignored_rand])</f>
        <v>686</v>
      </c>
    </row>
    <row r="323" spans="1:5" x14ac:dyDescent="0.45">
      <c r="A323" s="3">
        <f ca="1">VLOOKUP(dict_zul_Var_Meth[[#This Row],[ignored_rank]],help_zuord_Var_Meth[],2)</f>
        <v>92</v>
      </c>
      <c r="B323">
        <v>262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t="shared" ca="1" si="5"/>
        <v>0.54962693680104402</v>
      </c>
      <c r="E323" s="3">
        <f ca="1">RANK(dict_zul_Var_Meth[[#This Row],[ignored_rand]],dict_zul_Var_Meth[ignored_rand])</f>
        <v>346</v>
      </c>
    </row>
    <row r="324" spans="1:5" x14ac:dyDescent="0.45">
      <c r="A324">
        <f ca="1">VLOOKUP(dict_zul_Var_Meth[[#This Row],[ignored_rank]],help_zuord_Var_Meth[],2)</f>
        <v>150</v>
      </c>
      <c r="B324">
        <v>263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t="shared" ca="1" si="5"/>
        <v>0.26391710656378553</v>
      </c>
      <c r="E324">
        <f ca="1">RANK(dict_zul_Var_Meth[[#This Row],[ignored_rand]],dict_zul_Var_Meth[ignored_rand])</f>
        <v>564</v>
      </c>
    </row>
    <row r="325" spans="1:5" x14ac:dyDescent="0.45">
      <c r="A325">
        <f ca="1">VLOOKUP(dict_zul_Var_Meth[[#This Row],[ignored_rank]],help_zuord_Var_Meth[],2)</f>
        <v>193</v>
      </c>
      <c r="B325">
        <v>264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t="shared" ca="1" si="5"/>
        <v>5.9817178446112118E-2</v>
      </c>
      <c r="E325">
        <f ca="1">RANK(dict_zul_Var_Meth[[#This Row],[ignored_rand]],dict_zul_Var_Meth[ignored_rand])</f>
        <v>724</v>
      </c>
    </row>
    <row r="326" spans="1:5" x14ac:dyDescent="0.45">
      <c r="A326">
        <f ca="1">VLOOKUP(dict_zul_Var_Meth[[#This Row],[ignored_rank]],help_zuord_Var_Meth[],2)</f>
        <v>168</v>
      </c>
      <c r="B326">
        <v>265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t="shared" ca="1" si="5"/>
        <v>0.17766964294765475</v>
      </c>
      <c r="E326">
        <f ca="1">RANK(dict_zul_Var_Meth[[#This Row],[ignored_rand]],dict_zul_Var_Meth[ignored_rand])</f>
        <v>633</v>
      </c>
    </row>
    <row r="327" spans="1:5" x14ac:dyDescent="0.45">
      <c r="A327">
        <f ca="1">VLOOKUP(dict_zul_Var_Meth[[#This Row],[ignored_rank]],help_zuord_Var_Meth[],2)</f>
        <v>184</v>
      </c>
      <c r="B327">
        <v>266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t="shared" ca="1" si="5"/>
        <v>0.10776567551254046</v>
      </c>
      <c r="E327">
        <f ca="1">RANK(dict_zul_Var_Meth[[#This Row],[ignored_rand]],dict_zul_Var_Meth[ignored_rand])</f>
        <v>688</v>
      </c>
    </row>
    <row r="328" spans="1:5" x14ac:dyDescent="0.45">
      <c r="A328">
        <f ca="1">VLOOKUP(dict_zul_Var_Meth[[#This Row],[ignored_rank]],help_zuord_Var_Meth[],2)</f>
        <v>82</v>
      </c>
      <c r="B328">
        <v>267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t="shared" ca="1" si="5"/>
        <v>0.58946737159681317</v>
      </c>
      <c r="E328">
        <f ca="1">RANK(dict_zul_Var_Meth[[#This Row],[ignored_rand]],dict_zul_Var_Meth[ignored_rand])</f>
        <v>307</v>
      </c>
    </row>
    <row r="329" spans="1:5" x14ac:dyDescent="0.45">
      <c r="A329">
        <f ca="1">VLOOKUP(dict_zul_Var_Meth[[#This Row],[ignored_rank]],help_zuord_Var_Meth[],2)</f>
        <v>158</v>
      </c>
      <c r="B329">
        <v>268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t="shared" ca="1" si="5"/>
        <v>0.2309630764447177</v>
      </c>
      <c r="E329">
        <f ca="1">RANK(dict_zul_Var_Meth[[#This Row],[ignored_rand]],dict_zul_Var_Meth[ignored_rand])</f>
        <v>594</v>
      </c>
    </row>
    <row r="330" spans="1:5" x14ac:dyDescent="0.45">
      <c r="A330">
        <f ca="1">VLOOKUP(dict_zul_Var_Meth[[#This Row],[ignored_rank]],help_zuord_Var_Meth[],2)</f>
        <v>10</v>
      </c>
      <c r="B330">
        <v>269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t="shared" ca="1" si="5"/>
        <v>0.93866508126982495</v>
      </c>
      <c r="E330">
        <f ca="1">RANK(dict_zul_Var_Meth[[#This Row],[ignored_rand]],dict_zul_Var_Meth[ignored_rand])</f>
        <v>40</v>
      </c>
    </row>
    <row r="331" spans="1:5" x14ac:dyDescent="0.45">
      <c r="A331">
        <f ca="1">VLOOKUP(dict_zul_Var_Meth[[#This Row],[ignored_rank]],help_zuord_Var_Meth[],2)</f>
        <v>3</v>
      </c>
      <c r="B331">
        <v>270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t="shared" ca="1" si="5"/>
        <v>0.97485930777218288</v>
      </c>
      <c r="E331">
        <f ca="1">RANK(dict_zul_Var_Meth[[#This Row],[ignored_rand]],dict_zul_Var_Meth[ignored_rand])</f>
        <v>14</v>
      </c>
    </row>
    <row r="332" spans="1:5" x14ac:dyDescent="0.45">
      <c r="A332">
        <f ca="1">VLOOKUP(dict_zul_Var_Meth[[#This Row],[ignored_rank]],help_zuord_Var_Meth[],2)</f>
        <v>100</v>
      </c>
      <c r="B332">
        <v>271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t="shared" ca="1" si="5"/>
        <v>0.51838621220598391</v>
      </c>
      <c r="E332">
        <f ca="1">RANK(dict_zul_Var_Meth[[#This Row],[ignored_rand]],dict_zul_Var_Meth[ignored_rand])</f>
        <v>377</v>
      </c>
    </row>
    <row r="333" spans="1:5" x14ac:dyDescent="0.45">
      <c r="A333">
        <f ca="1">VLOOKUP(dict_zul_Var_Meth[[#This Row],[ignored_rank]],help_zuord_Var_Meth[],2)</f>
        <v>135</v>
      </c>
      <c r="B333">
        <v>272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t="shared" ca="1" si="5"/>
        <v>0.35597141580056779</v>
      </c>
      <c r="E333">
        <f ca="1">RANK(dict_zul_Var_Meth[[#This Row],[ignored_rand]],dict_zul_Var_Meth[ignored_rand])</f>
        <v>505</v>
      </c>
    </row>
    <row r="334" spans="1:5" x14ac:dyDescent="0.45">
      <c r="A334" s="3">
        <f ca="1">VLOOKUP(dict_zul_Var_Meth[[#This Row],[ignored_rank]],help_zuord_Var_Meth[],2)</f>
        <v>200</v>
      </c>
      <c r="B334">
        <v>273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t="shared" ca="1" si="5"/>
        <v>4.5853180859256604E-3</v>
      </c>
      <c r="E334" s="3">
        <f ca="1">RANK(dict_zul_Var_Meth[[#This Row],[ignored_rand]],dict_zul_Var_Meth[ignored_rand])</f>
        <v>759</v>
      </c>
    </row>
    <row r="335" spans="1:5" x14ac:dyDescent="0.45">
      <c r="A335">
        <f ca="1">VLOOKUP(dict_zul_Var_Meth[[#This Row],[ignored_rank]],help_zuord_Var_Meth[],2)</f>
        <v>155</v>
      </c>
      <c r="B335">
        <v>274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t="shared" ca="1" si="5"/>
        <v>0.2446977175053977</v>
      </c>
      <c r="E335">
        <f ca="1">RANK(dict_zul_Var_Meth[[#This Row],[ignored_rand]],dict_zul_Var_Meth[ignored_rand])</f>
        <v>581</v>
      </c>
    </row>
    <row r="336" spans="1:5" x14ac:dyDescent="0.45">
      <c r="A336">
        <f ca="1">VLOOKUP(dict_zul_Var_Meth[[#This Row],[ignored_rank]],help_zuord_Var_Meth[],2)</f>
        <v>112</v>
      </c>
      <c r="B336">
        <v>275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t="shared" ca="1" si="5"/>
        <v>0.45085486670337427</v>
      </c>
      <c r="E336">
        <f ca="1">RANK(dict_zul_Var_Meth[[#This Row],[ignored_rand]],dict_zul_Var_Meth[ignored_rand])</f>
        <v>420</v>
      </c>
    </row>
    <row r="337" spans="1:5" x14ac:dyDescent="0.45">
      <c r="A337">
        <f ca="1">VLOOKUP(dict_zul_Var_Meth[[#This Row],[ignored_rank]],help_zuord_Var_Meth[],2)</f>
        <v>105</v>
      </c>
      <c r="B337">
        <v>276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t="shared" ca="1" si="5"/>
        <v>0.48677745529425254</v>
      </c>
      <c r="E337">
        <f ca="1">RANK(dict_zul_Var_Meth[[#This Row],[ignored_rand]],dict_zul_Var_Meth[ignored_rand])</f>
        <v>394</v>
      </c>
    </row>
    <row r="338" spans="1:5" x14ac:dyDescent="0.45">
      <c r="A338">
        <f ca="1">VLOOKUP(dict_zul_Var_Meth[[#This Row],[ignored_rank]],help_zuord_Var_Meth[],2)</f>
        <v>199</v>
      </c>
      <c r="B338">
        <v>277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t="shared" ca="1" si="5"/>
        <v>3.3525136845404813E-2</v>
      </c>
      <c r="E338">
        <f ca="1">RANK(dict_zul_Var_Meth[[#This Row],[ignored_rand]],dict_zul_Var_Meth[ignored_rand])</f>
        <v>745</v>
      </c>
    </row>
    <row r="339" spans="1:5" x14ac:dyDescent="0.45">
      <c r="A339">
        <f ca="1">VLOOKUP(dict_zul_Var_Meth[[#This Row],[ignored_rank]],help_zuord_Var_Meth[],2)</f>
        <v>22</v>
      </c>
      <c r="B339">
        <v>278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t="shared" ca="1" si="5"/>
        <v>0.87308184895010654</v>
      </c>
      <c r="E339">
        <f ca="1">RANK(dict_zul_Var_Meth[[#This Row],[ignored_rand]],dict_zul_Var_Meth[ignored_rand])</f>
        <v>83</v>
      </c>
    </row>
    <row r="340" spans="1:5" x14ac:dyDescent="0.45">
      <c r="A340">
        <f ca="1">VLOOKUP(dict_zul_Var_Meth[[#This Row],[ignored_rank]],help_zuord_Var_Meth[],2)</f>
        <v>110</v>
      </c>
      <c r="B340">
        <v>279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t="shared" ca="1" si="5"/>
        <v>0.45561641627195881</v>
      </c>
      <c r="E340">
        <f ca="1">RANK(dict_zul_Var_Meth[[#This Row],[ignored_rand]],dict_zul_Var_Meth[ignored_rand])</f>
        <v>416</v>
      </c>
    </row>
    <row r="341" spans="1:5" x14ac:dyDescent="0.45">
      <c r="A341">
        <f ca="1">VLOOKUP(dict_zul_Var_Meth[[#This Row],[ignored_rank]],help_zuord_Var_Meth[],2)</f>
        <v>54</v>
      </c>
      <c r="B341">
        <v>280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t="shared" ca="1" si="5"/>
        <v>0.70935758970077423</v>
      </c>
      <c r="E341">
        <f ca="1">RANK(dict_zul_Var_Meth[[#This Row],[ignored_rand]],dict_zul_Var_Meth[ignored_rand])</f>
        <v>205</v>
      </c>
    </row>
    <row r="342" spans="1:5" x14ac:dyDescent="0.45">
      <c r="A342">
        <f ca="1">VLOOKUP(dict_zul_Var_Meth[[#This Row],[ignored_rank]],help_zuord_Var_Meth[],2)</f>
        <v>40</v>
      </c>
      <c r="B342">
        <v>281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t="shared" ca="1" si="5"/>
        <v>0.77030604294336047</v>
      </c>
      <c r="E342">
        <f ca="1">RANK(dict_zul_Var_Meth[[#This Row],[ignored_rand]],dict_zul_Var_Meth[ignored_rand])</f>
        <v>153</v>
      </c>
    </row>
    <row r="343" spans="1:5" x14ac:dyDescent="0.45">
      <c r="A343" s="3">
        <f ca="1">VLOOKUP(dict_zul_Var_Meth[[#This Row],[ignored_rank]],help_zuord_Var_Meth[],2)</f>
        <v>144</v>
      </c>
      <c r="B343">
        <v>282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t="shared" ca="1" si="5"/>
        <v>0.29475119676812123</v>
      </c>
      <c r="E343" s="3">
        <f ca="1">RANK(dict_zul_Var_Meth[[#This Row],[ignored_rand]],dict_zul_Var_Meth[ignored_rand])</f>
        <v>539</v>
      </c>
    </row>
    <row r="344" spans="1:5" x14ac:dyDescent="0.45">
      <c r="A344">
        <f ca="1">VLOOKUP(dict_zul_Var_Meth[[#This Row],[ignored_rank]],help_zuord_Var_Meth[],2)</f>
        <v>127</v>
      </c>
      <c r="B344">
        <v>283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t="shared" ca="1" si="5"/>
        <v>0.38695510191369453</v>
      </c>
      <c r="E344">
        <f ca="1">RANK(dict_zul_Var_Meth[[#This Row],[ignored_rand]],dict_zul_Var_Meth[ignored_rand])</f>
        <v>477</v>
      </c>
    </row>
    <row r="345" spans="1:5" x14ac:dyDescent="0.45">
      <c r="A345">
        <f ca="1">VLOOKUP(dict_zul_Var_Meth[[#This Row],[ignored_rank]],help_zuord_Var_Meth[],2)</f>
        <v>198</v>
      </c>
      <c r="B345">
        <v>284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t="shared" ca="1" si="5"/>
        <v>3.8348924750394198E-2</v>
      </c>
      <c r="E345">
        <f ca="1">RANK(dict_zul_Var_Meth[[#This Row],[ignored_rand]],dict_zul_Var_Meth[ignored_rand])</f>
        <v>741</v>
      </c>
    </row>
    <row r="346" spans="1:5" x14ac:dyDescent="0.45">
      <c r="A346">
        <f ca="1">VLOOKUP(dict_zul_Var_Meth[[#This Row],[ignored_rank]],help_zuord_Var_Meth[],2)</f>
        <v>190</v>
      </c>
      <c r="B346">
        <v>285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t="shared" ca="1" si="5"/>
        <v>7.6073326889630311E-2</v>
      </c>
      <c r="E346">
        <f ca="1">RANK(dict_zul_Var_Meth[[#This Row],[ignored_rand]],dict_zul_Var_Meth[ignored_rand])</f>
        <v>713</v>
      </c>
    </row>
    <row r="347" spans="1:5" x14ac:dyDescent="0.45">
      <c r="A347">
        <f ca="1">VLOOKUP(dict_zul_Var_Meth[[#This Row],[ignored_rank]],help_zuord_Var_Meth[],2)</f>
        <v>187</v>
      </c>
      <c r="B347">
        <v>286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t="shared" ca="1" si="5"/>
        <v>9.0876995970225583E-2</v>
      </c>
      <c r="E347">
        <f ca="1">RANK(dict_zul_Var_Meth[[#This Row],[ignored_rand]],dict_zul_Var_Meth[ignored_rand])</f>
        <v>701</v>
      </c>
    </row>
    <row r="348" spans="1:5" x14ac:dyDescent="0.45">
      <c r="A348">
        <f ca="1">VLOOKUP(dict_zul_Var_Meth[[#This Row],[ignored_rank]],help_zuord_Var_Meth[],2)</f>
        <v>200</v>
      </c>
      <c r="B348">
        <v>287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t="shared" ca="1" si="5"/>
        <v>1.3490261955175664E-2</v>
      </c>
      <c r="E348">
        <f ca="1">RANK(dict_zul_Var_Meth[[#This Row],[ignored_rand]],dict_zul_Var_Meth[ignored_rand])</f>
        <v>753</v>
      </c>
    </row>
    <row r="349" spans="1:5" x14ac:dyDescent="0.45">
      <c r="A349">
        <f ca="1">VLOOKUP(dict_zul_Var_Meth[[#This Row],[ignored_rank]],help_zuord_Var_Meth[],2)</f>
        <v>4</v>
      </c>
      <c r="B349">
        <v>288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t="shared" ca="1" si="5"/>
        <v>0.96900854565974914</v>
      </c>
      <c r="E349">
        <f ca="1">RANK(dict_zul_Var_Meth[[#This Row],[ignored_rand]],dict_zul_Var_Meth[ignored_rand])</f>
        <v>15</v>
      </c>
    </row>
    <row r="350" spans="1:5" x14ac:dyDescent="0.45">
      <c r="A350">
        <f ca="1">VLOOKUP(dict_zul_Var_Meth[[#This Row],[ignored_rank]],help_zuord_Var_Meth[],2)</f>
        <v>68</v>
      </c>
      <c r="B350">
        <v>289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t="shared" ca="1" si="5"/>
        <v>0.64480411343149668</v>
      </c>
      <c r="E350">
        <f ca="1">RANK(dict_zul_Var_Meth[[#This Row],[ignored_rand]],dict_zul_Var_Meth[ignored_rand])</f>
        <v>258</v>
      </c>
    </row>
    <row r="351" spans="1:5" x14ac:dyDescent="0.45">
      <c r="A351">
        <f ca="1">VLOOKUP(dict_zul_Var_Meth[[#This Row],[ignored_rank]],help_zuord_Var_Meth[],2)</f>
        <v>143</v>
      </c>
      <c r="B351">
        <v>290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t="shared" ca="1" si="5"/>
        <v>0.30286402337681118</v>
      </c>
      <c r="E351">
        <f ca="1">RANK(dict_zul_Var_Meth[[#This Row],[ignored_rand]],dict_zul_Var_Meth[ignored_rand])</f>
        <v>536</v>
      </c>
    </row>
    <row r="352" spans="1:5" x14ac:dyDescent="0.45">
      <c r="A352">
        <f ca="1">VLOOKUP(dict_zul_Var_Meth[[#This Row],[ignored_rank]],help_zuord_Var_Meth[],2)</f>
        <v>35</v>
      </c>
      <c r="B352">
        <v>291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t="shared" ca="1" si="5"/>
        <v>0.80312993242580721</v>
      </c>
      <c r="E352">
        <f ca="1">RANK(dict_zul_Var_Meth[[#This Row],[ignored_rand]],dict_zul_Var_Meth[ignored_rand])</f>
        <v>131</v>
      </c>
    </row>
    <row r="353" spans="1:5" x14ac:dyDescent="0.45">
      <c r="A353">
        <f ca="1">VLOOKUP(dict_zul_Var_Meth[[#This Row],[ignored_rank]],help_zuord_Var_Meth[],2)</f>
        <v>98</v>
      </c>
      <c r="B353">
        <v>292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t="shared" ca="1" si="5"/>
        <v>0.52541888474840848</v>
      </c>
      <c r="E353">
        <f ca="1">RANK(dict_zul_Var_Meth[[#This Row],[ignored_rand]],dict_zul_Var_Meth[ignored_rand])</f>
        <v>370</v>
      </c>
    </row>
    <row r="354" spans="1:5" x14ac:dyDescent="0.45">
      <c r="A354">
        <f ca="1">VLOOKUP(dict_zul_Var_Meth[[#This Row],[ignored_rank]],help_zuord_Var_Meth[],2)</f>
        <v>108</v>
      </c>
      <c r="B354">
        <v>293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t="shared" ca="1" si="5"/>
        <v>0.46507635724550911</v>
      </c>
      <c r="E354">
        <f ca="1">RANK(dict_zul_Var_Meth[[#This Row],[ignored_rand]],dict_zul_Var_Meth[ignored_rand])</f>
        <v>405</v>
      </c>
    </row>
    <row r="355" spans="1:5" x14ac:dyDescent="0.45">
      <c r="A355">
        <f ca="1">VLOOKUP(dict_zul_Var_Meth[[#This Row],[ignored_rank]],help_zuord_Var_Meth[],2)</f>
        <v>74</v>
      </c>
      <c r="B355">
        <v>294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t="shared" ca="1" si="5"/>
        <v>0.63021631503737541</v>
      </c>
      <c r="E355">
        <f ca="1">RANK(dict_zul_Var_Meth[[#This Row],[ignored_rand]],dict_zul_Var_Meth[ignored_rand])</f>
        <v>278</v>
      </c>
    </row>
    <row r="356" spans="1:5" x14ac:dyDescent="0.45">
      <c r="A356">
        <f ca="1">VLOOKUP(dict_zul_Var_Meth[[#This Row],[ignored_rank]],help_zuord_Var_Meth[],2)</f>
        <v>118</v>
      </c>
      <c r="B356">
        <v>295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t="shared" ca="1" si="5"/>
        <v>0.42453619247379604</v>
      </c>
      <c r="E356">
        <f ca="1">RANK(dict_zul_Var_Meth[[#This Row],[ignored_rand]],dict_zul_Var_Meth[ignored_rand])</f>
        <v>444</v>
      </c>
    </row>
    <row r="357" spans="1:5" x14ac:dyDescent="0.45">
      <c r="A357" s="3">
        <f ca="1">VLOOKUP(dict_zul_Var_Meth[[#This Row],[ignored_rank]],help_zuord_Var_Meth[],2)</f>
        <v>176</v>
      </c>
      <c r="B357">
        <v>296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t="shared" ca="1" si="5"/>
        <v>0.14104850076887154</v>
      </c>
      <c r="E357" s="3">
        <f ca="1">RANK(dict_zul_Var_Meth[[#This Row],[ignored_rand]],dict_zul_Var_Meth[ignored_rand])</f>
        <v>660</v>
      </c>
    </row>
    <row r="358" spans="1:5" x14ac:dyDescent="0.45">
      <c r="A358">
        <f ca="1">VLOOKUP(dict_zul_Var_Meth[[#This Row],[ignored_rank]],help_zuord_Var_Meth[],2)</f>
        <v>39</v>
      </c>
      <c r="B358">
        <v>297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t="shared" ca="1" si="5"/>
        <v>0.7768494567540275</v>
      </c>
      <c r="E358">
        <f ca="1">RANK(dict_zul_Var_Meth[[#This Row],[ignored_rand]],dict_zul_Var_Meth[ignored_rand])</f>
        <v>148</v>
      </c>
    </row>
    <row r="359" spans="1:5" x14ac:dyDescent="0.45">
      <c r="A359">
        <f ca="1">VLOOKUP(dict_zul_Var_Meth[[#This Row],[ignored_rank]],help_zuord_Var_Meth[],2)</f>
        <v>80</v>
      </c>
      <c r="B359">
        <v>298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t="shared" ca="1" si="5"/>
        <v>0.60189340120267154</v>
      </c>
      <c r="E359">
        <f ca="1">RANK(dict_zul_Var_Meth[[#This Row],[ignored_rand]],dict_zul_Var_Meth[ignored_rand])</f>
        <v>301</v>
      </c>
    </row>
    <row r="360" spans="1:5" x14ac:dyDescent="0.45">
      <c r="A360">
        <f ca="1">VLOOKUP(dict_zul_Var_Meth[[#This Row],[ignored_rank]],help_zuord_Var_Meth[],2)</f>
        <v>164</v>
      </c>
      <c r="B360">
        <v>299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t="shared" ca="1" si="5"/>
        <v>0.20005340560407425</v>
      </c>
      <c r="E360">
        <f ca="1">RANK(dict_zul_Var_Meth[[#This Row],[ignored_rand]],dict_zul_Var_Meth[ignored_rand])</f>
        <v>616</v>
      </c>
    </row>
    <row r="361" spans="1:5" x14ac:dyDescent="0.45">
      <c r="A361">
        <f ca="1">VLOOKUP(dict_zul_Var_Meth[[#This Row],[ignored_rank]],help_zuord_Var_Meth[],2)</f>
        <v>0</v>
      </c>
      <c r="B361">
        <v>300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1">
        <f t="shared" ca="1" si="5"/>
        <v>0.99748900773012306</v>
      </c>
      <c r="E361">
        <f ca="1">RANK(dict_zul_Var_Meth[[#This Row],[ignored_rand]],dict_zul_Var_Meth[ignored_rand])</f>
        <v>2</v>
      </c>
    </row>
    <row r="362" spans="1:5" x14ac:dyDescent="0.45">
      <c r="A362">
        <f ca="1">VLOOKUP(dict_zul_Var_Meth[[#This Row],[ignored_rank]],help_zuord_Var_Meth[],2)</f>
        <v>75</v>
      </c>
      <c r="B362">
        <v>301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t="shared" ca="1" si="5"/>
        <v>0.62215962686084003</v>
      </c>
      <c r="E362">
        <f ca="1">RANK(dict_zul_Var_Meth[[#This Row],[ignored_rand]],dict_zul_Var_Meth[ignored_rand])</f>
        <v>283</v>
      </c>
    </row>
    <row r="363" spans="1:5" x14ac:dyDescent="0.45">
      <c r="A363">
        <f ca="1">VLOOKUP(dict_zul_Var_Meth[[#This Row],[ignored_rank]],help_zuord_Var_Meth[],2)</f>
        <v>48</v>
      </c>
      <c r="B363">
        <v>302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t="shared" ca="1" si="5"/>
        <v>0.7377911200937699</v>
      </c>
      <c r="E363">
        <f ca="1">RANK(dict_zul_Var_Meth[[#This Row],[ignored_rand]],dict_zul_Var_Meth[ignored_rand])</f>
        <v>180</v>
      </c>
    </row>
    <row r="364" spans="1:5" x14ac:dyDescent="0.45">
      <c r="A364">
        <f ca="1">VLOOKUP(dict_zul_Var_Meth[[#This Row],[ignored_rank]],help_zuord_Var_Meth[],2)</f>
        <v>47</v>
      </c>
      <c r="B364">
        <v>303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t="shared" ca="1" si="5"/>
        <v>0.74012012280487194</v>
      </c>
      <c r="E364">
        <f ca="1">RANK(dict_zul_Var_Meth[[#This Row],[ignored_rand]],dict_zul_Var_Meth[ignored_rand])</f>
        <v>176</v>
      </c>
    </row>
    <row r="365" spans="1:5" x14ac:dyDescent="0.45">
      <c r="A365">
        <f ca="1">VLOOKUP(dict_zul_Var_Meth[[#This Row],[ignored_rank]],help_zuord_Var_Meth[],2)</f>
        <v>33</v>
      </c>
      <c r="B365">
        <v>304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t="shared" ca="1" si="5"/>
        <v>0.81337484767147139</v>
      </c>
      <c r="E365">
        <f ca="1">RANK(dict_zul_Var_Meth[[#This Row],[ignored_rand]],dict_zul_Var_Meth[ignored_rand])</f>
        <v>124</v>
      </c>
    </row>
    <row r="366" spans="1:5" x14ac:dyDescent="0.45">
      <c r="A366" s="3">
        <f ca="1">VLOOKUP(dict_zul_Var_Meth[[#This Row],[ignored_rank]],help_zuord_Var_Meth[],2)</f>
        <v>122</v>
      </c>
      <c r="B366">
        <v>305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t="shared" ca="1" si="5"/>
        <v>0.40855227502729019</v>
      </c>
      <c r="E366" s="3">
        <f ca="1">RANK(dict_zul_Var_Meth[[#This Row],[ignored_rand]],dict_zul_Var_Meth[ignored_rand])</f>
        <v>459</v>
      </c>
    </row>
    <row r="367" spans="1:5" x14ac:dyDescent="0.45">
      <c r="A367">
        <f ca="1">VLOOKUP(dict_zul_Var_Meth[[#This Row],[ignored_rank]],help_zuord_Var_Meth[],2)</f>
        <v>164</v>
      </c>
      <c r="B367">
        <v>306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t="shared" ca="1" si="5"/>
        <v>0.20093308910756957</v>
      </c>
      <c r="E367">
        <f ca="1">RANK(dict_zul_Var_Meth[[#This Row],[ignored_rand]],dict_zul_Var_Meth[ignored_rand])</f>
        <v>613</v>
      </c>
    </row>
    <row r="368" spans="1:5" x14ac:dyDescent="0.45">
      <c r="A368">
        <f ca="1">VLOOKUP(dict_zul_Var_Meth[[#This Row],[ignored_rank]],help_zuord_Var_Meth[],2)</f>
        <v>28</v>
      </c>
      <c r="B368">
        <v>307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t="shared" ca="1" si="5"/>
        <v>0.84152901143633208</v>
      </c>
      <c r="E368">
        <f ca="1">RANK(dict_zul_Var_Meth[[#This Row],[ignored_rand]],dict_zul_Var_Meth[ignored_rand])</f>
        <v>106</v>
      </c>
    </row>
    <row r="369" spans="1:5" x14ac:dyDescent="0.45">
      <c r="A369">
        <f ca="1">VLOOKUP(dict_zul_Var_Meth[[#This Row],[ignored_rank]],help_zuord_Var_Meth[],2)</f>
        <v>115</v>
      </c>
      <c r="B369">
        <v>308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t="shared" ca="1" si="5"/>
        <v>0.437226015460635</v>
      </c>
      <c r="E369">
        <f ca="1">RANK(dict_zul_Var_Meth[[#This Row],[ignored_rand]],dict_zul_Var_Meth[ignored_rand])</f>
        <v>431</v>
      </c>
    </row>
    <row r="370" spans="1:5" x14ac:dyDescent="0.45">
      <c r="A370">
        <f ca="1">VLOOKUP(dict_zul_Var_Meth[[#This Row],[ignored_rank]],help_zuord_Var_Meth[],2)</f>
        <v>82</v>
      </c>
      <c r="B370">
        <v>309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t="shared" ca="1" si="5"/>
        <v>0.5843293133211731</v>
      </c>
      <c r="E370">
        <f ca="1">RANK(dict_zul_Var_Meth[[#This Row],[ignored_rand]],dict_zul_Var_Meth[ignored_rand])</f>
        <v>309</v>
      </c>
    </row>
    <row r="371" spans="1:5" x14ac:dyDescent="0.45">
      <c r="A371">
        <f ca="1">VLOOKUP(dict_zul_Var_Meth[[#This Row],[ignored_rank]],help_zuord_Var_Meth[],2)</f>
        <v>164</v>
      </c>
      <c r="B371">
        <v>310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t="shared" ca="1" si="5"/>
        <v>0.20006463517109718</v>
      </c>
      <c r="E371">
        <f ca="1">RANK(dict_zul_Var_Meth[[#This Row],[ignored_rand]],dict_zul_Var_Meth[ignored_rand])</f>
        <v>615</v>
      </c>
    </row>
    <row r="372" spans="1:5" x14ac:dyDescent="0.45">
      <c r="A372">
        <f ca="1">VLOOKUP(dict_zul_Var_Meth[[#This Row],[ignored_rank]],help_zuord_Var_Meth[],2)</f>
        <v>170</v>
      </c>
      <c r="B372">
        <v>311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t="shared" ca="1" si="5"/>
        <v>0.17691378936204005</v>
      </c>
      <c r="E372">
        <f ca="1">RANK(dict_zul_Var_Meth[[#This Row],[ignored_rand]],dict_zul_Var_Meth[ignored_rand])</f>
        <v>635</v>
      </c>
    </row>
    <row r="373" spans="1:5" x14ac:dyDescent="0.45">
      <c r="A373">
        <f ca="1">VLOOKUP(dict_zul_Var_Meth[[#This Row],[ignored_rank]],help_zuord_Var_Meth[],2)</f>
        <v>79</v>
      </c>
      <c r="B373">
        <v>312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t="shared" ca="1" si="5"/>
        <v>0.60828445249689811</v>
      </c>
      <c r="E373">
        <f ca="1">RANK(dict_zul_Var_Meth[[#This Row],[ignored_rand]],dict_zul_Var_Meth[ignored_rand])</f>
        <v>295</v>
      </c>
    </row>
    <row r="374" spans="1:5" x14ac:dyDescent="0.45">
      <c r="A374">
        <f ca="1">VLOOKUP(dict_zul_Var_Meth[[#This Row],[ignored_rank]],help_zuord_Var_Meth[],2)</f>
        <v>66</v>
      </c>
      <c r="B374">
        <v>313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t="shared" ca="1" si="5"/>
        <v>0.65598700236390717</v>
      </c>
      <c r="E374">
        <f ca="1">RANK(dict_zul_Var_Meth[[#This Row],[ignored_rand]],dict_zul_Var_Meth[ignored_rand])</f>
        <v>248</v>
      </c>
    </row>
    <row r="375" spans="1:5" x14ac:dyDescent="0.45">
      <c r="A375">
        <f ca="1">VLOOKUP(dict_zul_Var_Meth[[#This Row],[ignored_rank]],help_zuord_Var_Meth[],2)</f>
        <v>180</v>
      </c>
      <c r="B375">
        <v>314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t="shared" ca="1" si="5"/>
        <v>0.11641758848742079</v>
      </c>
      <c r="E375">
        <f ca="1">RANK(dict_zul_Var_Meth[[#This Row],[ignored_rand]],dict_zul_Var_Meth[ignored_rand])</f>
        <v>675</v>
      </c>
    </row>
    <row r="376" spans="1:5" x14ac:dyDescent="0.45">
      <c r="A376">
        <f ca="1">VLOOKUP(dict_zul_Var_Meth[[#This Row],[ignored_rank]],help_zuord_Var_Meth[],2)</f>
        <v>22</v>
      </c>
      <c r="B376">
        <v>315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t="shared" ca="1" si="5"/>
        <v>0.87024922339614363</v>
      </c>
      <c r="E376">
        <f ca="1">RANK(dict_zul_Var_Meth[[#This Row],[ignored_rand]],dict_zul_Var_Meth[ignored_rand])</f>
        <v>85</v>
      </c>
    </row>
    <row r="377" spans="1:5" x14ac:dyDescent="0.45">
      <c r="A377">
        <f ca="1">VLOOKUP(dict_zul_Var_Meth[[#This Row],[ignored_rank]],help_zuord_Var_Meth[],2)</f>
        <v>90</v>
      </c>
      <c r="B377">
        <v>316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t="shared" ca="1" si="5"/>
        <v>0.55417335690946357</v>
      </c>
      <c r="E377">
        <f ca="1">RANK(dict_zul_Var_Meth[[#This Row],[ignored_rand]],dict_zul_Var_Meth[ignored_rand])</f>
        <v>338</v>
      </c>
    </row>
    <row r="378" spans="1:5" x14ac:dyDescent="0.45">
      <c r="A378">
        <f ca="1">VLOOKUP(dict_zul_Var_Meth[[#This Row],[ignored_rank]],help_zuord_Var_Meth[],2)</f>
        <v>182</v>
      </c>
      <c r="B378">
        <v>317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t="shared" ca="1" si="5"/>
        <v>0.11233231147150691</v>
      </c>
      <c r="E378">
        <f ca="1">RANK(dict_zul_Var_Meth[[#This Row],[ignored_rand]],dict_zul_Var_Meth[ignored_rand])</f>
        <v>683</v>
      </c>
    </row>
    <row r="379" spans="1:5" x14ac:dyDescent="0.45">
      <c r="A379">
        <f ca="1">VLOOKUP(dict_zul_Var_Meth[[#This Row],[ignored_rank]],help_zuord_Var_Meth[],2)</f>
        <v>105</v>
      </c>
      <c r="B379">
        <v>318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t="shared" ca="1" si="5"/>
        <v>0.4809854207537112</v>
      </c>
      <c r="E379">
        <f ca="1">RANK(dict_zul_Var_Meth[[#This Row],[ignored_rand]],dict_zul_Var_Meth[ignored_rand])</f>
        <v>396</v>
      </c>
    </row>
    <row r="380" spans="1:5" x14ac:dyDescent="0.45">
      <c r="A380">
        <f ca="1">VLOOKUP(dict_zul_Var_Meth[[#This Row],[ignored_rank]],help_zuord_Var_Meth[],2)</f>
        <v>46</v>
      </c>
      <c r="B380">
        <v>319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t="shared" ca="1" si="5"/>
        <v>0.74060970609914345</v>
      </c>
      <c r="E380">
        <f ca="1">RANK(dict_zul_Var_Meth[[#This Row],[ignored_rand]],dict_zul_Var_Meth[ignored_rand])</f>
        <v>175</v>
      </c>
    </row>
    <row r="381" spans="1:5" x14ac:dyDescent="0.45">
      <c r="A381">
        <f ca="1">VLOOKUP(dict_zul_Var_Meth[[#This Row],[ignored_rank]],help_zuord_Var_Meth[],2)</f>
        <v>108</v>
      </c>
      <c r="B381">
        <v>320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t="shared" ca="1" si="5"/>
        <v>0.46282349275644108</v>
      </c>
      <c r="E381">
        <f ca="1">RANK(dict_zul_Var_Meth[[#This Row],[ignored_rand]],dict_zul_Var_Meth[ignored_rand])</f>
        <v>407</v>
      </c>
    </row>
    <row r="382" spans="1:5" x14ac:dyDescent="0.45">
      <c r="A382">
        <f ca="1">VLOOKUP(dict_zul_Var_Meth[[#This Row],[ignored_rank]],help_zuord_Var_Meth[],2)</f>
        <v>64</v>
      </c>
      <c r="B382">
        <v>321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t="shared" ca="1" si="5"/>
        <v>0.66222958877063243</v>
      </c>
      <c r="E382">
        <f ca="1">RANK(dict_zul_Var_Meth[[#This Row],[ignored_rand]],dict_zul_Var_Meth[ignored_rand])</f>
        <v>241</v>
      </c>
    </row>
    <row r="383" spans="1:5" x14ac:dyDescent="0.45">
      <c r="A383">
        <f ca="1">VLOOKUP(dict_zul_Var_Meth[[#This Row],[ignored_rank]],help_zuord_Var_Meth[],2)</f>
        <v>34</v>
      </c>
      <c r="B383">
        <v>322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t="shared" ca="1" si="5"/>
        <v>0.81043794480592557</v>
      </c>
      <c r="E383">
        <f ca="1">RANK(dict_zul_Var_Meth[[#This Row],[ignored_rand]],dict_zul_Var_Meth[ignored_rand])</f>
        <v>127</v>
      </c>
    </row>
    <row r="384" spans="1:5" x14ac:dyDescent="0.45">
      <c r="A384">
        <f ca="1">VLOOKUP(dict_zul_Var_Meth[[#This Row],[ignored_rank]],help_zuord_Var_Meth[],2)</f>
        <v>156</v>
      </c>
      <c r="B384">
        <v>323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t="shared" ca="1" si="5"/>
        <v>0.24230868415899276</v>
      </c>
      <c r="E384">
        <f ca="1">RANK(dict_zul_Var_Meth[[#This Row],[ignored_rand]],dict_zul_Var_Meth[ignored_rand])</f>
        <v>584</v>
      </c>
    </row>
    <row r="385" spans="1:5" x14ac:dyDescent="0.45">
      <c r="A385">
        <f ca="1">VLOOKUP(dict_zul_Var_Meth[[#This Row],[ignored_rank]],help_zuord_Var_Meth[],2)</f>
        <v>45</v>
      </c>
      <c r="B385">
        <v>324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t="shared" ca="1" si="5"/>
        <v>0.74489264579724401</v>
      </c>
      <c r="E385">
        <f ca="1">RANK(dict_zul_Var_Meth[[#This Row],[ignored_rand]],dict_zul_Var_Meth[ignored_rand])</f>
        <v>170</v>
      </c>
    </row>
    <row r="386" spans="1:5" x14ac:dyDescent="0.45">
      <c r="A386">
        <f ca="1">VLOOKUP(dict_zul_Var_Meth[[#This Row],[ignored_rank]],help_zuord_Var_Meth[],2)</f>
        <v>131</v>
      </c>
      <c r="B386">
        <v>325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t="shared" ref="D386:D449" ca="1" si="6">RAND()</f>
        <v>0.36863929637812787</v>
      </c>
      <c r="E386">
        <f ca="1">RANK(dict_zul_Var_Meth[[#This Row],[ignored_rand]],dict_zul_Var_Meth[ignored_rand])</f>
        <v>492</v>
      </c>
    </row>
    <row r="387" spans="1:5" x14ac:dyDescent="0.45">
      <c r="A387">
        <f ca="1">VLOOKUP(dict_zul_Var_Meth[[#This Row],[ignored_rank]],help_zuord_Var_Meth[],2)</f>
        <v>122</v>
      </c>
      <c r="B387">
        <v>326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t="shared" ca="1" si="6"/>
        <v>0.41148597535976816</v>
      </c>
      <c r="E387">
        <f ca="1">RANK(dict_zul_Var_Meth[[#This Row],[ignored_rand]],dict_zul_Var_Meth[ignored_rand])</f>
        <v>456</v>
      </c>
    </row>
    <row r="388" spans="1:5" x14ac:dyDescent="0.45">
      <c r="A388" s="3">
        <f ca="1">VLOOKUP(dict_zul_Var_Meth[[#This Row],[ignored_rank]],help_zuord_Var_Meth[],2)</f>
        <v>71</v>
      </c>
      <c r="B388">
        <v>327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t="shared" ca="1" si="6"/>
        <v>0.63791217439104675</v>
      </c>
      <c r="E388" s="3">
        <f ca="1">RANK(dict_zul_Var_Meth[[#This Row],[ignored_rand]],dict_zul_Var_Meth[ignored_rand])</f>
        <v>267</v>
      </c>
    </row>
    <row r="389" spans="1:5" x14ac:dyDescent="0.45">
      <c r="A389">
        <f ca="1">VLOOKUP(dict_zul_Var_Meth[[#This Row],[ignored_rank]],help_zuord_Var_Meth[],2)</f>
        <v>184</v>
      </c>
      <c r="B389">
        <v>328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t="shared" ca="1" si="6"/>
        <v>0.10388191692874893</v>
      </c>
      <c r="E389">
        <f ca="1">RANK(dict_zul_Var_Meth[[#This Row],[ignored_rand]],dict_zul_Var_Meth[ignored_rand])</f>
        <v>691</v>
      </c>
    </row>
    <row r="390" spans="1:5" x14ac:dyDescent="0.45">
      <c r="A390">
        <f ca="1">VLOOKUP(dict_zul_Var_Meth[[#This Row],[ignored_rank]],help_zuord_Var_Meth[],2)</f>
        <v>88</v>
      </c>
      <c r="B390">
        <v>329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t="shared" ca="1" si="6"/>
        <v>0.55681799346428118</v>
      </c>
      <c r="E390">
        <f ca="1">RANK(dict_zul_Var_Meth[[#This Row],[ignored_rand]],dict_zul_Var_Meth[ignored_rand])</f>
        <v>330</v>
      </c>
    </row>
    <row r="391" spans="1:5" x14ac:dyDescent="0.45">
      <c r="A391">
        <f ca="1">VLOOKUP(dict_zul_Var_Meth[[#This Row],[ignored_rank]],help_zuord_Var_Meth[],2)</f>
        <v>124</v>
      </c>
      <c r="B391">
        <v>330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t="shared" ca="1" si="6"/>
        <v>0.40487624238466935</v>
      </c>
      <c r="E391">
        <f ca="1">RANK(dict_zul_Var_Meth[[#This Row],[ignored_rand]],dict_zul_Var_Meth[ignored_rand])</f>
        <v>463</v>
      </c>
    </row>
    <row r="392" spans="1:5" x14ac:dyDescent="0.45">
      <c r="A392">
        <f ca="1">VLOOKUP(dict_zul_Var_Meth[[#This Row],[ignored_rank]],help_zuord_Var_Meth[],2)</f>
        <v>129</v>
      </c>
      <c r="B392">
        <v>331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t="shared" ca="1" si="6"/>
        <v>0.37873474544365993</v>
      </c>
      <c r="E392">
        <f ca="1">RANK(dict_zul_Var_Meth[[#This Row],[ignored_rand]],dict_zul_Var_Meth[ignored_rand])</f>
        <v>486</v>
      </c>
    </row>
    <row r="393" spans="1:5" x14ac:dyDescent="0.45">
      <c r="A393">
        <f ca="1">VLOOKUP(dict_zul_Var_Meth[[#This Row],[ignored_rank]],help_zuord_Var_Meth[],2)</f>
        <v>158</v>
      </c>
      <c r="B393">
        <v>332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t="shared" ca="1" si="6"/>
        <v>0.23329507020481532</v>
      </c>
      <c r="E393">
        <f ca="1">RANK(dict_zul_Var_Meth[[#This Row],[ignored_rand]],dict_zul_Var_Meth[ignored_rand])</f>
        <v>591</v>
      </c>
    </row>
    <row r="394" spans="1:5" x14ac:dyDescent="0.45">
      <c r="A394">
        <f ca="1">VLOOKUP(dict_zul_Var_Meth[[#This Row],[ignored_rank]],help_zuord_Var_Meth[],2)</f>
        <v>106</v>
      </c>
      <c r="B394">
        <v>333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t="shared" ca="1" si="6"/>
        <v>0.47655058666236871</v>
      </c>
      <c r="E394">
        <f ca="1">RANK(dict_zul_Var_Meth[[#This Row],[ignored_rand]],dict_zul_Var_Meth[ignored_rand])</f>
        <v>399</v>
      </c>
    </row>
    <row r="395" spans="1:5" x14ac:dyDescent="0.45">
      <c r="A395">
        <f ca="1">VLOOKUP(dict_zul_Var_Meth[[#This Row],[ignored_rank]],help_zuord_Var_Meth[],2)</f>
        <v>151</v>
      </c>
      <c r="B395">
        <v>334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t="shared" ca="1" si="6"/>
        <v>0.26104963650665447</v>
      </c>
      <c r="E395">
        <f ca="1">RANK(dict_zul_Var_Meth[[#This Row],[ignored_rand]],dict_zul_Var_Meth[ignored_rand])</f>
        <v>566</v>
      </c>
    </row>
    <row r="396" spans="1:5" x14ac:dyDescent="0.45">
      <c r="A396">
        <f ca="1">VLOOKUP(dict_zul_Var_Meth[[#This Row],[ignored_rank]],help_zuord_Var_Meth[],2)</f>
        <v>117</v>
      </c>
      <c r="B396">
        <v>335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t="shared" ca="1" si="6"/>
        <v>0.43009521994953526</v>
      </c>
      <c r="E396">
        <f ca="1">RANK(dict_zul_Var_Meth[[#This Row],[ignored_rand]],dict_zul_Var_Meth[ignored_rand])</f>
        <v>440</v>
      </c>
    </row>
    <row r="397" spans="1:5" x14ac:dyDescent="0.45">
      <c r="A397">
        <f ca="1">VLOOKUP(dict_zul_Var_Meth[[#This Row],[ignored_rank]],help_zuord_Var_Meth[],2)</f>
        <v>73</v>
      </c>
      <c r="B397">
        <v>336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t="shared" ca="1" si="6"/>
        <v>0.63287940215195415</v>
      </c>
      <c r="E397">
        <f ca="1">RANK(dict_zul_Var_Meth[[#This Row],[ignored_rand]],dict_zul_Var_Meth[ignored_rand])</f>
        <v>275</v>
      </c>
    </row>
    <row r="398" spans="1:5" x14ac:dyDescent="0.45">
      <c r="A398">
        <f ca="1">VLOOKUP(dict_zul_Var_Meth[[#This Row],[ignored_rank]],help_zuord_Var_Meth[],2)</f>
        <v>139</v>
      </c>
      <c r="B398">
        <v>337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t="shared" ca="1" si="6"/>
        <v>0.32448396672684576</v>
      </c>
      <c r="E398">
        <f ca="1">RANK(dict_zul_Var_Meth[[#This Row],[ignored_rand]],dict_zul_Var_Meth[ignored_rand])</f>
        <v>522</v>
      </c>
    </row>
    <row r="399" spans="1:5" x14ac:dyDescent="0.45">
      <c r="A399">
        <f ca="1">VLOOKUP(dict_zul_Var_Meth[[#This Row],[ignored_rank]],help_zuord_Var_Meth[],2)</f>
        <v>81</v>
      </c>
      <c r="B399">
        <v>338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t="shared" ca="1" si="6"/>
        <v>0.60101968708098286</v>
      </c>
      <c r="E399">
        <f ca="1">RANK(dict_zul_Var_Meth[[#This Row],[ignored_rand]],dict_zul_Var_Meth[ignored_rand])</f>
        <v>303</v>
      </c>
    </row>
    <row r="400" spans="1:5" x14ac:dyDescent="0.45">
      <c r="A400">
        <f ca="1">VLOOKUP(dict_zul_Var_Meth[[#This Row],[ignored_rank]],help_zuord_Var_Meth[],2)</f>
        <v>56</v>
      </c>
      <c r="B400">
        <v>339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t="shared" ca="1" si="6"/>
        <v>0.70246058356128926</v>
      </c>
      <c r="E400">
        <f ca="1">RANK(dict_zul_Var_Meth[[#This Row],[ignored_rand]],dict_zul_Var_Meth[ignored_rand])</f>
        <v>212</v>
      </c>
    </row>
    <row r="401" spans="1:5" x14ac:dyDescent="0.45">
      <c r="A401">
        <f ca="1">VLOOKUP(dict_zul_Var_Meth[[#This Row],[ignored_rank]],help_zuord_Var_Meth[],2)</f>
        <v>145</v>
      </c>
      <c r="B401">
        <v>340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t="shared" ca="1" si="6"/>
        <v>0.28005957759757383</v>
      </c>
      <c r="E401">
        <f ca="1">RANK(dict_zul_Var_Meth[[#This Row],[ignored_rand]],dict_zul_Var_Meth[ignored_rand])</f>
        <v>547</v>
      </c>
    </row>
    <row r="402" spans="1:5" x14ac:dyDescent="0.45">
      <c r="A402" s="3">
        <f ca="1">VLOOKUP(dict_zul_Var_Meth[[#This Row],[ignored_rank]],help_zuord_Var_Meth[],2)</f>
        <v>112</v>
      </c>
      <c r="B402">
        <v>341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t="shared" ca="1" si="6"/>
        <v>0.44615084601683652</v>
      </c>
      <c r="E402" s="3">
        <f ca="1">RANK(dict_zul_Var_Meth[[#This Row],[ignored_rand]],dict_zul_Var_Meth[ignored_rand])</f>
        <v>421</v>
      </c>
    </row>
    <row r="403" spans="1:5" x14ac:dyDescent="0.45">
      <c r="A403">
        <f ca="1">VLOOKUP(dict_zul_Var_Meth[[#This Row],[ignored_rank]],help_zuord_Var_Meth[],2)</f>
        <v>37</v>
      </c>
      <c r="B403">
        <v>342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t="shared" ca="1" si="6"/>
        <v>0.78823332067210161</v>
      </c>
      <c r="E403">
        <f ca="1">RANK(dict_zul_Var_Meth[[#This Row],[ignored_rand]],dict_zul_Var_Meth[ignored_rand])</f>
        <v>138</v>
      </c>
    </row>
    <row r="404" spans="1:5" x14ac:dyDescent="0.45">
      <c r="A404">
        <f ca="1">VLOOKUP(dict_zul_Var_Meth[[#This Row],[ignored_rank]],help_zuord_Var_Meth[],2)</f>
        <v>12</v>
      </c>
      <c r="B404">
        <v>343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t="shared" ca="1" si="6"/>
        <v>0.91843755668152482</v>
      </c>
      <c r="E404">
        <f ca="1">RANK(dict_zul_Var_Meth[[#This Row],[ignored_rand]],dict_zul_Var_Meth[ignored_rand])</f>
        <v>48</v>
      </c>
    </row>
    <row r="405" spans="1:5" x14ac:dyDescent="0.45">
      <c r="A405">
        <f ca="1">VLOOKUP(dict_zul_Var_Meth[[#This Row],[ignored_rank]],help_zuord_Var_Meth[],2)</f>
        <v>126</v>
      </c>
      <c r="B405">
        <v>344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t="shared" ca="1" si="6"/>
        <v>0.39469082769111641</v>
      </c>
      <c r="E405">
        <f ca="1">RANK(dict_zul_Var_Meth[[#This Row],[ignored_rand]],dict_zul_Var_Meth[ignored_rand])</f>
        <v>472</v>
      </c>
    </row>
    <row r="406" spans="1:5" x14ac:dyDescent="0.45">
      <c r="A406">
        <f ca="1">VLOOKUP(dict_zul_Var_Meth[[#This Row],[ignored_rank]],help_zuord_Var_Meth[],2)</f>
        <v>191</v>
      </c>
      <c r="B406">
        <v>345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t="shared" ca="1" si="6"/>
        <v>7.280260169933328E-2</v>
      </c>
      <c r="E406">
        <f ca="1">RANK(dict_zul_Var_Meth[[#This Row],[ignored_rand]],dict_zul_Var_Meth[ignored_rand])</f>
        <v>716</v>
      </c>
    </row>
    <row r="407" spans="1:5" x14ac:dyDescent="0.45">
      <c r="A407">
        <f ca="1">VLOOKUP(dict_zul_Var_Meth[[#This Row],[ignored_rank]],help_zuord_Var_Meth[],2)</f>
        <v>72</v>
      </c>
      <c r="B407">
        <v>346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t="shared" ca="1" si="6"/>
        <v>0.63572603333629141</v>
      </c>
      <c r="E407">
        <f ca="1">RANK(dict_zul_Var_Meth[[#This Row],[ignored_rand]],dict_zul_Var_Meth[ignored_rand])</f>
        <v>270</v>
      </c>
    </row>
    <row r="408" spans="1:5" x14ac:dyDescent="0.45">
      <c r="A408">
        <f ca="1">VLOOKUP(dict_zul_Var_Meth[[#This Row],[ignored_rank]],help_zuord_Var_Meth[],2)</f>
        <v>198</v>
      </c>
      <c r="B408">
        <v>347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t="shared" ca="1" si="6"/>
        <v>3.6649677095958344E-2</v>
      </c>
      <c r="E408">
        <f ca="1">RANK(dict_zul_Var_Meth[[#This Row],[ignored_rand]],dict_zul_Var_Meth[ignored_rand])</f>
        <v>743</v>
      </c>
    </row>
    <row r="409" spans="1:5" x14ac:dyDescent="0.45">
      <c r="A409">
        <f ca="1">VLOOKUP(dict_zul_Var_Meth[[#This Row],[ignored_rank]],help_zuord_Var_Meth[],2)</f>
        <v>107</v>
      </c>
      <c r="B409">
        <v>348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t="shared" ca="1" si="6"/>
        <v>0.47174898254623898</v>
      </c>
      <c r="E409">
        <f ca="1">RANK(dict_zul_Var_Meth[[#This Row],[ignored_rand]],dict_zul_Var_Meth[ignored_rand])</f>
        <v>402</v>
      </c>
    </row>
    <row r="410" spans="1:5" x14ac:dyDescent="0.45">
      <c r="A410" s="3">
        <f ca="1">VLOOKUP(dict_zul_Var_Meth[[#This Row],[ignored_rank]],help_zuord_Var_Meth[],2)</f>
        <v>1</v>
      </c>
      <c r="B410">
        <v>349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0">
        <f t="shared" ca="1" si="6"/>
        <v>0.98391877776707981</v>
      </c>
      <c r="E410" s="3">
        <f ca="1">RANK(dict_zul_Var_Meth[[#This Row],[ignored_rand]],dict_zul_Var_Meth[ignored_rand])</f>
        <v>6</v>
      </c>
    </row>
    <row r="411" spans="1:5" x14ac:dyDescent="0.45">
      <c r="A411">
        <f ca="1">VLOOKUP(dict_zul_Var_Meth[[#This Row],[ignored_rank]],help_zuord_Var_Meth[],2)</f>
        <v>96</v>
      </c>
      <c r="B411">
        <v>350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t="shared" ca="1" si="6"/>
        <v>0.53536686004884804</v>
      </c>
      <c r="E411">
        <f ca="1">RANK(dict_zul_Var_Meth[[#This Row],[ignored_rand]],dict_zul_Var_Meth[ignored_rand])</f>
        <v>361</v>
      </c>
    </row>
    <row r="412" spans="1:5" x14ac:dyDescent="0.45">
      <c r="A412">
        <f ca="1">VLOOKUP(dict_zul_Var_Meth[[#This Row],[ignored_rank]],help_zuord_Var_Meth[],2)</f>
        <v>33</v>
      </c>
      <c r="B412">
        <v>351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t="shared" ca="1" si="6"/>
        <v>0.81205900946722842</v>
      </c>
      <c r="E412">
        <f ca="1">RANK(dict_zul_Var_Meth[[#This Row],[ignored_rand]],dict_zul_Var_Meth[ignored_rand])</f>
        <v>125</v>
      </c>
    </row>
    <row r="413" spans="1:5" x14ac:dyDescent="0.45">
      <c r="A413">
        <f ca="1">VLOOKUP(dict_zul_Var_Meth[[#This Row],[ignored_rank]],help_zuord_Var_Meth[],2)</f>
        <v>175</v>
      </c>
      <c r="B413">
        <v>352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t="shared" ca="1" si="6"/>
        <v>0.14640383379209332</v>
      </c>
      <c r="E413">
        <f ca="1">RANK(dict_zul_Var_Meth[[#This Row],[ignored_rand]],dict_zul_Var_Meth[ignored_rand])</f>
        <v>658</v>
      </c>
    </row>
    <row r="414" spans="1:5" x14ac:dyDescent="0.45">
      <c r="A414">
        <f ca="1">VLOOKUP(dict_zul_Var_Meth[[#This Row],[ignored_rank]],help_zuord_Var_Meth[],2)</f>
        <v>13</v>
      </c>
      <c r="B414">
        <v>353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t="shared" ca="1" si="6"/>
        <v>0.91557373784383278</v>
      </c>
      <c r="E414">
        <f ca="1">RANK(dict_zul_Var_Meth[[#This Row],[ignored_rand]],dict_zul_Var_Meth[ignored_rand])</f>
        <v>50</v>
      </c>
    </row>
    <row r="415" spans="1:5" x14ac:dyDescent="0.45">
      <c r="A415">
        <f ca="1">VLOOKUP(dict_zul_Var_Meth[[#This Row],[ignored_rank]],help_zuord_Var_Meth[],2)</f>
        <v>3</v>
      </c>
      <c r="B415">
        <v>354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t="shared" ca="1" si="6"/>
        <v>0.97540829595956069</v>
      </c>
      <c r="E415">
        <f ca="1">RANK(dict_zul_Var_Meth[[#This Row],[ignored_rand]],dict_zul_Var_Meth[ignored_rand])</f>
        <v>13</v>
      </c>
    </row>
    <row r="416" spans="1:5" x14ac:dyDescent="0.45">
      <c r="A416">
        <f ca="1">VLOOKUP(dict_zul_Var_Meth[[#This Row],[ignored_rank]],help_zuord_Var_Meth[],2)</f>
        <v>166</v>
      </c>
      <c r="B416">
        <v>355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t="shared" ca="1" si="6"/>
        <v>0.1930150427102042</v>
      </c>
      <c r="E416">
        <f ca="1">RANK(dict_zul_Var_Meth[[#This Row],[ignored_rand]],dict_zul_Var_Meth[ignored_rand])</f>
        <v>622</v>
      </c>
    </row>
    <row r="417" spans="1:5" x14ac:dyDescent="0.45">
      <c r="A417">
        <f ca="1">VLOOKUP(dict_zul_Var_Meth[[#This Row],[ignored_rank]],help_zuord_Var_Meth[],2)</f>
        <v>141</v>
      </c>
      <c r="B417">
        <v>356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t="shared" ca="1" si="6"/>
        <v>0.31803851319790011</v>
      </c>
      <c r="E417">
        <f ca="1">RANK(dict_zul_Var_Meth[[#This Row],[ignored_rand]],dict_zul_Var_Meth[ignored_rand])</f>
        <v>528</v>
      </c>
    </row>
    <row r="418" spans="1:5" x14ac:dyDescent="0.45">
      <c r="A418">
        <f ca="1">VLOOKUP(dict_zul_Var_Meth[[#This Row],[ignored_rank]],help_zuord_Var_Meth[],2)</f>
        <v>21</v>
      </c>
      <c r="B418">
        <v>357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t="shared" ca="1" si="6"/>
        <v>0.87460661302208731</v>
      </c>
      <c r="E418">
        <f ca="1">RANK(dict_zul_Var_Meth[[#This Row],[ignored_rand]],dict_zul_Var_Meth[ignored_rand])</f>
        <v>81</v>
      </c>
    </row>
    <row r="419" spans="1:5" x14ac:dyDescent="0.45">
      <c r="A419">
        <f ca="1">VLOOKUP(dict_zul_Var_Meth[[#This Row],[ignored_rank]],help_zuord_Var_Meth[],2)</f>
        <v>189</v>
      </c>
      <c r="B419">
        <v>358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t="shared" ca="1" si="6"/>
        <v>8.1817571133655731E-2</v>
      </c>
      <c r="E419">
        <f ca="1">RANK(dict_zul_Var_Meth[[#This Row],[ignored_rand]],dict_zul_Var_Meth[ignored_rand])</f>
        <v>708</v>
      </c>
    </row>
    <row r="420" spans="1:5" x14ac:dyDescent="0.45">
      <c r="A420">
        <f ca="1">VLOOKUP(dict_zul_Var_Meth[[#This Row],[ignored_rank]],help_zuord_Var_Meth[],2)</f>
        <v>129</v>
      </c>
      <c r="B420">
        <v>359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t="shared" ca="1" si="6"/>
        <v>0.383157450788432</v>
      </c>
      <c r="E420">
        <f ca="1">RANK(dict_zul_Var_Meth[[#This Row],[ignored_rand]],dict_zul_Var_Meth[ignored_rand])</f>
        <v>484</v>
      </c>
    </row>
    <row r="421" spans="1:5" x14ac:dyDescent="0.45">
      <c r="A421">
        <f ca="1">VLOOKUP(dict_zul_Var_Meth[[#This Row],[ignored_rank]],help_zuord_Var_Meth[],2)</f>
        <v>145</v>
      </c>
      <c r="B421">
        <v>360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t="shared" ca="1" si="6"/>
        <v>0.2829162653355668</v>
      </c>
      <c r="E421">
        <f ca="1">RANK(dict_zul_Var_Meth[[#This Row],[ignored_rand]],dict_zul_Var_Meth[ignored_rand])</f>
        <v>546</v>
      </c>
    </row>
    <row r="422" spans="1:5" x14ac:dyDescent="0.45">
      <c r="A422">
        <f ca="1">VLOOKUP(dict_zul_Var_Meth[[#This Row],[ignored_rank]],help_zuord_Var_Meth[],2)</f>
        <v>2</v>
      </c>
      <c r="B422">
        <v>361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2">
        <f t="shared" ca="1" si="6"/>
        <v>0.9766597937164726</v>
      </c>
      <c r="E422">
        <f ca="1">RANK(dict_zul_Var_Meth[[#This Row],[ignored_rand]],dict_zul_Var_Meth[ignored_rand])</f>
        <v>12</v>
      </c>
    </row>
    <row r="423" spans="1:5" x14ac:dyDescent="0.45">
      <c r="A423">
        <f ca="1">VLOOKUP(dict_zul_Var_Meth[[#This Row],[ignored_rank]],help_zuord_Var_Meth[],2)</f>
        <v>112</v>
      </c>
      <c r="B423">
        <v>362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t="shared" ca="1" si="6"/>
        <v>0.44402290093884111</v>
      </c>
      <c r="E423">
        <f ca="1">RANK(dict_zul_Var_Meth[[#This Row],[ignored_rand]],dict_zul_Var_Meth[ignored_rand])</f>
        <v>422</v>
      </c>
    </row>
    <row r="424" spans="1:5" x14ac:dyDescent="0.45">
      <c r="A424">
        <f ca="1">VLOOKUP(dict_zul_Var_Meth[[#This Row],[ignored_rank]],help_zuord_Var_Meth[],2)</f>
        <v>99</v>
      </c>
      <c r="B424">
        <v>363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t="shared" ca="1" si="6"/>
        <v>0.52216469358307982</v>
      </c>
      <c r="E424">
        <f ca="1">RANK(dict_zul_Var_Meth[[#This Row],[ignored_rand]],dict_zul_Var_Meth[ignored_rand])</f>
        <v>373</v>
      </c>
    </row>
    <row r="425" spans="1:5" x14ac:dyDescent="0.45">
      <c r="A425">
        <f ca="1">VLOOKUP(dict_zul_Var_Meth[[#This Row],[ignored_rank]],help_zuord_Var_Meth[],2)</f>
        <v>122</v>
      </c>
      <c r="B425">
        <v>364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t="shared" ca="1" si="6"/>
        <v>0.40954811424799664</v>
      </c>
      <c r="E425">
        <f ca="1">RANK(dict_zul_Var_Meth[[#This Row],[ignored_rand]],dict_zul_Var_Meth[ignored_rand])</f>
        <v>458</v>
      </c>
    </row>
    <row r="426" spans="1:5" x14ac:dyDescent="0.45">
      <c r="A426">
        <f ca="1">VLOOKUP(dict_zul_Var_Meth[[#This Row],[ignored_rank]],help_zuord_Var_Meth[],2)</f>
        <v>93</v>
      </c>
      <c r="B426">
        <v>365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t="shared" ca="1" si="6"/>
        <v>0.54419648166612877</v>
      </c>
      <c r="E426">
        <f ca="1">RANK(dict_zul_Var_Meth[[#This Row],[ignored_rand]],dict_zul_Var_Meth[ignored_rand])</f>
        <v>350</v>
      </c>
    </row>
    <row r="427" spans="1:5" x14ac:dyDescent="0.45">
      <c r="A427">
        <f ca="1">VLOOKUP(dict_zul_Var_Meth[[#This Row],[ignored_rank]],help_zuord_Var_Meth[],2)</f>
        <v>15</v>
      </c>
      <c r="B427">
        <v>366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t="shared" ca="1" si="6"/>
        <v>0.90333959715205681</v>
      </c>
      <c r="E427">
        <f ca="1">RANK(dict_zul_Var_Meth[[#This Row],[ignored_rand]],dict_zul_Var_Meth[ignored_rand])</f>
        <v>57</v>
      </c>
    </row>
    <row r="428" spans="1:5" x14ac:dyDescent="0.45">
      <c r="A428">
        <f ca="1">VLOOKUP(dict_zul_Var_Meth[[#This Row],[ignored_rank]],help_zuord_Var_Meth[],2)</f>
        <v>25</v>
      </c>
      <c r="B428">
        <v>367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t="shared" ca="1" si="6"/>
        <v>0.85875437325379378</v>
      </c>
      <c r="E428">
        <f ca="1">RANK(dict_zul_Var_Meth[[#This Row],[ignored_rand]],dict_zul_Var_Meth[ignored_rand])</f>
        <v>97</v>
      </c>
    </row>
    <row r="429" spans="1:5" x14ac:dyDescent="0.45">
      <c r="A429">
        <f ca="1">VLOOKUP(dict_zul_Var_Meth[[#This Row],[ignored_rank]],help_zuord_Var_Meth[],2)</f>
        <v>139</v>
      </c>
      <c r="B429">
        <v>368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t="shared" ca="1" si="6"/>
        <v>0.32659793134981951</v>
      </c>
      <c r="E429">
        <f ca="1">RANK(dict_zul_Var_Meth[[#This Row],[ignored_rand]],dict_zul_Var_Meth[ignored_rand])</f>
        <v>520</v>
      </c>
    </row>
    <row r="430" spans="1:5" x14ac:dyDescent="0.45">
      <c r="A430" s="3">
        <f ca="1">VLOOKUP(dict_zul_Var_Meth[[#This Row],[ignored_rank]],help_zuord_Var_Meth[],2)</f>
        <v>16</v>
      </c>
      <c r="B430">
        <v>369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t="shared" ca="1" si="6"/>
        <v>0.89981571345410627</v>
      </c>
      <c r="E430" s="3">
        <f ca="1">RANK(dict_zul_Var_Meth[[#This Row],[ignored_rand]],dict_zul_Var_Meth[ignored_rand])</f>
        <v>60</v>
      </c>
    </row>
    <row r="431" spans="1:5" x14ac:dyDescent="0.45">
      <c r="A431">
        <f ca="1">VLOOKUP(dict_zul_Var_Meth[[#This Row],[ignored_rank]],help_zuord_Var_Meth[],2)</f>
        <v>23</v>
      </c>
      <c r="B431">
        <v>370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t="shared" ca="1" si="6"/>
        <v>0.86531959976175088</v>
      </c>
      <c r="E431">
        <f ca="1">RANK(dict_zul_Var_Meth[[#This Row],[ignored_rand]],dict_zul_Var_Meth[ignored_rand])</f>
        <v>88</v>
      </c>
    </row>
    <row r="432" spans="1:5" x14ac:dyDescent="0.45">
      <c r="A432">
        <f ca="1">VLOOKUP(dict_zul_Var_Meth[[#This Row],[ignored_rank]],help_zuord_Var_Meth[],2)</f>
        <v>28</v>
      </c>
      <c r="B432">
        <v>371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t="shared" ca="1" si="6"/>
        <v>0.84673768165303831</v>
      </c>
      <c r="E432">
        <f ca="1">RANK(dict_zul_Var_Meth[[#This Row],[ignored_rand]],dict_zul_Var_Meth[ignored_rand])</f>
        <v>104</v>
      </c>
    </row>
    <row r="433" spans="1:5" x14ac:dyDescent="0.45">
      <c r="A433">
        <f ca="1">VLOOKUP(dict_zul_Var_Meth[[#This Row],[ignored_rank]],help_zuord_Var_Meth[],2)</f>
        <v>130</v>
      </c>
      <c r="B433">
        <v>372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t="shared" ca="1" si="6"/>
        <v>0.37416491553212927</v>
      </c>
      <c r="E433">
        <f ca="1">RANK(dict_zul_Var_Meth[[#This Row],[ignored_rand]],dict_zul_Var_Meth[ignored_rand])</f>
        <v>488</v>
      </c>
    </row>
    <row r="434" spans="1:5" x14ac:dyDescent="0.45">
      <c r="A434">
        <f ca="1">VLOOKUP(dict_zul_Var_Meth[[#This Row],[ignored_rank]],help_zuord_Var_Meth[],2)</f>
        <v>193</v>
      </c>
      <c r="B434">
        <v>373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t="shared" ca="1" si="6"/>
        <v>6.1411287345662702E-2</v>
      </c>
      <c r="E434">
        <f ca="1">RANK(dict_zul_Var_Meth[[#This Row],[ignored_rand]],dict_zul_Var_Meth[ignored_rand])</f>
        <v>722</v>
      </c>
    </row>
    <row r="435" spans="1:5" x14ac:dyDescent="0.45">
      <c r="A435">
        <f ca="1">VLOOKUP(dict_zul_Var_Meth[[#This Row],[ignored_rank]],help_zuord_Var_Meth[],2)</f>
        <v>69</v>
      </c>
      <c r="B435">
        <v>374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t="shared" ca="1" si="6"/>
        <v>0.64130327795714237</v>
      </c>
      <c r="E435">
        <f ca="1">RANK(dict_zul_Var_Meth[[#This Row],[ignored_rand]],dict_zul_Var_Meth[ignored_rand])</f>
        <v>259</v>
      </c>
    </row>
    <row r="436" spans="1:5" x14ac:dyDescent="0.45">
      <c r="A436" s="3">
        <f ca="1">VLOOKUP(dict_zul_Var_Meth[[#This Row],[ignored_rank]],help_zuord_Var_Meth[],2)</f>
        <v>36</v>
      </c>
      <c r="B436">
        <v>375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t="shared" ca="1" si="6"/>
        <v>0.79254805137857376</v>
      </c>
      <c r="E436" s="3">
        <f ca="1">RANK(dict_zul_Var_Meth[[#This Row],[ignored_rand]],dict_zul_Var_Meth[ignored_rand])</f>
        <v>137</v>
      </c>
    </row>
    <row r="437" spans="1:5" x14ac:dyDescent="0.45">
      <c r="A437">
        <f ca="1">VLOOKUP(dict_zul_Var_Meth[[#This Row],[ignored_rank]],help_zuord_Var_Meth[],2)</f>
        <v>64</v>
      </c>
      <c r="B437">
        <v>376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t="shared" ca="1" si="6"/>
        <v>0.66104508300282683</v>
      </c>
      <c r="E437">
        <f ca="1">RANK(dict_zul_Var_Meth[[#This Row],[ignored_rand]],dict_zul_Var_Meth[ignored_rand])</f>
        <v>242</v>
      </c>
    </row>
    <row r="438" spans="1:5" x14ac:dyDescent="0.45">
      <c r="A438">
        <f ca="1">VLOOKUP(dict_zul_Var_Meth[[#This Row],[ignored_rank]],help_zuord_Var_Meth[],2)</f>
        <v>93</v>
      </c>
      <c r="B438">
        <v>377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t="shared" ca="1" si="6"/>
        <v>0.54312544930636786</v>
      </c>
      <c r="E438">
        <f ca="1">RANK(dict_zul_Var_Meth[[#This Row],[ignored_rand]],dict_zul_Var_Meth[ignored_rand])</f>
        <v>351</v>
      </c>
    </row>
    <row r="439" spans="1:5" x14ac:dyDescent="0.45">
      <c r="A439">
        <f ca="1">VLOOKUP(dict_zul_Var_Meth[[#This Row],[ignored_rank]],help_zuord_Var_Meth[],2)</f>
        <v>112</v>
      </c>
      <c r="B439">
        <v>378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t="shared" ca="1" si="6"/>
        <v>0.45505789663323359</v>
      </c>
      <c r="E439">
        <f ca="1">RANK(dict_zul_Var_Meth[[#This Row],[ignored_rand]],dict_zul_Var_Meth[ignored_rand])</f>
        <v>418</v>
      </c>
    </row>
    <row r="440" spans="1:5" x14ac:dyDescent="0.45">
      <c r="A440">
        <f ca="1">VLOOKUP(dict_zul_Var_Meth[[#This Row],[ignored_rank]],help_zuord_Var_Meth[],2)</f>
        <v>13</v>
      </c>
      <c r="B440">
        <v>379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t="shared" ca="1" si="6"/>
        <v>0.90995703839018482</v>
      </c>
      <c r="E440">
        <f ca="1">RANK(dict_zul_Var_Meth[[#This Row],[ignored_rand]],dict_zul_Var_Meth[ignored_rand])</f>
        <v>52</v>
      </c>
    </row>
    <row r="441" spans="1:5" x14ac:dyDescent="0.45">
      <c r="A441">
        <f ca="1">VLOOKUP(dict_zul_Var_Meth[[#This Row],[ignored_rank]],help_zuord_Var_Meth[],2)</f>
        <v>51</v>
      </c>
      <c r="B441">
        <v>380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t="shared" ca="1" si="6"/>
        <v>0.7218320332580771</v>
      </c>
      <c r="E441">
        <f ca="1">RANK(dict_zul_Var_Meth[[#This Row],[ignored_rand]],dict_zul_Var_Meth[ignored_rand])</f>
        <v>195</v>
      </c>
    </row>
    <row r="442" spans="1:5" x14ac:dyDescent="0.45">
      <c r="A442">
        <f ca="1">VLOOKUP(dict_zul_Var_Meth[[#This Row],[ignored_rank]],help_zuord_Var_Meth[],2)</f>
        <v>141</v>
      </c>
      <c r="B442">
        <v>381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t="shared" ca="1" si="6"/>
        <v>0.31632637069525871</v>
      </c>
      <c r="E442">
        <f ca="1">RANK(dict_zul_Var_Meth[[#This Row],[ignored_rand]],dict_zul_Var_Meth[ignored_rand])</f>
        <v>529</v>
      </c>
    </row>
    <row r="443" spans="1:5" x14ac:dyDescent="0.45">
      <c r="A443">
        <f ca="1">VLOOKUP(dict_zul_Var_Meth[[#This Row],[ignored_rank]],help_zuord_Var_Meth[],2)</f>
        <v>30</v>
      </c>
      <c r="B443">
        <v>382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t="shared" ca="1" si="6"/>
        <v>0.83097581081761962</v>
      </c>
      <c r="E443">
        <f ca="1">RANK(dict_zul_Var_Meth[[#This Row],[ignored_rand]],dict_zul_Var_Meth[ignored_rand])</f>
        <v>114</v>
      </c>
    </row>
    <row r="444" spans="1:5" x14ac:dyDescent="0.45">
      <c r="A444">
        <f ca="1">VLOOKUP(dict_zul_Var_Meth[[#This Row],[ignored_rank]],help_zuord_Var_Meth[],2)</f>
        <v>91</v>
      </c>
      <c r="B444">
        <v>383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t="shared" ca="1" si="6"/>
        <v>0.55002651309984452</v>
      </c>
      <c r="E444">
        <f ca="1">RANK(dict_zul_Var_Meth[[#This Row],[ignored_rand]],dict_zul_Var_Meth[ignored_rand])</f>
        <v>343</v>
      </c>
    </row>
    <row r="445" spans="1:5" x14ac:dyDescent="0.45">
      <c r="A445">
        <f ca="1">VLOOKUP(dict_zul_Var_Meth[[#This Row],[ignored_rank]],help_zuord_Var_Meth[],2)</f>
        <v>168</v>
      </c>
      <c r="B445">
        <v>384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t="shared" ca="1" si="6"/>
        <v>0.18217148620889212</v>
      </c>
      <c r="E445">
        <f ca="1">RANK(dict_zul_Var_Meth[[#This Row],[ignored_rand]],dict_zul_Var_Meth[ignored_rand])</f>
        <v>629</v>
      </c>
    </row>
    <row r="446" spans="1:5" x14ac:dyDescent="0.45">
      <c r="A446">
        <f ca="1">VLOOKUP(dict_zul_Var_Meth[[#This Row],[ignored_rank]],help_zuord_Var_Meth[],2)</f>
        <v>192</v>
      </c>
      <c r="B446">
        <v>385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t="shared" ca="1" si="6"/>
        <v>6.9579079900351393E-2</v>
      </c>
      <c r="E446">
        <f ca="1">RANK(dict_zul_Var_Meth[[#This Row],[ignored_rand]],dict_zul_Var_Meth[ignored_rand])</f>
        <v>719</v>
      </c>
    </row>
    <row r="447" spans="1:5" x14ac:dyDescent="0.45">
      <c r="A447">
        <f ca="1">VLOOKUP(dict_zul_Var_Meth[[#This Row],[ignored_rank]],help_zuord_Var_Meth[],2)</f>
        <v>144</v>
      </c>
      <c r="B447">
        <v>386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t="shared" ca="1" si="6"/>
        <v>0.29253202481607921</v>
      </c>
      <c r="E447">
        <f ca="1">RANK(dict_zul_Var_Meth[[#This Row],[ignored_rand]],dict_zul_Var_Meth[ignored_rand])</f>
        <v>540</v>
      </c>
    </row>
    <row r="448" spans="1:5" x14ac:dyDescent="0.45">
      <c r="A448">
        <f ca="1">VLOOKUP(dict_zul_Var_Meth[[#This Row],[ignored_rank]],help_zuord_Var_Meth[],2)</f>
        <v>6</v>
      </c>
      <c r="B448">
        <v>387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t="shared" ca="1" si="6"/>
        <v>0.95793007400130514</v>
      </c>
      <c r="E448">
        <f ca="1">RANK(dict_zul_Var_Meth[[#This Row],[ignored_rand]],dict_zul_Var_Meth[ignored_rand])</f>
        <v>25</v>
      </c>
    </row>
    <row r="449" spans="1:5" x14ac:dyDescent="0.45">
      <c r="A449">
        <f ca="1">VLOOKUP(dict_zul_Var_Meth[[#This Row],[ignored_rank]],help_zuord_Var_Meth[],2)</f>
        <v>59</v>
      </c>
      <c r="B449">
        <v>388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t="shared" ca="1" si="6"/>
        <v>0.69093611855756476</v>
      </c>
      <c r="E449">
        <f ca="1">RANK(dict_zul_Var_Meth[[#This Row],[ignored_rand]],dict_zul_Var_Meth[ignored_rand])</f>
        <v>222</v>
      </c>
    </row>
    <row r="450" spans="1:5" x14ac:dyDescent="0.45">
      <c r="A450" s="3">
        <f ca="1">VLOOKUP(dict_zul_Var_Meth[[#This Row],[ignored_rank]],help_zuord_Var_Meth[],2)</f>
        <v>116</v>
      </c>
      <c r="B450">
        <v>389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t="shared" ref="D450:D513" ca="1" si="7">RAND()</f>
        <v>0.43478550392781645</v>
      </c>
      <c r="E450" s="3">
        <f ca="1">RANK(dict_zul_Var_Meth[[#This Row],[ignored_rand]],dict_zul_Var_Meth[ignored_rand])</f>
        <v>434</v>
      </c>
    </row>
    <row r="451" spans="1:5" x14ac:dyDescent="0.45">
      <c r="A451">
        <f ca="1">VLOOKUP(dict_zul_Var_Meth[[#This Row],[ignored_rank]],help_zuord_Var_Meth[],2)</f>
        <v>57</v>
      </c>
      <c r="B451">
        <v>390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t="shared" ca="1" si="7"/>
        <v>0.69993112435972238</v>
      </c>
      <c r="E451">
        <f ca="1">RANK(dict_zul_Var_Meth[[#This Row],[ignored_rand]],dict_zul_Var_Meth[ignored_rand])</f>
        <v>214</v>
      </c>
    </row>
    <row r="452" spans="1:5" x14ac:dyDescent="0.45">
      <c r="A452">
        <f ca="1">VLOOKUP(dict_zul_Var_Meth[[#This Row],[ignored_rank]],help_zuord_Var_Meth[],2)</f>
        <v>198</v>
      </c>
      <c r="B452">
        <v>391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t="shared" ca="1" si="7"/>
        <v>3.8659084781973219E-2</v>
      </c>
      <c r="E452">
        <f ca="1">RANK(dict_zul_Var_Meth[[#This Row],[ignored_rand]],dict_zul_Var_Meth[ignored_rand])</f>
        <v>740</v>
      </c>
    </row>
    <row r="453" spans="1:5" x14ac:dyDescent="0.45">
      <c r="A453">
        <f ca="1">VLOOKUP(dict_zul_Var_Meth[[#This Row],[ignored_rank]],help_zuord_Var_Meth[],2)</f>
        <v>106</v>
      </c>
      <c r="B453">
        <v>392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t="shared" ca="1" si="7"/>
        <v>0.48025831117582807</v>
      </c>
      <c r="E453">
        <f ca="1">RANK(dict_zul_Var_Meth[[#This Row],[ignored_rand]],dict_zul_Var_Meth[ignored_rand])</f>
        <v>398</v>
      </c>
    </row>
    <row r="454" spans="1:5" x14ac:dyDescent="0.45">
      <c r="A454">
        <f ca="1">VLOOKUP(dict_zul_Var_Meth[[#This Row],[ignored_rank]],help_zuord_Var_Meth[],2)</f>
        <v>181</v>
      </c>
      <c r="B454">
        <v>393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t="shared" ca="1" si="7"/>
        <v>0.11489198314302018</v>
      </c>
      <c r="E454">
        <f ca="1">RANK(dict_zul_Var_Meth[[#This Row],[ignored_rand]],dict_zul_Var_Meth[ignored_rand])</f>
        <v>680</v>
      </c>
    </row>
    <row r="455" spans="1:5" x14ac:dyDescent="0.45">
      <c r="A455">
        <f ca="1">VLOOKUP(dict_zul_Var_Meth[[#This Row],[ignored_rank]],help_zuord_Var_Meth[],2)</f>
        <v>186</v>
      </c>
      <c r="B455">
        <v>394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t="shared" ca="1" si="7"/>
        <v>9.7629197760651709E-2</v>
      </c>
      <c r="E455">
        <f ca="1">RANK(dict_zul_Var_Meth[[#This Row],[ignored_rand]],dict_zul_Var_Meth[ignored_rand])</f>
        <v>698</v>
      </c>
    </row>
    <row r="456" spans="1:5" x14ac:dyDescent="0.45">
      <c r="A456">
        <f ca="1">VLOOKUP(dict_zul_Var_Meth[[#This Row],[ignored_rank]],help_zuord_Var_Meth[],2)</f>
        <v>111</v>
      </c>
      <c r="B456">
        <v>395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t="shared" ca="1" si="7"/>
        <v>0.45538859328041448</v>
      </c>
      <c r="E456">
        <f ca="1">RANK(dict_zul_Var_Meth[[#This Row],[ignored_rand]],dict_zul_Var_Meth[ignored_rand])</f>
        <v>417</v>
      </c>
    </row>
    <row r="457" spans="1:5" x14ac:dyDescent="0.45">
      <c r="A457">
        <f ca="1">VLOOKUP(dict_zul_Var_Meth[[#This Row],[ignored_rank]],help_zuord_Var_Meth[],2)</f>
        <v>20</v>
      </c>
      <c r="B457">
        <v>396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t="shared" ca="1" si="7"/>
        <v>0.87653747897599565</v>
      </c>
      <c r="E457">
        <f ca="1">RANK(dict_zul_Var_Meth[[#This Row],[ignored_rand]],dict_zul_Var_Meth[ignored_rand])</f>
        <v>78</v>
      </c>
    </row>
    <row r="458" spans="1:5" x14ac:dyDescent="0.45">
      <c r="A458">
        <f ca="1">VLOOKUP(dict_zul_Var_Meth[[#This Row],[ignored_rank]],help_zuord_Var_Meth[],2)</f>
        <v>4</v>
      </c>
      <c r="B458">
        <v>397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t="shared" ca="1" si="7"/>
        <v>0.96621068324562331</v>
      </c>
      <c r="E458">
        <f ca="1">RANK(dict_zul_Var_Meth[[#This Row],[ignored_rand]],dict_zul_Var_Meth[ignored_rand])</f>
        <v>16</v>
      </c>
    </row>
    <row r="459" spans="1:5" x14ac:dyDescent="0.45">
      <c r="A459">
        <f ca="1">VLOOKUP(dict_zul_Var_Meth[[#This Row],[ignored_rank]],help_zuord_Var_Meth[],2)</f>
        <v>75</v>
      </c>
      <c r="B459">
        <v>398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t="shared" ca="1" si="7"/>
        <v>0.6244249886434593</v>
      </c>
      <c r="E459">
        <f ca="1">RANK(dict_zul_Var_Meth[[#This Row],[ignored_rand]],dict_zul_Var_Meth[ignored_rand])</f>
        <v>282</v>
      </c>
    </row>
    <row r="460" spans="1:5" x14ac:dyDescent="0.45">
      <c r="A460">
        <f ca="1">VLOOKUP(dict_zul_Var_Meth[[#This Row],[ignored_rank]],help_zuord_Var_Meth[],2)</f>
        <v>167</v>
      </c>
      <c r="B460">
        <v>399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t="shared" ca="1" si="7"/>
        <v>0.18358367146728005</v>
      </c>
      <c r="E460">
        <f ca="1">RANK(dict_zul_Var_Meth[[#This Row],[ignored_rand]],dict_zul_Var_Meth[ignored_rand])</f>
        <v>627</v>
      </c>
    </row>
    <row r="461" spans="1:5" x14ac:dyDescent="0.45">
      <c r="A461">
        <f ca="1">VLOOKUP(dict_zul_Var_Meth[[#This Row],[ignored_rank]],help_zuord_Var_Meth[],2)</f>
        <v>41</v>
      </c>
      <c r="B461">
        <v>400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t="shared" ca="1" si="7"/>
        <v>0.76761717302201893</v>
      </c>
      <c r="E461">
        <f ca="1">RANK(dict_zul_Var_Meth[[#This Row],[ignored_rand]],dict_zul_Var_Meth[ignored_rand])</f>
        <v>156</v>
      </c>
    </row>
    <row r="462" spans="1:5" x14ac:dyDescent="0.45">
      <c r="A462">
        <f ca="1">VLOOKUP(dict_zul_Var_Meth[[#This Row],[ignored_rank]],help_zuord_Var_Meth[],2)</f>
        <v>187</v>
      </c>
      <c r="B462">
        <v>401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t="shared" ca="1" si="7"/>
        <v>9.1657046008146947E-2</v>
      </c>
      <c r="E462">
        <f ca="1">RANK(dict_zul_Var_Meth[[#This Row],[ignored_rand]],dict_zul_Var_Meth[ignored_rand])</f>
        <v>700</v>
      </c>
    </row>
    <row r="463" spans="1:5" x14ac:dyDescent="0.45">
      <c r="A463">
        <f ca="1">VLOOKUP(dict_zul_Var_Meth[[#This Row],[ignored_rank]],help_zuord_Var_Meth[],2)</f>
        <v>156</v>
      </c>
      <c r="B463">
        <v>402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t="shared" ca="1" si="7"/>
        <v>0.23634460129469259</v>
      </c>
      <c r="E463">
        <f ca="1">RANK(dict_zul_Var_Meth[[#This Row],[ignored_rand]],dict_zul_Var_Meth[ignored_rand])</f>
        <v>587</v>
      </c>
    </row>
    <row r="464" spans="1:5" x14ac:dyDescent="0.45">
      <c r="A464">
        <f ca="1">VLOOKUP(dict_zul_Var_Meth[[#This Row],[ignored_rank]],help_zuord_Var_Meth[],2)</f>
        <v>17</v>
      </c>
      <c r="B464">
        <v>403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t="shared" ca="1" si="7"/>
        <v>0.89461918375259553</v>
      </c>
      <c r="E464">
        <f ca="1">RANK(dict_zul_Var_Meth[[#This Row],[ignored_rand]],dict_zul_Var_Meth[ignored_rand])</f>
        <v>65</v>
      </c>
    </row>
    <row r="465" spans="1:5" x14ac:dyDescent="0.45">
      <c r="A465">
        <f ca="1">VLOOKUP(dict_zul_Var_Meth[[#This Row],[ignored_rank]],help_zuord_Var_Meth[],2)</f>
        <v>102</v>
      </c>
      <c r="B465">
        <v>404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t="shared" ca="1" si="7"/>
        <v>0.50162818066746695</v>
      </c>
      <c r="E465">
        <f ca="1">RANK(dict_zul_Var_Meth[[#This Row],[ignored_rand]],dict_zul_Var_Meth[ignored_rand])</f>
        <v>384</v>
      </c>
    </row>
    <row r="466" spans="1:5" x14ac:dyDescent="0.45">
      <c r="A466">
        <f ca="1">VLOOKUP(dict_zul_Var_Meth[[#This Row],[ignored_rank]],help_zuord_Var_Meth[],2)</f>
        <v>158</v>
      </c>
      <c r="B466">
        <v>405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t="shared" ca="1" si="7"/>
        <v>0.23168487799857163</v>
      </c>
      <c r="E466">
        <f ca="1">RANK(dict_zul_Var_Meth[[#This Row],[ignored_rand]],dict_zul_Var_Meth[ignored_rand])</f>
        <v>592</v>
      </c>
    </row>
    <row r="467" spans="1:5" x14ac:dyDescent="0.45">
      <c r="A467">
        <f ca="1">VLOOKUP(dict_zul_Var_Meth[[#This Row],[ignored_rank]],help_zuord_Var_Meth[],2)</f>
        <v>39</v>
      </c>
      <c r="B467">
        <v>406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t="shared" ca="1" si="7"/>
        <v>0.777037593487796</v>
      </c>
      <c r="E467">
        <f ca="1">RANK(dict_zul_Var_Meth[[#This Row],[ignored_rand]],dict_zul_Var_Meth[ignored_rand])</f>
        <v>147</v>
      </c>
    </row>
    <row r="468" spans="1:5" x14ac:dyDescent="0.45">
      <c r="A468">
        <f ca="1">VLOOKUP(dict_zul_Var_Meth[[#This Row],[ignored_rank]],help_zuord_Var_Meth[],2)</f>
        <v>123</v>
      </c>
      <c r="B468">
        <v>407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t="shared" ca="1" si="7"/>
        <v>0.40646031988653053</v>
      </c>
      <c r="E468">
        <f ca="1">RANK(dict_zul_Var_Meth[[#This Row],[ignored_rand]],dict_zul_Var_Meth[ignored_rand])</f>
        <v>461</v>
      </c>
    </row>
    <row r="469" spans="1:5" x14ac:dyDescent="0.45">
      <c r="A469">
        <f ca="1">VLOOKUP(dict_zul_Var_Meth[[#This Row],[ignored_rank]],help_zuord_Var_Meth[],2)</f>
        <v>84</v>
      </c>
      <c r="B469">
        <v>408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t="shared" ca="1" si="7"/>
        <v>0.57548893087270891</v>
      </c>
      <c r="E469">
        <f ca="1">RANK(dict_zul_Var_Meth[[#This Row],[ignored_rand]],dict_zul_Var_Meth[ignored_rand])</f>
        <v>316</v>
      </c>
    </row>
    <row r="470" spans="1:5" x14ac:dyDescent="0.45">
      <c r="A470">
        <f ca="1">VLOOKUP(dict_zul_Var_Meth[[#This Row],[ignored_rank]],help_zuord_Var_Meth[],2)</f>
        <v>196</v>
      </c>
      <c r="B470">
        <v>409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t="shared" ca="1" si="7"/>
        <v>4.1668500156953003E-2</v>
      </c>
      <c r="E470">
        <f ca="1">RANK(dict_zul_Var_Meth[[#This Row],[ignored_rand]],dict_zul_Var_Meth[ignored_rand])</f>
        <v>736</v>
      </c>
    </row>
    <row r="471" spans="1:5" x14ac:dyDescent="0.45">
      <c r="A471">
        <f ca="1">VLOOKUP(dict_zul_Var_Meth[[#This Row],[ignored_rank]],help_zuord_Var_Meth[],2)</f>
        <v>91</v>
      </c>
      <c r="B471">
        <v>410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t="shared" ca="1" si="7"/>
        <v>0.55001309498172535</v>
      </c>
      <c r="E471">
        <f ca="1">RANK(dict_zul_Var_Meth[[#This Row],[ignored_rand]],dict_zul_Var_Meth[ignored_rand])</f>
        <v>344</v>
      </c>
    </row>
    <row r="472" spans="1:5" x14ac:dyDescent="0.45">
      <c r="A472" s="3">
        <f ca="1">VLOOKUP(dict_zul_Var_Meth[[#This Row],[ignored_rank]],help_zuord_Var_Meth[],2)</f>
        <v>139</v>
      </c>
      <c r="B472">
        <v>411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t="shared" ca="1" si="7"/>
        <v>0.32997326770448365</v>
      </c>
      <c r="E472" s="3">
        <f ca="1">RANK(dict_zul_Var_Meth[[#This Row],[ignored_rand]],dict_zul_Var_Meth[ignored_rand])</f>
        <v>519</v>
      </c>
    </row>
    <row r="473" spans="1:5" x14ac:dyDescent="0.45">
      <c r="A473">
        <f ca="1">VLOOKUP(dict_zul_Var_Meth[[#This Row],[ignored_rank]],help_zuord_Var_Meth[],2)</f>
        <v>116</v>
      </c>
      <c r="B473">
        <v>412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t="shared" ca="1" si="7"/>
        <v>0.43337788500178676</v>
      </c>
      <c r="E473">
        <f ca="1">RANK(dict_zul_Var_Meth[[#This Row],[ignored_rand]],dict_zul_Var_Meth[ignored_rand])</f>
        <v>435</v>
      </c>
    </row>
    <row r="474" spans="1:5" x14ac:dyDescent="0.45">
      <c r="A474">
        <f ca="1">VLOOKUP(dict_zul_Var_Meth[[#This Row],[ignored_rank]],help_zuord_Var_Meth[],2)</f>
        <v>154</v>
      </c>
      <c r="B474">
        <v>413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t="shared" ca="1" si="7"/>
        <v>0.24684632382549887</v>
      </c>
      <c r="E474">
        <f ca="1">RANK(dict_zul_Var_Meth[[#This Row],[ignored_rand]],dict_zul_Var_Meth[ignored_rand])</f>
        <v>579</v>
      </c>
    </row>
    <row r="475" spans="1:5" x14ac:dyDescent="0.45">
      <c r="A475">
        <f ca="1">VLOOKUP(dict_zul_Var_Meth[[#This Row],[ignored_rank]],help_zuord_Var_Meth[],2)</f>
        <v>118</v>
      </c>
      <c r="B475">
        <v>414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t="shared" ca="1" si="7"/>
        <v>0.42774048153046795</v>
      </c>
      <c r="E475">
        <f ca="1">RANK(dict_zul_Var_Meth[[#This Row],[ignored_rand]],dict_zul_Var_Meth[ignored_rand])</f>
        <v>443</v>
      </c>
    </row>
    <row r="476" spans="1:5" x14ac:dyDescent="0.45">
      <c r="A476">
        <f ca="1">VLOOKUP(dict_zul_Var_Meth[[#This Row],[ignored_rank]],help_zuord_Var_Meth[],2)</f>
        <v>9</v>
      </c>
      <c r="B476">
        <v>415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t="shared" ca="1" si="7"/>
        <v>0.94149961612929844</v>
      </c>
      <c r="E476">
        <f ca="1">RANK(dict_zul_Var_Meth[[#This Row],[ignored_rand]],dict_zul_Var_Meth[ignored_rand])</f>
        <v>36</v>
      </c>
    </row>
    <row r="477" spans="1:5" x14ac:dyDescent="0.45">
      <c r="A477" s="3">
        <f ca="1">VLOOKUP(dict_zul_Var_Meth[[#This Row],[ignored_rank]],help_zuord_Var_Meth[],2)</f>
        <v>122</v>
      </c>
      <c r="B477">
        <v>416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t="shared" ca="1" si="7"/>
        <v>0.40977220973984629</v>
      </c>
      <c r="E477" s="3">
        <f ca="1">RANK(dict_zul_Var_Meth[[#This Row],[ignored_rand]],dict_zul_Var_Meth[ignored_rand])</f>
        <v>457</v>
      </c>
    </row>
    <row r="478" spans="1:5" x14ac:dyDescent="0.45">
      <c r="A478">
        <f ca="1">VLOOKUP(dict_zul_Var_Meth[[#This Row],[ignored_rank]],help_zuord_Var_Meth[],2)</f>
        <v>124</v>
      </c>
      <c r="B478">
        <v>417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t="shared" ca="1" si="7"/>
        <v>0.40345140532294166</v>
      </c>
      <c r="E478">
        <f ca="1">RANK(dict_zul_Var_Meth[[#This Row],[ignored_rand]],dict_zul_Var_Meth[ignored_rand])</f>
        <v>466</v>
      </c>
    </row>
    <row r="479" spans="1:5" x14ac:dyDescent="0.45">
      <c r="A479">
        <f ca="1">VLOOKUP(dict_zul_Var_Meth[[#This Row],[ignored_rank]],help_zuord_Var_Meth[],2)</f>
        <v>5</v>
      </c>
      <c r="B479">
        <v>418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t="shared" ca="1" si="7"/>
        <v>0.95899183583716929</v>
      </c>
      <c r="E479">
        <f ca="1">RANK(dict_zul_Var_Meth[[#This Row],[ignored_rand]],dict_zul_Var_Meth[ignored_rand])</f>
        <v>23</v>
      </c>
    </row>
    <row r="480" spans="1:5" x14ac:dyDescent="0.45">
      <c r="A480">
        <f ca="1">VLOOKUP(dict_zul_Var_Meth[[#This Row],[ignored_rank]],help_zuord_Var_Meth[],2)</f>
        <v>110</v>
      </c>
      <c r="B480">
        <v>419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t="shared" ca="1" si="7"/>
        <v>0.4586056108784099</v>
      </c>
      <c r="E480">
        <f ca="1">RANK(dict_zul_Var_Meth[[#This Row],[ignored_rand]],dict_zul_Var_Meth[ignored_rand])</f>
        <v>413</v>
      </c>
    </row>
    <row r="481" spans="1:5" x14ac:dyDescent="0.45">
      <c r="A481">
        <f ca="1">VLOOKUP(dict_zul_Var_Meth[[#This Row],[ignored_rank]],help_zuord_Var_Meth[],2)</f>
        <v>174</v>
      </c>
      <c r="B481">
        <v>420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t="shared" ca="1" si="7"/>
        <v>0.15316978780948654</v>
      </c>
      <c r="E481">
        <f ca="1">RANK(dict_zul_Var_Meth[[#This Row],[ignored_rand]],dict_zul_Var_Meth[ignored_rand])</f>
        <v>654</v>
      </c>
    </row>
    <row r="482" spans="1:5" x14ac:dyDescent="0.45">
      <c r="A482">
        <f ca="1">VLOOKUP(dict_zul_Var_Meth[[#This Row],[ignored_rank]],help_zuord_Var_Meth[],2)</f>
        <v>67</v>
      </c>
      <c r="B482">
        <v>421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t="shared" ca="1" si="7"/>
        <v>0.65270623657093618</v>
      </c>
      <c r="E482">
        <f ca="1">RANK(dict_zul_Var_Meth[[#This Row],[ignored_rand]],dict_zul_Var_Meth[ignored_rand])</f>
        <v>251</v>
      </c>
    </row>
    <row r="483" spans="1:5" x14ac:dyDescent="0.45">
      <c r="A483">
        <f ca="1">VLOOKUP(dict_zul_Var_Meth[[#This Row],[ignored_rank]],help_zuord_Var_Meth[],2)</f>
        <v>18</v>
      </c>
      <c r="B483">
        <v>422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t="shared" ca="1" si="7"/>
        <v>0.88740935938858667</v>
      </c>
      <c r="E483">
        <f ca="1">RANK(dict_zul_Var_Meth[[#This Row],[ignored_rand]],dict_zul_Var_Meth[ignored_rand])</f>
        <v>69</v>
      </c>
    </row>
    <row r="484" spans="1:5" x14ac:dyDescent="0.45">
      <c r="A484">
        <f ca="1">VLOOKUP(dict_zul_Var_Meth[[#This Row],[ignored_rank]],help_zuord_Var_Meth[],2)</f>
        <v>41</v>
      </c>
      <c r="B484">
        <v>423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t="shared" ca="1" si="7"/>
        <v>0.76981595720836327</v>
      </c>
      <c r="E484">
        <f ca="1">RANK(dict_zul_Var_Meth[[#This Row],[ignored_rand]],dict_zul_Var_Meth[ignored_rand])</f>
        <v>154</v>
      </c>
    </row>
    <row r="485" spans="1:5" x14ac:dyDescent="0.45">
      <c r="A485">
        <f ca="1">VLOOKUP(dict_zul_Var_Meth[[#This Row],[ignored_rank]],help_zuord_Var_Meth[],2)</f>
        <v>151</v>
      </c>
      <c r="B485">
        <v>424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t="shared" ca="1" si="7"/>
        <v>0.25934720999234573</v>
      </c>
      <c r="E485">
        <f ca="1">RANK(dict_zul_Var_Meth[[#This Row],[ignored_rand]],dict_zul_Var_Meth[ignored_rand])</f>
        <v>568</v>
      </c>
    </row>
    <row r="486" spans="1:5" x14ac:dyDescent="0.45">
      <c r="A486">
        <f ca="1">VLOOKUP(dict_zul_Var_Meth[[#This Row],[ignored_rank]],help_zuord_Var_Meth[],2)</f>
        <v>139</v>
      </c>
      <c r="B486">
        <v>425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t="shared" ca="1" si="7"/>
        <v>0.32325185005166523</v>
      </c>
      <c r="E486">
        <f ca="1">RANK(dict_zul_Var_Meth[[#This Row],[ignored_rand]],dict_zul_Var_Meth[ignored_rand])</f>
        <v>523</v>
      </c>
    </row>
    <row r="487" spans="1:5" x14ac:dyDescent="0.45">
      <c r="A487">
        <f ca="1">VLOOKUP(dict_zul_Var_Meth[[#This Row],[ignored_rank]],help_zuord_Var_Meth[],2)</f>
        <v>128</v>
      </c>
      <c r="B487">
        <v>426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t="shared" ca="1" si="7"/>
        <v>0.38632875903804631</v>
      </c>
      <c r="E487">
        <f ca="1">RANK(dict_zul_Var_Meth[[#This Row],[ignored_rand]],dict_zul_Var_Meth[ignored_rand])</f>
        <v>480</v>
      </c>
    </row>
    <row r="488" spans="1:5" x14ac:dyDescent="0.45">
      <c r="A488">
        <f ca="1">VLOOKUP(dict_zul_Var_Meth[[#This Row],[ignored_rank]],help_zuord_Var_Meth[],2)</f>
        <v>55</v>
      </c>
      <c r="B488">
        <v>427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t="shared" ca="1" si="7"/>
        <v>0.7039379322297018</v>
      </c>
      <c r="E488">
        <f ca="1">RANK(dict_zul_Var_Meth[[#This Row],[ignored_rand]],dict_zul_Var_Meth[ignored_rand])</f>
        <v>210</v>
      </c>
    </row>
    <row r="489" spans="1:5" x14ac:dyDescent="0.45">
      <c r="A489">
        <f ca="1">VLOOKUP(dict_zul_Var_Meth[[#This Row],[ignored_rank]],help_zuord_Var_Meth[],2)</f>
        <v>160</v>
      </c>
      <c r="B489">
        <v>428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t="shared" ca="1" si="7"/>
        <v>0.21416448216539175</v>
      </c>
      <c r="E489">
        <f ca="1">RANK(dict_zul_Var_Meth[[#This Row],[ignored_rand]],dict_zul_Var_Meth[ignored_rand])</f>
        <v>602</v>
      </c>
    </row>
    <row r="490" spans="1:5" x14ac:dyDescent="0.45">
      <c r="A490">
        <f ca="1">VLOOKUP(dict_zul_Var_Meth[[#This Row],[ignored_rank]],help_zuord_Var_Meth[],2)</f>
        <v>200</v>
      </c>
      <c r="B490">
        <v>429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t="shared" ca="1" si="7"/>
        <v>2.2324258482821713E-2</v>
      </c>
      <c r="E490">
        <f ca="1">RANK(dict_zul_Var_Meth[[#This Row],[ignored_rand]],dict_zul_Var_Meth[ignored_rand])</f>
        <v>752</v>
      </c>
    </row>
    <row r="491" spans="1:5" x14ac:dyDescent="0.45">
      <c r="A491">
        <f ca="1">VLOOKUP(dict_zul_Var_Meth[[#This Row],[ignored_rank]],help_zuord_Var_Meth[],2)</f>
        <v>186</v>
      </c>
      <c r="B491">
        <v>430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t="shared" ca="1" si="7"/>
        <v>9.556711613984914E-2</v>
      </c>
      <c r="E491">
        <f ca="1">RANK(dict_zul_Var_Meth[[#This Row],[ignored_rand]],dict_zul_Var_Meth[ignored_rand])</f>
        <v>699</v>
      </c>
    </row>
    <row r="492" spans="1:5" x14ac:dyDescent="0.45">
      <c r="A492">
        <f ca="1">VLOOKUP(dict_zul_Var_Meth[[#This Row],[ignored_rank]],help_zuord_Var_Meth[],2)</f>
        <v>168</v>
      </c>
      <c r="B492">
        <v>431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t="shared" ca="1" si="7"/>
        <v>0.18087486217039861</v>
      </c>
      <c r="E492">
        <f ca="1">RANK(dict_zul_Var_Meth[[#This Row],[ignored_rand]],dict_zul_Var_Meth[ignored_rand])</f>
        <v>630</v>
      </c>
    </row>
    <row r="493" spans="1:5" x14ac:dyDescent="0.45">
      <c r="A493">
        <f ca="1">VLOOKUP(dict_zul_Var_Meth[[#This Row],[ignored_rank]],help_zuord_Var_Meth[],2)</f>
        <v>166</v>
      </c>
      <c r="B493">
        <v>432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t="shared" ca="1" si="7"/>
        <v>0.19246888418556951</v>
      </c>
      <c r="E493">
        <f ca="1">RANK(dict_zul_Var_Meth[[#This Row],[ignored_rand]],dict_zul_Var_Meth[ignored_rand])</f>
        <v>623</v>
      </c>
    </row>
    <row r="494" spans="1:5" x14ac:dyDescent="0.45">
      <c r="A494" s="3">
        <f ca="1">VLOOKUP(dict_zul_Var_Meth[[#This Row],[ignored_rank]],help_zuord_Var_Meth[],2)</f>
        <v>60</v>
      </c>
      <c r="B494">
        <v>433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t="shared" ca="1" si="7"/>
        <v>0.68156996516952961</v>
      </c>
      <c r="E494" s="3">
        <f ca="1">RANK(dict_zul_Var_Meth[[#This Row],[ignored_rand]],dict_zul_Var_Meth[ignored_rand])</f>
        <v>227</v>
      </c>
    </row>
    <row r="495" spans="1:5" x14ac:dyDescent="0.45">
      <c r="A495">
        <f ca="1">VLOOKUP(dict_zul_Var_Meth[[#This Row],[ignored_rank]],help_zuord_Var_Meth[],2)</f>
        <v>117</v>
      </c>
      <c r="B495">
        <v>434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t="shared" ca="1" si="7"/>
        <v>0.43165320986558009</v>
      </c>
      <c r="E495">
        <f ca="1">RANK(dict_zul_Var_Meth[[#This Row],[ignored_rand]],dict_zul_Var_Meth[ignored_rand])</f>
        <v>437</v>
      </c>
    </row>
    <row r="496" spans="1:5" x14ac:dyDescent="0.45">
      <c r="A496">
        <f ca="1">VLOOKUP(dict_zul_Var_Meth[[#This Row],[ignored_rank]],help_zuord_Var_Meth[],2)</f>
        <v>157</v>
      </c>
      <c r="B496">
        <v>435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t="shared" ca="1" si="7"/>
        <v>0.23378411336003235</v>
      </c>
      <c r="E496">
        <f ca="1">RANK(dict_zul_Var_Meth[[#This Row],[ignored_rand]],dict_zul_Var_Meth[ignored_rand])</f>
        <v>589</v>
      </c>
    </row>
    <row r="497" spans="1:5" x14ac:dyDescent="0.45">
      <c r="A497">
        <f ca="1">VLOOKUP(dict_zul_Var_Meth[[#This Row],[ignored_rank]],help_zuord_Var_Meth[],2)</f>
        <v>103</v>
      </c>
      <c r="B497">
        <v>436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t="shared" ca="1" si="7"/>
        <v>0.49613733053853604</v>
      </c>
      <c r="E497">
        <f ca="1">RANK(dict_zul_Var_Meth[[#This Row],[ignored_rand]],dict_zul_Var_Meth[ignored_rand])</f>
        <v>386</v>
      </c>
    </row>
    <row r="498" spans="1:5" x14ac:dyDescent="0.45">
      <c r="A498">
        <f ca="1">VLOOKUP(dict_zul_Var_Meth[[#This Row],[ignored_rank]],help_zuord_Var_Meth[],2)</f>
        <v>96</v>
      </c>
      <c r="B498">
        <v>437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t="shared" ca="1" si="7"/>
        <v>0.53348850881703214</v>
      </c>
      <c r="E498">
        <f ca="1">RANK(dict_zul_Var_Meth[[#This Row],[ignored_rand]],dict_zul_Var_Meth[ignored_rand])</f>
        <v>362</v>
      </c>
    </row>
    <row r="499" spans="1:5" x14ac:dyDescent="0.45">
      <c r="A499">
        <f ca="1">VLOOKUP(dict_zul_Var_Meth[[#This Row],[ignored_rank]],help_zuord_Var_Meth[],2)</f>
        <v>184</v>
      </c>
      <c r="B499">
        <v>438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t="shared" ca="1" si="7"/>
        <v>0.10299578260170361</v>
      </c>
      <c r="E499">
        <f ca="1">RANK(dict_zul_Var_Meth[[#This Row],[ignored_rand]],dict_zul_Var_Meth[ignored_rand])</f>
        <v>692</v>
      </c>
    </row>
    <row r="500" spans="1:5" x14ac:dyDescent="0.45">
      <c r="A500">
        <f ca="1">VLOOKUP(dict_zul_Var_Meth[[#This Row],[ignored_rank]],help_zuord_Var_Meth[],2)</f>
        <v>91</v>
      </c>
      <c r="B500">
        <v>439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t="shared" ca="1" si="7"/>
        <v>0.55157298576777836</v>
      </c>
      <c r="E500">
        <f ca="1">RANK(dict_zul_Var_Meth[[#This Row],[ignored_rand]],dict_zul_Var_Meth[ignored_rand])</f>
        <v>342</v>
      </c>
    </row>
    <row r="501" spans="1:5" x14ac:dyDescent="0.45">
      <c r="A501">
        <f ca="1">VLOOKUP(dict_zul_Var_Meth[[#This Row],[ignored_rank]],help_zuord_Var_Meth[],2)</f>
        <v>105</v>
      </c>
      <c r="B501">
        <v>440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t="shared" ca="1" si="7"/>
        <v>0.48277015665130729</v>
      </c>
      <c r="E501">
        <f ca="1">RANK(dict_zul_Var_Meth[[#This Row],[ignored_rand]],dict_zul_Var_Meth[ignored_rand])</f>
        <v>395</v>
      </c>
    </row>
    <row r="502" spans="1:5" x14ac:dyDescent="0.45">
      <c r="A502">
        <f ca="1">VLOOKUP(dict_zul_Var_Meth[[#This Row],[ignored_rank]],help_zuord_Var_Meth[],2)</f>
        <v>181</v>
      </c>
      <c r="B502">
        <v>441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t="shared" ca="1" si="7"/>
        <v>0.11519376364838463</v>
      </c>
      <c r="E502">
        <f ca="1">RANK(dict_zul_Var_Meth[[#This Row],[ignored_rand]],dict_zul_Var_Meth[ignored_rand])</f>
        <v>679</v>
      </c>
    </row>
    <row r="503" spans="1:5" x14ac:dyDescent="0.45">
      <c r="A503">
        <f ca="1">VLOOKUP(dict_zul_Var_Meth[[#This Row],[ignored_rank]],help_zuord_Var_Meth[],2)</f>
        <v>24</v>
      </c>
      <c r="B503">
        <v>442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t="shared" ca="1" si="7"/>
        <v>0.86323351766648682</v>
      </c>
      <c r="E503">
        <f ca="1">RANK(dict_zul_Var_Meth[[#This Row],[ignored_rand]],dict_zul_Var_Meth[ignored_rand])</f>
        <v>92</v>
      </c>
    </row>
    <row r="504" spans="1:5" x14ac:dyDescent="0.45">
      <c r="A504">
        <f ca="1">VLOOKUP(dict_zul_Var_Meth[[#This Row],[ignored_rank]],help_zuord_Var_Meth[],2)</f>
        <v>160</v>
      </c>
      <c r="B504">
        <v>443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t="shared" ca="1" si="7"/>
        <v>0.21399919124965205</v>
      </c>
      <c r="E504">
        <f ca="1">RANK(dict_zul_Var_Meth[[#This Row],[ignored_rand]],dict_zul_Var_Meth[ignored_rand])</f>
        <v>603</v>
      </c>
    </row>
    <row r="505" spans="1:5" x14ac:dyDescent="0.45">
      <c r="A505">
        <f ca="1">VLOOKUP(dict_zul_Var_Meth[[#This Row],[ignored_rank]],help_zuord_Var_Meth[],2)</f>
        <v>83</v>
      </c>
      <c r="B505">
        <v>444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t="shared" ca="1" si="7"/>
        <v>0.58221451773517918</v>
      </c>
      <c r="E505">
        <f ca="1">RANK(dict_zul_Var_Meth[[#This Row],[ignored_rand]],dict_zul_Var_Meth[ignored_rand])</f>
        <v>311</v>
      </c>
    </row>
    <row r="506" spans="1:5" x14ac:dyDescent="0.45">
      <c r="A506">
        <f ca="1">VLOOKUP(dict_zul_Var_Meth[[#This Row],[ignored_rank]],help_zuord_Var_Meth[],2)</f>
        <v>98</v>
      </c>
      <c r="B506">
        <v>445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t="shared" ca="1" si="7"/>
        <v>0.5254502708442147</v>
      </c>
      <c r="E506">
        <f ca="1">RANK(dict_zul_Var_Meth[[#This Row],[ignored_rand]],dict_zul_Var_Meth[ignored_rand])</f>
        <v>369</v>
      </c>
    </row>
    <row r="507" spans="1:5" x14ac:dyDescent="0.45">
      <c r="A507" s="3">
        <f ca="1">VLOOKUP(dict_zul_Var_Meth[[#This Row],[ignored_rank]],help_zuord_Var_Meth[],2)</f>
        <v>34</v>
      </c>
      <c r="B507">
        <v>446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t="shared" ca="1" si="7"/>
        <v>0.80354182544812114</v>
      </c>
      <c r="E507" s="3">
        <f ca="1">RANK(dict_zul_Var_Meth[[#This Row],[ignored_rand]],dict_zul_Var_Meth[ignored_rand])</f>
        <v>130</v>
      </c>
    </row>
    <row r="508" spans="1:5" x14ac:dyDescent="0.45">
      <c r="A508">
        <f ca="1">VLOOKUP(dict_zul_Var_Meth[[#This Row],[ignored_rank]],help_zuord_Var_Meth[],2)</f>
        <v>73</v>
      </c>
      <c r="B508">
        <v>447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t="shared" ca="1" si="7"/>
        <v>0.63323452514984524</v>
      </c>
      <c r="E508">
        <f ca="1">RANK(dict_zul_Var_Meth[[#This Row],[ignored_rand]],dict_zul_Var_Meth[ignored_rand])</f>
        <v>274</v>
      </c>
    </row>
    <row r="509" spans="1:5" x14ac:dyDescent="0.45">
      <c r="A509">
        <f ca="1">VLOOKUP(dict_zul_Var_Meth[[#This Row],[ignored_rank]],help_zuord_Var_Meth[],2)</f>
        <v>64</v>
      </c>
      <c r="B509">
        <v>448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t="shared" ca="1" si="7"/>
        <v>0.66312427076028901</v>
      </c>
      <c r="E509">
        <f ca="1">RANK(dict_zul_Var_Meth[[#This Row],[ignored_rand]],dict_zul_Var_Meth[ignored_rand])</f>
        <v>240</v>
      </c>
    </row>
    <row r="510" spans="1:5" x14ac:dyDescent="0.45">
      <c r="A510">
        <f ca="1">VLOOKUP(dict_zul_Var_Meth[[#This Row],[ignored_rank]],help_zuord_Var_Meth[],2)</f>
        <v>147</v>
      </c>
      <c r="B510">
        <v>449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t="shared" ca="1" si="7"/>
        <v>0.27789541668524331</v>
      </c>
      <c r="E510">
        <f ca="1">RANK(dict_zul_Var_Meth[[#This Row],[ignored_rand]],dict_zul_Var_Meth[ignored_rand])</f>
        <v>550</v>
      </c>
    </row>
    <row r="511" spans="1:5" x14ac:dyDescent="0.45">
      <c r="A511">
        <f ca="1">VLOOKUP(dict_zul_Var_Meth[[#This Row],[ignored_rank]],help_zuord_Var_Meth[],2)</f>
        <v>66</v>
      </c>
      <c r="B511">
        <v>450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t="shared" ca="1" si="7"/>
        <v>0.65589010949144144</v>
      </c>
      <c r="E511">
        <f ca="1">RANK(dict_zul_Var_Meth[[#This Row],[ignored_rand]],dict_zul_Var_Meth[ignored_rand])</f>
        <v>249</v>
      </c>
    </row>
    <row r="512" spans="1:5" x14ac:dyDescent="0.45">
      <c r="A512">
        <f ca="1">VLOOKUP(dict_zul_Var_Meth[[#This Row],[ignored_rank]],help_zuord_Var_Meth[],2)</f>
        <v>7</v>
      </c>
      <c r="B512">
        <v>451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t="shared" ca="1" si="7"/>
        <v>0.95282383042142171</v>
      </c>
      <c r="E512">
        <f ca="1">RANK(dict_zul_Var_Meth[[#This Row],[ignored_rand]],dict_zul_Var_Meth[ignored_rand])</f>
        <v>30</v>
      </c>
    </row>
    <row r="513" spans="1:5" x14ac:dyDescent="0.45">
      <c r="A513">
        <f ca="1">VLOOKUP(dict_zul_Var_Meth[[#This Row],[ignored_rank]],help_zuord_Var_Meth[],2)</f>
        <v>196</v>
      </c>
      <c r="B513">
        <v>452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t="shared" ca="1" si="7"/>
        <v>4.5168738854583612E-2</v>
      </c>
      <c r="E513">
        <f ca="1">RANK(dict_zul_Var_Meth[[#This Row],[ignored_rand]],dict_zul_Var_Meth[ignored_rand])</f>
        <v>735</v>
      </c>
    </row>
    <row r="514" spans="1:5" x14ac:dyDescent="0.45">
      <c r="A514">
        <f ca="1">VLOOKUP(dict_zul_Var_Meth[[#This Row],[ignored_rank]],help_zuord_Var_Meth[],2)</f>
        <v>134</v>
      </c>
      <c r="B514">
        <v>453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t="shared" ref="D514:D577" ca="1" si="8">RAND()</f>
        <v>0.35762592447238795</v>
      </c>
      <c r="E514">
        <f ca="1">RANK(dict_zul_Var_Meth[[#This Row],[ignored_rand]],dict_zul_Var_Meth[ignored_rand])</f>
        <v>504</v>
      </c>
    </row>
    <row r="515" spans="1:5" x14ac:dyDescent="0.45">
      <c r="A515">
        <f ca="1">VLOOKUP(dict_zul_Var_Meth[[#This Row],[ignored_rank]],help_zuord_Var_Meth[],2)</f>
        <v>127</v>
      </c>
      <c r="B515">
        <v>454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t="shared" ca="1" si="8"/>
        <v>0.38692577376637771</v>
      </c>
      <c r="E515">
        <f ca="1">RANK(dict_zul_Var_Meth[[#This Row],[ignored_rand]],dict_zul_Var_Meth[ignored_rand])</f>
        <v>478</v>
      </c>
    </row>
    <row r="516" spans="1:5" x14ac:dyDescent="0.45">
      <c r="A516">
        <f ca="1">VLOOKUP(dict_zul_Var_Meth[[#This Row],[ignored_rank]],help_zuord_Var_Meth[],2)</f>
        <v>94</v>
      </c>
      <c r="B516">
        <v>455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t="shared" ca="1" si="8"/>
        <v>0.54271357038145951</v>
      </c>
      <c r="E516">
        <f ca="1">RANK(dict_zul_Var_Meth[[#This Row],[ignored_rand]],dict_zul_Var_Meth[ignored_rand])</f>
        <v>352</v>
      </c>
    </row>
    <row r="517" spans="1:5" x14ac:dyDescent="0.45">
      <c r="A517">
        <f ca="1">VLOOKUP(dict_zul_Var_Meth[[#This Row],[ignored_rank]],help_zuord_Var_Meth[],2)</f>
        <v>57</v>
      </c>
      <c r="B517">
        <v>456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t="shared" ca="1" si="8"/>
        <v>0.69882337156720153</v>
      </c>
      <c r="E517">
        <f ca="1">RANK(dict_zul_Var_Meth[[#This Row],[ignored_rand]],dict_zul_Var_Meth[ignored_rand])</f>
        <v>216</v>
      </c>
    </row>
    <row r="518" spans="1:5" x14ac:dyDescent="0.45">
      <c r="A518">
        <f ca="1">VLOOKUP(dict_zul_Var_Meth[[#This Row],[ignored_rank]],help_zuord_Var_Meth[],2)</f>
        <v>167</v>
      </c>
      <c r="B518">
        <v>457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t="shared" ca="1" si="8"/>
        <v>0.18442506809802772</v>
      </c>
      <c r="E518">
        <f ca="1">RANK(dict_zul_Var_Meth[[#This Row],[ignored_rand]],dict_zul_Var_Meth[ignored_rand])</f>
        <v>625</v>
      </c>
    </row>
    <row r="519" spans="1:5" x14ac:dyDescent="0.45">
      <c r="A519">
        <f ca="1">VLOOKUP(dict_zul_Var_Meth[[#This Row],[ignored_rank]],help_zuord_Var_Meth[],2)</f>
        <v>130</v>
      </c>
      <c r="B519">
        <v>458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t="shared" ca="1" si="8"/>
        <v>0.37237374787851152</v>
      </c>
      <c r="E519">
        <f ca="1">RANK(dict_zul_Var_Meth[[#This Row],[ignored_rand]],dict_zul_Var_Meth[ignored_rand])</f>
        <v>490</v>
      </c>
    </row>
    <row r="520" spans="1:5" x14ac:dyDescent="0.45">
      <c r="A520">
        <f ca="1">VLOOKUP(dict_zul_Var_Meth[[#This Row],[ignored_rank]],help_zuord_Var_Meth[],2)</f>
        <v>171</v>
      </c>
      <c r="B520">
        <v>459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t="shared" ca="1" si="8"/>
        <v>0.16773468624337606</v>
      </c>
      <c r="E520">
        <f ca="1">RANK(dict_zul_Var_Meth[[#This Row],[ignored_rand]],dict_zul_Var_Meth[ignored_rand])</f>
        <v>643</v>
      </c>
    </row>
    <row r="521" spans="1:5" x14ac:dyDescent="0.45">
      <c r="A521">
        <f ca="1">VLOOKUP(dict_zul_Var_Meth[[#This Row],[ignored_rank]],help_zuord_Var_Meth[],2)</f>
        <v>27</v>
      </c>
      <c r="B521">
        <v>460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t="shared" ca="1" si="8"/>
        <v>0.85398917129465357</v>
      </c>
      <c r="E521">
        <f ca="1">RANK(dict_zul_Var_Meth[[#This Row],[ignored_rand]],dict_zul_Var_Meth[ignored_rand])</f>
        <v>102</v>
      </c>
    </row>
    <row r="522" spans="1:5" x14ac:dyDescent="0.45">
      <c r="A522">
        <f ca="1">VLOOKUP(dict_zul_Var_Meth[[#This Row],[ignored_rank]],help_zuord_Var_Meth[],2)</f>
        <v>12</v>
      </c>
      <c r="B522">
        <v>461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t="shared" ca="1" si="8"/>
        <v>0.92060553092529229</v>
      </c>
      <c r="E522">
        <f ca="1">RANK(dict_zul_Var_Meth[[#This Row],[ignored_rand]],dict_zul_Var_Meth[ignored_rand])</f>
        <v>47</v>
      </c>
    </row>
    <row r="523" spans="1:5" x14ac:dyDescent="0.45">
      <c r="A523" s="3">
        <f ca="1">VLOOKUP(dict_zul_Var_Meth[[#This Row],[ignored_rank]],help_zuord_Var_Meth[],2)</f>
        <v>185</v>
      </c>
      <c r="B523">
        <v>462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t="shared" ca="1" si="8"/>
        <v>0.10124652423968805</v>
      </c>
      <c r="E523" s="3">
        <f ca="1">RANK(dict_zul_Var_Meth[[#This Row],[ignored_rand]],dict_zul_Var_Meth[ignored_rand])</f>
        <v>694</v>
      </c>
    </row>
    <row r="524" spans="1:5" x14ac:dyDescent="0.45">
      <c r="A524">
        <f ca="1">VLOOKUP(dict_zul_Var_Meth[[#This Row],[ignored_rank]],help_zuord_Var_Meth[],2)</f>
        <v>102</v>
      </c>
      <c r="B524">
        <v>463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t="shared" ca="1" si="8"/>
        <v>0.50450446314530151</v>
      </c>
      <c r="E524">
        <f ca="1">RANK(dict_zul_Var_Meth[[#This Row],[ignored_rand]],dict_zul_Var_Meth[ignored_rand])</f>
        <v>383</v>
      </c>
    </row>
    <row r="525" spans="1:5" x14ac:dyDescent="0.45">
      <c r="A525">
        <f ca="1">VLOOKUP(dict_zul_Var_Meth[[#This Row],[ignored_rank]],help_zuord_Var_Meth[],2)</f>
        <v>86</v>
      </c>
      <c r="B525">
        <v>464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t="shared" ca="1" si="8"/>
        <v>0.56212106292555009</v>
      </c>
      <c r="E525">
        <f ca="1">RANK(dict_zul_Var_Meth[[#This Row],[ignored_rand]],dict_zul_Var_Meth[ignored_rand])</f>
        <v>324</v>
      </c>
    </row>
    <row r="526" spans="1:5" x14ac:dyDescent="0.45">
      <c r="A526">
        <f ca="1">VLOOKUP(dict_zul_Var_Meth[[#This Row],[ignored_rank]],help_zuord_Var_Meth[],2)</f>
        <v>151</v>
      </c>
      <c r="B526">
        <v>465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t="shared" ca="1" si="8"/>
        <v>0.26276716731355643</v>
      </c>
      <c r="E526">
        <f ca="1">RANK(dict_zul_Var_Meth[[#This Row],[ignored_rand]],dict_zul_Var_Meth[ignored_rand])</f>
        <v>565</v>
      </c>
    </row>
    <row r="527" spans="1:5" x14ac:dyDescent="0.45">
      <c r="A527">
        <f ca="1">VLOOKUP(dict_zul_Var_Meth[[#This Row],[ignored_rank]],help_zuord_Var_Meth[],2)</f>
        <v>20</v>
      </c>
      <c r="B527">
        <v>466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t="shared" ca="1" si="8"/>
        <v>0.88289454172085702</v>
      </c>
      <c r="E527">
        <f ca="1">RANK(dict_zul_Var_Meth[[#This Row],[ignored_rand]],dict_zul_Var_Meth[ignored_rand])</f>
        <v>74</v>
      </c>
    </row>
    <row r="528" spans="1:5" x14ac:dyDescent="0.45">
      <c r="A528">
        <f ca="1">VLOOKUP(dict_zul_Var_Meth[[#This Row],[ignored_rank]],help_zuord_Var_Meth[],2)</f>
        <v>127</v>
      </c>
      <c r="B528">
        <v>467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t="shared" ca="1" si="8"/>
        <v>0.38650760405484796</v>
      </c>
      <c r="E528">
        <f ca="1">RANK(dict_zul_Var_Meth[[#This Row],[ignored_rand]],dict_zul_Var_Meth[ignored_rand])</f>
        <v>479</v>
      </c>
    </row>
    <row r="529" spans="1:5" x14ac:dyDescent="0.45">
      <c r="A529">
        <f ca="1">VLOOKUP(dict_zul_Var_Meth[[#This Row],[ignored_rank]],help_zuord_Var_Meth[],2)</f>
        <v>183</v>
      </c>
      <c r="B529">
        <v>468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t="shared" ca="1" si="8"/>
        <v>0.11037553144573153</v>
      </c>
      <c r="E529">
        <f ca="1">RANK(dict_zul_Var_Meth[[#This Row],[ignored_rand]],dict_zul_Var_Meth[ignored_rand])</f>
        <v>687</v>
      </c>
    </row>
    <row r="530" spans="1:5" x14ac:dyDescent="0.45">
      <c r="A530">
        <f ca="1">VLOOKUP(dict_zul_Var_Meth[[#This Row],[ignored_rank]],help_zuord_Var_Meth[],2)</f>
        <v>60</v>
      </c>
      <c r="B530">
        <v>469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t="shared" ca="1" si="8"/>
        <v>0.68173193053424985</v>
      </c>
      <c r="E530">
        <f ca="1">RANK(dict_zul_Var_Meth[[#This Row],[ignored_rand]],dict_zul_Var_Meth[ignored_rand])</f>
        <v>226</v>
      </c>
    </row>
    <row r="531" spans="1:5" x14ac:dyDescent="0.45">
      <c r="A531">
        <f ca="1">VLOOKUP(dict_zul_Var_Meth[[#This Row],[ignored_rank]],help_zuord_Var_Meth[],2)</f>
        <v>123</v>
      </c>
      <c r="B531">
        <v>470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t="shared" ca="1" si="8"/>
        <v>0.406008147502256</v>
      </c>
      <c r="E531">
        <f ca="1">RANK(dict_zul_Var_Meth[[#This Row],[ignored_rand]],dict_zul_Var_Meth[ignored_rand])</f>
        <v>462</v>
      </c>
    </row>
    <row r="532" spans="1:5" x14ac:dyDescent="0.45">
      <c r="A532">
        <f ca="1">VLOOKUP(dict_zul_Var_Meth[[#This Row],[ignored_rank]],help_zuord_Var_Meth[],2)</f>
        <v>199</v>
      </c>
      <c r="B532">
        <v>471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t="shared" ca="1" si="8"/>
        <v>3.6022485764605983E-2</v>
      </c>
      <c r="E532">
        <f ca="1">RANK(dict_zul_Var_Meth[[#This Row],[ignored_rand]],dict_zul_Var_Meth[ignored_rand])</f>
        <v>744</v>
      </c>
    </row>
    <row r="533" spans="1:5" x14ac:dyDescent="0.45">
      <c r="A533">
        <f ca="1">VLOOKUP(dict_zul_Var_Meth[[#This Row],[ignored_rank]],help_zuord_Var_Meth[],2)</f>
        <v>156</v>
      </c>
      <c r="B533">
        <v>472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t="shared" ca="1" si="8"/>
        <v>0.23632937698276613</v>
      </c>
      <c r="E533">
        <f ca="1">RANK(dict_zul_Var_Meth[[#This Row],[ignored_rand]],dict_zul_Var_Meth[ignored_rand])</f>
        <v>588</v>
      </c>
    </row>
    <row r="534" spans="1:5" x14ac:dyDescent="0.45">
      <c r="A534">
        <f ca="1">VLOOKUP(dict_zul_Var_Meth[[#This Row],[ignored_rank]],help_zuord_Var_Meth[],2)</f>
        <v>87</v>
      </c>
      <c r="B534">
        <v>473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t="shared" ca="1" si="8"/>
        <v>0.55695142019377275</v>
      </c>
      <c r="E534">
        <f ca="1">RANK(dict_zul_Var_Meth[[#This Row],[ignored_rand]],dict_zul_Var_Meth[ignored_rand])</f>
        <v>329</v>
      </c>
    </row>
    <row r="535" spans="1:5" x14ac:dyDescent="0.45">
      <c r="A535">
        <f ca="1">VLOOKUP(dict_zul_Var_Meth[[#This Row],[ignored_rank]],help_zuord_Var_Meth[],2)</f>
        <v>61</v>
      </c>
      <c r="B535">
        <v>474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t="shared" ca="1" si="8"/>
        <v>0.67906340369296292</v>
      </c>
      <c r="E535">
        <f ca="1">RANK(dict_zul_Var_Meth[[#This Row],[ignored_rand]],dict_zul_Var_Meth[ignored_rand])</f>
        <v>229</v>
      </c>
    </row>
    <row r="536" spans="1:5" x14ac:dyDescent="0.45">
      <c r="A536">
        <f ca="1">VLOOKUP(dict_zul_Var_Meth[[#This Row],[ignored_rank]],help_zuord_Var_Meth[],2)</f>
        <v>79</v>
      </c>
      <c r="B536">
        <v>475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t="shared" ca="1" si="8"/>
        <v>0.60579518252935372</v>
      </c>
      <c r="E536">
        <f ca="1">RANK(dict_zul_Var_Meth[[#This Row],[ignored_rand]],dict_zul_Var_Meth[ignored_rand])</f>
        <v>296</v>
      </c>
    </row>
    <row r="537" spans="1:5" x14ac:dyDescent="0.45">
      <c r="A537">
        <f ca="1">VLOOKUP(dict_zul_Var_Meth[[#This Row],[ignored_rank]],help_zuord_Var_Meth[],2)</f>
        <v>156</v>
      </c>
      <c r="B537">
        <v>476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t="shared" ca="1" si="8"/>
        <v>0.23845088417815719</v>
      </c>
      <c r="E537">
        <f ca="1">RANK(dict_zul_Var_Meth[[#This Row],[ignored_rand]],dict_zul_Var_Meth[ignored_rand])</f>
        <v>585</v>
      </c>
    </row>
    <row r="538" spans="1:5" x14ac:dyDescent="0.45">
      <c r="A538">
        <f ca="1">VLOOKUP(dict_zul_Var_Meth[[#This Row],[ignored_rank]],help_zuord_Var_Meth[],2)</f>
        <v>82</v>
      </c>
      <c r="B538">
        <v>477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t="shared" ca="1" si="8"/>
        <v>0.58265031989566729</v>
      </c>
      <c r="E538">
        <f ca="1">RANK(dict_zul_Var_Meth[[#This Row],[ignored_rand]],dict_zul_Var_Meth[ignored_rand])</f>
        <v>310</v>
      </c>
    </row>
    <row r="539" spans="1:5" x14ac:dyDescent="0.45">
      <c r="A539">
        <f ca="1">VLOOKUP(dict_zul_Var_Meth[[#This Row],[ignored_rank]],help_zuord_Var_Meth[],2)</f>
        <v>187</v>
      </c>
      <c r="B539">
        <v>478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t="shared" ca="1" si="8"/>
        <v>8.434331555667085E-2</v>
      </c>
      <c r="E539">
        <f ca="1">RANK(dict_zul_Var_Meth[[#This Row],[ignored_rand]],dict_zul_Var_Meth[ignored_rand])</f>
        <v>704</v>
      </c>
    </row>
    <row r="540" spans="1:5" x14ac:dyDescent="0.45">
      <c r="A540">
        <f ca="1">VLOOKUP(dict_zul_Var_Meth[[#This Row],[ignored_rank]],help_zuord_Var_Meth[],2)</f>
        <v>109</v>
      </c>
      <c r="B540">
        <v>479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t="shared" ca="1" si="8"/>
        <v>0.46260749127824863</v>
      </c>
      <c r="E540">
        <f ca="1">RANK(dict_zul_Var_Meth[[#This Row],[ignored_rand]],dict_zul_Var_Meth[ignored_rand])</f>
        <v>408</v>
      </c>
    </row>
    <row r="541" spans="1:5" x14ac:dyDescent="0.45">
      <c r="A541" s="3">
        <f ca="1">VLOOKUP(dict_zul_Var_Meth[[#This Row],[ignored_rank]],help_zuord_Var_Meth[],2)</f>
        <v>16</v>
      </c>
      <c r="B541">
        <v>480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t="shared" ca="1" si="8"/>
        <v>0.90042163055627589</v>
      </c>
      <c r="E541" s="3">
        <f ca="1">RANK(dict_zul_Var_Meth[[#This Row],[ignored_rand]],dict_zul_Var_Meth[ignored_rand])</f>
        <v>59</v>
      </c>
    </row>
    <row r="542" spans="1:5" x14ac:dyDescent="0.45">
      <c r="A542" s="3">
        <f ca="1">VLOOKUP(dict_zul_Var_Meth[[#This Row],[ignored_rank]],help_zuord_Var_Meth[],2)</f>
        <v>35</v>
      </c>
      <c r="B542">
        <v>481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t="shared" ca="1" si="8"/>
        <v>0.79733404622440429</v>
      </c>
      <c r="E542" s="3">
        <f ca="1">RANK(dict_zul_Var_Meth[[#This Row],[ignored_rand]],dict_zul_Var_Meth[ignored_rand])</f>
        <v>133</v>
      </c>
    </row>
    <row r="543" spans="1:5" x14ac:dyDescent="0.45">
      <c r="A543">
        <f ca="1">VLOOKUP(dict_zul_Var_Meth[[#This Row],[ignored_rank]],help_zuord_Var_Meth[],2)</f>
        <v>26</v>
      </c>
      <c r="B543">
        <v>482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t="shared" ca="1" si="8"/>
        <v>0.85487979230364985</v>
      </c>
      <c r="E543">
        <f ca="1">RANK(dict_zul_Var_Meth[[#This Row],[ignored_rand]],dict_zul_Var_Meth[ignored_rand])</f>
        <v>101</v>
      </c>
    </row>
    <row r="544" spans="1:5" x14ac:dyDescent="0.45">
      <c r="A544">
        <f ca="1">VLOOKUP(dict_zul_Var_Meth[[#This Row],[ignored_rank]],help_zuord_Var_Meth[],2)</f>
        <v>136</v>
      </c>
      <c r="B544">
        <v>483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t="shared" ca="1" si="8"/>
        <v>0.33671491671697495</v>
      </c>
      <c r="E544">
        <f ca="1">RANK(dict_zul_Var_Meth[[#This Row],[ignored_rand]],dict_zul_Var_Meth[ignored_rand])</f>
        <v>513</v>
      </c>
    </row>
    <row r="545" spans="1:5" x14ac:dyDescent="0.45">
      <c r="A545">
        <f ca="1">VLOOKUP(dict_zul_Var_Meth[[#This Row],[ignored_rank]],help_zuord_Var_Meth[],2)</f>
        <v>49</v>
      </c>
      <c r="B545">
        <v>484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t="shared" ca="1" si="8"/>
        <v>0.7332852861188387</v>
      </c>
      <c r="E545">
        <f ca="1">RANK(dict_zul_Var_Meth[[#This Row],[ignored_rand]],dict_zul_Var_Meth[ignored_rand])</f>
        <v>185</v>
      </c>
    </row>
    <row r="546" spans="1:5" x14ac:dyDescent="0.45">
      <c r="A546">
        <f ca="1">VLOOKUP(dict_zul_Var_Meth[[#This Row],[ignored_rank]],help_zuord_Var_Meth[],2)</f>
        <v>48</v>
      </c>
      <c r="B546">
        <v>485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t="shared" ca="1" si="8"/>
        <v>0.73839006110009653</v>
      </c>
      <c r="E546">
        <f ca="1">RANK(dict_zul_Var_Meth[[#This Row],[ignored_rand]],dict_zul_Var_Meth[ignored_rand])</f>
        <v>179</v>
      </c>
    </row>
    <row r="547" spans="1:5" x14ac:dyDescent="0.45">
      <c r="A547">
        <f ca="1">VLOOKUP(dict_zul_Var_Meth[[#This Row],[ignored_rank]],help_zuord_Var_Meth[],2)</f>
        <v>49</v>
      </c>
      <c r="B547">
        <v>486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t="shared" ca="1" si="8"/>
        <v>0.73316903148568613</v>
      </c>
      <c r="E547">
        <f ca="1">RANK(dict_zul_Var_Meth[[#This Row],[ignored_rand]],dict_zul_Var_Meth[ignored_rand])</f>
        <v>186</v>
      </c>
    </row>
    <row r="548" spans="1:5" x14ac:dyDescent="0.45">
      <c r="A548">
        <f ca="1">VLOOKUP(dict_zul_Var_Meth[[#This Row],[ignored_rank]],help_zuord_Var_Meth[],2)</f>
        <v>130</v>
      </c>
      <c r="B548">
        <v>487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t="shared" ca="1" si="8"/>
        <v>0.37408819086375278</v>
      </c>
      <c r="E548">
        <f ca="1">RANK(dict_zul_Var_Meth[[#This Row],[ignored_rand]],dict_zul_Var_Meth[ignored_rand])</f>
        <v>489</v>
      </c>
    </row>
    <row r="549" spans="1:5" x14ac:dyDescent="0.45">
      <c r="A549">
        <f ca="1">VLOOKUP(dict_zul_Var_Meth[[#This Row],[ignored_rank]],help_zuord_Var_Meth[],2)</f>
        <v>47</v>
      </c>
      <c r="B549">
        <v>488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t="shared" ca="1" si="8"/>
        <v>0.74004620510611629</v>
      </c>
      <c r="E549">
        <f ca="1">RANK(dict_zul_Var_Meth[[#This Row],[ignored_rand]],dict_zul_Var_Meth[ignored_rand])</f>
        <v>177</v>
      </c>
    </row>
    <row r="550" spans="1:5" x14ac:dyDescent="0.45">
      <c r="A550">
        <f ca="1">VLOOKUP(dict_zul_Var_Meth[[#This Row],[ignored_rank]],help_zuord_Var_Meth[],2)</f>
        <v>144</v>
      </c>
      <c r="B550">
        <v>489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t="shared" ca="1" si="8"/>
        <v>0.29075043698872693</v>
      </c>
      <c r="E550">
        <f ca="1">RANK(dict_zul_Var_Meth[[#This Row],[ignored_rand]],dict_zul_Var_Meth[ignored_rand])</f>
        <v>542</v>
      </c>
    </row>
    <row r="551" spans="1:5" x14ac:dyDescent="0.45">
      <c r="A551">
        <f ca="1">VLOOKUP(dict_zul_Var_Meth[[#This Row],[ignored_rank]],help_zuord_Var_Meth[],2)</f>
        <v>135</v>
      </c>
      <c r="B551">
        <v>490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t="shared" ca="1" si="8"/>
        <v>0.35296727515571913</v>
      </c>
      <c r="E551">
        <f ca="1">RANK(dict_zul_Var_Meth[[#This Row],[ignored_rand]],dict_zul_Var_Meth[ignored_rand])</f>
        <v>506</v>
      </c>
    </row>
    <row r="552" spans="1:5" x14ac:dyDescent="0.45">
      <c r="A552">
        <f ca="1">VLOOKUP(dict_zul_Var_Meth[[#This Row],[ignored_rank]],help_zuord_Var_Meth[],2)</f>
        <v>150</v>
      </c>
      <c r="B552">
        <v>491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t="shared" ca="1" si="8"/>
        <v>0.26443298924647418</v>
      </c>
      <c r="E552">
        <f ca="1">RANK(dict_zul_Var_Meth[[#This Row],[ignored_rand]],dict_zul_Var_Meth[ignored_rand])</f>
        <v>563</v>
      </c>
    </row>
    <row r="553" spans="1:5" x14ac:dyDescent="0.45">
      <c r="A553">
        <f ca="1">VLOOKUP(dict_zul_Var_Meth[[#This Row],[ignored_rank]],help_zuord_Var_Meth[],2)</f>
        <v>87</v>
      </c>
      <c r="B553">
        <v>492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t="shared" ca="1" si="8"/>
        <v>0.55985126951827224</v>
      </c>
      <c r="E553">
        <f ca="1">RANK(dict_zul_Var_Meth[[#This Row],[ignored_rand]],dict_zul_Var_Meth[ignored_rand])</f>
        <v>325</v>
      </c>
    </row>
    <row r="554" spans="1:5" x14ac:dyDescent="0.45">
      <c r="A554">
        <f ca="1">VLOOKUP(dict_zul_Var_Meth[[#This Row],[ignored_rank]],help_zuord_Var_Meth[],2)</f>
        <v>179</v>
      </c>
      <c r="B554">
        <v>493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t="shared" ca="1" si="8"/>
        <v>0.12203436043590243</v>
      </c>
      <c r="E554">
        <f ca="1">RANK(dict_zul_Var_Meth[[#This Row],[ignored_rand]],dict_zul_Var_Meth[ignored_rand])</f>
        <v>672</v>
      </c>
    </row>
    <row r="555" spans="1:5" x14ac:dyDescent="0.45">
      <c r="A555">
        <f ca="1">VLOOKUP(dict_zul_Var_Meth[[#This Row],[ignored_rank]],help_zuord_Var_Meth[],2)</f>
        <v>68</v>
      </c>
      <c r="B555">
        <v>494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t="shared" ca="1" si="8"/>
        <v>0.64577980502309273</v>
      </c>
      <c r="E555">
        <f ca="1">RANK(dict_zul_Var_Meth[[#This Row],[ignored_rand]],dict_zul_Var_Meth[ignored_rand])</f>
        <v>257</v>
      </c>
    </row>
    <row r="556" spans="1:5" x14ac:dyDescent="0.45">
      <c r="A556">
        <f ca="1">VLOOKUP(dict_zul_Var_Meth[[#This Row],[ignored_rank]],help_zuord_Var_Meth[],2)</f>
        <v>133</v>
      </c>
      <c r="B556">
        <v>495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t="shared" ca="1" si="8"/>
        <v>0.36270491456172915</v>
      </c>
      <c r="E556">
        <f ca="1">RANK(dict_zul_Var_Meth[[#This Row],[ignored_rand]],dict_zul_Var_Meth[ignored_rand])</f>
        <v>497</v>
      </c>
    </row>
    <row r="557" spans="1:5" x14ac:dyDescent="0.45">
      <c r="A557">
        <f ca="1">VLOOKUP(dict_zul_Var_Meth[[#This Row],[ignored_rank]],help_zuord_Var_Meth[],2)</f>
        <v>70</v>
      </c>
      <c r="B557">
        <v>496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t="shared" ca="1" si="8"/>
        <v>0.63838814668008836</v>
      </c>
      <c r="E557">
        <f ca="1">RANK(dict_zul_Var_Meth[[#This Row],[ignored_rand]],dict_zul_Var_Meth[ignored_rand])</f>
        <v>262</v>
      </c>
    </row>
    <row r="558" spans="1:5" x14ac:dyDescent="0.45">
      <c r="A558">
        <f ca="1">VLOOKUP(dict_zul_Var_Meth[[#This Row],[ignored_rank]],help_zuord_Var_Meth[],2)</f>
        <v>93</v>
      </c>
      <c r="B558">
        <v>497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t="shared" ca="1" si="8"/>
        <v>0.54545093962455959</v>
      </c>
      <c r="E558">
        <f ca="1">RANK(dict_zul_Var_Meth[[#This Row],[ignored_rand]],dict_zul_Var_Meth[ignored_rand])</f>
        <v>348</v>
      </c>
    </row>
    <row r="559" spans="1:5" x14ac:dyDescent="0.45">
      <c r="A559">
        <f ca="1">VLOOKUP(dict_zul_Var_Meth[[#This Row],[ignored_rank]],help_zuord_Var_Meth[],2)</f>
        <v>101</v>
      </c>
      <c r="B559">
        <v>498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t="shared" ca="1" si="8"/>
        <v>0.51227614356120921</v>
      </c>
      <c r="E559">
        <f ca="1">RANK(dict_zul_Var_Meth[[#This Row],[ignored_rand]],dict_zul_Var_Meth[ignored_rand])</f>
        <v>379</v>
      </c>
    </row>
    <row r="560" spans="1:5" x14ac:dyDescent="0.45">
      <c r="A560">
        <f ca="1">VLOOKUP(dict_zul_Var_Meth[[#This Row],[ignored_rank]],help_zuord_Var_Meth[],2)</f>
        <v>25</v>
      </c>
      <c r="B560">
        <v>499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t="shared" ca="1" si="8"/>
        <v>0.85905414299457128</v>
      </c>
      <c r="E560">
        <f ca="1">RANK(dict_zul_Var_Meth[[#This Row],[ignored_rand]],dict_zul_Var_Meth[ignored_rand])</f>
        <v>96</v>
      </c>
    </row>
    <row r="561" spans="1:5" x14ac:dyDescent="0.45">
      <c r="A561">
        <f ca="1">VLOOKUP(dict_zul_Var_Meth[[#This Row],[ignored_rank]],help_zuord_Var_Meth[],2)</f>
        <v>166</v>
      </c>
      <c r="B561">
        <v>500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t="shared" ca="1" si="8"/>
        <v>0.1885420639386397</v>
      </c>
      <c r="E561">
        <f ca="1">RANK(dict_zul_Var_Meth[[#This Row],[ignored_rand]],dict_zul_Var_Meth[ignored_rand])</f>
        <v>624</v>
      </c>
    </row>
    <row r="562" spans="1:5" x14ac:dyDescent="0.45">
      <c r="A562">
        <f ca="1">VLOOKUP(dict_zul_Var_Meth[[#This Row],[ignored_rank]],help_zuord_Var_Meth[],2)</f>
        <v>40</v>
      </c>
      <c r="B562">
        <v>501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t="shared" ca="1" si="8"/>
        <v>0.7719323804130962</v>
      </c>
      <c r="E562">
        <f ca="1">RANK(dict_zul_Var_Meth[[#This Row],[ignored_rand]],dict_zul_Var_Meth[ignored_rand])</f>
        <v>152</v>
      </c>
    </row>
    <row r="563" spans="1:5" x14ac:dyDescent="0.45">
      <c r="A563">
        <f ca="1">VLOOKUP(dict_zul_Var_Meth[[#This Row],[ignored_rank]],help_zuord_Var_Meth[],2)</f>
        <v>67</v>
      </c>
      <c r="B563">
        <v>502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t="shared" ca="1" si="8"/>
        <v>0.65454773207779549</v>
      </c>
      <c r="E563">
        <f ca="1">RANK(dict_zul_Var_Meth[[#This Row],[ignored_rand]],dict_zul_Var_Meth[ignored_rand])</f>
        <v>250</v>
      </c>
    </row>
    <row r="564" spans="1:5" x14ac:dyDescent="0.45">
      <c r="A564">
        <f ca="1">VLOOKUP(dict_zul_Var_Meth[[#This Row],[ignored_rank]],help_zuord_Var_Meth[],2)</f>
        <v>86</v>
      </c>
      <c r="B564">
        <v>503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t="shared" ca="1" si="8"/>
        <v>0.56838354537279456</v>
      </c>
      <c r="E564">
        <f ca="1">RANK(dict_zul_Var_Meth[[#This Row],[ignored_rand]],dict_zul_Var_Meth[ignored_rand])</f>
        <v>322</v>
      </c>
    </row>
    <row r="565" spans="1:5" x14ac:dyDescent="0.45">
      <c r="A565" s="3">
        <f ca="1">VLOOKUP(dict_zul_Var_Meth[[#This Row],[ignored_rank]],help_zuord_Var_Meth[],2)</f>
        <v>160</v>
      </c>
      <c r="B565">
        <v>504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t="shared" ca="1" si="8"/>
        <v>0.21792467121715753</v>
      </c>
      <c r="E565" s="3">
        <f ca="1">RANK(dict_zul_Var_Meth[[#This Row],[ignored_rand]],dict_zul_Var_Meth[ignored_rand])</f>
        <v>599</v>
      </c>
    </row>
    <row r="566" spans="1:5" x14ac:dyDescent="0.45">
      <c r="A566">
        <f ca="1">VLOOKUP(dict_zul_Var_Meth[[#This Row],[ignored_rank]],help_zuord_Var_Meth[],2)</f>
        <v>175</v>
      </c>
      <c r="B566">
        <v>505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t="shared" ca="1" si="8"/>
        <v>0.15268377001262334</v>
      </c>
      <c r="E566">
        <f ca="1">RANK(dict_zul_Var_Meth[[#This Row],[ignored_rand]],dict_zul_Var_Meth[ignored_rand])</f>
        <v>656</v>
      </c>
    </row>
    <row r="567" spans="1:5" x14ac:dyDescent="0.45">
      <c r="A567">
        <f ca="1">VLOOKUP(dict_zul_Var_Meth[[#This Row],[ignored_rank]],help_zuord_Var_Meth[],2)</f>
        <v>76</v>
      </c>
      <c r="B567">
        <v>506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t="shared" ca="1" si="8"/>
        <v>0.61847229868947673</v>
      </c>
      <c r="E567">
        <f ca="1">RANK(dict_zul_Var_Meth[[#This Row],[ignored_rand]],dict_zul_Var_Meth[ignored_rand])</f>
        <v>287</v>
      </c>
    </row>
    <row r="568" spans="1:5" x14ac:dyDescent="0.45">
      <c r="A568">
        <f ca="1">VLOOKUP(dict_zul_Var_Meth[[#This Row],[ignored_rank]],help_zuord_Var_Meth[],2)</f>
        <v>59</v>
      </c>
      <c r="B568">
        <v>507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t="shared" ca="1" si="8"/>
        <v>0.68972621412262269</v>
      </c>
      <c r="E568">
        <f ca="1">RANK(dict_zul_Var_Meth[[#This Row],[ignored_rand]],dict_zul_Var_Meth[ignored_rand])</f>
        <v>223</v>
      </c>
    </row>
    <row r="569" spans="1:5" x14ac:dyDescent="0.45">
      <c r="A569">
        <f ca="1">VLOOKUP(dict_zul_Var_Meth[[#This Row],[ignored_rank]],help_zuord_Var_Meth[],2)</f>
        <v>32</v>
      </c>
      <c r="B569">
        <v>508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t="shared" ca="1" si="8"/>
        <v>0.82044957843941246</v>
      </c>
      <c r="E569">
        <f ca="1">RANK(dict_zul_Var_Meth[[#This Row],[ignored_rand]],dict_zul_Var_Meth[ignored_rand])</f>
        <v>120</v>
      </c>
    </row>
    <row r="570" spans="1:5" x14ac:dyDescent="0.45">
      <c r="A570">
        <f ca="1">VLOOKUP(dict_zul_Var_Meth[[#This Row],[ignored_rank]],help_zuord_Var_Meth[],2)</f>
        <v>43</v>
      </c>
      <c r="B570">
        <v>509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t="shared" ca="1" si="8"/>
        <v>0.75759505403806449</v>
      </c>
      <c r="E570">
        <f ca="1">RANK(dict_zul_Var_Meth[[#This Row],[ignored_rand]],dict_zul_Var_Meth[ignored_rand])</f>
        <v>163</v>
      </c>
    </row>
    <row r="571" spans="1:5" x14ac:dyDescent="0.45">
      <c r="A571">
        <f ca="1">VLOOKUP(dict_zul_Var_Meth[[#This Row],[ignored_rank]],help_zuord_Var_Meth[],2)</f>
        <v>164</v>
      </c>
      <c r="B571">
        <v>510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t="shared" ca="1" si="8"/>
        <v>0.19903361636196948</v>
      </c>
      <c r="E571">
        <f ca="1">RANK(dict_zul_Var_Meth[[#This Row],[ignored_rand]],dict_zul_Var_Meth[ignored_rand])</f>
        <v>617</v>
      </c>
    </row>
    <row r="572" spans="1:5" x14ac:dyDescent="0.45">
      <c r="A572">
        <f ca="1">VLOOKUP(dict_zul_Var_Meth[[#This Row],[ignored_rank]],help_zuord_Var_Meth[],2)</f>
        <v>31</v>
      </c>
      <c r="B572">
        <v>511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t="shared" ca="1" si="8"/>
        <v>0.83031538140983596</v>
      </c>
      <c r="E572">
        <f ca="1">RANK(dict_zul_Var_Meth[[#This Row],[ignored_rand]],dict_zul_Var_Meth[ignored_rand])</f>
        <v>117</v>
      </c>
    </row>
    <row r="573" spans="1:5" x14ac:dyDescent="0.45">
      <c r="A573">
        <f ca="1">VLOOKUP(dict_zul_Var_Meth[[#This Row],[ignored_rank]],help_zuord_Var_Meth[],2)</f>
        <v>174</v>
      </c>
      <c r="B573">
        <v>512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t="shared" ca="1" si="8"/>
        <v>0.15996477246429663</v>
      </c>
      <c r="E573">
        <f ca="1">RANK(dict_zul_Var_Meth[[#This Row],[ignored_rand]],dict_zul_Var_Meth[ignored_rand])</f>
        <v>650</v>
      </c>
    </row>
    <row r="574" spans="1:5" x14ac:dyDescent="0.45">
      <c r="A574">
        <f ca="1">VLOOKUP(dict_zul_Var_Meth[[#This Row],[ignored_rank]],help_zuord_Var_Meth[],2)</f>
        <v>12</v>
      </c>
      <c r="B574">
        <v>513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t="shared" ca="1" si="8"/>
        <v>0.93233297822646699</v>
      </c>
      <c r="E574">
        <f ca="1">RANK(dict_zul_Var_Meth[[#This Row],[ignored_rand]],dict_zul_Var_Meth[ignored_rand])</f>
        <v>44</v>
      </c>
    </row>
    <row r="575" spans="1:5" x14ac:dyDescent="0.45">
      <c r="A575">
        <f ca="1">VLOOKUP(dict_zul_Var_Meth[[#This Row],[ignored_rank]],help_zuord_Var_Meth[],2)</f>
        <v>7</v>
      </c>
      <c r="B575">
        <v>514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t="shared" ca="1" si="8"/>
        <v>0.95462375884487571</v>
      </c>
      <c r="E575">
        <f ca="1">RANK(dict_zul_Var_Meth[[#This Row],[ignored_rand]],dict_zul_Var_Meth[ignored_rand])</f>
        <v>28</v>
      </c>
    </row>
    <row r="576" spans="1:5" x14ac:dyDescent="0.45">
      <c r="A576">
        <f ca="1">VLOOKUP(dict_zul_Var_Meth[[#This Row],[ignored_rank]],help_zuord_Var_Meth[],2)</f>
        <v>65</v>
      </c>
      <c r="B576">
        <v>515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t="shared" ca="1" si="8"/>
        <v>0.65976686755940528</v>
      </c>
      <c r="E576">
        <f ca="1">RANK(dict_zul_Var_Meth[[#This Row],[ignored_rand]],dict_zul_Var_Meth[ignored_rand])</f>
        <v>245</v>
      </c>
    </row>
    <row r="577" spans="1:5" x14ac:dyDescent="0.45">
      <c r="A577">
        <f ca="1">VLOOKUP(dict_zul_Var_Meth[[#This Row],[ignored_rank]],help_zuord_Var_Meth[],2)</f>
        <v>51</v>
      </c>
      <c r="B577">
        <v>516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t="shared" ca="1" si="8"/>
        <v>0.72401877757421795</v>
      </c>
      <c r="E577">
        <f ca="1">RANK(dict_zul_Var_Meth[[#This Row],[ignored_rand]],dict_zul_Var_Meth[ignored_rand])</f>
        <v>193</v>
      </c>
    </row>
    <row r="578" spans="1:5" x14ac:dyDescent="0.45">
      <c r="A578">
        <f ca="1">VLOOKUP(dict_zul_Var_Meth[[#This Row],[ignored_rank]],help_zuord_Var_Meth[],2)</f>
        <v>95</v>
      </c>
      <c r="B578">
        <v>517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t="shared" ref="D578:D641" ca="1" si="9">RAND()</f>
        <v>0.53704215892308493</v>
      </c>
      <c r="E578">
        <f ca="1">RANK(dict_zul_Var_Meth[[#This Row],[ignored_rand]],dict_zul_Var_Meth[ignored_rand])</f>
        <v>357</v>
      </c>
    </row>
    <row r="579" spans="1:5" x14ac:dyDescent="0.45">
      <c r="A579">
        <f ca="1">VLOOKUP(dict_zul_Var_Meth[[#This Row],[ignored_rank]],help_zuord_Var_Meth[],2)</f>
        <v>190</v>
      </c>
      <c r="B579">
        <v>518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t="shared" ca="1" si="9"/>
        <v>7.9438633183552376E-2</v>
      </c>
      <c r="E579">
        <f ca="1">RANK(dict_zul_Var_Meth[[#This Row],[ignored_rand]],dict_zul_Var_Meth[ignored_rand])</f>
        <v>710</v>
      </c>
    </row>
    <row r="580" spans="1:5" x14ac:dyDescent="0.45">
      <c r="A580">
        <f ca="1">VLOOKUP(dict_zul_Var_Meth[[#This Row],[ignored_rank]],help_zuord_Var_Meth[],2)</f>
        <v>35</v>
      </c>
      <c r="B580">
        <v>519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t="shared" ca="1" si="9"/>
        <v>0.79833058630507325</v>
      </c>
      <c r="E580">
        <f ca="1">RANK(dict_zul_Var_Meth[[#This Row],[ignored_rand]],dict_zul_Var_Meth[ignored_rand])</f>
        <v>132</v>
      </c>
    </row>
    <row r="581" spans="1:5" x14ac:dyDescent="0.45">
      <c r="A581">
        <f ca="1">VLOOKUP(dict_zul_Var_Meth[[#This Row],[ignored_rank]],help_zuord_Var_Meth[],2)</f>
        <v>5</v>
      </c>
      <c r="B581">
        <v>520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t="shared" ca="1" si="9"/>
        <v>0.9610840817735028</v>
      </c>
      <c r="E581">
        <f ca="1">RANK(dict_zul_Var_Meth[[#This Row],[ignored_rand]],dict_zul_Var_Meth[ignored_rand])</f>
        <v>21</v>
      </c>
    </row>
    <row r="582" spans="1:5" x14ac:dyDescent="0.45">
      <c r="A582" s="3">
        <f ca="1">VLOOKUP(dict_zul_Var_Meth[[#This Row],[ignored_rank]],help_zuord_Var_Meth[],2)</f>
        <v>131</v>
      </c>
      <c r="B582">
        <v>521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t="shared" ca="1" si="9"/>
        <v>0.36689433755802925</v>
      </c>
      <c r="E582" s="3">
        <f ca="1">RANK(dict_zul_Var_Meth[[#This Row],[ignored_rand]],dict_zul_Var_Meth[ignored_rand])</f>
        <v>493</v>
      </c>
    </row>
    <row r="583" spans="1:5" x14ac:dyDescent="0.45">
      <c r="A583">
        <f ca="1">VLOOKUP(dict_zul_Var_Meth[[#This Row],[ignored_rank]],help_zuord_Var_Meth[],2)</f>
        <v>135</v>
      </c>
      <c r="B583">
        <v>522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t="shared" ca="1" si="9"/>
        <v>0.34825584389648057</v>
      </c>
      <c r="E583">
        <f ca="1">RANK(dict_zul_Var_Meth[[#This Row],[ignored_rand]],dict_zul_Var_Meth[ignored_rand])</f>
        <v>508</v>
      </c>
    </row>
    <row r="584" spans="1:5" x14ac:dyDescent="0.45">
      <c r="A584">
        <f ca="1">VLOOKUP(dict_zul_Var_Meth[[#This Row],[ignored_rank]],help_zuord_Var_Meth[],2)</f>
        <v>200</v>
      </c>
      <c r="B584">
        <v>523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t="shared" ca="1" si="9"/>
        <v>3.0911522072502695E-2</v>
      </c>
      <c r="E584">
        <f ca="1">RANK(dict_zul_Var_Meth[[#This Row],[ignored_rand]],dict_zul_Var_Meth[ignored_rand])</f>
        <v>749</v>
      </c>
    </row>
    <row r="585" spans="1:5" x14ac:dyDescent="0.45">
      <c r="A585">
        <f ca="1">VLOOKUP(dict_zul_Var_Meth[[#This Row],[ignored_rank]],help_zuord_Var_Meth[],2)</f>
        <v>137</v>
      </c>
      <c r="B585">
        <v>524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t="shared" ca="1" si="9"/>
        <v>0.33423211927440066</v>
      </c>
      <c r="E585">
        <f ca="1">RANK(dict_zul_Var_Meth[[#This Row],[ignored_rand]],dict_zul_Var_Meth[ignored_rand])</f>
        <v>515</v>
      </c>
    </row>
    <row r="586" spans="1:5" x14ac:dyDescent="0.45">
      <c r="A586">
        <f ca="1">VLOOKUP(dict_zul_Var_Meth[[#This Row],[ignored_rank]],help_zuord_Var_Meth[],2)</f>
        <v>107</v>
      </c>
      <c r="B586">
        <v>525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t="shared" ca="1" si="9"/>
        <v>0.47346737651839765</v>
      </c>
      <c r="E586">
        <f ca="1">RANK(dict_zul_Var_Meth[[#This Row],[ignored_rand]],dict_zul_Var_Meth[ignored_rand])</f>
        <v>400</v>
      </c>
    </row>
    <row r="587" spans="1:5" x14ac:dyDescent="0.45">
      <c r="A587" s="3">
        <f ca="1">VLOOKUP(dict_zul_Var_Meth[[#This Row],[ignored_rank]],help_zuord_Var_Meth[],2)</f>
        <v>133</v>
      </c>
      <c r="B587">
        <v>526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t="shared" ca="1" si="9"/>
        <v>0.36214663958444315</v>
      </c>
      <c r="E587" s="3">
        <f ca="1">RANK(dict_zul_Var_Meth[[#This Row],[ignored_rand]],dict_zul_Var_Meth[ignored_rand])</f>
        <v>500</v>
      </c>
    </row>
    <row r="588" spans="1:5" x14ac:dyDescent="0.45">
      <c r="A588">
        <f ca="1">VLOOKUP(dict_zul_Var_Meth[[#This Row],[ignored_rank]],help_zuord_Var_Meth[],2)</f>
        <v>89</v>
      </c>
      <c r="B588">
        <v>527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t="shared" ca="1" si="9"/>
        <v>0.55564018470628007</v>
      </c>
      <c r="E588">
        <f ca="1">RANK(dict_zul_Var_Meth[[#This Row],[ignored_rand]],dict_zul_Var_Meth[ignored_rand])</f>
        <v>334</v>
      </c>
    </row>
    <row r="589" spans="1:5" x14ac:dyDescent="0.45">
      <c r="A589" s="3">
        <f ca="1">VLOOKUP(dict_zul_Var_Meth[[#This Row],[ignored_rank]],help_zuord_Var_Meth[],2)</f>
        <v>48</v>
      </c>
      <c r="B589">
        <v>528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t="shared" ca="1" si="9"/>
        <v>0.73590458052973218</v>
      </c>
      <c r="E589" s="3">
        <f ca="1">RANK(dict_zul_Var_Meth[[#This Row],[ignored_rand]],dict_zul_Var_Meth[ignored_rand])</f>
        <v>181</v>
      </c>
    </row>
    <row r="590" spans="1:5" x14ac:dyDescent="0.45">
      <c r="A590">
        <f ca="1">VLOOKUP(dict_zul_Var_Meth[[#This Row],[ignored_rank]],help_zuord_Var_Meth[],2)</f>
        <v>32</v>
      </c>
      <c r="B590">
        <v>529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t="shared" ca="1" si="9"/>
        <v>0.81895587364171829</v>
      </c>
      <c r="E590">
        <f ca="1">RANK(dict_zul_Var_Meth[[#This Row],[ignored_rand]],dict_zul_Var_Meth[ignored_rand])</f>
        <v>122</v>
      </c>
    </row>
    <row r="591" spans="1:5" x14ac:dyDescent="0.45">
      <c r="A591">
        <f ca="1">VLOOKUP(dict_zul_Var_Meth[[#This Row],[ignored_rank]],help_zuord_Var_Meth[],2)</f>
        <v>148</v>
      </c>
      <c r="B591">
        <v>530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t="shared" ca="1" si="9"/>
        <v>0.27145643712425094</v>
      </c>
      <c r="E591">
        <f ca="1">RANK(dict_zul_Var_Meth[[#This Row],[ignored_rand]],dict_zul_Var_Meth[ignored_rand])</f>
        <v>558</v>
      </c>
    </row>
    <row r="592" spans="1:5" x14ac:dyDescent="0.45">
      <c r="A592">
        <f ca="1">VLOOKUP(dict_zul_Var_Meth[[#This Row],[ignored_rank]],help_zuord_Var_Meth[],2)</f>
        <v>190</v>
      </c>
      <c r="B592">
        <v>531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t="shared" ca="1" si="9"/>
        <v>7.6976203992407344E-2</v>
      </c>
      <c r="E592">
        <f ca="1">RANK(dict_zul_Var_Meth[[#This Row],[ignored_rand]],dict_zul_Var_Meth[ignored_rand])</f>
        <v>712</v>
      </c>
    </row>
    <row r="593" spans="1:5" x14ac:dyDescent="0.45">
      <c r="A593">
        <f ca="1">VLOOKUP(dict_zul_Var_Meth[[#This Row],[ignored_rank]],help_zuord_Var_Meth[],2)</f>
        <v>48</v>
      </c>
      <c r="B593">
        <v>532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t="shared" ca="1" si="9"/>
        <v>0.73572346200720284</v>
      </c>
      <c r="E593">
        <f ca="1">RANK(dict_zul_Var_Meth[[#This Row],[ignored_rand]],dict_zul_Var_Meth[ignored_rand])</f>
        <v>182</v>
      </c>
    </row>
    <row r="594" spans="1:5" x14ac:dyDescent="0.45">
      <c r="A594">
        <f ca="1">VLOOKUP(dict_zul_Var_Meth[[#This Row],[ignored_rank]],help_zuord_Var_Meth[],2)</f>
        <v>148</v>
      </c>
      <c r="B594">
        <v>533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t="shared" ca="1" si="9"/>
        <v>0.27264511841436156</v>
      </c>
      <c r="E594">
        <f ca="1">RANK(dict_zul_Var_Meth[[#This Row],[ignored_rand]],dict_zul_Var_Meth[ignored_rand])</f>
        <v>554</v>
      </c>
    </row>
    <row r="595" spans="1:5" x14ac:dyDescent="0.45">
      <c r="A595" s="3">
        <f ca="1">VLOOKUP(dict_zul_Var_Meth[[#This Row],[ignored_rank]],help_zuord_Var_Meth[],2)</f>
        <v>33</v>
      </c>
      <c r="B595">
        <v>534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t="shared" ca="1" si="9"/>
        <v>0.81440072668502927</v>
      </c>
      <c r="E595" s="3">
        <f ca="1">RANK(dict_zul_Var_Meth[[#This Row],[ignored_rand]],dict_zul_Var_Meth[ignored_rand])</f>
        <v>123</v>
      </c>
    </row>
    <row r="596" spans="1:5" x14ac:dyDescent="0.45">
      <c r="A596">
        <f ca="1">VLOOKUP(dict_zul_Var_Meth[[#This Row],[ignored_rank]],help_zuord_Var_Meth[],2)</f>
        <v>116</v>
      </c>
      <c r="B596">
        <v>535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t="shared" ca="1" si="9"/>
        <v>0.43270626999532125</v>
      </c>
      <c r="E596">
        <f ca="1">RANK(dict_zul_Var_Meth[[#This Row],[ignored_rand]],dict_zul_Var_Meth[ignored_rand])</f>
        <v>436</v>
      </c>
    </row>
    <row r="597" spans="1:5" x14ac:dyDescent="0.45">
      <c r="A597">
        <f ca="1">VLOOKUP(dict_zul_Var_Meth[[#This Row],[ignored_rank]],help_zuord_Var_Meth[],2)</f>
        <v>50</v>
      </c>
      <c r="B597">
        <v>536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t="shared" ca="1" si="9"/>
        <v>0.73259726575348916</v>
      </c>
      <c r="E597">
        <f ca="1">RANK(dict_zul_Var_Meth[[#This Row],[ignored_rand]],dict_zul_Var_Meth[ignored_rand])</f>
        <v>188</v>
      </c>
    </row>
    <row r="598" spans="1:5" x14ac:dyDescent="0.45">
      <c r="A598">
        <f ca="1">VLOOKUP(dict_zul_Var_Meth[[#This Row],[ignored_rank]],help_zuord_Var_Meth[],2)</f>
        <v>26</v>
      </c>
      <c r="B598">
        <v>537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t="shared" ca="1" si="9"/>
        <v>0.8575867314399338</v>
      </c>
      <c r="E598">
        <f ca="1">RANK(dict_zul_Var_Meth[[#This Row],[ignored_rand]],dict_zul_Var_Meth[ignored_rand])</f>
        <v>100</v>
      </c>
    </row>
    <row r="599" spans="1:5" x14ac:dyDescent="0.45">
      <c r="A599">
        <f ca="1">VLOOKUP(dict_zul_Var_Meth[[#This Row],[ignored_rank]],help_zuord_Var_Meth[],2)</f>
        <v>36</v>
      </c>
      <c r="B599">
        <v>538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t="shared" ca="1" si="9"/>
        <v>0.79719448254437175</v>
      </c>
      <c r="E599">
        <f ca="1">RANK(dict_zul_Var_Meth[[#This Row],[ignored_rand]],dict_zul_Var_Meth[ignored_rand])</f>
        <v>134</v>
      </c>
    </row>
    <row r="600" spans="1:5" x14ac:dyDescent="0.45">
      <c r="A600">
        <f ca="1">VLOOKUP(dict_zul_Var_Meth[[#This Row],[ignored_rank]],help_zuord_Var_Meth[],2)</f>
        <v>133</v>
      </c>
      <c r="B600">
        <v>539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t="shared" ca="1" si="9"/>
        <v>0.36148377331631698</v>
      </c>
      <c r="E600">
        <f ca="1">RANK(dict_zul_Var_Meth[[#This Row],[ignored_rand]],dict_zul_Var_Meth[ignored_rand])</f>
        <v>501</v>
      </c>
    </row>
    <row r="601" spans="1:5" x14ac:dyDescent="0.45">
      <c r="A601">
        <f ca="1">VLOOKUP(dict_zul_Var_Meth[[#This Row],[ignored_rank]],help_zuord_Var_Meth[],2)</f>
        <v>171</v>
      </c>
      <c r="B601">
        <v>540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t="shared" ca="1" si="9"/>
        <v>0.16827263914025259</v>
      </c>
      <c r="E601">
        <f ca="1">RANK(dict_zul_Var_Meth[[#This Row],[ignored_rand]],dict_zul_Var_Meth[ignored_rand])</f>
        <v>642</v>
      </c>
    </row>
    <row r="602" spans="1:5" x14ac:dyDescent="0.45">
      <c r="A602">
        <f ca="1">VLOOKUP(dict_zul_Var_Meth[[#This Row],[ignored_rank]],help_zuord_Var_Meth[],2)</f>
        <v>88</v>
      </c>
      <c r="B602">
        <v>541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t="shared" ca="1" si="9"/>
        <v>0.55609842184052816</v>
      </c>
      <c r="E602">
        <f ca="1">RANK(dict_zul_Var_Meth[[#This Row],[ignored_rand]],dict_zul_Var_Meth[ignored_rand])</f>
        <v>332</v>
      </c>
    </row>
    <row r="603" spans="1:5" x14ac:dyDescent="0.45">
      <c r="A603">
        <f ca="1">VLOOKUP(dict_zul_Var_Meth[[#This Row],[ignored_rank]],help_zuord_Var_Meth[],2)</f>
        <v>86</v>
      </c>
      <c r="B603">
        <v>542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t="shared" ca="1" si="9"/>
        <v>0.56774205034680192</v>
      </c>
      <c r="E603">
        <f ca="1">RANK(dict_zul_Var_Meth[[#This Row],[ignored_rand]],dict_zul_Var_Meth[ignored_rand])</f>
        <v>323</v>
      </c>
    </row>
    <row r="604" spans="1:5" x14ac:dyDescent="0.45">
      <c r="A604">
        <f ca="1">VLOOKUP(dict_zul_Var_Meth[[#This Row],[ignored_rank]],help_zuord_Var_Meth[],2)</f>
        <v>113</v>
      </c>
      <c r="B604">
        <v>543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t="shared" ca="1" si="9"/>
        <v>0.44029820183824864</v>
      </c>
      <c r="E604">
        <f ca="1">RANK(dict_zul_Var_Meth[[#This Row],[ignored_rand]],dict_zul_Var_Meth[ignored_rand])</f>
        <v>426</v>
      </c>
    </row>
    <row r="605" spans="1:5" x14ac:dyDescent="0.45">
      <c r="A605">
        <f ca="1">VLOOKUP(dict_zul_Var_Meth[[#This Row],[ignored_rank]],help_zuord_Var_Meth[],2)</f>
        <v>125</v>
      </c>
      <c r="B605">
        <v>544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t="shared" ca="1" si="9"/>
        <v>0.40163734428194908</v>
      </c>
      <c r="E605">
        <f ca="1">RANK(dict_zul_Var_Meth[[#This Row],[ignored_rand]],dict_zul_Var_Meth[ignored_rand])</f>
        <v>468</v>
      </c>
    </row>
    <row r="606" spans="1:5" x14ac:dyDescent="0.45">
      <c r="A606">
        <f ca="1">VLOOKUP(dict_zul_Var_Meth[[#This Row],[ignored_rank]],help_zuord_Var_Meth[],2)</f>
        <v>164</v>
      </c>
      <c r="B606">
        <v>545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t="shared" ca="1" si="9"/>
        <v>0.2008529759587262</v>
      </c>
      <c r="E606">
        <f ca="1">RANK(dict_zul_Var_Meth[[#This Row],[ignored_rand]],dict_zul_Var_Meth[ignored_rand])</f>
        <v>614</v>
      </c>
    </row>
    <row r="607" spans="1:5" x14ac:dyDescent="0.45">
      <c r="A607" s="3">
        <f ca="1">VLOOKUP(dict_zul_Var_Meth[[#This Row],[ignored_rank]],help_zuord_Var_Meth[],2)</f>
        <v>170</v>
      </c>
      <c r="B607">
        <v>546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t="shared" ca="1" si="9"/>
        <v>0.1763528986971129</v>
      </c>
      <c r="E607" s="3">
        <f ca="1">RANK(dict_zul_Var_Meth[[#This Row],[ignored_rand]],dict_zul_Var_Meth[ignored_rand])</f>
        <v>636</v>
      </c>
    </row>
    <row r="608" spans="1:5" x14ac:dyDescent="0.45">
      <c r="A608">
        <f ca="1">VLOOKUP(dict_zul_Var_Meth[[#This Row],[ignored_rank]],help_zuord_Var_Meth[],2)</f>
        <v>189</v>
      </c>
      <c r="B608">
        <v>547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t="shared" ca="1" si="9"/>
        <v>8.1157443293599196E-2</v>
      </c>
      <c r="E608">
        <f ca="1">RANK(dict_zul_Var_Meth[[#This Row],[ignored_rand]],dict_zul_Var_Meth[ignored_rand])</f>
        <v>709</v>
      </c>
    </row>
    <row r="609" spans="1:5" x14ac:dyDescent="0.45">
      <c r="A609">
        <f ca="1">VLOOKUP(dict_zul_Var_Meth[[#This Row],[ignored_rank]],help_zuord_Var_Meth[],2)</f>
        <v>161</v>
      </c>
      <c r="B609">
        <v>548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t="shared" ca="1" si="9"/>
        <v>0.21397154111932593</v>
      </c>
      <c r="E609">
        <f ca="1">RANK(dict_zul_Var_Meth[[#This Row],[ignored_rand]],dict_zul_Var_Meth[ignored_rand])</f>
        <v>604</v>
      </c>
    </row>
    <row r="610" spans="1:5" x14ac:dyDescent="0.45">
      <c r="A610">
        <f ca="1">VLOOKUP(dict_zul_Var_Meth[[#This Row],[ignored_rank]],help_zuord_Var_Meth[],2)</f>
        <v>9</v>
      </c>
      <c r="B610">
        <v>549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t="shared" ca="1" si="9"/>
        <v>0.94149255351967442</v>
      </c>
      <c r="E610">
        <f ca="1">RANK(dict_zul_Var_Meth[[#This Row],[ignored_rand]],dict_zul_Var_Meth[ignored_rand])</f>
        <v>37</v>
      </c>
    </row>
    <row r="611" spans="1:5" x14ac:dyDescent="0.45">
      <c r="A611">
        <f ca="1">VLOOKUP(dict_zul_Var_Meth[[#This Row],[ignored_rank]],help_zuord_Var_Meth[],2)</f>
        <v>145</v>
      </c>
      <c r="B611">
        <v>550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t="shared" ca="1" si="9"/>
        <v>0.28579551575474882</v>
      </c>
      <c r="E611">
        <f ca="1">RANK(dict_zul_Var_Meth[[#This Row],[ignored_rand]],dict_zul_Var_Meth[ignored_rand])</f>
        <v>544</v>
      </c>
    </row>
    <row r="612" spans="1:5" x14ac:dyDescent="0.45">
      <c r="A612">
        <f ca="1">VLOOKUP(dict_zul_Var_Meth[[#This Row],[ignored_rank]],help_zuord_Var_Meth[],2)</f>
        <v>87</v>
      </c>
      <c r="B612">
        <v>551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t="shared" ca="1" si="9"/>
        <v>0.55744403734712522</v>
      </c>
      <c r="E612">
        <f ca="1">RANK(dict_zul_Var_Meth[[#This Row],[ignored_rand]],dict_zul_Var_Meth[ignored_rand])</f>
        <v>328</v>
      </c>
    </row>
    <row r="613" spans="1:5" x14ac:dyDescent="0.45">
      <c r="A613">
        <f ca="1">VLOOKUP(dict_zul_Var_Meth[[#This Row],[ignored_rank]],help_zuord_Var_Meth[],2)</f>
        <v>10</v>
      </c>
      <c r="B613">
        <v>552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t="shared" ca="1" si="9"/>
        <v>0.94064915009241656</v>
      </c>
      <c r="E613">
        <f ca="1">RANK(dict_zul_Var_Meth[[#This Row],[ignored_rand]],dict_zul_Var_Meth[ignored_rand])</f>
        <v>38</v>
      </c>
    </row>
    <row r="614" spans="1:5" x14ac:dyDescent="0.45">
      <c r="A614">
        <f ca="1">VLOOKUP(dict_zul_Var_Meth[[#This Row],[ignored_rank]],help_zuord_Var_Meth[],2)</f>
        <v>26</v>
      </c>
      <c r="B614">
        <v>553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t="shared" ca="1" si="9"/>
        <v>0.85813447921648423</v>
      </c>
      <c r="E614">
        <f ca="1">RANK(dict_zul_Var_Meth[[#This Row],[ignored_rand]],dict_zul_Var_Meth[ignored_rand])</f>
        <v>99</v>
      </c>
    </row>
    <row r="615" spans="1:5" x14ac:dyDescent="0.45">
      <c r="A615">
        <f ca="1">VLOOKUP(dict_zul_Var_Meth[[#This Row],[ignored_rank]],help_zuord_Var_Meth[],2)</f>
        <v>8</v>
      </c>
      <c r="B615">
        <v>554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t="shared" ca="1" si="9"/>
        <v>0.95116588481222597</v>
      </c>
      <c r="E615">
        <f ca="1">RANK(dict_zul_Var_Meth[[#This Row],[ignored_rand]],dict_zul_Var_Meth[ignored_rand])</f>
        <v>32</v>
      </c>
    </row>
    <row r="616" spans="1:5" x14ac:dyDescent="0.45">
      <c r="A616">
        <f ca="1">VLOOKUP(dict_zul_Var_Meth[[#This Row],[ignored_rank]],help_zuord_Var_Meth[],2)</f>
        <v>43</v>
      </c>
      <c r="B616">
        <v>555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t="shared" ca="1" si="9"/>
        <v>0.75565303836489806</v>
      </c>
      <c r="E616">
        <f ca="1">RANK(dict_zul_Var_Meth[[#This Row],[ignored_rand]],dict_zul_Var_Meth[ignored_rand])</f>
        <v>164</v>
      </c>
    </row>
    <row r="617" spans="1:5" x14ac:dyDescent="0.45">
      <c r="A617">
        <f ca="1">VLOOKUP(dict_zul_Var_Meth[[#This Row],[ignored_rank]],help_zuord_Var_Meth[],2)</f>
        <v>126</v>
      </c>
      <c r="B617">
        <v>556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t="shared" ca="1" si="9"/>
        <v>0.38973889563945208</v>
      </c>
      <c r="E617">
        <f ca="1">RANK(dict_zul_Var_Meth[[#This Row],[ignored_rand]],dict_zul_Var_Meth[ignored_rand])</f>
        <v>475</v>
      </c>
    </row>
    <row r="618" spans="1:5" x14ac:dyDescent="0.45">
      <c r="A618">
        <f ca="1">VLOOKUP(dict_zul_Var_Meth[[#This Row],[ignored_rank]],help_zuord_Var_Meth[],2)</f>
        <v>148</v>
      </c>
      <c r="B618">
        <v>557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t="shared" ca="1" si="9"/>
        <v>0.27193883032468291</v>
      </c>
      <c r="E618">
        <f ca="1">RANK(dict_zul_Var_Meth[[#This Row],[ignored_rand]],dict_zul_Var_Meth[ignored_rand])</f>
        <v>557</v>
      </c>
    </row>
    <row r="619" spans="1:5" x14ac:dyDescent="0.45">
      <c r="A619">
        <f ca="1">VLOOKUP(dict_zul_Var_Meth[[#This Row],[ignored_rank]],help_zuord_Var_Meth[],2)</f>
        <v>46</v>
      </c>
      <c r="B619">
        <v>558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t="shared" ca="1" si="9"/>
        <v>0.74135686314077143</v>
      </c>
      <c r="E619">
        <f ca="1">RANK(dict_zul_Var_Meth[[#This Row],[ignored_rand]],dict_zul_Var_Meth[ignored_rand])</f>
        <v>174</v>
      </c>
    </row>
    <row r="620" spans="1:5" x14ac:dyDescent="0.45">
      <c r="A620">
        <f ca="1">VLOOKUP(dict_zul_Var_Meth[[#This Row],[ignored_rank]],help_zuord_Var_Meth[],2)</f>
        <v>195</v>
      </c>
      <c r="B620">
        <v>559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t="shared" ca="1" si="9"/>
        <v>4.7583539791345886E-2</v>
      </c>
      <c r="E620">
        <f ca="1">RANK(dict_zul_Var_Meth[[#This Row],[ignored_rand]],dict_zul_Var_Meth[ignored_rand])</f>
        <v>732</v>
      </c>
    </row>
    <row r="621" spans="1:5" x14ac:dyDescent="0.45">
      <c r="A621">
        <f ca="1">VLOOKUP(dict_zul_Var_Meth[[#This Row],[ignored_rank]],help_zuord_Var_Meth[],2)</f>
        <v>70</v>
      </c>
      <c r="B621">
        <v>560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t="shared" ca="1" si="9"/>
        <v>0.63829348693896504</v>
      </c>
      <c r="E621">
        <f ca="1">RANK(dict_zul_Var_Meth[[#This Row],[ignored_rand]],dict_zul_Var_Meth[ignored_rand])</f>
        <v>263</v>
      </c>
    </row>
    <row r="622" spans="1:5" x14ac:dyDescent="0.45">
      <c r="A622">
        <f ca="1">VLOOKUP(dict_zul_Var_Meth[[#This Row],[ignored_rank]],help_zuord_Var_Meth[],2)</f>
        <v>17</v>
      </c>
      <c r="B622">
        <v>561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t="shared" ca="1" si="9"/>
        <v>0.89417191614852276</v>
      </c>
      <c r="E622">
        <f ca="1">RANK(dict_zul_Var_Meth[[#This Row],[ignored_rand]],dict_zul_Var_Meth[ignored_rand])</f>
        <v>66</v>
      </c>
    </row>
    <row r="623" spans="1:5" x14ac:dyDescent="0.45">
      <c r="A623">
        <f ca="1">VLOOKUP(dict_zul_Var_Meth[[#This Row],[ignored_rank]],help_zuord_Var_Meth[],2)</f>
        <v>142</v>
      </c>
      <c r="B623">
        <v>562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t="shared" ca="1" si="9"/>
        <v>0.31544007480835556</v>
      </c>
      <c r="E623">
        <f ca="1">RANK(dict_zul_Var_Meth[[#This Row],[ignored_rand]],dict_zul_Var_Meth[ignored_rand])</f>
        <v>532</v>
      </c>
    </row>
    <row r="624" spans="1:5" x14ac:dyDescent="0.45">
      <c r="A624">
        <f ca="1">VLOOKUP(dict_zul_Var_Meth[[#This Row],[ignored_rank]],help_zuord_Var_Meth[],2)</f>
        <v>103</v>
      </c>
      <c r="B624">
        <v>563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t="shared" ca="1" si="9"/>
        <v>0.49437366102886893</v>
      </c>
      <c r="E624">
        <f ca="1">RANK(dict_zul_Var_Meth[[#This Row],[ignored_rand]],dict_zul_Var_Meth[ignored_rand])</f>
        <v>387</v>
      </c>
    </row>
    <row r="625" spans="1:5" x14ac:dyDescent="0.45">
      <c r="A625">
        <f ca="1">VLOOKUP(dict_zul_Var_Meth[[#This Row],[ignored_rank]],help_zuord_Var_Meth[],2)</f>
        <v>163</v>
      </c>
      <c r="B625">
        <v>564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t="shared" ca="1" si="9"/>
        <v>0.2027519753656134</v>
      </c>
      <c r="E625">
        <f ca="1">RANK(dict_zul_Var_Meth[[#This Row],[ignored_rand]],dict_zul_Var_Meth[ignored_rand])</f>
        <v>611</v>
      </c>
    </row>
    <row r="626" spans="1:5" x14ac:dyDescent="0.45">
      <c r="A626">
        <f ca="1">VLOOKUP(dict_zul_Var_Meth[[#This Row],[ignored_rank]],help_zuord_Var_Meth[],2)</f>
        <v>61</v>
      </c>
      <c r="B626">
        <v>565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t="shared" ca="1" si="9"/>
        <v>0.6743525961487189</v>
      </c>
      <c r="E626">
        <f ca="1">RANK(dict_zul_Var_Meth[[#This Row],[ignored_rand]],dict_zul_Var_Meth[ignored_rand])</f>
        <v>230</v>
      </c>
    </row>
    <row r="627" spans="1:5" x14ac:dyDescent="0.45">
      <c r="A627">
        <f ca="1">VLOOKUP(dict_zul_Var_Meth[[#This Row],[ignored_rank]],help_zuord_Var_Meth[],2)</f>
        <v>23</v>
      </c>
      <c r="B627">
        <v>566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t="shared" ca="1" si="9"/>
        <v>0.86858305750762854</v>
      </c>
      <c r="E627">
        <f ca="1">RANK(dict_zul_Var_Meth[[#This Row],[ignored_rand]],dict_zul_Var_Meth[ignored_rand])</f>
        <v>87</v>
      </c>
    </row>
    <row r="628" spans="1:5" x14ac:dyDescent="0.45">
      <c r="A628">
        <f ca="1">VLOOKUP(dict_zul_Var_Meth[[#This Row],[ignored_rank]],help_zuord_Var_Meth[],2)</f>
        <v>32</v>
      </c>
      <c r="B628">
        <v>567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t="shared" ca="1" si="9"/>
        <v>0.81918883219476424</v>
      </c>
      <c r="E628">
        <f ca="1">RANK(dict_zul_Var_Meth[[#This Row],[ignored_rand]],dict_zul_Var_Meth[ignored_rand])</f>
        <v>121</v>
      </c>
    </row>
    <row r="629" spans="1:5" x14ac:dyDescent="0.45">
      <c r="A629">
        <f ca="1">VLOOKUP(dict_zul_Var_Meth[[#This Row],[ignored_rank]],help_zuord_Var_Meth[],2)</f>
        <v>158</v>
      </c>
      <c r="B629">
        <v>568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t="shared" ca="1" si="9"/>
        <v>0.23114289410766153</v>
      </c>
      <c r="E629">
        <f ca="1">RANK(dict_zul_Var_Meth[[#This Row],[ignored_rand]],dict_zul_Var_Meth[ignored_rand])</f>
        <v>593</v>
      </c>
    </row>
    <row r="630" spans="1:5" x14ac:dyDescent="0.45">
      <c r="A630">
        <f ca="1">VLOOKUP(dict_zul_Var_Meth[[#This Row],[ignored_rank]],help_zuord_Var_Meth[],2)</f>
        <v>93</v>
      </c>
      <c r="B630">
        <v>569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t="shared" ca="1" si="9"/>
        <v>0.544425391521836</v>
      </c>
      <c r="E630">
        <f ca="1">RANK(dict_zul_Var_Meth[[#This Row],[ignored_rand]],dict_zul_Var_Meth[ignored_rand])</f>
        <v>349</v>
      </c>
    </row>
    <row r="631" spans="1:5" x14ac:dyDescent="0.45">
      <c r="A631">
        <f ca="1">VLOOKUP(dict_zul_Var_Meth[[#This Row],[ignored_rank]],help_zuord_Var_Meth[],2)</f>
        <v>57</v>
      </c>
      <c r="B631">
        <v>570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t="shared" ca="1" si="9"/>
        <v>0.70218345358508449</v>
      </c>
      <c r="E631">
        <f ca="1">RANK(dict_zul_Var_Meth[[#This Row],[ignored_rand]],dict_zul_Var_Meth[ignored_rand])</f>
        <v>213</v>
      </c>
    </row>
    <row r="632" spans="1:5" x14ac:dyDescent="0.45">
      <c r="A632">
        <f ca="1">VLOOKUP(dict_zul_Var_Meth[[#This Row],[ignored_rank]],help_zuord_Var_Meth[],2)</f>
        <v>141</v>
      </c>
      <c r="B632">
        <v>571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t="shared" ca="1" si="9"/>
        <v>0.31821765593109896</v>
      </c>
      <c r="E632">
        <f ca="1">RANK(dict_zul_Var_Meth[[#This Row],[ignored_rand]],dict_zul_Var_Meth[ignored_rand])</f>
        <v>527</v>
      </c>
    </row>
    <row r="633" spans="1:5" x14ac:dyDescent="0.45">
      <c r="A633">
        <f ca="1">VLOOKUP(dict_zul_Var_Meth[[#This Row],[ignored_rank]],help_zuord_Var_Meth[],2)</f>
        <v>19</v>
      </c>
      <c r="B633">
        <v>572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t="shared" ca="1" si="9"/>
        <v>0.88470942989223644</v>
      </c>
      <c r="E633">
        <f ca="1">RANK(dict_zul_Var_Meth[[#This Row],[ignored_rand]],dict_zul_Var_Meth[ignored_rand])</f>
        <v>73</v>
      </c>
    </row>
    <row r="634" spans="1:5" x14ac:dyDescent="0.45">
      <c r="A634">
        <f ca="1">VLOOKUP(dict_zul_Var_Meth[[#This Row],[ignored_rank]],help_zuord_Var_Meth[],2)</f>
        <v>100</v>
      </c>
      <c r="B634">
        <v>573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t="shared" ca="1" si="9"/>
        <v>0.51928958609241438</v>
      </c>
      <c r="E634">
        <f ca="1">RANK(dict_zul_Var_Meth[[#This Row],[ignored_rand]],dict_zul_Var_Meth[ignored_rand])</f>
        <v>376</v>
      </c>
    </row>
    <row r="635" spans="1:5" x14ac:dyDescent="0.45">
      <c r="A635">
        <f ca="1">VLOOKUP(dict_zul_Var_Meth[[#This Row],[ignored_rank]],help_zuord_Var_Meth[],2)</f>
        <v>77</v>
      </c>
      <c r="B635">
        <v>574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t="shared" ca="1" si="9"/>
        <v>0.61105653957149342</v>
      </c>
      <c r="E635">
        <f ca="1">RANK(dict_zul_Var_Meth[[#This Row],[ignored_rand]],dict_zul_Var_Meth[ignored_rand])</f>
        <v>290</v>
      </c>
    </row>
    <row r="636" spans="1:5" x14ac:dyDescent="0.45">
      <c r="A636">
        <f ca="1">VLOOKUP(dict_zul_Var_Meth[[#This Row],[ignored_rank]],help_zuord_Var_Meth[],2)</f>
        <v>19</v>
      </c>
      <c r="B636">
        <v>575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t="shared" ca="1" si="9"/>
        <v>0.88569314245866282</v>
      </c>
      <c r="E636">
        <f ca="1">RANK(dict_zul_Var_Meth[[#This Row],[ignored_rand]],dict_zul_Var_Meth[ignored_rand])</f>
        <v>72</v>
      </c>
    </row>
    <row r="637" spans="1:5" x14ac:dyDescent="0.45">
      <c r="A637">
        <f ca="1">VLOOKUP(dict_zul_Var_Meth[[#This Row],[ignored_rank]],help_zuord_Var_Meth[],2)</f>
        <v>127</v>
      </c>
      <c r="B637">
        <v>576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t="shared" ca="1" si="9"/>
        <v>0.38918620838129792</v>
      </c>
      <c r="E637">
        <f ca="1">RANK(dict_zul_Var_Meth[[#This Row],[ignored_rand]],dict_zul_Var_Meth[ignored_rand])</f>
        <v>476</v>
      </c>
    </row>
    <row r="638" spans="1:5" x14ac:dyDescent="0.45">
      <c r="A638">
        <f ca="1">VLOOKUP(dict_zul_Var_Meth[[#This Row],[ignored_rank]],help_zuord_Var_Meth[],2)</f>
        <v>125</v>
      </c>
      <c r="B638">
        <v>577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t="shared" ca="1" si="9"/>
        <v>0.40120961745218231</v>
      </c>
      <c r="E638">
        <f ca="1">RANK(dict_zul_Var_Meth[[#This Row],[ignored_rand]],dict_zul_Var_Meth[ignored_rand])</f>
        <v>469</v>
      </c>
    </row>
    <row r="639" spans="1:5" x14ac:dyDescent="0.45">
      <c r="A639" s="3">
        <f ca="1">VLOOKUP(dict_zul_Var_Meth[[#This Row],[ignored_rank]],help_zuord_Var_Meth[],2)</f>
        <v>130</v>
      </c>
      <c r="B639">
        <v>578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t="shared" ca="1" si="9"/>
        <v>0.37693156608255529</v>
      </c>
      <c r="E639" s="3">
        <f ca="1">RANK(dict_zul_Var_Meth[[#This Row],[ignored_rand]],dict_zul_Var_Meth[ignored_rand])</f>
        <v>487</v>
      </c>
    </row>
    <row r="640" spans="1:5" x14ac:dyDescent="0.45">
      <c r="A640">
        <f ca="1">VLOOKUP(dict_zul_Var_Meth[[#This Row],[ignored_rank]],help_zuord_Var_Meth[],2)</f>
        <v>101</v>
      </c>
      <c r="B640">
        <v>579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t="shared" ca="1" si="9"/>
        <v>0.51093458622138499</v>
      </c>
      <c r="E640">
        <f ca="1">RANK(dict_zul_Var_Meth[[#This Row],[ignored_rand]],dict_zul_Var_Meth[ignored_rand])</f>
        <v>380</v>
      </c>
    </row>
    <row r="641" spans="1:5" x14ac:dyDescent="0.45">
      <c r="A641">
        <f ca="1">VLOOKUP(dict_zul_Var_Meth[[#This Row],[ignored_rank]],help_zuord_Var_Meth[],2)</f>
        <v>136</v>
      </c>
      <c r="B641">
        <v>580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t="shared" ca="1" si="9"/>
        <v>0.34107179324187065</v>
      </c>
      <c r="E641">
        <f ca="1">RANK(dict_zul_Var_Meth[[#This Row],[ignored_rand]],dict_zul_Var_Meth[ignored_rand])</f>
        <v>512</v>
      </c>
    </row>
    <row r="642" spans="1:5" x14ac:dyDescent="0.45">
      <c r="A642">
        <f ca="1">VLOOKUP(dict_zul_Var_Meth[[#This Row],[ignored_rank]],help_zuord_Var_Meth[],2)</f>
        <v>43</v>
      </c>
      <c r="B642">
        <v>581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t="shared" ref="D642:D705" ca="1" si="10">RAND()</f>
        <v>0.75924704281723843</v>
      </c>
      <c r="E642">
        <f ca="1">RANK(dict_zul_Var_Meth[[#This Row],[ignored_rand]],dict_zul_Var_Meth[ignored_rand])</f>
        <v>161</v>
      </c>
    </row>
    <row r="643" spans="1:5" x14ac:dyDescent="0.45">
      <c r="A643">
        <f ca="1">VLOOKUP(dict_zul_Var_Meth[[#This Row],[ignored_rank]],help_zuord_Var_Meth[],2)</f>
        <v>28</v>
      </c>
      <c r="B643">
        <v>582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t="shared" ca="1" si="10"/>
        <v>0.84524474815010509</v>
      </c>
      <c r="E643">
        <f ca="1">RANK(dict_zul_Var_Meth[[#This Row],[ignored_rand]],dict_zul_Var_Meth[ignored_rand])</f>
        <v>105</v>
      </c>
    </row>
    <row r="644" spans="1:5" x14ac:dyDescent="0.45">
      <c r="A644">
        <f ca="1">VLOOKUP(dict_zul_Var_Meth[[#This Row],[ignored_rank]],help_zuord_Var_Meth[],2)</f>
        <v>171</v>
      </c>
      <c r="B644">
        <v>583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t="shared" ca="1" si="10"/>
        <v>0.17219636376614977</v>
      </c>
      <c r="E644">
        <f ca="1">RANK(dict_zul_Var_Meth[[#This Row],[ignored_rand]],dict_zul_Var_Meth[ignored_rand])</f>
        <v>639</v>
      </c>
    </row>
    <row r="645" spans="1:5" x14ac:dyDescent="0.45">
      <c r="A645">
        <f ca="1">VLOOKUP(dict_zul_Var_Meth[[#This Row],[ignored_rank]],help_zuord_Var_Meth[],2)</f>
        <v>184</v>
      </c>
      <c r="B645">
        <v>584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t="shared" ca="1" si="10"/>
        <v>0.10411270803524353</v>
      </c>
      <c r="E645">
        <f ca="1">RANK(dict_zul_Var_Meth[[#This Row],[ignored_rand]],dict_zul_Var_Meth[ignored_rand])</f>
        <v>690</v>
      </c>
    </row>
    <row r="646" spans="1:5" x14ac:dyDescent="0.45">
      <c r="A646">
        <f ca="1">VLOOKUP(dict_zul_Var_Meth[[#This Row],[ignored_rank]],help_zuord_Var_Meth[],2)</f>
        <v>149</v>
      </c>
      <c r="B646">
        <v>585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t="shared" ca="1" si="10"/>
        <v>0.27071820591718732</v>
      </c>
      <c r="E646">
        <f ca="1">RANK(dict_zul_Var_Meth[[#This Row],[ignored_rand]],dict_zul_Var_Meth[ignored_rand])</f>
        <v>559</v>
      </c>
    </row>
    <row r="647" spans="1:5" x14ac:dyDescent="0.45">
      <c r="A647">
        <f ca="1">VLOOKUP(dict_zul_Var_Meth[[#This Row],[ignored_rank]],help_zuord_Var_Meth[],2)</f>
        <v>182</v>
      </c>
      <c r="B647">
        <v>586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t="shared" ca="1" si="10"/>
        <v>0.11483273659060389</v>
      </c>
      <c r="E647">
        <f ca="1">RANK(dict_zul_Var_Meth[[#This Row],[ignored_rand]],dict_zul_Var_Meth[ignored_rand])</f>
        <v>681</v>
      </c>
    </row>
    <row r="648" spans="1:5" x14ac:dyDescent="0.45">
      <c r="A648">
        <f ca="1">VLOOKUP(dict_zul_Var_Meth[[#This Row],[ignored_rank]],help_zuord_Var_Meth[],2)</f>
        <v>101</v>
      </c>
      <c r="B648">
        <v>587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t="shared" ca="1" si="10"/>
        <v>0.50675507682836884</v>
      </c>
      <c r="E648">
        <f ca="1">RANK(dict_zul_Var_Meth[[#This Row],[ignored_rand]],dict_zul_Var_Meth[ignored_rand])</f>
        <v>381</v>
      </c>
    </row>
    <row r="649" spans="1:5" x14ac:dyDescent="0.45">
      <c r="A649">
        <f ca="1">VLOOKUP(dict_zul_Var_Meth[[#This Row],[ignored_rank]],help_zuord_Var_Meth[],2)</f>
        <v>44</v>
      </c>
      <c r="B649">
        <v>588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t="shared" ca="1" si="10"/>
        <v>0.74565808361250219</v>
      </c>
      <c r="E649">
        <f ca="1">RANK(dict_zul_Var_Meth[[#This Row],[ignored_rand]],dict_zul_Var_Meth[ignored_rand])</f>
        <v>169</v>
      </c>
    </row>
    <row r="650" spans="1:5" x14ac:dyDescent="0.45">
      <c r="A650">
        <f ca="1">VLOOKUP(dict_zul_Var_Meth[[#This Row],[ignored_rank]],help_zuord_Var_Meth[],2)</f>
        <v>7</v>
      </c>
      <c r="B650">
        <v>589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t="shared" ca="1" si="10"/>
        <v>0.95711505404964081</v>
      </c>
      <c r="E650">
        <f ca="1">RANK(dict_zul_Var_Meth[[#This Row],[ignored_rand]],dict_zul_Var_Meth[ignored_rand])</f>
        <v>27</v>
      </c>
    </row>
    <row r="651" spans="1:5" x14ac:dyDescent="0.45">
      <c r="A651">
        <f ca="1">VLOOKUP(dict_zul_Var_Meth[[#This Row],[ignored_rank]],help_zuord_Var_Meth[],2)</f>
        <v>159</v>
      </c>
      <c r="B651">
        <v>590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t="shared" ca="1" si="10"/>
        <v>0.22352602469853333</v>
      </c>
      <c r="E651">
        <f ca="1">RANK(dict_zul_Var_Meth[[#This Row],[ignored_rand]],dict_zul_Var_Meth[ignored_rand])</f>
        <v>597</v>
      </c>
    </row>
    <row r="652" spans="1:5" x14ac:dyDescent="0.45">
      <c r="A652">
        <f ca="1">VLOOKUP(dict_zul_Var_Meth[[#This Row],[ignored_rank]],help_zuord_Var_Meth[],2)</f>
        <v>171</v>
      </c>
      <c r="B652">
        <v>591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t="shared" ca="1" si="10"/>
        <v>0.1690804033405312</v>
      </c>
      <c r="E652">
        <f ca="1">RANK(dict_zul_Var_Meth[[#This Row],[ignored_rand]],dict_zul_Var_Meth[ignored_rand])</f>
        <v>641</v>
      </c>
    </row>
    <row r="653" spans="1:5" x14ac:dyDescent="0.45">
      <c r="A653">
        <f ca="1">VLOOKUP(dict_zul_Var_Meth[[#This Row],[ignored_rank]],help_zuord_Var_Meth[],2)</f>
        <v>80</v>
      </c>
      <c r="B653">
        <v>592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t="shared" ca="1" si="10"/>
        <v>0.60168320502856809</v>
      </c>
      <c r="E653">
        <f ca="1">RANK(dict_zul_Var_Meth[[#This Row],[ignored_rand]],dict_zul_Var_Meth[ignored_rand])</f>
        <v>302</v>
      </c>
    </row>
    <row r="654" spans="1:5" x14ac:dyDescent="0.45">
      <c r="A654">
        <f ca="1">VLOOKUP(dict_zul_Var_Meth[[#This Row],[ignored_rank]],help_zuord_Var_Meth[],2)</f>
        <v>180</v>
      </c>
      <c r="B654">
        <v>593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t="shared" ca="1" si="10"/>
        <v>0.11959603462683965</v>
      </c>
      <c r="E654">
        <f ca="1">RANK(dict_zul_Var_Meth[[#This Row],[ignored_rand]],dict_zul_Var_Meth[ignored_rand])</f>
        <v>674</v>
      </c>
    </row>
    <row r="655" spans="1:5" x14ac:dyDescent="0.45">
      <c r="A655">
        <f ca="1">VLOOKUP(dict_zul_Var_Meth[[#This Row],[ignored_rank]],help_zuord_Var_Meth[],2)</f>
        <v>4</v>
      </c>
      <c r="B655">
        <v>594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t="shared" ca="1" si="10"/>
        <v>0.96276270524034058</v>
      </c>
      <c r="E655">
        <f ca="1">RANK(dict_zul_Var_Meth[[#This Row],[ignored_rand]],dict_zul_Var_Meth[ignored_rand])</f>
        <v>17</v>
      </c>
    </row>
    <row r="656" spans="1:5" x14ac:dyDescent="0.45">
      <c r="A656">
        <f ca="1">VLOOKUP(dict_zul_Var_Meth[[#This Row],[ignored_rank]],help_zuord_Var_Meth[],2)</f>
        <v>94</v>
      </c>
      <c r="B656">
        <v>595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t="shared" ca="1" si="10"/>
        <v>0.53978842578558683</v>
      </c>
      <c r="E656">
        <f ca="1">RANK(dict_zul_Var_Meth[[#This Row],[ignored_rand]],dict_zul_Var_Meth[ignored_rand])</f>
        <v>355</v>
      </c>
    </row>
    <row r="657" spans="1:5" x14ac:dyDescent="0.45">
      <c r="A657">
        <f ca="1">VLOOKUP(dict_zul_Var_Meth[[#This Row],[ignored_rank]],help_zuord_Var_Meth[],2)</f>
        <v>115</v>
      </c>
      <c r="B657">
        <v>596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t="shared" ca="1" si="10"/>
        <v>0.43763295222649501</v>
      </c>
      <c r="E657">
        <f ca="1">RANK(dict_zul_Var_Meth[[#This Row],[ignored_rand]],dict_zul_Var_Meth[ignored_rand])</f>
        <v>430</v>
      </c>
    </row>
    <row r="658" spans="1:5" x14ac:dyDescent="0.45">
      <c r="A658">
        <f ca="1">VLOOKUP(dict_zul_Var_Meth[[#This Row],[ignored_rank]],help_zuord_Var_Meth[],2)</f>
        <v>71</v>
      </c>
      <c r="B658">
        <v>597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t="shared" ca="1" si="10"/>
        <v>0.63615259666519652</v>
      </c>
      <c r="E658">
        <f ca="1">RANK(dict_zul_Var_Meth[[#This Row],[ignored_rand]],dict_zul_Var_Meth[ignored_rand])</f>
        <v>269</v>
      </c>
    </row>
    <row r="659" spans="1:5" x14ac:dyDescent="0.45">
      <c r="A659">
        <f ca="1">VLOOKUP(dict_zul_Var_Meth[[#This Row],[ignored_rank]],help_zuord_Var_Meth[],2)</f>
        <v>64</v>
      </c>
      <c r="B659">
        <v>598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t="shared" ca="1" si="10"/>
        <v>0.66010522696835439</v>
      </c>
      <c r="E659">
        <f ca="1">RANK(dict_zul_Var_Meth[[#This Row],[ignored_rand]],dict_zul_Var_Meth[ignored_rand])</f>
        <v>244</v>
      </c>
    </row>
    <row r="660" spans="1:5" x14ac:dyDescent="0.45">
      <c r="A660">
        <f ca="1">VLOOKUP(dict_zul_Var_Meth[[#This Row],[ignored_rank]],help_zuord_Var_Meth[],2)</f>
        <v>54</v>
      </c>
      <c r="B660">
        <v>599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t="shared" ca="1" si="10"/>
        <v>0.70971023786911358</v>
      </c>
      <c r="E660">
        <f ca="1">RANK(dict_zul_Var_Meth[[#This Row],[ignored_rand]],dict_zul_Var_Meth[ignored_rand])</f>
        <v>204</v>
      </c>
    </row>
    <row r="661" spans="1:5" x14ac:dyDescent="0.45">
      <c r="A661">
        <f ca="1">VLOOKUP(dict_zul_Var_Meth[[#This Row],[ignored_rank]],help_zuord_Var_Meth[],2)</f>
        <v>169</v>
      </c>
      <c r="B661">
        <v>600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t="shared" ca="1" si="10"/>
        <v>0.17746536831664816</v>
      </c>
      <c r="E661">
        <f ca="1">RANK(dict_zul_Var_Meth[[#This Row],[ignored_rand]],dict_zul_Var_Meth[ignored_rand])</f>
        <v>634</v>
      </c>
    </row>
    <row r="662" spans="1:5" x14ac:dyDescent="0.45">
      <c r="A662">
        <f ca="1">VLOOKUP(dict_zul_Var_Meth[[#This Row],[ignored_rank]],help_zuord_Var_Meth[],2)</f>
        <v>97</v>
      </c>
      <c r="B662">
        <v>601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t="shared" ca="1" si="10"/>
        <v>0.53176261188928686</v>
      </c>
      <c r="E662">
        <f ca="1">RANK(dict_zul_Var_Meth[[#This Row],[ignored_rand]],dict_zul_Var_Meth[ignored_rand])</f>
        <v>365</v>
      </c>
    </row>
    <row r="663" spans="1:5" x14ac:dyDescent="0.45">
      <c r="A663">
        <f ca="1">VLOOKUP(dict_zul_Var_Meth[[#This Row],[ignored_rank]],help_zuord_Var_Meth[],2)</f>
        <v>113</v>
      </c>
      <c r="B663">
        <v>602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t="shared" ca="1" si="10"/>
        <v>0.44193556149953817</v>
      </c>
      <c r="E663">
        <f ca="1">RANK(dict_zul_Var_Meth[[#This Row],[ignored_rand]],dict_zul_Var_Meth[ignored_rand])</f>
        <v>424</v>
      </c>
    </row>
    <row r="664" spans="1:5" x14ac:dyDescent="0.45">
      <c r="A664">
        <f ca="1">VLOOKUP(dict_zul_Var_Meth[[#This Row],[ignored_rank]],help_zuord_Var_Meth[],2)</f>
        <v>95</v>
      </c>
      <c r="B664">
        <v>603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t="shared" ca="1" si="10"/>
        <v>0.53764627952792121</v>
      </c>
      <c r="E664">
        <f ca="1">RANK(dict_zul_Var_Meth[[#This Row],[ignored_rand]],dict_zul_Var_Meth[ignored_rand])</f>
        <v>356</v>
      </c>
    </row>
    <row r="665" spans="1:5" x14ac:dyDescent="0.45">
      <c r="A665">
        <f ca="1">VLOOKUP(dict_zul_Var_Meth[[#This Row],[ignored_rank]],help_zuord_Var_Meth[],2)</f>
        <v>113</v>
      </c>
      <c r="B665">
        <v>604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t="shared" ca="1" si="10"/>
        <v>0.44225003573827648</v>
      </c>
      <c r="E665">
        <f ca="1">RANK(dict_zul_Var_Meth[[#This Row],[ignored_rand]],dict_zul_Var_Meth[ignored_rand])</f>
        <v>423</v>
      </c>
    </row>
    <row r="666" spans="1:5" x14ac:dyDescent="0.45">
      <c r="A666">
        <f ca="1">VLOOKUP(dict_zul_Var_Meth[[#This Row],[ignored_rank]],help_zuord_Var_Meth[],2)</f>
        <v>55</v>
      </c>
      <c r="B666">
        <v>605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t="shared" ca="1" si="10"/>
        <v>0.70518313673675337</v>
      </c>
      <c r="E666">
        <f ca="1">RANK(dict_zul_Var_Meth[[#This Row],[ignored_rand]],dict_zul_Var_Meth[ignored_rand])</f>
        <v>207</v>
      </c>
    </row>
    <row r="667" spans="1:5" x14ac:dyDescent="0.45">
      <c r="A667">
        <f ca="1">VLOOKUP(dict_zul_Var_Meth[[#This Row],[ignored_rank]],help_zuord_Var_Meth[],2)</f>
        <v>134</v>
      </c>
      <c r="B667">
        <v>606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t="shared" ca="1" si="10"/>
        <v>0.35789923715075422</v>
      </c>
      <c r="E667">
        <f ca="1">RANK(dict_zul_Var_Meth[[#This Row],[ignored_rand]],dict_zul_Var_Meth[ignored_rand])</f>
        <v>503</v>
      </c>
    </row>
    <row r="668" spans="1:5" x14ac:dyDescent="0.45">
      <c r="A668">
        <f ca="1">VLOOKUP(dict_zul_Var_Meth[[#This Row],[ignored_rank]],help_zuord_Var_Meth[],2)</f>
        <v>136</v>
      </c>
      <c r="B668">
        <v>607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t="shared" ca="1" si="10"/>
        <v>0.34643901256284382</v>
      </c>
      <c r="E668">
        <f ca="1">RANK(dict_zul_Var_Meth[[#This Row],[ignored_rand]],dict_zul_Var_Meth[ignored_rand])</f>
        <v>510</v>
      </c>
    </row>
    <row r="669" spans="1:5" x14ac:dyDescent="0.45">
      <c r="A669">
        <f ca="1">VLOOKUP(dict_zul_Var_Meth[[#This Row],[ignored_rank]],help_zuord_Var_Meth[],2)</f>
        <v>29</v>
      </c>
      <c r="B669">
        <v>608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t="shared" ca="1" si="10"/>
        <v>0.83139325158825261</v>
      </c>
      <c r="E669">
        <f ca="1">RANK(dict_zul_Var_Meth[[#This Row],[ignored_rand]],dict_zul_Var_Meth[ignored_rand])</f>
        <v>112</v>
      </c>
    </row>
    <row r="670" spans="1:5" x14ac:dyDescent="0.45">
      <c r="A670">
        <f ca="1">VLOOKUP(dict_zul_Var_Meth[[#This Row],[ignored_rank]],help_zuord_Var_Meth[],2)</f>
        <v>108</v>
      </c>
      <c r="B670">
        <v>609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t="shared" ca="1" si="10"/>
        <v>0.46861397260000781</v>
      </c>
      <c r="E670">
        <f ca="1">RANK(dict_zul_Var_Meth[[#This Row],[ignored_rand]],dict_zul_Var_Meth[ignored_rand])</f>
        <v>404</v>
      </c>
    </row>
    <row r="671" spans="1:5" x14ac:dyDescent="0.45">
      <c r="A671">
        <f ca="1">VLOOKUP(dict_zul_Var_Meth[[#This Row],[ignored_rank]],help_zuord_Var_Meth[],2)</f>
        <v>124</v>
      </c>
      <c r="B671">
        <v>610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t="shared" ca="1" si="10"/>
        <v>0.40413120593052609</v>
      </c>
      <c r="E671">
        <f ca="1">RANK(dict_zul_Var_Meth[[#This Row],[ignored_rand]],dict_zul_Var_Meth[ignored_rand])</f>
        <v>465</v>
      </c>
    </row>
    <row r="672" spans="1:5" x14ac:dyDescent="0.45">
      <c r="A672">
        <f ca="1">VLOOKUP(dict_zul_Var_Meth[[#This Row],[ignored_rank]],help_zuord_Var_Meth[],2)</f>
        <v>181</v>
      </c>
      <c r="B672">
        <v>611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t="shared" ca="1" si="10"/>
        <v>0.11534250097242826</v>
      </c>
      <c r="E672">
        <f ca="1">RANK(dict_zul_Var_Meth[[#This Row],[ignored_rand]],dict_zul_Var_Meth[ignored_rand])</f>
        <v>676</v>
      </c>
    </row>
    <row r="673" spans="1:5" x14ac:dyDescent="0.45">
      <c r="A673">
        <f ca="1">VLOOKUP(dict_zul_Var_Meth[[#This Row],[ignored_rank]],help_zuord_Var_Meth[],2)</f>
        <v>44</v>
      </c>
      <c r="B673">
        <v>612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t="shared" ca="1" si="10"/>
        <v>0.75477543841375194</v>
      </c>
      <c r="E673">
        <f ca="1">RANK(dict_zul_Var_Meth[[#This Row],[ignored_rand]],dict_zul_Var_Meth[ignored_rand])</f>
        <v>165</v>
      </c>
    </row>
    <row r="674" spans="1:5" x14ac:dyDescent="0.45">
      <c r="A674">
        <f ca="1">VLOOKUP(dict_zul_Var_Meth[[#This Row],[ignored_rank]],help_zuord_Var_Meth[],2)</f>
        <v>77</v>
      </c>
      <c r="B674">
        <v>613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t="shared" ca="1" si="10"/>
        <v>0.61059596136936889</v>
      </c>
      <c r="E674">
        <f ca="1">RANK(dict_zul_Var_Meth[[#This Row],[ignored_rand]],dict_zul_Var_Meth[ignored_rand])</f>
        <v>292</v>
      </c>
    </row>
    <row r="675" spans="1:5" x14ac:dyDescent="0.45">
      <c r="A675">
        <f ca="1">VLOOKUP(dict_zul_Var_Meth[[#This Row],[ignored_rank]],help_zuord_Var_Meth[],2)</f>
        <v>52</v>
      </c>
      <c r="B675">
        <v>614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t="shared" ca="1" si="10"/>
        <v>0.7158273935577768</v>
      </c>
      <c r="E675">
        <f ca="1">RANK(dict_zul_Var_Meth[[#This Row],[ignored_rand]],dict_zul_Var_Meth[ignored_rand])</f>
        <v>198</v>
      </c>
    </row>
    <row r="676" spans="1:5" x14ac:dyDescent="0.45">
      <c r="A676">
        <f ca="1">VLOOKUP(dict_zul_Var_Meth[[#This Row],[ignored_rank]],help_zuord_Var_Meth[],2)</f>
        <v>78</v>
      </c>
      <c r="B676">
        <v>615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t="shared" ca="1" si="10"/>
        <v>0.60962250154599917</v>
      </c>
      <c r="E676">
        <f ca="1">RANK(dict_zul_Var_Meth[[#This Row],[ignored_rand]],dict_zul_Var_Meth[ignored_rand])</f>
        <v>294</v>
      </c>
    </row>
    <row r="677" spans="1:5" x14ac:dyDescent="0.45">
      <c r="A677">
        <f ca="1">VLOOKUP(dict_zul_Var_Meth[[#This Row],[ignored_rank]],help_zuord_Var_Meth[],2)</f>
        <v>17</v>
      </c>
      <c r="B677">
        <v>616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t="shared" ca="1" si="10"/>
        <v>0.892079922464451</v>
      </c>
      <c r="E677">
        <f ca="1">RANK(dict_zul_Var_Meth[[#This Row],[ignored_rand]],dict_zul_Var_Meth[ignored_rand])</f>
        <v>67</v>
      </c>
    </row>
    <row r="678" spans="1:5" x14ac:dyDescent="0.45">
      <c r="A678">
        <f ca="1">VLOOKUP(dict_zul_Var_Meth[[#This Row],[ignored_rank]],help_zuord_Var_Meth[],2)</f>
        <v>156</v>
      </c>
      <c r="B678">
        <v>617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t="shared" ca="1" si="10"/>
        <v>0.23699072502292007</v>
      </c>
      <c r="E678">
        <f ca="1">RANK(dict_zul_Var_Meth[[#This Row],[ignored_rand]],dict_zul_Var_Meth[ignored_rand])</f>
        <v>586</v>
      </c>
    </row>
    <row r="679" spans="1:5" x14ac:dyDescent="0.45">
      <c r="A679">
        <f ca="1">VLOOKUP(dict_zul_Var_Meth[[#This Row],[ignored_rank]],help_zuord_Var_Meth[],2)</f>
        <v>9</v>
      </c>
      <c r="B679">
        <v>618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t="shared" ca="1" si="10"/>
        <v>0.9469699198365622</v>
      </c>
      <c r="E679">
        <f ca="1">RANK(dict_zul_Var_Meth[[#This Row],[ignored_rand]],dict_zul_Var_Meth[ignored_rand])</f>
        <v>34</v>
      </c>
    </row>
    <row r="680" spans="1:5" x14ac:dyDescent="0.45">
      <c r="A680">
        <f ca="1">VLOOKUP(dict_zul_Var_Meth[[#This Row],[ignored_rank]],help_zuord_Var_Meth[],2)</f>
        <v>179</v>
      </c>
      <c r="B680">
        <v>619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t="shared" ca="1" si="10"/>
        <v>0.12126186137036532</v>
      </c>
      <c r="E680">
        <f ca="1">RANK(dict_zul_Var_Meth[[#This Row],[ignored_rand]],dict_zul_Var_Meth[ignored_rand])</f>
        <v>673</v>
      </c>
    </row>
    <row r="681" spans="1:5" x14ac:dyDescent="0.45">
      <c r="A681">
        <f ca="1">VLOOKUP(dict_zul_Var_Meth[[#This Row],[ignored_rank]],help_zuord_Var_Meth[],2)</f>
        <v>163</v>
      </c>
      <c r="B681">
        <v>620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t="shared" ca="1" si="10"/>
        <v>0.20300104622142168</v>
      </c>
      <c r="E681">
        <f ca="1">RANK(dict_zul_Var_Meth[[#This Row],[ignored_rand]],dict_zul_Var_Meth[ignored_rand])</f>
        <v>610</v>
      </c>
    </row>
    <row r="682" spans="1:5" x14ac:dyDescent="0.45">
      <c r="A682">
        <f ca="1">VLOOKUP(dict_zul_Var_Meth[[#This Row],[ignored_rank]],help_zuord_Var_Meth[],2)</f>
        <v>192</v>
      </c>
      <c r="B682">
        <v>621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t="shared" ca="1" si="10"/>
        <v>6.9613630905230761E-2</v>
      </c>
      <c r="E682">
        <f ca="1">RANK(dict_zul_Var_Meth[[#This Row],[ignored_rand]],dict_zul_Var_Meth[ignored_rand])</f>
        <v>718</v>
      </c>
    </row>
    <row r="683" spans="1:5" x14ac:dyDescent="0.45">
      <c r="A683">
        <f ca="1">VLOOKUP(dict_zul_Var_Meth[[#This Row],[ignored_rank]],help_zuord_Var_Meth[],2)</f>
        <v>183</v>
      </c>
      <c r="B683">
        <v>622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t="shared" ca="1" si="10"/>
        <v>0.111240828324774</v>
      </c>
      <c r="E683">
        <f ca="1">RANK(dict_zul_Var_Meth[[#This Row],[ignored_rand]],dict_zul_Var_Meth[ignored_rand])</f>
        <v>684</v>
      </c>
    </row>
    <row r="684" spans="1:5" x14ac:dyDescent="0.45">
      <c r="A684">
        <f ca="1">VLOOKUP(dict_zul_Var_Meth[[#This Row],[ignored_rank]],help_zuord_Var_Meth[],2)</f>
        <v>165</v>
      </c>
      <c r="B684">
        <v>623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t="shared" ca="1" si="10"/>
        <v>0.19712330398428091</v>
      </c>
      <c r="E684">
        <f ca="1">RANK(dict_zul_Var_Meth[[#This Row],[ignored_rand]],dict_zul_Var_Meth[ignored_rand])</f>
        <v>619</v>
      </c>
    </row>
    <row r="685" spans="1:5" x14ac:dyDescent="0.45">
      <c r="A685">
        <f ca="1">VLOOKUP(dict_zul_Var_Meth[[#This Row],[ignored_rank]],help_zuord_Var_Meth[],2)</f>
        <v>74</v>
      </c>
      <c r="B685">
        <v>624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t="shared" ca="1" si="10"/>
        <v>0.63167350191879268</v>
      </c>
      <c r="E685">
        <f ca="1">RANK(dict_zul_Var_Meth[[#This Row],[ignored_rand]],dict_zul_Var_Meth[ignored_rand])</f>
        <v>277</v>
      </c>
    </row>
    <row r="686" spans="1:5" x14ac:dyDescent="0.45">
      <c r="A686">
        <f ca="1">VLOOKUP(dict_zul_Var_Meth[[#This Row],[ignored_rank]],help_zuord_Var_Meth[],2)</f>
        <v>17</v>
      </c>
      <c r="B686">
        <v>625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t="shared" ca="1" si="10"/>
        <v>0.89685113543948314</v>
      </c>
      <c r="E686">
        <f ca="1">RANK(dict_zul_Var_Meth[[#This Row],[ignored_rand]],dict_zul_Var_Meth[ignored_rand])</f>
        <v>64</v>
      </c>
    </row>
    <row r="687" spans="1:5" x14ac:dyDescent="0.45">
      <c r="A687">
        <f ca="1">VLOOKUP(dict_zul_Var_Meth[[#This Row],[ignored_rank]],help_zuord_Var_Meth[],2)</f>
        <v>118</v>
      </c>
      <c r="B687">
        <v>626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t="shared" ca="1" si="10"/>
        <v>0.42362708561333895</v>
      </c>
      <c r="E687">
        <f ca="1">RANK(dict_zul_Var_Meth[[#This Row],[ignored_rand]],dict_zul_Var_Meth[ignored_rand])</f>
        <v>446</v>
      </c>
    </row>
    <row r="688" spans="1:5" x14ac:dyDescent="0.45">
      <c r="A688">
        <f ca="1">VLOOKUP(dict_zul_Var_Meth[[#This Row],[ignored_rank]],help_zuord_Var_Meth[],2)</f>
        <v>81</v>
      </c>
      <c r="B688">
        <v>627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t="shared" ca="1" si="10"/>
        <v>0.5996173646253129</v>
      </c>
      <c r="E688">
        <f ca="1">RANK(dict_zul_Var_Meth[[#This Row],[ignored_rand]],dict_zul_Var_Meth[ignored_rand])</f>
        <v>304</v>
      </c>
    </row>
    <row r="689" spans="1:5" x14ac:dyDescent="0.45">
      <c r="A689">
        <f ca="1">VLOOKUP(dict_zul_Var_Meth[[#This Row],[ignored_rank]],help_zuord_Var_Meth[],2)</f>
        <v>10</v>
      </c>
      <c r="B689">
        <v>628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t="shared" ca="1" si="10"/>
        <v>0.93994996834242472</v>
      </c>
      <c r="E689">
        <f ca="1">RANK(dict_zul_Var_Meth[[#This Row],[ignored_rand]],dict_zul_Var_Meth[ignored_rand])</f>
        <v>39</v>
      </c>
    </row>
    <row r="690" spans="1:5" x14ac:dyDescent="0.45">
      <c r="A690">
        <f ca="1">VLOOKUP(dict_zul_Var_Meth[[#This Row],[ignored_rank]],help_zuord_Var_Meth[],2)</f>
        <v>50</v>
      </c>
      <c r="B690">
        <v>629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t="shared" ca="1" si="10"/>
        <v>0.73110715531516113</v>
      </c>
      <c r="E690">
        <f ca="1">RANK(dict_zul_Var_Meth[[#This Row],[ignored_rand]],dict_zul_Var_Meth[ignored_rand])</f>
        <v>189</v>
      </c>
    </row>
    <row r="691" spans="1:5" x14ac:dyDescent="0.45">
      <c r="A691">
        <f ca="1">VLOOKUP(dict_zul_Var_Meth[[#This Row],[ignored_rank]],help_zuord_Var_Meth[],2)</f>
        <v>104</v>
      </c>
      <c r="B691">
        <v>630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t="shared" ca="1" si="10"/>
        <v>0.49381081258677961</v>
      </c>
      <c r="E691">
        <f ca="1">RANK(dict_zul_Var_Meth[[#This Row],[ignored_rand]],dict_zul_Var_Meth[ignored_rand])</f>
        <v>390</v>
      </c>
    </row>
    <row r="692" spans="1:5" x14ac:dyDescent="0.45">
      <c r="A692">
        <f ca="1">VLOOKUP(dict_zul_Var_Meth[[#This Row],[ignored_rank]],help_zuord_Var_Meth[],2)</f>
        <v>177</v>
      </c>
      <c r="B692">
        <v>631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t="shared" ca="1" si="10"/>
        <v>0.13631893565791997</v>
      </c>
      <c r="E692">
        <f ca="1">RANK(dict_zul_Var_Meth[[#This Row],[ignored_rand]],dict_zul_Var_Meth[ignored_rand])</f>
        <v>664</v>
      </c>
    </row>
    <row r="693" spans="1:5" x14ac:dyDescent="0.45">
      <c r="A693">
        <f ca="1">VLOOKUP(dict_zul_Var_Meth[[#This Row],[ignored_rank]],help_zuord_Var_Meth[],2)</f>
        <v>200</v>
      </c>
      <c r="B693">
        <v>632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t="shared" ca="1" si="10"/>
        <v>8.3715296253022986E-3</v>
      </c>
      <c r="E693">
        <f ca="1">RANK(dict_zul_Var_Meth[[#This Row],[ignored_rand]],dict_zul_Var_Meth[ignored_rand])</f>
        <v>756</v>
      </c>
    </row>
    <row r="694" spans="1:5" x14ac:dyDescent="0.45">
      <c r="A694" s="3">
        <f ca="1">VLOOKUP(dict_zul_Var_Meth[[#This Row],[ignored_rank]],help_zuord_Var_Meth[],2)</f>
        <v>141</v>
      </c>
      <c r="B694">
        <v>633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t="shared" ca="1" si="10"/>
        <v>0.31624191311359628</v>
      </c>
      <c r="E694" s="3">
        <f ca="1">RANK(dict_zul_Var_Meth[[#This Row],[ignored_rand]],dict_zul_Var_Meth[ignored_rand])</f>
        <v>531</v>
      </c>
    </row>
    <row r="695" spans="1:5" x14ac:dyDescent="0.45">
      <c r="A695">
        <f ca="1">VLOOKUP(dict_zul_Var_Meth[[#This Row],[ignored_rank]],help_zuord_Var_Meth[],2)</f>
        <v>174</v>
      </c>
      <c r="B695">
        <v>634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t="shared" ca="1" si="10"/>
        <v>0.15283906109596046</v>
      </c>
      <c r="E695">
        <f ca="1">RANK(dict_zul_Var_Meth[[#This Row],[ignored_rand]],dict_zul_Var_Meth[ignored_rand])</f>
        <v>655</v>
      </c>
    </row>
    <row r="696" spans="1:5" x14ac:dyDescent="0.45">
      <c r="A696">
        <f ca="1">VLOOKUP(dict_zul_Var_Meth[[#This Row],[ignored_rank]],help_zuord_Var_Meth[],2)</f>
        <v>170</v>
      </c>
      <c r="B696">
        <v>635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t="shared" ca="1" si="10"/>
        <v>0.17230191250513283</v>
      </c>
      <c r="E696">
        <f ca="1">RANK(dict_zul_Var_Meth[[#This Row],[ignored_rand]],dict_zul_Var_Meth[ignored_rand])</f>
        <v>638</v>
      </c>
    </row>
    <row r="697" spans="1:5" x14ac:dyDescent="0.45">
      <c r="A697">
        <f ca="1">VLOOKUP(dict_zul_Var_Meth[[#This Row],[ignored_rank]],help_zuord_Var_Meth[],2)</f>
        <v>62</v>
      </c>
      <c r="B697">
        <v>636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t="shared" ca="1" si="10"/>
        <v>0.66921753844670551</v>
      </c>
      <c r="E697">
        <f ca="1">RANK(dict_zul_Var_Meth[[#This Row],[ignored_rand]],dict_zul_Var_Meth[ignored_rand])</f>
        <v>235</v>
      </c>
    </row>
    <row r="698" spans="1:5" x14ac:dyDescent="0.45">
      <c r="A698">
        <f ca="1">VLOOKUP(dict_zul_Var_Meth[[#This Row],[ignored_rank]],help_zuord_Var_Meth[],2)</f>
        <v>44</v>
      </c>
      <c r="B698">
        <v>637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t="shared" ca="1" si="10"/>
        <v>0.74914956693617474</v>
      </c>
      <c r="E698">
        <f ca="1">RANK(dict_zul_Var_Meth[[#This Row],[ignored_rand]],dict_zul_Var_Meth[ignored_rand])</f>
        <v>168</v>
      </c>
    </row>
    <row r="699" spans="1:5" x14ac:dyDescent="0.45">
      <c r="A699">
        <f ca="1">VLOOKUP(dict_zul_Var_Meth[[#This Row],[ignored_rank]],help_zuord_Var_Meth[],2)</f>
        <v>30</v>
      </c>
      <c r="B699">
        <v>638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t="shared" ca="1" si="10"/>
        <v>0.83095310343520723</v>
      </c>
      <c r="E699">
        <f ca="1">RANK(dict_zul_Var_Meth[[#This Row],[ignored_rand]],dict_zul_Var_Meth[ignored_rand])</f>
        <v>115</v>
      </c>
    </row>
    <row r="700" spans="1:5" x14ac:dyDescent="0.45">
      <c r="A700">
        <f ca="1">VLOOKUP(dict_zul_Var_Meth[[#This Row],[ignored_rank]],help_zuord_Var_Meth[],2)</f>
        <v>38</v>
      </c>
      <c r="B700">
        <v>639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t="shared" ca="1" si="10"/>
        <v>0.77897727842647313</v>
      </c>
      <c r="E700">
        <f ca="1">RANK(dict_zul_Var_Meth[[#This Row],[ignored_rand]],dict_zul_Var_Meth[ignored_rand])</f>
        <v>145</v>
      </c>
    </row>
    <row r="701" spans="1:5" x14ac:dyDescent="0.45">
      <c r="A701">
        <f ca="1">VLOOKUP(dict_zul_Var_Meth[[#This Row],[ignored_rank]],help_zuord_Var_Meth[],2)</f>
        <v>188</v>
      </c>
      <c r="B701">
        <v>640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t="shared" ca="1" si="10"/>
        <v>8.393811966281528E-2</v>
      </c>
      <c r="E701">
        <f ca="1">RANK(dict_zul_Var_Meth[[#This Row],[ignored_rand]],dict_zul_Var_Meth[ignored_rand])</f>
        <v>705</v>
      </c>
    </row>
    <row r="702" spans="1:5" x14ac:dyDescent="0.45">
      <c r="A702">
        <f ca="1">VLOOKUP(dict_zul_Var_Meth[[#This Row],[ignored_rank]],help_zuord_Var_Meth[],2)</f>
        <v>93</v>
      </c>
      <c r="B702">
        <v>641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t="shared" ca="1" si="10"/>
        <v>0.54781859053255222</v>
      </c>
      <c r="E702">
        <f ca="1">RANK(dict_zul_Var_Meth[[#This Row],[ignored_rand]],dict_zul_Var_Meth[ignored_rand])</f>
        <v>347</v>
      </c>
    </row>
    <row r="703" spans="1:5" x14ac:dyDescent="0.45">
      <c r="A703">
        <f ca="1">VLOOKUP(dict_zul_Var_Meth[[#This Row],[ignored_rank]],help_zuord_Var_Meth[],2)</f>
        <v>121</v>
      </c>
      <c r="B703">
        <v>642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t="shared" ca="1" si="10"/>
        <v>0.41555935089369711</v>
      </c>
      <c r="E703">
        <f ca="1">RANK(dict_zul_Var_Meth[[#This Row],[ignored_rand]],dict_zul_Var_Meth[ignored_rand])</f>
        <v>454</v>
      </c>
    </row>
    <row r="704" spans="1:5" x14ac:dyDescent="0.45">
      <c r="A704">
        <f ca="1">VLOOKUP(dict_zul_Var_Meth[[#This Row],[ignored_rank]],help_zuord_Var_Meth[],2)</f>
        <v>16</v>
      </c>
      <c r="B704">
        <v>643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t="shared" ca="1" si="10"/>
        <v>0.89805737323511625</v>
      </c>
      <c r="E704">
        <f ca="1">RANK(dict_zul_Var_Meth[[#This Row],[ignored_rand]],dict_zul_Var_Meth[ignored_rand])</f>
        <v>63</v>
      </c>
    </row>
    <row r="705" spans="1:5" x14ac:dyDescent="0.45">
      <c r="A705">
        <f ca="1">VLOOKUP(dict_zul_Var_Meth[[#This Row],[ignored_rank]],help_zuord_Var_Meth[],2)</f>
        <v>172</v>
      </c>
      <c r="B705">
        <v>644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t="shared" ca="1" si="10"/>
        <v>0.16312838643967709</v>
      </c>
      <c r="E705">
        <f ca="1">RANK(dict_zul_Var_Meth[[#This Row],[ignored_rand]],dict_zul_Var_Meth[ignored_rand])</f>
        <v>647</v>
      </c>
    </row>
    <row r="706" spans="1:5" x14ac:dyDescent="0.45">
      <c r="A706">
        <f ca="1">VLOOKUP(dict_zul_Var_Meth[[#This Row],[ignored_rank]],help_zuord_Var_Meth[],2)</f>
        <v>5</v>
      </c>
      <c r="B706">
        <v>645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t="shared" ref="D706:D761" ca="1" si="11">RAND()</f>
        <v>0.96229077136224705</v>
      </c>
      <c r="E706">
        <f ca="1">RANK(dict_zul_Var_Meth[[#This Row],[ignored_rand]],dict_zul_Var_Meth[ignored_rand])</f>
        <v>18</v>
      </c>
    </row>
    <row r="707" spans="1:5" x14ac:dyDescent="0.45">
      <c r="A707">
        <f ca="1">VLOOKUP(dict_zul_Var_Meth[[#This Row],[ignored_rank]],help_zuord_Var_Meth[],2)</f>
        <v>63</v>
      </c>
      <c r="B707">
        <v>646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t="shared" ca="1" si="11"/>
        <v>0.66545878043400419</v>
      </c>
      <c r="E707">
        <f ca="1">RANK(dict_zul_Var_Meth[[#This Row],[ignored_rand]],dict_zul_Var_Meth[ignored_rand])</f>
        <v>238</v>
      </c>
    </row>
    <row r="708" spans="1:5" x14ac:dyDescent="0.45">
      <c r="A708">
        <f ca="1">VLOOKUP(dict_zul_Var_Meth[[#This Row],[ignored_rank]],help_zuord_Var_Meth[],2)</f>
        <v>74</v>
      </c>
      <c r="B708">
        <v>647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t="shared" ca="1" si="11"/>
        <v>0.63173296858301353</v>
      </c>
      <c r="E708">
        <f ca="1">RANK(dict_zul_Var_Meth[[#This Row],[ignored_rand]],dict_zul_Var_Meth[ignored_rand])</f>
        <v>276</v>
      </c>
    </row>
    <row r="709" spans="1:5" x14ac:dyDescent="0.45">
      <c r="A709">
        <f ca="1">VLOOKUP(dict_zul_Var_Meth[[#This Row],[ignored_rank]],help_zuord_Var_Meth[],2)</f>
        <v>118</v>
      </c>
      <c r="B709">
        <v>648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t="shared" ca="1" si="11"/>
        <v>0.42908196959622014</v>
      </c>
      <c r="E709">
        <f ca="1">RANK(dict_zul_Var_Meth[[#This Row],[ignored_rand]],dict_zul_Var_Meth[ignored_rand])</f>
        <v>441</v>
      </c>
    </row>
    <row r="710" spans="1:5" x14ac:dyDescent="0.45">
      <c r="A710">
        <f ca="1">VLOOKUP(dict_zul_Var_Meth[[#This Row],[ignored_rank]],help_zuord_Var_Meth[],2)</f>
        <v>14</v>
      </c>
      <c r="B710">
        <v>649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t="shared" ca="1" si="11"/>
        <v>0.90943735155751082</v>
      </c>
      <c r="E710">
        <f ca="1">RANK(dict_zul_Var_Meth[[#This Row],[ignored_rand]],dict_zul_Var_Meth[ignored_rand])</f>
        <v>53</v>
      </c>
    </row>
    <row r="711" spans="1:5" x14ac:dyDescent="0.45">
      <c r="A711">
        <f ca="1">VLOOKUP(dict_zul_Var_Meth[[#This Row],[ignored_rank]],help_zuord_Var_Meth[],2)</f>
        <v>200</v>
      </c>
      <c r="B711">
        <v>650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t="shared" ca="1" si="11"/>
        <v>8.5276669081230105E-3</v>
      </c>
      <c r="E711">
        <f ca="1">RANK(dict_zul_Var_Meth[[#This Row],[ignored_rand]],dict_zul_Var_Meth[ignored_rand])</f>
        <v>755</v>
      </c>
    </row>
    <row r="712" spans="1:5" x14ac:dyDescent="0.45">
      <c r="A712">
        <f ca="1">VLOOKUP(dict_zul_Var_Meth[[#This Row],[ignored_rank]],help_zuord_Var_Meth[],2)</f>
        <v>0</v>
      </c>
      <c r="B712">
        <v>651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2">
        <f t="shared" ca="1" si="11"/>
        <v>0.99959124929919307</v>
      </c>
      <c r="E712">
        <f ca="1">RANK(dict_zul_Var_Meth[[#This Row],[ignored_rand]],dict_zul_Var_Meth[ignored_rand])</f>
        <v>1</v>
      </c>
    </row>
    <row r="713" spans="1:5" x14ac:dyDescent="0.45">
      <c r="A713">
        <f ca="1">VLOOKUP(dict_zul_Var_Meth[[#This Row],[ignored_rank]],help_zuord_Var_Meth[],2)</f>
        <v>147</v>
      </c>
      <c r="B713">
        <v>652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t="shared" ca="1" si="11"/>
        <v>0.27404581374427617</v>
      </c>
      <c r="E713">
        <f ca="1">RANK(dict_zul_Var_Meth[[#This Row],[ignored_rand]],dict_zul_Var_Meth[ignored_rand])</f>
        <v>553</v>
      </c>
    </row>
    <row r="714" spans="1:5" x14ac:dyDescent="0.45">
      <c r="A714">
        <f ca="1">VLOOKUP(dict_zul_Var_Meth[[#This Row],[ignored_rank]],help_zuord_Var_Meth[],2)</f>
        <v>31</v>
      </c>
      <c r="B714">
        <v>653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t="shared" ca="1" si="11"/>
        <v>0.82073710747514994</v>
      </c>
      <c r="E714">
        <f ca="1">RANK(dict_zul_Var_Meth[[#This Row],[ignored_rand]],dict_zul_Var_Meth[ignored_rand])</f>
        <v>119</v>
      </c>
    </row>
    <row r="715" spans="1:5" x14ac:dyDescent="0.45">
      <c r="A715">
        <f ca="1">VLOOKUP(dict_zul_Var_Meth[[#This Row],[ignored_rank]],help_zuord_Var_Meth[],2)</f>
        <v>12</v>
      </c>
      <c r="B715">
        <v>654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t="shared" ca="1" si="11"/>
        <v>0.92176617174472519</v>
      </c>
      <c r="E715">
        <f ca="1">RANK(dict_zul_Var_Meth[[#This Row],[ignored_rand]],dict_zul_Var_Meth[ignored_rand])</f>
        <v>46</v>
      </c>
    </row>
    <row r="716" spans="1:5" x14ac:dyDescent="0.45">
      <c r="A716">
        <f ca="1">VLOOKUP(dict_zul_Var_Meth[[#This Row],[ignored_rank]],help_zuord_Var_Meth[],2)</f>
        <v>157</v>
      </c>
      <c r="B716">
        <v>655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t="shared" ca="1" si="11"/>
        <v>0.23344588824079748</v>
      </c>
      <c r="E716">
        <f ca="1">RANK(dict_zul_Var_Meth[[#This Row],[ignored_rand]],dict_zul_Var_Meth[ignored_rand])</f>
        <v>590</v>
      </c>
    </row>
    <row r="717" spans="1:5" x14ac:dyDescent="0.45">
      <c r="A717">
        <f ca="1">VLOOKUP(dict_zul_Var_Meth[[#This Row],[ignored_rank]],help_zuord_Var_Meth[],2)</f>
        <v>61</v>
      </c>
      <c r="B717">
        <v>656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t="shared" ca="1" si="11"/>
        <v>0.6743130672663965</v>
      </c>
      <c r="E717">
        <f ca="1">RANK(dict_zul_Var_Meth[[#This Row],[ignored_rand]],dict_zul_Var_Meth[ignored_rand])</f>
        <v>231</v>
      </c>
    </row>
    <row r="718" spans="1:5" x14ac:dyDescent="0.45">
      <c r="A718">
        <f ca="1">VLOOKUP(dict_zul_Var_Meth[[#This Row],[ignored_rank]],help_zuord_Var_Meth[],2)</f>
        <v>145</v>
      </c>
      <c r="B718">
        <v>657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t="shared" ca="1" si="11"/>
        <v>0.28901274157205026</v>
      </c>
      <c r="E718">
        <f ca="1">RANK(dict_zul_Var_Meth[[#This Row],[ignored_rand]],dict_zul_Var_Meth[ignored_rand])</f>
        <v>543</v>
      </c>
    </row>
    <row r="719" spans="1:5" x14ac:dyDescent="0.45">
      <c r="A719" s="3">
        <f ca="1">VLOOKUP(dict_zul_Var_Meth[[#This Row],[ignored_rank]],help_zuord_Var_Meth[],2)</f>
        <v>90</v>
      </c>
      <c r="B719">
        <v>658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t="shared" ca="1" si="11"/>
        <v>0.55430085916026617</v>
      </c>
      <c r="E719" s="3">
        <f ca="1">RANK(dict_zul_Var_Meth[[#This Row],[ignored_rand]],dict_zul_Var_Meth[ignored_rand])</f>
        <v>337</v>
      </c>
    </row>
    <row r="720" spans="1:5" x14ac:dyDescent="0.45">
      <c r="A720">
        <f ca="1">VLOOKUP(dict_zul_Var_Meth[[#This Row],[ignored_rank]],help_zuord_Var_Meth[],2)</f>
        <v>189</v>
      </c>
      <c r="B720">
        <v>659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t="shared" ca="1" si="11"/>
        <v>8.3386968380792847E-2</v>
      </c>
      <c r="E720">
        <f ca="1">RANK(dict_zul_Var_Meth[[#This Row],[ignored_rand]],dict_zul_Var_Meth[ignored_rand])</f>
        <v>706</v>
      </c>
    </row>
    <row r="721" spans="1:5" x14ac:dyDescent="0.45">
      <c r="A721">
        <f ca="1">VLOOKUP(dict_zul_Var_Meth[[#This Row],[ignored_rank]],help_zuord_Var_Meth[],2)</f>
        <v>148</v>
      </c>
      <c r="B721">
        <v>660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t="shared" ca="1" si="11"/>
        <v>0.27225890151043775</v>
      </c>
      <c r="E721">
        <f ca="1">RANK(dict_zul_Var_Meth[[#This Row],[ignored_rand]],dict_zul_Var_Meth[ignored_rand])</f>
        <v>555</v>
      </c>
    </row>
    <row r="722" spans="1:5" x14ac:dyDescent="0.45">
      <c r="A722">
        <f ca="1">VLOOKUP(dict_zul_Var_Meth[[#This Row],[ignored_rank]],help_zuord_Var_Meth[],2)</f>
        <v>143</v>
      </c>
      <c r="B722">
        <v>661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t="shared" ca="1" si="11"/>
        <v>0.29626086961252351</v>
      </c>
      <c r="E722">
        <f ca="1">RANK(dict_zul_Var_Meth[[#This Row],[ignored_rand]],dict_zul_Var_Meth[ignored_rand])</f>
        <v>538</v>
      </c>
    </row>
    <row r="723" spans="1:5" x14ac:dyDescent="0.45">
      <c r="A723">
        <f ca="1">VLOOKUP(dict_zul_Var_Meth[[#This Row],[ignored_rank]],help_zuord_Var_Meth[],2)</f>
        <v>2</v>
      </c>
      <c r="B723">
        <v>662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3">
        <f t="shared" ca="1" si="11"/>
        <v>0.98232089674340939</v>
      </c>
      <c r="E723">
        <f ca="1">RANK(dict_zul_Var_Meth[[#This Row],[ignored_rand]],dict_zul_Var_Meth[ignored_rand])</f>
        <v>10</v>
      </c>
    </row>
    <row r="724" spans="1:5" x14ac:dyDescent="0.45">
      <c r="A724">
        <f ca="1">VLOOKUP(dict_zul_Var_Meth[[#This Row],[ignored_rank]],help_zuord_Var_Meth[],2)</f>
        <v>136</v>
      </c>
      <c r="B724">
        <v>663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t="shared" ca="1" si="11"/>
        <v>0.34355523588936709</v>
      </c>
      <c r="E724">
        <f ca="1">RANK(dict_zul_Var_Meth[[#This Row],[ignored_rand]],dict_zul_Var_Meth[ignored_rand])</f>
        <v>511</v>
      </c>
    </row>
    <row r="725" spans="1:5" x14ac:dyDescent="0.45">
      <c r="A725" s="3">
        <f ca="1">VLOOKUP(dict_zul_Var_Meth[[#This Row],[ignored_rank]],help_zuord_Var_Meth[],2)</f>
        <v>160</v>
      </c>
      <c r="B725">
        <v>664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t="shared" ca="1" si="11"/>
        <v>0.21457250912104231</v>
      </c>
      <c r="E725" s="3">
        <f ca="1">RANK(dict_zul_Var_Meth[[#This Row],[ignored_rand]],dict_zul_Var_Meth[ignored_rand])</f>
        <v>601</v>
      </c>
    </row>
    <row r="726" spans="1:5" x14ac:dyDescent="0.45">
      <c r="A726">
        <f ca="1">VLOOKUP(dict_zul_Var_Meth[[#This Row],[ignored_rank]],help_zuord_Var_Meth[],2)</f>
        <v>95</v>
      </c>
      <c r="B726">
        <v>665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t="shared" ca="1" si="11"/>
        <v>0.53606020394285658</v>
      </c>
      <c r="E726">
        <f ca="1">RANK(dict_zul_Var_Meth[[#This Row],[ignored_rand]],dict_zul_Var_Meth[ignored_rand])</f>
        <v>358</v>
      </c>
    </row>
    <row r="727" spans="1:5" x14ac:dyDescent="0.45">
      <c r="A727">
        <f ca="1">VLOOKUP(dict_zul_Var_Meth[[#This Row],[ignored_rank]],help_zuord_Var_Meth[],2)</f>
        <v>195</v>
      </c>
      <c r="B727">
        <v>666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t="shared" ca="1" si="11"/>
        <v>5.0511381779541509E-2</v>
      </c>
      <c r="E727">
        <f ca="1">RANK(dict_zul_Var_Meth[[#This Row],[ignored_rand]],dict_zul_Var_Meth[ignored_rand])</f>
        <v>731</v>
      </c>
    </row>
    <row r="728" spans="1:5" x14ac:dyDescent="0.45">
      <c r="A728">
        <f ca="1">VLOOKUP(dict_zul_Var_Meth[[#This Row],[ignored_rank]],help_zuord_Var_Meth[],2)</f>
        <v>119</v>
      </c>
      <c r="B728">
        <v>667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t="shared" ca="1" si="11"/>
        <v>0.42136293702366134</v>
      </c>
      <c r="E728">
        <f ca="1">RANK(dict_zul_Var_Meth[[#This Row],[ignored_rand]],dict_zul_Var_Meth[ignored_rand])</f>
        <v>448</v>
      </c>
    </row>
    <row r="729" spans="1:5" x14ac:dyDescent="0.45">
      <c r="A729">
        <f ca="1">VLOOKUP(dict_zul_Var_Meth[[#This Row],[ignored_rank]],help_zuord_Var_Meth[],2)</f>
        <v>171</v>
      </c>
      <c r="B729">
        <v>668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t="shared" ca="1" si="11"/>
        <v>0.16724725726209022</v>
      </c>
      <c r="E729">
        <f ca="1">RANK(dict_zul_Var_Meth[[#This Row],[ignored_rand]],dict_zul_Var_Meth[ignored_rand])</f>
        <v>644</v>
      </c>
    </row>
    <row r="730" spans="1:5" x14ac:dyDescent="0.45">
      <c r="A730">
        <f ca="1">VLOOKUP(dict_zul_Var_Meth[[#This Row],[ignored_rank]],help_zuord_Var_Meth[],2)</f>
        <v>78</v>
      </c>
      <c r="B730">
        <v>669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t="shared" ca="1" si="11"/>
        <v>0.61027546066786154</v>
      </c>
      <c r="E730">
        <f ca="1">RANK(dict_zul_Var_Meth[[#This Row],[ignored_rand]],dict_zul_Var_Meth[ignored_rand])</f>
        <v>293</v>
      </c>
    </row>
    <row r="731" spans="1:5" x14ac:dyDescent="0.45">
      <c r="A731">
        <f ca="1">VLOOKUP(dict_zul_Var_Meth[[#This Row],[ignored_rank]],help_zuord_Var_Meth[],2)</f>
        <v>88</v>
      </c>
      <c r="B731">
        <v>670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t="shared" ca="1" si="11"/>
        <v>0.55625494429904565</v>
      </c>
      <c r="E731">
        <f ca="1">RANK(dict_zul_Var_Meth[[#This Row],[ignored_rand]],dict_zul_Var_Meth[ignored_rand])</f>
        <v>331</v>
      </c>
    </row>
    <row r="732" spans="1:5" x14ac:dyDescent="0.45">
      <c r="A732">
        <f ca="1">VLOOKUP(dict_zul_Var_Meth[[#This Row],[ignored_rank]],help_zuord_Var_Meth[],2)</f>
        <v>42</v>
      </c>
      <c r="B732">
        <v>671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t="shared" ca="1" si="11"/>
        <v>0.76138579383802674</v>
      </c>
      <c r="E732">
        <f ca="1">RANK(dict_zul_Var_Meth[[#This Row],[ignored_rand]],dict_zul_Var_Meth[ignored_rand])</f>
        <v>159</v>
      </c>
    </row>
    <row r="733" spans="1:5" x14ac:dyDescent="0.45">
      <c r="A733">
        <f ca="1">VLOOKUP(dict_zul_Var_Meth[[#This Row],[ignored_rank]],help_zuord_Var_Meth[],2)</f>
        <v>190</v>
      </c>
      <c r="B733">
        <v>672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t="shared" ca="1" si="11"/>
        <v>7.7260387328499491E-2</v>
      </c>
      <c r="E733">
        <f ca="1">RANK(dict_zul_Var_Meth[[#This Row],[ignored_rand]],dict_zul_Var_Meth[ignored_rand])</f>
        <v>711</v>
      </c>
    </row>
    <row r="734" spans="1:5" x14ac:dyDescent="0.45">
      <c r="A734">
        <f ca="1">VLOOKUP(dict_zul_Var_Meth[[#This Row],[ignored_rank]],help_zuord_Var_Meth[],2)</f>
        <v>67</v>
      </c>
      <c r="B734">
        <v>673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t="shared" ca="1" si="11"/>
        <v>0.65144956364449413</v>
      </c>
      <c r="E734">
        <f ca="1">RANK(dict_zul_Var_Meth[[#This Row],[ignored_rand]],dict_zul_Var_Meth[ignored_rand])</f>
        <v>255</v>
      </c>
    </row>
    <row r="735" spans="1:5" x14ac:dyDescent="0.45">
      <c r="A735">
        <f ca="1">VLOOKUP(dict_zul_Var_Meth[[#This Row],[ignored_rank]],help_zuord_Var_Meth[],2)</f>
        <v>133</v>
      </c>
      <c r="B735">
        <v>674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t="shared" ca="1" si="11"/>
        <v>0.36255358502810731</v>
      </c>
      <c r="E735">
        <f ca="1">RANK(dict_zul_Var_Meth[[#This Row],[ignored_rand]],dict_zul_Var_Meth[ignored_rand])</f>
        <v>499</v>
      </c>
    </row>
    <row r="736" spans="1:5" x14ac:dyDescent="0.45">
      <c r="A736">
        <f ca="1">VLOOKUP(dict_zul_Var_Meth[[#This Row],[ignored_rank]],help_zuord_Var_Meth[],2)</f>
        <v>110</v>
      </c>
      <c r="B736">
        <v>675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t="shared" ca="1" si="11"/>
        <v>0.45842419902702514</v>
      </c>
      <c r="E736">
        <f ca="1">RANK(dict_zul_Var_Meth[[#This Row],[ignored_rand]],dict_zul_Var_Meth[ignored_rand])</f>
        <v>414</v>
      </c>
    </row>
    <row r="737" spans="1:5" x14ac:dyDescent="0.45">
      <c r="A737">
        <f ca="1">VLOOKUP(dict_zul_Var_Meth[[#This Row],[ignored_rank]],help_zuord_Var_Meth[],2)</f>
        <v>153</v>
      </c>
      <c r="B737">
        <v>676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t="shared" ca="1" si="11"/>
        <v>0.24967883812396563</v>
      </c>
      <c r="E737">
        <f ca="1">RANK(dict_zul_Var_Meth[[#This Row],[ignored_rand]],dict_zul_Var_Meth[ignored_rand])</f>
        <v>575</v>
      </c>
    </row>
    <row r="738" spans="1:5" x14ac:dyDescent="0.45">
      <c r="A738">
        <f ca="1">VLOOKUP(dict_zul_Var_Meth[[#This Row],[ignored_rank]],help_zuord_Var_Meth[],2)</f>
        <v>158</v>
      </c>
      <c r="B738">
        <v>677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t="shared" ca="1" si="11"/>
        <v>0.23003194474652078</v>
      </c>
      <c r="E738">
        <f ca="1">RANK(dict_zul_Var_Meth[[#This Row],[ignored_rand]],dict_zul_Var_Meth[ignored_rand])</f>
        <v>595</v>
      </c>
    </row>
    <row r="739" spans="1:5" x14ac:dyDescent="0.45">
      <c r="A739">
        <f ca="1">VLOOKUP(dict_zul_Var_Meth[[#This Row],[ignored_rank]],help_zuord_Var_Meth[],2)</f>
        <v>18</v>
      </c>
      <c r="B739">
        <v>678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t="shared" ca="1" si="11"/>
        <v>0.88977141856632369</v>
      </c>
      <c r="E739">
        <f ca="1">RANK(dict_zul_Var_Meth[[#This Row],[ignored_rand]],dict_zul_Var_Meth[ignored_rand])</f>
        <v>68</v>
      </c>
    </row>
    <row r="740" spans="1:5" x14ac:dyDescent="0.45">
      <c r="A740">
        <f ca="1">VLOOKUP(dict_zul_Var_Meth[[#This Row],[ignored_rank]],help_zuord_Var_Meth[],2)</f>
        <v>155</v>
      </c>
      <c r="B740">
        <v>679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t="shared" ca="1" si="11"/>
        <v>0.24362500993500658</v>
      </c>
      <c r="E740">
        <f ca="1">RANK(dict_zul_Var_Meth[[#This Row],[ignored_rand]],dict_zul_Var_Meth[ignored_rand])</f>
        <v>583</v>
      </c>
    </row>
    <row r="741" spans="1:5" x14ac:dyDescent="0.45">
      <c r="A741">
        <f ca="1">VLOOKUP(dict_zul_Var_Meth[[#This Row],[ignored_rank]],help_zuord_Var_Meth[],2)</f>
        <v>160</v>
      </c>
      <c r="B741">
        <v>680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t="shared" ca="1" si="11"/>
        <v>0.2223067157358174</v>
      </c>
      <c r="E741">
        <f ca="1">RANK(dict_zul_Var_Meth[[#This Row],[ignored_rand]],dict_zul_Var_Meth[ignored_rand])</f>
        <v>598</v>
      </c>
    </row>
    <row r="742" spans="1:5" x14ac:dyDescent="0.45">
      <c r="A742">
        <f ca="1">VLOOKUP(dict_zul_Var_Meth[[#This Row],[ignored_rank]],help_zuord_Var_Meth[],2)</f>
        <v>82</v>
      </c>
      <c r="B742">
        <v>681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t="shared" ca="1" si="11"/>
        <v>0.58856630980166147</v>
      </c>
      <c r="E742">
        <f ca="1">RANK(dict_zul_Var_Meth[[#This Row],[ignored_rand]],dict_zul_Var_Meth[ignored_rand])</f>
        <v>308</v>
      </c>
    </row>
    <row r="743" spans="1:5" x14ac:dyDescent="0.45">
      <c r="A743">
        <f ca="1">VLOOKUP(dict_zul_Var_Meth[[#This Row],[ignored_rank]],help_zuord_Var_Meth[],2)</f>
        <v>25</v>
      </c>
      <c r="B743">
        <v>682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t="shared" ca="1" si="11"/>
        <v>0.8615253797200626</v>
      </c>
      <c r="E743">
        <f ca="1">RANK(dict_zul_Var_Meth[[#This Row],[ignored_rand]],dict_zul_Var_Meth[ignored_rand])</f>
        <v>95</v>
      </c>
    </row>
    <row r="744" spans="1:5" x14ac:dyDescent="0.45">
      <c r="A744">
        <f ca="1">VLOOKUP(dict_zul_Var_Meth[[#This Row],[ignored_rank]],help_zuord_Var_Meth[],2)</f>
        <v>51</v>
      </c>
      <c r="B744">
        <v>683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t="shared" ca="1" si="11"/>
        <v>0.72347408967678417</v>
      </c>
      <c r="E744">
        <f ca="1">RANK(dict_zul_Var_Meth[[#This Row],[ignored_rand]],dict_zul_Var_Meth[ignored_rand])</f>
        <v>194</v>
      </c>
    </row>
    <row r="745" spans="1:5" x14ac:dyDescent="0.45">
      <c r="A745">
        <f ca="1">VLOOKUP(dict_zul_Var_Meth[[#This Row],[ignored_rank]],help_zuord_Var_Meth[],2)</f>
        <v>20</v>
      </c>
      <c r="B745">
        <v>684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t="shared" ca="1" si="11"/>
        <v>0.88157998813126826</v>
      </c>
      <c r="E745">
        <f ca="1">RANK(dict_zul_Var_Meth[[#This Row],[ignored_rand]],dict_zul_Var_Meth[ignored_rand])</f>
        <v>76</v>
      </c>
    </row>
    <row r="746" spans="1:5" x14ac:dyDescent="0.45">
      <c r="A746">
        <f ca="1">VLOOKUP(dict_zul_Var_Meth[[#This Row],[ignored_rank]],help_zuord_Var_Meth[],2)</f>
        <v>200</v>
      </c>
      <c r="B746">
        <v>685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t="shared" ca="1" si="11"/>
        <v>1.059916147669826E-2</v>
      </c>
      <c r="E746">
        <f ca="1">RANK(dict_zul_Var_Meth[[#This Row],[ignored_rand]],dict_zul_Var_Meth[ignored_rand])</f>
        <v>754</v>
      </c>
    </row>
    <row r="747" spans="1:5" x14ac:dyDescent="0.45">
      <c r="A747">
        <f ca="1">VLOOKUP(dict_zul_Var_Meth[[#This Row],[ignored_rank]],help_zuord_Var_Meth[],2)</f>
        <v>178</v>
      </c>
      <c r="B747">
        <v>686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t="shared" ca="1" si="11"/>
        <v>0.13283421971436715</v>
      </c>
      <c r="E747">
        <f ca="1">RANK(dict_zul_Var_Meth[[#This Row],[ignored_rand]],dict_zul_Var_Meth[ignored_rand])</f>
        <v>667</v>
      </c>
    </row>
    <row r="748" spans="1:5" x14ac:dyDescent="0.45">
      <c r="A748">
        <f ca="1">VLOOKUP(dict_zul_Var_Meth[[#This Row],[ignored_rank]],help_zuord_Var_Meth[],2)</f>
        <v>18</v>
      </c>
      <c r="B748">
        <v>687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t="shared" ca="1" si="11"/>
        <v>0.88624387448262942</v>
      </c>
      <c r="E748">
        <f ca="1">RANK(dict_zul_Var_Meth[[#This Row],[ignored_rand]],dict_zul_Var_Meth[ignored_rand])</f>
        <v>71</v>
      </c>
    </row>
    <row r="749" spans="1:5" x14ac:dyDescent="0.45">
      <c r="A749">
        <f ca="1">VLOOKUP(dict_zul_Var_Meth[[#This Row],[ignored_rank]],help_zuord_Var_Meth[],2)</f>
        <v>103</v>
      </c>
      <c r="B749">
        <v>688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t="shared" ca="1" si="11"/>
        <v>0.49421682776503406</v>
      </c>
      <c r="E749">
        <f ca="1">RANK(dict_zul_Var_Meth[[#This Row],[ignored_rand]],dict_zul_Var_Meth[ignored_rand])</f>
        <v>388</v>
      </c>
    </row>
    <row r="750" spans="1:5" x14ac:dyDescent="0.45">
      <c r="A750">
        <f ca="1">VLOOKUP(dict_zul_Var_Meth[[#This Row],[ignored_rank]],help_zuord_Var_Meth[],2)</f>
        <v>152</v>
      </c>
      <c r="B750">
        <v>689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t="shared" ca="1" si="11"/>
        <v>0.2539444762346994</v>
      </c>
      <c r="E750">
        <f ca="1">RANK(dict_zul_Var_Meth[[#This Row],[ignored_rand]],dict_zul_Var_Meth[ignored_rand])</f>
        <v>571</v>
      </c>
    </row>
    <row r="751" spans="1:5" x14ac:dyDescent="0.45">
      <c r="A751">
        <f ca="1">VLOOKUP(dict_zul_Var_Meth[[#This Row],[ignored_rank]],help_zuord_Var_Meth[],2)</f>
        <v>85</v>
      </c>
      <c r="B751">
        <v>690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t="shared" ca="1" si="11"/>
        <v>0.56933382050545767</v>
      </c>
      <c r="E751">
        <f ca="1">RANK(dict_zul_Var_Meth[[#This Row],[ignored_rand]],dict_zul_Var_Meth[ignored_rand])</f>
        <v>320</v>
      </c>
    </row>
    <row r="752" spans="1:5" x14ac:dyDescent="0.45">
      <c r="A752">
        <f ca="1">VLOOKUP(dict_zul_Var_Meth[[#This Row],[ignored_rank]],help_zuord_Var_Meth[],2)</f>
        <v>131</v>
      </c>
      <c r="B752">
        <v>691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t="shared" ca="1" si="11"/>
        <v>0.37215200663740389</v>
      </c>
      <c r="E752">
        <f ca="1">RANK(dict_zul_Var_Meth[[#This Row],[ignored_rand]],dict_zul_Var_Meth[ignored_rand])</f>
        <v>491</v>
      </c>
    </row>
    <row r="753" spans="1:5" x14ac:dyDescent="0.45">
      <c r="A753">
        <f ca="1">VLOOKUP(dict_zul_Var_Meth[[#This Row],[ignored_rank]],help_zuord_Var_Meth[],2)</f>
        <v>191</v>
      </c>
      <c r="B753">
        <v>692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t="shared" ca="1" si="11"/>
        <v>7.3066756220360629E-2</v>
      </c>
      <c r="E753">
        <f ca="1">RANK(dict_zul_Var_Meth[[#This Row],[ignored_rand]],dict_zul_Var_Meth[ignored_rand])</f>
        <v>715</v>
      </c>
    </row>
    <row r="754" spans="1:5" x14ac:dyDescent="0.45">
      <c r="A754">
        <f ca="1">VLOOKUP(dict_zul_Var_Meth[[#This Row],[ignored_rank]],help_zuord_Var_Meth[],2)</f>
        <v>136</v>
      </c>
      <c r="B754">
        <v>693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t="shared" ca="1" si="11"/>
        <v>0.34760300224621554</v>
      </c>
      <c r="E754">
        <f ca="1">RANK(dict_zul_Var_Meth[[#This Row],[ignored_rand]],dict_zul_Var_Meth[ignored_rand])</f>
        <v>509</v>
      </c>
    </row>
    <row r="755" spans="1:5" x14ac:dyDescent="0.45">
      <c r="A755">
        <f ca="1">VLOOKUP(dict_zul_Var_Meth[[#This Row],[ignored_rank]],help_zuord_Var_Meth[],2)</f>
        <v>34</v>
      </c>
      <c r="B755">
        <v>694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t="shared" ca="1" si="11"/>
        <v>0.80986242383172913</v>
      </c>
      <c r="E755">
        <f ca="1">RANK(dict_zul_Var_Meth[[#This Row],[ignored_rand]],dict_zul_Var_Meth[ignored_rand])</f>
        <v>128</v>
      </c>
    </row>
    <row r="756" spans="1:5" x14ac:dyDescent="0.45">
      <c r="A756">
        <f ca="1">VLOOKUP(dict_zul_Var_Meth[[#This Row],[ignored_rank]],help_zuord_Var_Meth[],2)</f>
        <v>197</v>
      </c>
      <c r="B756">
        <v>695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t="shared" ca="1" si="11"/>
        <v>3.9531915803660778E-2</v>
      </c>
      <c r="E756">
        <f ca="1">RANK(dict_zul_Var_Meth[[#This Row],[ignored_rand]],dict_zul_Var_Meth[ignored_rand])</f>
        <v>739</v>
      </c>
    </row>
    <row r="757" spans="1:5" x14ac:dyDescent="0.45">
      <c r="A757">
        <f ca="1">VLOOKUP(dict_zul_Var_Meth[[#This Row],[ignored_rank]],help_zuord_Var_Meth[],2)</f>
        <v>2</v>
      </c>
      <c r="B757">
        <v>696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7">
        <f t="shared" ca="1" si="11"/>
        <v>0.98160142607033463</v>
      </c>
      <c r="E757">
        <f ca="1">RANK(dict_zul_Var_Meth[[#This Row],[ignored_rand]],dict_zul_Var_Meth[ignored_rand])</f>
        <v>11</v>
      </c>
    </row>
    <row r="758" spans="1:5" x14ac:dyDescent="0.45">
      <c r="A758">
        <f ca="1">VLOOKUP(dict_zul_Var_Meth[[#This Row],[ignored_rank]],help_zuord_Var_Meth[],2)</f>
        <v>129</v>
      </c>
      <c r="B758">
        <v>697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t="shared" ca="1" si="11"/>
        <v>0.38391490066873013</v>
      </c>
      <c r="E758">
        <f ca="1">RANK(dict_zul_Var_Meth[[#This Row],[ignored_rand]],dict_zul_Var_Meth[ignored_rand])</f>
        <v>483</v>
      </c>
    </row>
    <row r="759" spans="1:5" x14ac:dyDescent="0.45">
      <c r="A759">
        <f ca="1">VLOOKUP(dict_zul_Var_Meth[[#This Row],[ignored_rank]],help_zuord_Var_Meth[],2)</f>
        <v>39</v>
      </c>
      <c r="B759">
        <v>698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t="shared" ca="1" si="11"/>
        <v>0.77400706347781811</v>
      </c>
      <c r="E759">
        <f ca="1">RANK(dict_zul_Var_Meth[[#This Row],[ignored_rand]],dict_zul_Var_Meth[ignored_rand])</f>
        <v>149</v>
      </c>
    </row>
    <row r="760" spans="1:5" x14ac:dyDescent="0.45">
      <c r="A760">
        <f ca="1">VLOOKUP(dict_zul_Var_Meth[[#This Row],[ignored_rank]],help_zuord_Var_Meth[],2)</f>
        <v>102</v>
      </c>
      <c r="B760">
        <v>699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t="shared" ca="1" si="11"/>
        <v>0.50667370910671405</v>
      </c>
      <c r="E760">
        <f ca="1">RANK(dict_zul_Var_Meth[[#This Row],[ignored_rand]],dict_zul_Var_Meth[ignored_rand])</f>
        <v>382</v>
      </c>
    </row>
    <row r="761" spans="1:5" x14ac:dyDescent="0.45">
      <c r="A761">
        <f ca="1">VLOOKUP(dict_zul_Var_Meth[[#This Row],[ignored_rank]],help_zuord_Var_Meth[],2)</f>
        <v>165</v>
      </c>
      <c r="B761">
        <v>700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t="shared" ca="1" si="11"/>
        <v>0.19762413027452219</v>
      </c>
      <c r="E761">
        <f ca="1">RANK(dict_zul_Var_Meth[[#This Row],[ignored_rand]],dict_zul_Var_Meth[ignored_rand])</f>
        <v>618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3"/>
  <sheetViews>
    <sheetView workbookViewId="0">
      <selection activeCell="B15" sqref="B15"/>
    </sheetView>
    <sheetView workbookViewId="1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0"/>
  <sheetViews>
    <sheetView workbookViewId="0">
      <selection activeCell="C2" sqref="C2"/>
    </sheetView>
    <sheetView topLeftCell="A211" workbookViewId="1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350</v>
      </c>
    </row>
    <row r="2" spans="1:5" x14ac:dyDescent="0.45">
      <c r="A2">
        <f t="shared" ref="A2:A65" ca="1" si="0">RANDBETWEEN(0,700)</f>
        <v>348</v>
      </c>
      <c r="B2">
        <f t="shared" ref="B2:B65" ca="1" si="1">RANDBETWEEN(0,30)</f>
        <v>28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26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633</v>
      </c>
      <c r="B3">
        <f t="shared" ca="1" si="1"/>
        <v>27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14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297</v>
      </c>
      <c r="B4">
        <f t="shared" ca="1" si="1"/>
        <v>20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29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482</v>
      </c>
      <c r="B5">
        <f t="shared" ca="1" si="1"/>
        <v>28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20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358</v>
      </c>
      <c r="B6">
        <f t="shared" ca="1" si="1"/>
        <v>21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">
        <f t="shared" ca="1" si="2"/>
        <v>20</v>
      </c>
      <c r="E6" t="str">
        <f ca="1">IF(dict_zuord_Meth_Per[[#This Row],[kval_active]],dict_zuord_Meth_Per[[#This Row],[ID_Persons]],"")</f>
        <v/>
      </c>
    </row>
    <row r="7" spans="1:5" x14ac:dyDescent="0.45">
      <c r="A7">
        <f t="shared" ca="1" si="0"/>
        <v>451</v>
      </c>
      <c r="B7">
        <f t="shared" ca="1" si="1"/>
        <v>13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t="shared" ca="1" si="2"/>
        <v>29</v>
      </c>
      <c r="E7" t="str">
        <f ca="1">IF(dict_zuord_Meth_Per[[#This Row],[kval_active]],dict_zuord_Meth_Per[[#This Row],[ID_Persons]],"")</f>
        <v/>
      </c>
    </row>
    <row r="8" spans="1:5" x14ac:dyDescent="0.45">
      <c r="A8">
        <f t="shared" ca="1" si="0"/>
        <v>457</v>
      </c>
      <c r="B8">
        <f t="shared" ca="1" si="1"/>
        <v>21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8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163</v>
      </c>
      <c r="B9">
        <f t="shared" ca="1" si="1"/>
        <v>9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t="shared" ca="1" si="2"/>
        <v>28</v>
      </c>
      <c r="E9" t="str">
        <f ca="1">IF(dict_zuord_Meth_Per[[#This Row],[kval_active]],dict_zuord_Meth_Per[[#This Row],[ID_Persons]],"")</f>
        <v/>
      </c>
    </row>
    <row r="10" spans="1:5" x14ac:dyDescent="0.45">
      <c r="A10">
        <f t="shared" ca="1" si="0"/>
        <v>29</v>
      </c>
      <c r="B10">
        <f t="shared" ca="1" si="1"/>
        <v>6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t="shared" ca="1" si="2"/>
        <v>11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t="shared" ca="1" si="0"/>
        <v>577</v>
      </c>
      <c r="B11">
        <f t="shared" ca="1" si="1"/>
        <v>10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26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269</v>
      </c>
      <c r="B12">
        <f t="shared" ca="1" si="1"/>
        <v>9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7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527</v>
      </c>
      <c r="B13">
        <f t="shared" ca="1" si="1"/>
        <v>22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4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497</v>
      </c>
      <c r="B14">
        <f t="shared" ca="1" si="1"/>
        <v>0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t="shared" ca="1" si="2"/>
        <v>29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t="shared" ca="1" si="0"/>
        <v>408</v>
      </c>
      <c r="B15">
        <f t="shared" ca="1" si="1"/>
        <v>11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t="shared" ca="1" si="2"/>
        <v>6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t="shared" ca="1" si="0"/>
        <v>279</v>
      </c>
      <c r="B16">
        <f t="shared" ca="1" si="1"/>
        <v>19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4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55</v>
      </c>
      <c r="B17">
        <f t="shared" ca="1" si="1"/>
        <v>17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10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582</v>
      </c>
      <c r="B18">
        <f t="shared" ca="1" si="1"/>
        <v>13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0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338</v>
      </c>
      <c r="B19">
        <f t="shared" ca="1" si="1"/>
        <v>25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5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575</v>
      </c>
      <c r="B20">
        <f t="shared" ca="1" si="1"/>
        <v>13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3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116</v>
      </c>
      <c r="B21">
        <f t="shared" ca="1" si="1"/>
        <v>12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18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275</v>
      </c>
      <c r="B22">
        <f t="shared" ca="1" si="1"/>
        <v>3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16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82</v>
      </c>
      <c r="B23">
        <f t="shared" ca="1" si="1"/>
        <v>6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22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58</v>
      </c>
      <c r="B24">
        <f t="shared" ca="1" si="1"/>
        <v>13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t="shared" ca="1" si="2"/>
        <v>19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t="shared" ca="1" si="0"/>
        <v>364</v>
      </c>
      <c r="B25">
        <f t="shared" ca="1" si="1"/>
        <v>15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14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25</v>
      </c>
      <c r="B26">
        <f t="shared" ca="1" si="1"/>
        <v>24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">
        <f t="shared" ca="1" si="2"/>
        <v>14</v>
      </c>
      <c r="E26" t="str">
        <f ca="1">IF(dict_zuord_Meth_Per[[#This Row],[kval_active]],dict_zuord_Meth_Per[[#This Row],[ID_Persons]],"")</f>
        <v/>
      </c>
    </row>
    <row r="27" spans="1:5" x14ac:dyDescent="0.45">
      <c r="A27">
        <f t="shared" ca="1" si="0"/>
        <v>48</v>
      </c>
      <c r="B27">
        <f t="shared" ca="1" si="1"/>
        <v>8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">
        <f t="shared" ca="1" si="2"/>
        <v>19</v>
      </c>
      <c r="E27" t="str">
        <f ca="1">IF(dict_zuord_Meth_Per[[#This Row],[kval_active]],dict_zuord_Meth_Per[[#This Row],[ID_Persons]],"")</f>
        <v/>
      </c>
    </row>
    <row r="28" spans="1:5" x14ac:dyDescent="0.45">
      <c r="A28">
        <f t="shared" ca="1" si="0"/>
        <v>71</v>
      </c>
      <c r="B28">
        <f t="shared" ca="1" si="1"/>
        <v>19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t="shared" ca="1" si="2"/>
        <v>9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t="shared" ca="1" si="0"/>
        <v>625</v>
      </c>
      <c r="B29">
        <f t="shared" ca="1" si="1"/>
        <v>10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0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125</v>
      </c>
      <c r="B30">
        <f t="shared" ca="1" si="1"/>
        <v>11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t="shared" ca="1" si="2"/>
        <v>17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t="shared" ca="1" si="0"/>
        <v>245</v>
      </c>
      <c r="B31">
        <f t="shared" ca="1" si="1"/>
        <v>5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6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348</v>
      </c>
      <c r="B32">
        <f t="shared" ca="1" si="1"/>
        <v>16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17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405</v>
      </c>
      <c r="B33">
        <f t="shared" ca="1" si="1"/>
        <v>26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t="shared" ca="1" si="2"/>
        <v>1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t="shared" ca="1" si="0"/>
        <v>451</v>
      </c>
      <c r="B34">
        <f t="shared" ca="1" si="1"/>
        <v>19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t="shared" ca="1" si="2"/>
        <v>4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t="shared" ca="1" si="0"/>
        <v>29</v>
      </c>
      <c r="B35">
        <f t="shared" ca="1" si="1"/>
        <v>30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1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160</v>
      </c>
      <c r="B36">
        <f t="shared" ca="1" si="1"/>
        <v>27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">
        <f t="shared" ca="1" si="2"/>
        <v>24</v>
      </c>
      <c r="E36" t="str">
        <f ca="1">IF(dict_zuord_Meth_Per[[#This Row],[kval_active]],dict_zuord_Meth_Per[[#This Row],[ID_Persons]],"")</f>
        <v/>
      </c>
    </row>
    <row r="37" spans="1:5" x14ac:dyDescent="0.45">
      <c r="A37">
        <f t="shared" ca="1" si="0"/>
        <v>346</v>
      </c>
      <c r="B37">
        <f t="shared" ca="1" si="1"/>
        <v>27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23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532</v>
      </c>
      <c r="B38">
        <f t="shared" ca="1" si="1"/>
        <v>13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18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285</v>
      </c>
      <c r="B39">
        <f t="shared" ca="1" si="1"/>
        <v>30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9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621</v>
      </c>
      <c r="B40">
        <f t="shared" ca="1" si="1"/>
        <v>1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29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304</v>
      </c>
      <c r="B41">
        <f t="shared" ca="1" si="1"/>
        <v>22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t="shared" ca="1" si="2"/>
        <v>27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t="shared" ca="1" si="0"/>
        <v>439</v>
      </c>
      <c r="B42">
        <f t="shared" ca="1" si="1"/>
        <v>26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5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611</v>
      </c>
      <c r="B43">
        <f t="shared" ca="1" si="1"/>
        <v>22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27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677</v>
      </c>
      <c r="B44">
        <f t="shared" ca="1" si="1"/>
        <v>1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25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470</v>
      </c>
      <c r="B45">
        <f t="shared" ca="1" si="1"/>
        <v>22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13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474</v>
      </c>
      <c r="B46">
        <f t="shared" ca="1" si="1"/>
        <v>19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8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135</v>
      </c>
      <c r="B47">
        <f t="shared" ca="1" si="1"/>
        <v>17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3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252</v>
      </c>
      <c r="B48">
        <f t="shared" ca="1" si="1"/>
        <v>18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">
        <f t="shared" ca="1" si="2"/>
        <v>7</v>
      </c>
      <c r="E48">
        <f ca="1">IF(dict_zuord_Meth_Per[[#This Row],[kval_active]],dict_zuord_Meth_Per[[#This Row],[ID_Persons]],"")</f>
        <v>18</v>
      </c>
    </row>
    <row r="49" spans="1:5" x14ac:dyDescent="0.45">
      <c r="A49">
        <f t="shared" ca="1" si="0"/>
        <v>460</v>
      </c>
      <c r="B49">
        <f t="shared" ca="1" si="1"/>
        <v>4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12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288</v>
      </c>
      <c r="B50">
        <f t="shared" ca="1" si="1"/>
        <v>20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2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432</v>
      </c>
      <c r="B51">
        <f t="shared" ca="1" si="1"/>
        <v>25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5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241</v>
      </c>
      <c r="B52">
        <f t="shared" ca="1" si="1"/>
        <v>29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15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63</v>
      </c>
      <c r="B53">
        <f t="shared" ca="1" si="1"/>
        <v>29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7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517</v>
      </c>
      <c r="B54">
        <f t="shared" ca="1" si="1"/>
        <v>14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20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35</v>
      </c>
      <c r="B55">
        <f t="shared" ca="1" si="1"/>
        <v>25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6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364</v>
      </c>
      <c r="B56">
        <f t="shared" ca="1" si="1"/>
        <v>16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16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148</v>
      </c>
      <c r="B57">
        <f t="shared" ca="1" si="1"/>
        <v>16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20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436</v>
      </c>
      <c r="B58">
        <f t="shared" ca="1" si="1"/>
        <v>10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16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584</v>
      </c>
      <c r="B59">
        <f t="shared" ca="1" si="1"/>
        <v>19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3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145</v>
      </c>
      <c r="B60">
        <f t="shared" ca="1" si="1"/>
        <v>30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29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383</v>
      </c>
      <c r="B61">
        <f t="shared" ca="1" si="1"/>
        <v>19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1">
        <f t="shared" ca="1" si="2"/>
        <v>22</v>
      </c>
      <c r="E61" t="str">
        <f ca="1">IF(dict_zuord_Meth_Per[[#This Row],[kval_active]],dict_zuord_Meth_Per[[#This Row],[ID_Persons]],"")</f>
        <v/>
      </c>
    </row>
    <row r="62" spans="1:5" x14ac:dyDescent="0.45">
      <c r="A62">
        <f t="shared" ca="1" si="0"/>
        <v>457</v>
      </c>
      <c r="B62">
        <f t="shared" ca="1" si="1"/>
        <v>9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11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136</v>
      </c>
      <c r="B63">
        <f t="shared" ca="1" si="1"/>
        <v>6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28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644</v>
      </c>
      <c r="B64">
        <f t="shared" ca="1" si="1"/>
        <v>29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11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444</v>
      </c>
      <c r="B65">
        <f t="shared" ca="1" si="1"/>
        <v>27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6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691</v>
      </c>
      <c r="B66">
        <f t="shared" ref="B66:B129" ca="1" si="4">RANDBETWEEN(0,30)</f>
        <v>30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28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543</v>
      </c>
      <c r="B67">
        <f t="shared" ca="1" si="4"/>
        <v>9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24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160</v>
      </c>
      <c r="B68">
        <f t="shared" ca="1" si="4"/>
        <v>15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26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635</v>
      </c>
      <c r="B69">
        <f t="shared" ca="1" si="4"/>
        <v>15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9">
        <f t="shared" ca="1" si="5"/>
        <v>27</v>
      </c>
      <c r="E69" t="str">
        <f ca="1">IF(dict_zuord_Meth_Per[[#This Row],[kval_active]],dict_zuord_Meth_Per[[#This Row],[ID_Persons]],"")</f>
        <v/>
      </c>
    </row>
    <row r="70" spans="1:5" x14ac:dyDescent="0.45">
      <c r="A70">
        <f t="shared" ca="1" si="3"/>
        <v>296</v>
      </c>
      <c r="B70">
        <f t="shared" ca="1" si="4"/>
        <v>19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24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674</v>
      </c>
      <c r="B71">
        <f t="shared" ca="1" si="4"/>
        <v>8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4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76</v>
      </c>
      <c r="B72">
        <f t="shared" ca="1" si="4"/>
        <v>11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1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460</v>
      </c>
      <c r="B73">
        <f t="shared" ca="1" si="4"/>
        <v>13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15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495</v>
      </c>
      <c r="B74">
        <f t="shared" ca="1" si="4"/>
        <v>21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t="shared" ca="1" si="5"/>
        <v>7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t="shared" ca="1" si="3"/>
        <v>679</v>
      </c>
      <c r="B75">
        <f t="shared" ca="1" si="4"/>
        <v>9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2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182</v>
      </c>
      <c r="B76">
        <f t="shared" ca="1" si="4"/>
        <v>18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24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167</v>
      </c>
      <c r="B77">
        <f t="shared" ca="1" si="4"/>
        <v>12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26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94</v>
      </c>
      <c r="B78">
        <f t="shared" ca="1" si="4"/>
        <v>21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t="shared" ca="1" si="5"/>
        <v>17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t="shared" ca="1" si="3"/>
        <v>597</v>
      </c>
      <c r="B79">
        <f t="shared" ca="1" si="4"/>
        <v>27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22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207</v>
      </c>
      <c r="B80">
        <f t="shared" ca="1" si="4"/>
        <v>13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26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20</v>
      </c>
      <c r="B81">
        <f t="shared" ca="1" si="4"/>
        <v>23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14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676</v>
      </c>
      <c r="B82">
        <f t="shared" ca="1" si="4"/>
        <v>6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9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74</v>
      </c>
      <c r="B83">
        <f t="shared" ca="1" si="4"/>
        <v>23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29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411</v>
      </c>
      <c r="B84">
        <f t="shared" ca="1" si="4"/>
        <v>22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t="shared" ca="1" si="5"/>
        <v>15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t="shared" ca="1" si="3"/>
        <v>73</v>
      </c>
      <c r="B85">
        <f t="shared" ca="1" si="4"/>
        <v>8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22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167</v>
      </c>
      <c r="B86">
        <f t="shared" ca="1" si="4"/>
        <v>5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30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614</v>
      </c>
      <c r="B87">
        <f t="shared" ca="1" si="4"/>
        <v>5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26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414</v>
      </c>
      <c r="B88">
        <f t="shared" ca="1" si="4"/>
        <v>27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27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282</v>
      </c>
      <c r="B89">
        <f t="shared" ca="1" si="4"/>
        <v>0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15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684</v>
      </c>
      <c r="B90">
        <f t="shared" ca="1" si="4"/>
        <v>21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23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282</v>
      </c>
      <c r="B91">
        <f t="shared" ca="1" si="4"/>
        <v>17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10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668</v>
      </c>
      <c r="B92">
        <f t="shared" ca="1" si="4"/>
        <v>0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13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697</v>
      </c>
      <c r="B93">
        <f t="shared" ca="1" si="4"/>
        <v>4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29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360</v>
      </c>
      <c r="B94">
        <f t="shared" ca="1" si="4"/>
        <v>3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29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100</v>
      </c>
      <c r="B95">
        <f t="shared" ca="1" si="4"/>
        <v>11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1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674</v>
      </c>
      <c r="B96">
        <f t="shared" ca="1" si="4"/>
        <v>6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0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527</v>
      </c>
      <c r="B97">
        <f t="shared" ca="1" si="4"/>
        <v>11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5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356</v>
      </c>
      <c r="B98">
        <f t="shared" ca="1" si="4"/>
        <v>14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19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377</v>
      </c>
      <c r="B99">
        <f t="shared" ca="1" si="4"/>
        <v>5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3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573</v>
      </c>
      <c r="B100">
        <f t="shared" ca="1" si="4"/>
        <v>28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23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511</v>
      </c>
      <c r="B101">
        <f t="shared" ca="1" si="4"/>
        <v>20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t="shared" ca="1" si="5"/>
        <v>2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t="shared" ca="1" si="3"/>
        <v>520</v>
      </c>
      <c r="B102">
        <f t="shared" ca="1" si="4"/>
        <v>10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11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521</v>
      </c>
      <c r="B103">
        <f t="shared" ca="1" si="4"/>
        <v>20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23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500</v>
      </c>
      <c r="B104">
        <f t="shared" ca="1" si="4"/>
        <v>11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4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690</v>
      </c>
      <c r="B105">
        <f t="shared" ca="1" si="4"/>
        <v>22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t="shared" ca="1" si="5"/>
        <v>21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t="shared" ca="1" si="3"/>
        <v>183</v>
      </c>
      <c r="B106">
        <f t="shared" ca="1" si="4"/>
        <v>19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17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100</v>
      </c>
      <c r="B107">
        <f t="shared" ca="1" si="4"/>
        <v>20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8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101</v>
      </c>
      <c r="B108">
        <f t="shared" ca="1" si="4"/>
        <v>15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t="shared" ca="1" si="5"/>
        <v>1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t="shared" ca="1" si="3"/>
        <v>461</v>
      </c>
      <c r="B109">
        <f t="shared" ca="1" si="4"/>
        <v>9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16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357</v>
      </c>
      <c r="B110">
        <f t="shared" ca="1" si="4"/>
        <v>5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13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665</v>
      </c>
      <c r="B111">
        <f t="shared" ca="1" si="4"/>
        <v>17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15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22</v>
      </c>
      <c r="B112">
        <f t="shared" ca="1" si="4"/>
        <v>7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2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509</v>
      </c>
      <c r="B113">
        <f t="shared" ca="1" si="4"/>
        <v>5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25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511</v>
      </c>
      <c r="B114">
        <f t="shared" ca="1" si="4"/>
        <v>19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15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316</v>
      </c>
      <c r="B115">
        <f t="shared" ca="1" si="4"/>
        <v>11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1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209</v>
      </c>
      <c r="B116">
        <f t="shared" ca="1" si="4"/>
        <v>4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25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153</v>
      </c>
      <c r="B117">
        <f t="shared" ca="1" si="4"/>
        <v>1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13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643</v>
      </c>
      <c r="B118">
        <f t="shared" ca="1" si="4"/>
        <v>13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14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215</v>
      </c>
      <c r="B119">
        <f t="shared" ca="1" si="4"/>
        <v>14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21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254</v>
      </c>
      <c r="B120">
        <f t="shared" ca="1" si="4"/>
        <v>25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25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520</v>
      </c>
      <c r="B121">
        <f t="shared" ca="1" si="4"/>
        <v>19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6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614</v>
      </c>
      <c r="B122">
        <f t="shared" ca="1" si="4"/>
        <v>30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0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452</v>
      </c>
      <c r="B123">
        <f t="shared" ca="1" si="4"/>
        <v>21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t="shared" ca="1" si="5"/>
        <v>0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t="shared" ca="1" si="3"/>
        <v>19</v>
      </c>
      <c r="B124">
        <f t="shared" ca="1" si="4"/>
        <v>15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10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471</v>
      </c>
      <c r="B125">
        <f t="shared" ca="1" si="4"/>
        <v>15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24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507</v>
      </c>
      <c r="B126">
        <f t="shared" ca="1" si="4"/>
        <v>15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9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131</v>
      </c>
      <c r="B127">
        <f t="shared" ca="1" si="4"/>
        <v>3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22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12</v>
      </c>
      <c r="B128">
        <f t="shared" ca="1" si="4"/>
        <v>14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23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231</v>
      </c>
      <c r="B129">
        <f t="shared" ca="1" si="4"/>
        <v>30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t="shared" ca="1" si="5"/>
        <v>12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t="shared" ref="A130:A193" ca="1" si="6">RANDBETWEEN(0,700)</f>
        <v>325</v>
      </c>
      <c r="B130">
        <f t="shared" ref="B130:B193" ca="1" si="7">RANDBETWEEN(0,30)</f>
        <v>0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17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652</v>
      </c>
      <c r="B131">
        <f t="shared" ca="1" si="7"/>
        <v>21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26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378</v>
      </c>
      <c r="B132">
        <f t="shared" ca="1" si="7"/>
        <v>12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29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370</v>
      </c>
      <c r="B133">
        <f t="shared" ca="1" si="7"/>
        <v>22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t="shared" ca="1" si="8"/>
        <v>12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t="shared" ca="1" si="6"/>
        <v>540</v>
      </c>
      <c r="B134">
        <f t="shared" ca="1" si="7"/>
        <v>6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23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234</v>
      </c>
      <c r="B135">
        <f t="shared" ca="1" si="7"/>
        <v>24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1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127</v>
      </c>
      <c r="B136">
        <f t="shared" ca="1" si="7"/>
        <v>11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12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70</v>
      </c>
      <c r="B137">
        <f t="shared" ca="1" si="7"/>
        <v>19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10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300</v>
      </c>
      <c r="B138">
        <f t="shared" ca="1" si="7"/>
        <v>18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8">
        <f t="shared" ca="1" si="8"/>
        <v>18</v>
      </c>
      <c r="E138">
        <f ca="1">IF(dict_zuord_Meth_Per[[#This Row],[kval_active]],dict_zuord_Meth_Per[[#This Row],[ID_Persons]],"")</f>
        <v>18</v>
      </c>
    </row>
    <row r="139" spans="1:5" x14ac:dyDescent="0.45">
      <c r="A139">
        <f t="shared" ca="1" si="6"/>
        <v>577</v>
      </c>
      <c r="B139">
        <f t="shared" ca="1" si="7"/>
        <v>3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24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197</v>
      </c>
      <c r="B140">
        <f t="shared" ca="1" si="7"/>
        <v>13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t="shared" ca="1" si="8"/>
        <v>21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t="shared" ca="1" si="6"/>
        <v>684</v>
      </c>
      <c r="B141">
        <f t="shared" ca="1" si="7"/>
        <v>1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21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521</v>
      </c>
      <c r="B142">
        <f t="shared" ca="1" si="7"/>
        <v>2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27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579</v>
      </c>
      <c r="B143">
        <f t="shared" ca="1" si="7"/>
        <v>5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2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1</v>
      </c>
      <c r="B144">
        <f t="shared" ca="1" si="7"/>
        <v>1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23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59</v>
      </c>
      <c r="B145">
        <f t="shared" ca="1" si="7"/>
        <v>16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6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545</v>
      </c>
      <c r="B146">
        <f t="shared" ca="1" si="7"/>
        <v>26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30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548</v>
      </c>
      <c r="B147">
        <f t="shared" ca="1" si="7"/>
        <v>18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11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4</v>
      </c>
      <c r="B148">
        <f t="shared" ca="1" si="7"/>
        <v>16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9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365</v>
      </c>
      <c r="B149">
        <f t="shared" ca="1" si="7"/>
        <v>8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17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91</v>
      </c>
      <c r="B150">
        <f t="shared" ca="1" si="7"/>
        <v>28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18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271</v>
      </c>
      <c r="B151">
        <f t="shared" ca="1" si="7"/>
        <v>21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t="shared" ca="1" si="8"/>
        <v>22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t="shared" ca="1" si="6"/>
        <v>263</v>
      </c>
      <c r="B152">
        <f t="shared" ca="1" si="7"/>
        <v>18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17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209</v>
      </c>
      <c r="B153">
        <f t="shared" ca="1" si="7"/>
        <v>26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3">
        <f t="shared" ca="1" si="8"/>
        <v>27</v>
      </c>
      <c r="E153" t="str">
        <f ca="1">IF(dict_zuord_Meth_Per[[#This Row],[kval_active]],dict_zuord_Meth_Per[[#This Row],[ID_Persons]],"")</f>
        <v/>
      </c>
    </row>
    <row r="154" spans="1:5" x14ac:dyDescent="0.45">
      <c r="A154">
        <f t="shared" ca="1" si="6"/>
        <v>642</v>
      </c>
      <c r="B154">
        <f t="shared" ca="1" si="7"/>
        <v>4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t="shared" ca="1" si="8"/>
        <v>3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t="shared" ca="1" si="6"/>
        <v>543</v>
      </c>
      <c r="B155">
        <f t="shared" ca="1" si="7"/>
        <v>19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t="shared" ca="1" si="8"/>
        <v>15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t="shared" ca="1" si="6"/>
        <v>488</v>
      </c>
      <c r="B156">
        <f t="shared" ca="1" si="7"/>
        <v>5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28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639</v>
      </c>
      <c r="B157">
        <f t="shared" ca="1" si="7"/>
        <v>25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7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662</v>
      </c>
      <c r="B158">
        <f t="shared" ca="1" si="7"/>
        <v>15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8">
        <f t="shared" ca="1" si="8"/>
        <v>22</v>
      </c>
      <c r="E158">
        <f ca="1">IF(dict_zuord_Meth_Per[[#This Row],[kval_active]],dict_zuord_Meth_Per[[#This Row],[ID_Persons]],"")</f>
        <v>15</v>
      </c>
    </row>
    <row r="159" spans="1:5" x14ac:dyDescent="0.45">
      <c r="A159">
        <f t="shared" ca="1" si="6"/>
        <v>26</v>
      </c>
      <c r="B159">
        <f t="shared" ca="1" si="7"/>
        <v>15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7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328</v>
      </c>
      <c r="B160">
        <f t="shared" ca="1" si="7"/>
        <v>22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30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376</v>
      </c>
      <c r="B161">
        <f t="shared" ca="1" si="7"/>
        <v>21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t="shared" ca="1" si="8"/>
        <v>10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t="shared" ca="1" si="6"/>
        <v>90</v>
      </c>
      <c r="B162">
        <f t="shared" ca="1" si="7"/>
        <v>18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21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15</v>
      </c>
      <c r="B163">
        <f t="shared" ca="1" si="7"/>
        <v>17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3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638</v>
      </c>
      <c r="B164">
        <f t="shared" ca="1" si="7"/>
        <v>29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22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233</v>
      </c>
      <c r="B165">
        <f t="shared" ca="1" si="7"/>
        <v>26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8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685</v>
      </c>
      <c r="B166">
        <f t="shared" ca="1" si="7"/>
        <v>27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19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64</v>
      </c>
      <c r="B167">
        <f t="shared" ca="1" si="7"/>
        <v>6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0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409</v>
      </c>
      <c r="B168">
        <f t="shared" ca="1" si="7"/>
        <v>26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11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37</v>
      </c>
      <c r="B169">
        <f t="shared" ca="1" si="7"/>
        <v>11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14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401</v>
      </c>
      <c r="B170">
        <f t="shared" ca="1" si="7"/>
        <v>5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12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559</v>
      </c>
      <c r="B171">
        <f t="shared" ca="1" si="7"/>
        <v>22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14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654</v>
      </c>
      <c r="B172">
        <f t="shared" ca="1" si="7"/>
        <v>8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24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685</v>
      </c>
      <c r="B173">
        <f t="shared" ca="1" si="7"/>
        <v>12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5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363</v>
      </c>
      <c r="B174">
        <f t="shared" ca="1" si="7"/>
        <v>23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7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4</v>
      </c>
      <c r="B175">
        <f t="shared" ca="1" si="7"/>
        <v>24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28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645</v>
      </c>
      <c r="B176">
        <f t="shared" ca="1" si="7"/>
        <v>15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20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330</v>
      </c>
      <c r="B177">
        <f t="shared" ca="1" si="7"/>
        <v>19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0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242</v>
      </c>
      <c r="B178">
        <f t="shared" ca="1" si="7"/>
        <v>30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25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679</v>
      </c>
      <c r="B179">
        <f t="shared" ca="1" si="7"/>
        <v>27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5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298</v>
      </c>
      <c r="B180">
        <f t="shared" ca="1" si="7"/>
        <v>22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11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197</v>
      </c>
      <c r="B181">
        <f t="shared" ca="1" si="7"/>
        <v>11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10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366</v>
      </c>
      <c r="B182">
        <f t="shared" ca="1" si="7"/>
        <v>28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9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345</v>
      </c>
      <c r="B183">
        <f t="shared" ca="1" si="7"/>
        <v>15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3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148</v>
      </c>
      <c r="B184">
        <f t="shared" ca="1" si="7"/>
        <v>30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13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445</v>
      </c>
      <c r="B185">
        <f t="shared" ca="1" si="7"/>
        <v>19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23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522</v>
      </c>
      <c r="B186">
        <f t="shared" ca="1" si="7"/>
        <v>16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10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135</v>
      </c>
      <c r="B187">
        <f t="shared" ca="1" si="7"/>
        <v>27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13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515</v>
      </c>
      <c r="B188">
        <f t="shared" ca="1" si="7"/>
        <v>3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t="shared" ca="1" si="8"/>
        <v>1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t="shared" ca="1" si="6"/>
        <v>310</v>
      </c>
      <c r="B189">
        <f t="shared" ca="1" si="7"/>
        <v>4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25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284</v>
      </c>
      <c r="B190">
        <f t="shared" ca="1" si="7"/>
        <v>7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30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405</v>
      </c>
      <c r="B191">
        <f t="shared" ca="1" si="7"/>
        <v>15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t="shared" ca="1" si="8"/>
        <v>23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t="shared" ca="1" si="6"/>
        <v>610</v>
      </c>
      <c r="B192">
        <f t="shared" ca="1" si="7"/>
        <v>18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18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623</v>
      </c>
      <c r="B193">
        <f t="shared" ca="1" si="7"/>
        <v>26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29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448</v>
      </c>
      <c r="B194">
        <f t="shared" ref="B194:B257" ca="1" si="10">RANDBETWEEN(0,30)</f>
        <v>12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4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494</v>
      </c>
      <c r="B195">
        <f t="shared" ca="1" si="10"/>
        <v>10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0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25</v>
      </c>
      <c r="B196">
        <f t="shared" ca="1" si="10"/>
        <v>10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24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348</v>
      </c>
      <c r="B197">
        <f t="shared" ca="1" si="10"/>
        <v>26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2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178</v>
      </c>
      <c r="B198">
        <f t="shared" ca="1" si="10"/>
        <v>1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8">
        <f t="shared" ca="1" si="11"/>
        <v>7</v>
      </c>
      <c r="E198">
        <f ca="1">IF(dict_zuord_Meth_Per[[#This Row],[kval_active]],dict_zuord_Meth_Per[[#This Row],[ID_Persons]],"")</f>
        <v>1</v>
      </c>
    </row>
    <row r="199" spans="1:5" x14ac:dyDescent="0.45">
      <c r="A199">
        <f t="shared" ca="1" si="9"/>
        <v>260</v>
      </c>
      <c r="B199">
        <f t="shared" ca="1" si="10"/>
        <v>12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16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163</v>
      </c>
      <c r="B200">
        <f t="shared" ca="1" si="10"/>
        <v>0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t="shared" ca="1" si="11"/>
        <v>28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t="shared" ca="1" si="9"/>
        <v>328</v>
      </c>
      <c r="B201">
        <f t="shared" ca="1" si="10"/>
        <v>6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11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523</v>
      </c>
      <c r="B202">
        <f t="shared" ca="1" si="10"/>
        <v>22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20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40</v>
      </c>
      <c r="B203">
        <f t="shared" ca="1" si="10"/>
        <v>3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1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119</v>
      </c>
      <c r="B204">
        <f t="shared" ca="1" si="10"/>
        <v>19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6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250</v>
      </c>
      <c r="B205">
        <f t="shared" ca="1" si="10"/>
        <v>7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18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608</v>
      </c>
      <c r="B206">
        <f t="shared" ca="1" si="10"/>
        <v>23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6">
        <f t="shared" ca="1" si="11"/>
        <v>23</v>
      </c>
      <c r="E206" t="str">
        <f ca="1">IF(dict_zuord_Meth_Per[[#This Row],[kval_active]],dict_zuord_Meth_Per[[#This Row],[ID_Persons]],"")</f>
        <v/>
      </c>
    </row>
    <row r="207" spans="1:5" x14ac:dyDescent="0.45">
      <c r="A207">
        <f t="shared" ca="1" si="9"/>
        <v>593</v>
      </c>
      <c r="B207">
        <f t="shared" ca="1" si="10"/>
        <v>25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1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662</v>
      </c>
      <c r="B208">
        <f t="shared" ca="1" si="10"/>
        <v>18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8">
        <f t="shared" ca="1" si="11"/>
        <v>22</v>
      </c>
      <c r="E208">
        <f ca="1">IF(dict_zuord_Meth_Per[[#This Row],[kval_active]],dict_zuord_Meth_Per[[#This Row],[ID_Persons]],"")</f>
        <v>18</v>
      </c>
    </row>
    <row r="209" spans="1:5" x14ac:dyDescent="0.45">
      <c r="A209">
        <f t="shared" ca="1" si="9"/>
        <v>488</v>
      </c>
      <c r="B209">
        <f t="shared" ca="1" si="10"/>
        <v>1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21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178</v>
      </c>
      <c r="B210">
        <f t="shared" ca="1" si="10"/>
        <v>28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0">
        <f t="shared" ca="1" si="11"/>
        <v>24</v>
      </c>
      <c r="E210">
        <f ca="1">IF(dict_zuord_Meth_Per[[#This Row],[kval_active]],dict_zuord_Meth_Per[[#This Row],[ID_Persons]],"")</f>
        <v>28</v>
      </c>
    </row>
    <row r="211" spans="1:5" x14ac:dyDescent="0.45">
      <c r="A211">
        <f t="shared" ca="1" si="9"/>
        <v>57</v>
      </c>
      <c r="B211">
        <f t="shared" ca="1" si="10"/>
        <v>13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10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240</v>
      </c>
      <c r="B212">
        <f t="shared" ca="1" si="10"/>
        <v>23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t="shared" ca="1" si="11"/>
        <v>14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t="shared" ca="1" si="9"/>
        <v>401</v>
      </c>
      <c r="B213">
        <f t="shared" ca="1" si="10"/>
        <v>5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30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588</v>
      </c>
      <c r="B214">
        <f t="shared" ca="1" si="10"/>
        <v>29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4">
        <f t="shared" ca="1" si="11"/>
        <v>23</v>
      </c>
      <c r="E214" t="str">
        <f ca="1">IF(dict_zuord_Meth_Per[[#This Row],[kval_active]],dict_zuord_Meth_Per[[#This Row],[ID_Persons]],"")</f>
        <v/>
      </c>
    </row>
    <row r="215" spans="1:5" x14ac:dyDescent="0.45">
      <c r="A215">
        <f t="shared" ca="1" si="9"/>
        <v>158</v>
      </c>
      <c r="B215">
        <f t="shared" ca="1" si="10"/>
        <v>12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t="shared" ca="1" si="11"/>
        <v>0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t="shared" ca="1" si="9"/>
        <v>0</v>
      </c>
      <c r="B216">
        <f t="shared" ca="1" si="10"/>
        <v>19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t="shared" ca="1" si="11"/>
        <v>21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t="shared" ca="1" si="9"/>
        <v>668</v>
      </c>
      <c r="B217">
        <f t="shared" ca="1" si="10"/>
        <v>29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8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360</v>
      </c>
      <c r="B218">
        <f t="shared" ca="1" si="10"/>
        <v>10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t="shared" ca="1" si="11"/>
        <v>8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t="shared" ca="1" si="9"/>
        <v>474</v>
      </c>
      <c r="B219">
        <f t="shared" ca="1" si="10"/>
        <v>6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t="shared" ca="1" si="11"/>
        <v>26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t="shared" ca="1" si="9"/>
        <v>305</v>
      </c>
      <c r="B220">
        <f t="shared" ca="1" si="10"/>
        <v>2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15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357</v>
      </c>
      <c r="B221">
        <f t="shared" ca="1" si="10"/>
        <v>14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3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502</v>
      </c>
      <c r="B222">
        <f t="shared" ca="1" si="10"/>
        <v>15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14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367</v>
      </c>
      <c r="B223">
        <f t="shared" ca="1" si="10"/>
        <v>5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26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109</v>
      </c>
      <c r="B224">
        <f t="shared" ca="1" si="10"/>
        <v>17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1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103</v>
      </c>
      <c r="B225">
        <f t="shared" ca="1" si="10"/>
        <v>22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3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280</v>
      </c>
      <c r="B226">
        <f t="shared" ca="1" si="10"/>
        <v>23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7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273</v>
      </c>
      <c r="B227">
        <f t="shared" ca="1" si="10"/>
        <v>19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2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191</v>
      </c>
      <c r="B228">
        <f t="shared" ca="1" si="10"/>
        <v>22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2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186</v>
      </c>
      <c r="B229">
        <f t="shared" ca="1" si="10"/>
        <v>5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t="shared" ca="1" si="11"/>
        <v>18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t="shared" ca="1" si="9"/>
        <v>563</v>
      </c>
      <c r="B230">
        <f t="shared" ca="1" si="10"/>
        <v>1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4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250</v>
      </c>
      <c r="B231">
        <f t="shared" ca="1" si="10"/>
        <v>15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28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562</v>
      </c>
      <c r="B232">
        <f t="shared" ca="1" si="10"/>
        <v>10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6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49</v>
      </c>
      <c r="B233">
        <f t="shared" ca="1" si="10"/>
        <v>23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25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396</v>
      </c>
      <c r="B234">
        <f t="shared" ca="1" si="10"/>
        <v>28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10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283</v>
      </c>
      <c r="B235">
        <f t="shared" ca="1" si="10"/>
        <v>1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29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351</v>
      </c>
      <c r="B236">
        <f t="shared" ca="1" si="10"/>
        <v>3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9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246</v>
      </c>
      <c r="B237">
        <f t="shared" ca="1" si="10"/>
        <v>10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7">
        <f t="shared" ca="1" si="11"/>
        <v>11</v>
      </c>
      <c r="E237" t="str">
        <f ca="1">IF(dict_zuord_Meth_Per[[#This Row],[kval_active]],dict_zuord_Meth_Per[[#This Row],[ID_Persons]],"")</f>
        <v/>
      </c>
    </row>
    <row r="238" spans="1:5" x14ac:dyDescent="0.45">
      <c r="A238">
        <f t="shared" ca="1" si="9"/>
        <v>687</v>
      </c>
      <c r="B238">
        <f t="shared" ca="1" si="10"/>
        <v>7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12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447</v>
      </c>
      <c r="B239">
        <f t="shared" ca="1" si="10"/>
        <v>27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21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543</v>
      </c>
      <c r="B240">
        <f t="shared" ca="1" si="10"/>
        <v>10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29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1</v>
      </c>
      <c r="B241">
        <f t="shared" ca="1" si="10"/>
        <v>29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21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82</v>
      </c>
      <c r="B242">
        <f t="shared" ca="1" si="10"/>
        <v>30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8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244</v>
      </c>
      <c r="B243">
        <f t="shared" ca="1" si="10"/>
        <v>1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17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0</v>
      </c>
      <c r="B244">
        <f t="shared" ca="1" si="10"/>
        <v>11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10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85</v>
      </c>
      <c r="B245">
        <f t="shared" ca="1" si="10"/>
        <v>28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12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395</v>
      </c>
      <c r="B246">
        <f t="shared" ca="1" si="10"/>
        <v>5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7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560</v>
      </c>
      <c r="B247">
        <f t="shared" ca="1" si="10"/>
        <v>16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6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652</v>
      </c>
      <c r="B248">
        <f t="shared" ca="1" si="10"/>
        <v>30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3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67</v>
      </c>
      <c r="B249">
        <f t="shared" ca="1" si="10"/>
        <v>0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1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359</v>
      </c>
      <c r="B250">
        <f t="shared" ca="1" si="10"/>
        <v>29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25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197</v>
      </c>
      <c r="B251">
        <f t="shared" ca="1" si="10"/>
        <v>27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10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28</v>
      </c>
      <c r="B252">
        <f t="shared" ca="1" si="10"/>
        <v>23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13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491</v>
      </c>
      <c r="B253">
        <f t="shared" ca="1" si="10"/>
        <v>30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4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417</v>
      </c>
      <c r="B254">
        <f t="shared" ca="1" si="10"/>
        <v>18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5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127</v>
      </c>
      <c r="B255">
        <f t="shared" ca="1" si="10"/>
        <v>17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5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206</v>
      </c>
      <c r="B256">
        <f t="shared" ca="1" si="10"/>
        <v>24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3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6</v>
      </c>
      <c r="B257">
        <f t="shared" ca="1" si="10"/>
        <v>17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28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76</v>
      </c>
      <c r="B258">
        <f t="shared" ref="B258:B321" ca="1" si="13">RANDBETWEEN(0,30)</f>
        <v>30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8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56</v>
      </c>
      <c r="B259">
        <f t="shared" ca="1" si="13"/>
        <v>14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0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463</v>
      </c>
      <c r="B260">
        <f t="shared" ca="1" si="13"/>
        <v>26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27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673</v>
      </c>
      <c r="B261">
        <f t="shared" ca="1" si="13"/>
        <v>9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2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466</v>
      </c>
      <c r="B262">
        <f t="shared" ca="1" si="13"/>
        <v>17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27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694</v>
      </c>
      <c r="B263">
        <f t="shared" ca="1" si="13"/>
        <v>20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30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445</v>
      </c>
      <c r="B264">
        <f t="shared" ca="1" si="13"/>
        <v>10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1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579</v>
      </c>
      <c r="B265">
        <f t="shared" ca="1" si="13"/>
        <v>2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t="shared" ca="1" si="14"/>
        <v>28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t="shared" ca="1" si="12"/>
        <v>393</v>
      </c>
      <c r="B266">
        <f t="shared" ca="1" si="13"/>
        <v>10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25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184</v>
      </c>
      <c r="B267">
        <f t="shared" ca="1" si="13"/>
        <v>28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5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211</v>
      </c>
      <c r="B268">
        <f t="shared" ca="1" si="13"/>
        <v>20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23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320</v>
      </c>
      <c r="B269">
        <f t="shared" ca="1" si="13"/>
        <v>30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23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58</v>
      </c>
      <c r="B270">
        <f t="shared" ca="1" si="13"/>
        <v>26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2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386</v>
      </c>
      <c r="B271">
        <f t="shared" ca="1" si="13"/>
        <v>10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6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96</v>
      </c>
      <c r="B272">
        <f t="shared" ca="1" si="13"/>
        <v>20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t="shared" ca="1" si="14"/>
        <v>27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t="shared" ca="1" si="12"/>
        <v>231</v>
      </c>
      <c r="B273">
        <f t="shared" ca="1" si="13"/>
        <v>26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29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314</v>
      </c>
      <c r="B274">
        <f t="shared" ca="1" si="13"/>
        <v>10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t="shared" ca="1" si="14"/>
        <v>10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t="shared" ca="1" si="12"/>
        <v>189</v>
      </c>
      <c r="B275">
        <f t="shared" ca="1" si="13"/>
        <v>25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25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195</v>
      </c>
      <c r="B276">
        <f t="shared" ca="1" si="13"/>
        <v>5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19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618</v>
      </c>
      <c r="B277">
        <f t="shared" ca="1" si="13"/>
        <v>11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t="shared" ca="1" si="14"/>
        <v>1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t="shared" ca="1" si="12"/>
        <v>644</v>
      </c>
      <c r="B278">
        <f t="shared" ca="1" si="13"/>
        <v>3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8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153</v>
      </c>
      <c r="B279">
        <f t="shared" ca="1" si="13"/>
        <v>18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0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568</v>
      </c>
      <c r="B280">
        <f t="shared" ca="1" si="13"/>
        <v>9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20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603</v>
      </c>
      <c r="B281">
        <f t="shared" ca="1" si="13"/>
        <v>21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15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128</v>
      </c>
      <c r="B282">
        <f t="shared" ca="1" si="13"/>
        <v>1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29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366</v>
      </c>
      <c r="B283">
        <f t="shared" ca="1" si="13"/>
        <v>22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3">
        <f t="shared" ca="1" si="14"/>
        <v>17</v>
      </c>
      <c r="E283" t="str">
        <f ca="1">IF(dict_zuord_Meth_Per[[#This Row],[kval_active]],dict_zuord_Meth_Per[[#This Row],[ID_Persons]],"")</f>
        <v/>
      </c>
    </row>
    <row r="284" spans="1:5" x14ac:dyDescent="0.45">
      <c r="A284">
        <f t="shared" ca="1" si="12"/>
        <v>196</v>
      </c>
      <c r="B284">
        <f t="shared" ca="1" si="13"/>
        <v>21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20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588</v>
      </c>
      <c r="B285">
        <f t="shared" ca="1" si="13"/>
        <v>14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t="shared" ca="1" si="14"/>
        <v>4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t="shared" ca="1" si="12"/>
        <v>158</v>
      </c>
      <c r="B286">
        <f t="shared" ca="1" si="13"/>
        <v>27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19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502</v>
      </c>
      <c r="B287">
        <f t="shared" ca="1" si="13"/>
        <v>12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13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169</v>
      </c>
      <c r="B288">
        <f t="shared" ca="1" si="13"/>
        <v>28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17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528</v>
      </c>
      <c r="B289">
        <f t="shared" ca="1" si="13"/>
        <v>10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7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380</v>
      </c>
      <c r="B290">
        <f t="shared" ca="1" si="13"/>
        <v>2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28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600</v>
      </c>
      <c r="B291">
        <f t="shared" ca="1" si="13"/>
        <v>13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25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124</v>
      </c>
      <c r="B292">
        <f t="shared" ca="1" si="13"/>
        <v>13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27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262</v>
      </c>
      <c r="B293">
        <f t="shared" ca="1" si="13"/>
        <v>10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26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294</v>
      </c>
      <c r="B294">
        <f t="shared" ca="1" si="13"/>
        <v>3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15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425</v>
      </c>
      <c r="B295">
        <f t="shared" ca="1" si="13"/>
        <v>26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5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527</v>
      </c>
      <c r="B296">
        <f t="shared" ca="1" si="13"/>
        <v>0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1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73</v>
      </c>
      <c r="B297">
        <f t="shared" ca="1" si="13"/>
        <v>25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27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200</v>
      </c>
      <c r="B298">
        <f t="shared" ca="1" si="13"/>
        <v>19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14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249</v>
      </c>
      <c r="B299">
        <f t="shared" ca="1" si="13"/>
        <v>0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2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608</v>
      </c>
      <c r="B300">
        <f t="shared" ca="1" si="13"/>
        <v>25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0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208</v>
      </c>
      <c r="B301">
        <f t="shared" ca="1" si="13"/>
        <v>28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30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220</v>
      </c>
      <c r="B302">
        <f t="shared" ca="1" si="13"/>
        <v>14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22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403</v>
      </c>
      <c r="B303">
        <f t="shared" ca="1" si="13"/>
        <v>23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t="shared" ca="1" si="14"/>
        <v>27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t="shared" ca="1" si="12"/>
        <v>142</v>
      </c>
      <c r="B304">
        <f t="shared" ca="1" si="13"/>
        <v>28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27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250</v>
      </c>
      <c r="B305">
        <f t="shared" ca="1" si="13"/>
        <v>8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t="shared" ca="1" si="14"/>
        <v>28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t="shared" ca="1" si="12"/>
        <v>200</v>
      </c>
      <c r="B306">
        <f t="shared" ca="1" si="13"/>
        <v>6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0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530</v>
      </c>
      <c r="B307">
        <f t="shared" ca="1" si="13"/>
        <v>0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22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700</v>
      </c>
      <c r="B308">
        <f t="shared" ca="1" si="13"/>
        <v>8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15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458</v>
      </c>
      <c r="B309">
        <f t="shared" ca="1" si="13"/>
        <v>23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t="shared" ca="1" si="14"/>
        <v>30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t="shared" ca="1" si="12"/>
        <v>416</v>
      </c>
      <c r="B310">
        <f t="shared" ca="1" si="13"/>
        <v>27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15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139</v>
      </c>
      <c r="B311">
        <f t="shared" ca="1" si="13"/>
        <v>4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4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365</v>
      </c>
      <c r="B312">
        <f t="shared" ca="1" si="13"/>
        <v>24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15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221</v>
      </c>
      <c r="B313">
        <f t="shared" ca="1" si="13"/>
        <v>10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4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109</v>
      </c>
      <c r="B314">
        <f t="shared" ca="1" si="13"/>
        <v>24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30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37</v>
      </c>
      <c r="B315">
        <f t="shared" ca="1" si="13"/>
        <v>14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5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533</v>
      </c>
      <c r="B316">
        <f t="shared" ca="1" si="13"/>
        <v>11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14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640</v>
      </c>
      <c r="B317">
        <f t="shared" ca="1" si="13"/>
        <v>17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t="shared" ca="1" si="14"/>
        <v>25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t="shared" ca="1" si="12"/>
        <v>24</v>
      </c>
      <c r="B318">
        <f t="shared" ca="1" si="13"/>
        <v>23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6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42</v>
      </c>
      <c r="B319">
        <f t="shared" ca="1" si="13"/>
        <v>26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22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114</v>
      </c>
      <c r="B320">
        <f t="shared" ca="1" si="13"/>
        <v>0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5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139</v>
      </c>
      <c r="B321">
        <f t="shared" ca="1" si="13"/>
        <v>20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12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483</v>
      </c>
      <c r="B322">
        <f t="shared" ref="B322:B385" ca="1" si="16">RANDBETWEEN(0,30)</f>
        <v>24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1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489</v>
      </c>
      <c r="B323">
        <f t="shared" ca="1" si="16"/>
        <v>25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20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489</v>
      </c>
      <c r="B324">
        <f t="shared" ca="1" si="16"/>
        <v>20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25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191</v>
      </c>
      <c r="B325">
        <f t="shared" ca="1" si="16"/>
        <v>5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4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131</v>
      </c>
      <c r="B326">
        <f t="shared" ca="1" si="16"/>
        <v>9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16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153</v>
      </c>
      <c r="B327">
        <f t="shared" ca="1" si="16"/>
        <v>1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8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251</v>
      </c>
      <c r="B328">
        <f t="shared" ca="1" si="16"/>
        <v>30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29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275</v>
      </c>
      <c r="B329">
        <f t="shared" ca="1" si="16"/>
        <v>22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t="shared" ca="1" si="17"/>
        <v>18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t="shared" ca="1" si="15"/>
        <v>666</v>
      </c>
      <c r="B330">
        <f t="shared" ca="1" si="16"/>
        <v>13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t="shared" ca="1" si="17"/>
        <v>4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t="shared" ca="1" si="15"/>
        <v>564</v>
      </c>
      <c r="B331">
        <f t="shared" ca="1" si="16"/>
        <v>9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t="shared" ca="1" si="17"/>
        <v>4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t="shared" ca="1" si="15"/>
        <v>154</v>
      </c>
      <c r="B332">
        <f t="shared" ca="1" si="16"/>
        <v>0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2">
        <f t="shared" ca="1" si="17"/>
        <v>3</v>
      </c>
      <c r="E332" t="str">
        <f ca="1">IF(dict_zuord_Meth_Per[[#This Row],[kval_active]],dict_zuord_Meth_Per[[#This Row],[ID_Persons]],"")</f>
        <v/>
      </c>
    </row>
    <row r="333" spans="1:5" x14ac:dyDescent="0.45">
      <c r="A333">
        <f t="shared" ca="1" si="15"/>
        <v>62</v>
      </c>
      <c r="B333">
        <f t="shared" ca="1" si="16"/>
        <v>9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13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35</v>
      </c>
      <c r="B334">
        <f t="shared" ca="1" si="16"/>
        <v>27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t="shared" ca="1" si="17"/>
        <v>10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t="shared" ca="1" si="15"/>
        <v>572</v>
      </c>
      <c r="B335">
        <f t="shared" ca="1" si="16"/>
        <v>26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17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386</v>
      </c>
      <c r="B336">
        <f t="shared" ca="1" si="16"/>
        <v>5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0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647</v>
      </c>
      <c r="B337">
        <f t="shared" ca="1" si="16"/>
        <v>15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0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112</v>
      </c>
      <c r="B338">
        <f t="shared" ca="1" si="16"/>
        <v>4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9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139</v>
      </c>
      <c r="B339">
        <f t="shared" ca="1" si="16"/>
        <v>16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30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571</v>
      </c>
      <c r="B340">
        <f t="shared" ca="1" si="16"/>
        <v>8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5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638</v>
      </c>
      <c r="B341">
        <f t="shared" ca="1" si="16"/>
        <v>30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16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302</v>
      </c>
      <c r="B342">
        <f t="shared" ca="1" si="16"/>
        <v>14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25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268</v>
      </c>
      <c r="B343">
        <f t="shared" ca="1" si="16"/>
        <v>20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22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361</v>
      </c>
      <c r="B344">
        <f t="shared" ca="1" si="16"/>
        <v>9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4">
        <f t="shared" ca="1" si="17"/>
        <v>25</v>
      </c>
      <c r="E344">
        <f ca="1">IF(dict_zuord_Meth_Per[[#This Row],[kval_active]],dict_zuord_Meth_Per[[#This Row],[ID_Persons]],"")</f>
        <v>9</v>
      </c>
    </row>
    <row r="345" spans="1:5" x14ac:dyDescent="0.45">
      <c r="A345">
        <f t="shared" ca="1" si="15"/>
        <v>365</v>
      </c>
      <c r="B345">
        <f t="shared" ca="1" si="16"/>
        <v>28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5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184</v>
      </c>
      <c r="B346">
        <f t="shared" ca="1" si="16"/>
        <v>2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7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261</v>
      </c>
      <c r="B347">
        <f t="shared" ca="1" si="16"/>
        <v>7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8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690</v>
      </c>
      <c r="B348">
        <f t="shared" ca="1" si="16"/>
        <v>16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t="shared" ca="1" si="17"/>
        <v>2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t="shared" ca="1" si="15"/>
        <v>11</v>
      </c>
      <c r="B349">
        <f t="shared" ca="1" si="16"/>
        <v>6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25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477</v>
      </c>
      <c r="B350">
        <f t="shared" ca="1" si="16"/>
        <v>13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t="shared" ca="1" si="17"/>
        <v>30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t="shared" ca="1" si="15"/>
        <v>304</v>
      </c>
      <c r="B351">
        <f t="shared" ca="1" si="16"/>
        <v>30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1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63</v>
      </c>
      <c r="B352">
        <f t="shared" ca="1" si="16"/>
        <v>15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14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420</v>
      </c>
      <c r="B353">
        <f t="shared" ca="1" si="16"/>
        <v>14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15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487</v>
      </c>
      <c r="B354">
        <f t="shared" ca="1" si="16"/>
        <v>21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4">
        <f t="shared" ca="1" si="17"/>
        <v>8</v>
      </c>
      <c r="E354" t="str">
        <f ca="1">IF(dict_zuord_Meth_Per[[#This Row],[kval_active]],dict_zuord_Meth_Per[[#This Row],[ID_Persons]],"")</f>
        <v/>
      </c>
    </row>
    <row r="355" spans="1:5" x14ac:dyDescent="0.45">
      <c r="A355">
        <f t="shared" ca="1" si="15"/>
        <v>460</v>
      </c>
      <c r="B355">
        <f t="shared" ca="1" si="16"/>
        <v>18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5">
        <f t="shared" ca="1" si="17"/>
        <v>14</v>
      </c>
      <c r="E355" t="str">
        <f ca="1">IF(dict_zuord_Meth_Per[[#This Row],[kval_active]],dict_zuord_Meth_Per[[#This Row],[ID_Persons]],"")</f>
        <v/>
      </c>
    </row>
    <row r="356" spans="1:5" x14ac:dyDescent="0.45">
      <c r="A356">
        <f t="shared" ca="1" si="15"/>
        <v>629</v>
      </c>
      <c r="B356">
        <f t="shared" ca="1" si="16"/>
        <v>11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13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313</v>
      </c>
      <c r="B357">
        <f t="shared" ca="1" si="16"/>
        <v>10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t="shared" ca="1" si="17"/>
        <v>3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t="shared" ca="1" si="15"/>
        <v>36</v>
      </c>
      <c r="B358">
        <f t="shared" ca="1" si="16"/>
        <v>10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22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326</v>
      </c>
      <c r="B359">
        <f t="shared" ca="1" si="16"/>
        <v>12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t="shared" ca="1" si="17"/>
        <v>5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t="shared" ca="1" si="15"/>
        <v>579</v>
      </c>
      <c r="B360">
        <f t="shared" ca="1" si="16"/>
        <v>9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t="shared" ca="1" si="17"/>
        <v>3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t="shared" ca="1" si="15"/>
        <v>381</v>
      </c>
      <c r="B361">
        <f t="shared" ca="1" si="16"/>
        <v>24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t="shared" ca="1" si="17"/>
        <v>6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t="shared" ca="1" si="15"/>
        <v>335</v>
      </c>
      <c r="B362">
        <f t="shared" ca="1" si="16"/>
        <v>18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23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168</v>
      </c>
      <c r="B363">
        <f t="shared" ca="1" si="16"/>
        <v>14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0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506</v>
      </c>
      <c r="B364">
        <f t="shared" ca="1" si="16"/>
        <v>30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5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160</v>
      </c>
      <c r="B365">
        <f t="shared" ca="1" si="16"/>
        <v>30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t="shared" ca="1" si="17"/>
        <v>0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t="shared" ca="1" si="15"/>
        <v>158</v>
      </c>
      <c r="B366">
        <f t="shared" ca="1" si="16"/>
        <v>23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t="shared" ca="1" si="17"/>
        <v>0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t="shared" ca="1" si="15"/>
        <v>202</v>
      </c>
      <c r="B367">
        <f t="shared" ca="1" si="16"/>
        <v>16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10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381</v>
      </c>
      <c r="B368">
        <f t="shared" ca="1" si="16"/>
        <v>21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12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164</v>
      </c>
      <c r="B369">
        <f t="shared" ca="1" si="16"/>
        <v>16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13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323</v>
      </c>
      <c r="B370">
        <f t="shared" ca="1" si="16"/>
        <v>0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17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689</v>
      </c>
      <c r="B371">
        <f t="shared" ca="1" si="16"/>
        <v>16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26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366</v>
      </c>
      <c r="B372">
        <f t="shared" ca="1" si="16"/>
        <v>13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13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165</v>
      </c>
      <c r="B373">
        <f t="shared" ca="1" si="16"/>
        <v>2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4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492</v>
      </c>
      <c r="B374">
        <f t="shared" ca="1" si="16"/>
        <v>15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t="shared" ca="1" si="17"/>
        <v>18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t="shared" ca="1" si="15"/>
        <v>557</v>
      </c>
      <c r="B375">
        <f t="shared" ca="1" si="16"/>
        <v>25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t="shared" ca="1" si="17"/>
        <v>17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t="shared" ca="1" si="15"/>
        <v>487</v>
      </c>
      <c r="B376">
        <f t="shared" ca="1" si="16"/>
        <v>26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6">
        <f t="shared" ca="1" si="17"/>
        <v>25</v>
      </c>
      <c r="E376" t="str">
        <f ca="1">IF(dict_zuord_Meth_Per[[#This Row],[kval_active]],dict_zuord_Meth_Per[[#This Row],[ID_Persons]],"")</f>
        <v/>
      </c>
    </row>
    <row r="377" spans="1:5" x14ac:dyDescent="0.45">
      <c r="A377">
        <f t="shared" ca="1" si="15"/>
        <v>179</v>
      </c>
      <c r="B377">
        <f t="shared" ca="1" si="16"/>
        <v>30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25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481</v>
      </c>
      <c r="B378">
        <f t="shared" ca="1" si="16"/>
        <v>4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29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545</v>
      </c>
      <c r="B379">
        <f t="shared" ca="1" si="16"/>
        <v>23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t="shared" ca="1" si="17"/>
        <v>11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t="shared" ca="1" si="15"/>
        <v>295</v>
      </c>
      <c r="B380">
        <f t="shared" ca="1" si="16"/>
        <v>0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t="shared" ca="1" si="17"/>
        <v>3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t="shared" ca="1" si="15"/>
        <v>236</v>
      </c>
      <c r="B381">
        <f t="shared" ca="1" si="16"/>
        <v>26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6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6</v>
      </c>
      <c r="B382">
        <f t="shared" ca="1" si="16"/>
        <v>28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t="shared" ca="1" si="17"/>
        <v>15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t="shared" ca="1" si="15"/>
        <v>323</v>
      </c>
      <c r="B383">
        <f t="shared" ca="1" si="16"/>
        <v>2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21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524</v>
      </c>
      <c r="B384">
        <f t="shared" ca="1" si="16"/>
        <v>25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18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415</v>
      </c>
      <c r="B385">
        <f t="shared" ca="1" si="16"/>
        <v>20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t="shared" ca="1" si="17"/>
        <v>17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t="shared" ref="A386:A449" ca="1" si="18">RANDBETWEEN(0,700)</f>
        <v>667</v>
      </c>
      <c r="B386">
        <f t="shared" ref="B386:B449" ca="1" si="19">RANDBETWEEN(0,30)</f>
        <v>5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t="shared" ref="D386:D449" ca="1" si="20">RANDBETWEEN(0,30)</f>
        <v>16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t="shared" ca="1" si="18"/>
        <v>36</v>
      </c>
      <c r="B387">
        <f t="shared" ca="1" si="19"/>
        <v>3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29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45</v>
      </c>
      <c r="B388">
        <f t="shared" ca="1" si="19"/>
        <v>17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t="shared" ca="1" si="20"/>
        <v>20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t="shared" ca="1" si="18"/>
        <v>300</v>
      </c>
      <c r="B389">
        <f t="shared" ca="1" si="19"/>
        <v>7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9">
        <f t="shared" ca="1" si="20"/>
        <v>6</v>
      </c>
      <c r="E389">
        <f ca="1">IF(dict_zuord_Meth_Per[[#This Row],[kval_active]],dict_zuord_Meth_Per[[#This Row],[ID_Persons]],"")</f>
        <v>7</v>
      </c>
    </row>
    <row r="390" spans="1:5" x14ac:dyDescent="0.45">
      <c r="A390">
        <f t="shared" ca="1" si="18"/>
        <v>16</v>
      </c>
      <c r="B390">
        <f t="shared" ca="1" si="19"/>
        <v>22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12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300</v>
      </c>
      <c r="B391">
        <f t="shared" ca="1" si="19"/>
        <v>5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1">
        <f t="shared" ca="1" si="20"/>
        <v>13</v>
      </c>
      <c r="E391">
        <f ca="1">IF(dict_zuord_Meth_Per[[#This Row],[kval_active]],dict_zuord_Meth_Per[[#This Row],[ID_Persons]],"")</f>
        <v>5</v>
      </c>
    </row>
    <row r="392" spans="1:5" x14ac:dyDescent="0.45">
      <c r="A392">
        <f t="shared" ca="1" si="18"/>
        <v>291</v>
      </c>
      <c r="B392">
        <f t="shared" ca="1" si="19"/>
        <v>15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11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388</v>
      </c>
      <c r="B393">
        <f t="shared" ca="1" si="19"/>
        <v>26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t="shared" ca="1" si="20"/>
        <v>18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t="shared" ca="1" si="18"/>
        <v>151</v>
      </c>
      <c r="B394">
        <f t="shared" ca="1" si="19"/>
        <v>0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29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297</v>
      </c>
      <c r="B395">
        <f t="shared" ca="1" si="19"/>
        <v>6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t="shared" ca="1" si="20"/>
        <v>13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t="shared" ca="1" si="18"/>
        <v>395</v>
      </c>
      <c r="B396">
        <f t="shared" ca="1" si="19"/>
        <v>4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6">
        <f t="shared" ca="1" si="20"/>
        <v>6</v>
      </c>
      <c r="E396" t="str">
        <f ca="1">IF(dict_zuord_Meth_Per[[#This Row],[kval_active]],dict_zuord_Meth_Per[[#This Row],[ID_Persons]],"")</f>
        <v/>
      </c>
    </row>
    <row r="397" spans="1:5" x14ac:dyDescent="0.45">
      <c r="A397">
        <f t="shared" ca="1" si="18"/>
        <v>32</v>
      </c>
      <c r="B397">
        <f t="shared" ca="1" si="19"/>
        <v>24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14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250</v>
      </c>
      <c r="B398">
        <f t="shared" ca="1" si="19"/>
        <v>22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12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562</v>
      </c>
      <c r="B399">
        <f t="shared" ca="1" si="19"/>
        <v>13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12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570</v>
      </c>
      <c r="B400">
        <f t="shared" ca="1" si="19"/>
        <v>12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t="shared" ca="1" si="20"/>
        <v>14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t="shared" ca="1" si="18"/>
        <v>368</v>
      </c>
      <c r="B401">
        <f t="shared" ca="1" si="19"/>
        <v>4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16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223</v>
      </c>
      <c r="B402">
        <f t="shared" ca="1" si="19"/>
        <v>0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9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516</v>
      </c>
      <c r="B403">
        <f t="shared" ca="1" si="19"/>
        <v>28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16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274</v>
      </c>
      <c r="B404">
        <f t="shared" ca="1" si="19"/>
        <v>1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14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63</v>
      </c>
      <c r="B405">
        <f t="shared" ca="1" si="19"/>
        <v>21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17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90</v>
      </c>
      <c r="B406">
        <f t="shared" ca="1" si="19"/>
        <v>18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28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626</v>
      </c>
      <c r="B407">
        <f t="shared" ca="1" si="19"/>
        <v>26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23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633</v>
      </c>
      <c r="B408">
        <f t="shared" ca="1" si="19"/>
        <v>9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10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30</v>
      </c>
      <c r="B409">
        <f t="shared" ca="1" si="19"/>
        <v>9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8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378</v>
      </c>
      <c r="B410">
        <f t="shared" ca="1" si="19"/>
        <v>18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t="shared" ca="1" si="20"/>
        <v>4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t="shared" ca="1" si="18"/>
        <v>114</v>
      </c>
      <c r="B411">
        <f t="shared" ca="1" si="19"/>
        <v>23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t="shared" ca="1" si="20"/>
        <v>29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t="shared" ca="1" si="18"/>
        <v>57</v>
      </c>
      <c r="B412">
        <f t="shared" ca="1" si="19"/>
        <v>0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24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294</v>
      </c>
      <c r="B413">
        <f t="shared" ca="1" si="19"/>
        <v>1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t="shared" ca="1" si="20"/>
        <v>16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t="shared" ca="1" si="18"/>
        <v>51</v>
      </c>
      <c r="B414">
        <f t="shared" ca="1" si="19"/>
        <v>14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27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469</v>
      </c>
      <c r="B415">
        <f t="shared" ca="1" si="19"/>
        <v>20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25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683</v>
      </c>
      <c r="B416">
        <f t="shared" ca="1" si="19"/>
        <v>7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22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200</v>
      </c>
      <c r="B417">
        <f t="shared" ca="1" si="19"/>
        <v>17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t="shared" ca="1" si="20"/>
        <v>8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t="shared" ca="1" si="18"/>
        <v>567</v>
      </c>
      <c r="B418">
        <f t="shared" ca="1" si="19"/>
        <v>16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1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207</v>
      </c>
      <c r="B419">
        <f t="shared" ca="1" si="19"/>
        <v>12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t="shared" ca="1" si="20"/>
        <v>21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t="shared" ca="1" si="18"/>
        <v>228</v>
      </c>
      <c r="B420">
        <f t="shared" ca="1" si="19"/>
        <v>27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0">
        <f t="shared" ca="1" si="20"/>
        <v>15</v>
      </c>
      <c r="E420">
        <f ca="1">IF(dict_zuord_Meth_Per[[#This Row],[kval_active]],dict_zuord_Meth_Per[[#This Row],[ID_Persons]],"")</f>
        <v>27</v>
      </c>
    </row>
    <row r="421" spans="1:5" x14ac:dyDescent="0.45">
      <c r="A421">
        <f t="shared" ca="1" si="18"/>
        <v>465</v>
      </c>
      <c r="B421">
        <f t="shared" ca="1" si="19"/>
        <v>12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8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313</v>
      </c>
      <c r="B422">
        <f t="shared" ca="1" si="19"/>
        <v>2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16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181</v>
      </c>
      <c r="B423">
        <f t="shared" ca="1" si="19"/>
        <v>11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28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15</v>
      </c>
      <c r="B424">
        <f t="shared" ca="1" si="19"/>
        <v>18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t="shared" ca="1" si="20"/>
        <v>19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t="shared" ca="1" si="18"/>
        <v>26</v>
      </c>
      <c r="B425">
        <f t="shared" ca="1" si="19"/>
        <v>9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26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473</v>
      </c>
      <c r="B426">
        <f t="shared" ca="1" si="19"/>
        <v>18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t="shared" ca="1" si="20"/>
        <v>25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t="shared" ca="1" si="18"/>
        <v>39</v>
      </c>
      <c r="B427">
        <f t="shared" ca="1" si="19"/>
        <v>27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3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655</v>
      </c>
      <c r="B428">
        <f t="shared" ca="1" si="19"/>
        <v>22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10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583</v>
      </c>
      <c r="B429">
        <f t="shared" ca="1" si="19"/>
        <v>11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t="shared" ca="1" si="20"/>
        <v>1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t="shared" ca="1" si="18"/>
        <v>30</v>
      </c>
      <c r="B430">
        <f t="shared" ca="1" si="19"/>
        <v>23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24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313</v>
      </c>
      <c r="B431">
        <f t="shared" ca="1" si="19"/>
        <v>5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t="shared" ca="1" si="20"/>
        <v>0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t="shared" ca="1" si="18"/>
        <v>52</v>
      </c>
      <c r="B432">
        <f t="shared" ca="1" si="19"/>
        <v>27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t="shared" ca="1" si="20"/>
        <v>29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t="shared" ca="1" si="18"/>
        <v>66</v>
      </c>
      <c r="B433">
        <f t="shared" ca="1" si="19"/>
        <v>2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14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346</v>
      </c>
      <c r="B434">
        <f t="shared" ca="1" si="19"/>
        <v>30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28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519</v>
      </c>
      <c r="B435">
        <f t="shared" ca="1" si="19"/>
        <v>1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28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281</v>
      </c>
      <c r="B436">
        <f t="shared" ca="1" si="19"/>
        <v>21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24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221</v>
      </c>
      <c r="B437">
        <f t="shared" ca="1" si="19"/>
        <v>12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18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9</v>
      </c>
      <c r="B438">
        <f t="shared" ca="1" si="19"/>
        <v>2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6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630</v>
      </c>
      <c r="B439">
        <f t="shared" ca="1" si="19"/>
        <v>22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17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508</v>
      </c>
      <c r="B440">
        <f t="shared" ca="1" si="19"/>
        <v>23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t="shared" ca="1" si="20"/>
        <v>14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t="shared" ca="1" si="18"/>
        <v>229</v>
      </c>
      <c r="B441">
        <f t="shared" ca="1" si="19"/>
        <v>11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11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631</v>
      </c>
      <c r="B442">
        <f t="shared" ca="1" si="19"/>
        <v>5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16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483</v>
      </c>
      <c r="B443">
        <f t="shared" ca="1" si="19"/>
        <v>30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t="shared" ca="1" si="20"/>
        <v>16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t="shared" ca="1" si="18"/>
        <v>101</v>
      </c>
      <c r="B444">
        <f t="shared" ca="1" si="19"/>
        <v>19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1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696</v>
      </c>
      <c r="B445">
        <f t="shared" ca="1" si="19"/>
        <v>19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5">
        <f t="shared" ca="1" si="20"/>
        <v>26</v>
      </c>
      <c r="E445">
        <f ca="1">IF(dict_zuord_Meth_Per[[#This Row],[kval_active]],dict_zuord_Meth_Per[[#This Row],[ID_Persons]],"")</f>
        <v>19</v>
      </c>
    </row>
    <row r="446" spans="1:5" x14ac:dyDescent="0.45">
      <c r="A446">
        <f t="shared" ca="1" si="18"/>
        <v>327</v>
      </c>
      <c r="B446">
        <f t="shared" ca="1" si="19"/>
        <v>26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24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288</v>
      </c>
      <c r="B447">
        <f t="shared" ca="1" si="19"/>
        <v>26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5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65</v>
      </c>
      <c r="B448">
        <f t="shared" ca="1" si="19"/>
        <v>21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2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700</v>
      </c>
      <c r="B449">
        <f t="shared" ca="1" si="19"/>
        <v>7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t="shared" ca="1" si="20"/>
        <v>13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t="shared" ref="A450:A500" ca="1" si="21">RANDBETWEEN(0,700)</f>
        <v>77</v>
      </c>
      <c r="B450">
        <f t="shared" ref="B450:B500" ca="1" si="22">RANDBETWEEN(0,30)</f>
        <v>21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t="shared" ref="D450:D500" ca="1" si="23">RANDBETWEEN(0,30)</f>
        <v>2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t="shared" ca="1" si="21"/>
        <v>345</v>
      </c>
      <c r="B451">
        <f t="shared" ca="1" si="22"/>
        <v>2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24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467</v>
      </c>
      <c r="B452">
        <f t="shared" ca="1" si="22"/>
        <v>7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2">
        <f t="shared" ca="1" si="23"/>
        <v>28</v>
      </c>
      <c r="E452" t="str">
        <f ca="1">IF(dict_zuord_Meth_Per[[#This Row],[kval_active]],dict_zuord_Meth_Per[[#This Row],[ID_Persons]],"")</f>
        <v/>
      </c>
    </row>
    <row r="453" spans="1:5" x14ac:dyDescent="0.45">
      <c r="A453">
        <f t="shared" ca="1" si="21"/>
        <v>571</v>
      </c>
      <c r="B453">
        <f t="shared" ca="1" si="22"/>
        <v>21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3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274</v>
      </c>
      <c r="B454">
        <f t="shared" ca="1" si="22"/>
        <v>15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13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446</v>
      </c>
      <c r="B455">
        <f t="shared" ca="1" si="22"/>
        <v>3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13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178</v>
      </c>
      <c r="B456">
        <f t="shared" ca="1" si="22"/>
        <v>14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6">
        <f t="shared" ca="1" si="23"/>
        <v>27</v>
      </c>
      <c r="E456">
        <f ca="1">IF(dict_zuord_Meth_Per[[#This Row],[kval_active]],dict_zuord_Meth_Per[[#This Row],[ID_Persons]],"")</f>
        <v>14</v>
      </c>
    </row>
    <row r="457" spans="1:5" x14ac:dyDescent="0.45">
      <c r="A457">
        <f t="shared" ca="1" si="21"/>
        <v>356</v>
      </c>
      <c r="B457">
        <f t="shared" ca="1" si="22"/>
        <v>25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t="shared" ca="1" si="23"/>
        <v>12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t="shared" ca="1" si="21"/>
        <v>334</v>
      </c>
      <c r="B458">
        <f t="shared" ca="1" si="22"/>
        <v>0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20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546</v>
      </c>
      <c r="B459">
        <f t="shared" ca="1" si="22"/>
        <v>7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0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80</v>
      </c>
      <c r="B460">
        <f t="shared" ca="1" si="22"/>
        <v>26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15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605</v>
      </c>
      <c r="B461">
        <f t="shared" ca="1" si="22"/>
        <v>23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6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601</v>
      </c>
      <c r="B462">
        <f t="shared" ca="1" si="22"/>
        <v>21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13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110</v>
      </c>
      <c r="B463">
        <f t="shared" ca="1" si="22"/>
        <v>22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6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165</v>
      </c>
      <c r="B464">
        <f t="shared" ca="1" si="22"/>
        <v>24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5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414</v>
      </c>
      <c r="B465">
        <f t="shared" ca="1" si="22"/>
        <v>11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t="shared" ca="1" si="23"/>
        <v>29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t="shared" ca="1" si="21"/>
        <v>509</v>
      </c>
      <c r="B466">
        <f t="shared" ca="1" si="22"/>
        <v>21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24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79</v>
      </c>
      <c r="B467">
        <f t="shared" ca="1" si="22"/>
        <v>12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10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77</v>
      </c>
      <c r="B468">
        <f t="shared" ca="1" si="22"/>
        <v>10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5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331</v>
      </c>
      <c r="B469">
        <f t="shared" ca="1" si="22"/>
        <v>9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26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22</v>
      </c>
      <c r="B470">
        <f t="shared" ca="1" si="22"/>
        <v>12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t="shared" ca="1" si="23"/>
        <v>18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t="shared" ca="1" si="21"/>
        <v>450</v>
      </c>
      <c r="B471">
        <f t="shared" ca="1" si="22"/>
        <v>22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1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253</v>
      </c>
      <c r="B472">
        <f t="shared" ca="1" si="22"/>
        <v>4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11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406</v>
      </c>
      <c r="B473">
        <f t="shared" ca="1" si="22"/>
        <v>6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12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497</v>
      </c>
      <c r="B474">
        <f t="shared" ca="1" si="22"/>
        <v>15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t="shared" ca="1" si="23"/>
        <v>24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t="shared" ca="1" si="21"/>
        <v>298</v>
      </c>
      <c r="B475">
        <f t="shared" ca="1" si="22"/>
        <v>13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1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272</v>
      </c>
      <c r="B476">
        <f t="shared" ca="1" si="22"/>
        <v>1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22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606</v>
      </c>
      <c r="B477">
        <f t="shared" ca="1" si="22"/>
        <v>14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11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21</v>
      </c>
      <c r="B478">
        <f t="shared" ca="1" si="22"/>
        <v>22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14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329</v>
      </c>
      <c r="B479">
        <f t="shared" ca="1" si="22"/>
        <v>13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3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312</v>
      </c>
      <c r="B480">
        <f t="shared" ca="1" si="22"/>
        <v>19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16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237</v>
      </c>
      <c r="B481">
        <f t="shared" ca="1" si="22"/>
        <v>27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20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617</v>
      </c>
      <c r="B482">
        <f t="shared" ca="1" si="22"/>
        <v>21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25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523</v>
      </c>
      <c r="B483">
        <f t="shared" ca="1" si="22"/>
        <v>25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t="shared" ca="1" si="23"/>
        <v>16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t="shared" ca="1" si="21"/>
        <v>212</v>
      </c>
      <c r="B484">
        <f t="shared" ca="1" si="22"/>
        <v>9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29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380</v>
      </c>
      <c r="B485">
        <f t="shared" ca="1" si="22"/>
        <v>0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13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402</v>
      </c>
      <c r="B486">
        <f t="shared" ca="1" si="22"/>
        <v>19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t="shared" ca="1" si="23"/>
        <v>19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t="shared" ca="1" si="21"/>
        <v>29</v>
      </c>
      <c r="B487">
        <f t="shared" ca="1" si="22"/>
        <v>17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3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133</v>
      </c>
      <c r="B488">
        <f t="shared" ca="1" si="22"/>
        <v>19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t="shared" ca="1" si="23"/>
        <v>25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t="shared" ca="1" si="21"/>
        <v>646</v>
      </c>
      <c r="B489">
        <f t="shared" ca="1" si="22"/>
        <v>29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t="shared" ca="1" si="23"/>
        <v>26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t="shared" ca="1" si="21"/>
        <v>100</v>
      </c>
      <c r="B490">
        <f t="shared" ca="1" si="22"/>
        <v>11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27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219</v>
      </c>
      <c r="B491">
        <f t="shared" ca="1" si="22"/>
        <v>8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14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82</v>
      </c>
      <c r="B492">
        <f t="shared" ca="1" si="22"/>
        <v>5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12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398</v>
      </c>
      <c r="B493">
        <f t="shared" ca="1" si="22"/>
        <v>13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3">
        <f t="shared" ca="1" si="23"/>
        <v>2</v>
      </c>
      <c r="E493" t="str">
        <f ca="1">IF(dict_zuord_Meth_Per[[#This Row],[kval_active]],dict_zuord_Meth_Per[[#This Row],[ID_Persons]],"")</f>
        <v/>
      </c>
    </row>
    <row r="494" spans="1:5" x14ac:dyDescent="0.45">
      <c r="A494">
        <f t="shared" ca="1" si="21"/>
        <v>72</v>
      </c>
      <c r="B494">
        <f t="shared" ca="1" si="22"/>
        <v>5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12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202</v>
      </c>
      <c r="B495">
        <f t="shared" ca="1" si="22"/>
        <v>23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5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159</v>
      </c>
      <c r="B496">
        <f t="shared" ca="1" si="22"/>
        <v>16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3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40</v>
      </c>
      <c r="B497">
        <f t="shared" ca="1" si="22"/>
        <v>8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10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210</v>
      </c>
      <c r="B498">
        <f t="shared" ca="1" si="22"/>
        <v>6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23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664</v>
      </c>
      <c r="B499">
        <f t="shared" ca="1" si="22"/>
        <v>8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19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1</v>
      </c>
      <c r="B500">
        <f t="shared" ca="1" si="22"/>
        <v>29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26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E14" sqref="E14"/>
    </sheetView>
    <sheetView workbookViewId="1">
      <selection activeCell="D3" sqref="D3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350</v>
      </c>
    </row>
    <row r="2" spans="1:4" x14ac:dyDescent="0.45">
      <c r="C2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Row],[ID_Positions]])),SUMPRODUCT(SUBTOTAL(103,OFFSET(table_Methods[ID],ROW(table_Methods[ID])-MIN(ROW(table_Methods[ID])),,1))*INDEX(table_Methods[kval_active],MATCH(dict_zuord_Meth_Pos[[#This Row],[ID_Methods]],table_Methods[ID],0))))&gt;0,TRUE,FALSE)</f>
        <v>0</v>
      </c>
      <c r="D2" t="str">
        <f ca="1">IF(dict_zuord_Meth_Pos[[#This Row],[kval_active]],dict_zuord_Meth_Pos[[#This Row],[ID_Positions]],"")</f>
        <v/>
      </c>
    </row>
    <row r="3" spans="1:4" x14ac:dyDescent="0.45">
      <c r="C3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Row],[ID_Positions]])),SUMPRODUCT(SUBTOTAL(103,OFFSET(table_Methods[ID],ROW(table_Methods[ID])-MIN(ROW(table_Methods[ID])),,1))*INDEX(table_Methods[kval_active],MATCH(dict_zuord_Meth_Pos[[#This Row],[ID_Methods]],table_Methods[ID],0))))&gt;0,TRUE,FALSE)</f>
        <v>0</v>
      </c>
      <c r="D3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07"/>
  <sheetViews>
    <sheetView topLeftCell="A43" workbookViewId="0">
      <selection activeCell="C2077" sqref="C2077"/>
    </sheetView>
    <sheetView topLeftCell="A268" workbookViewId="1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350</v>
      </c>
    </row>
    <row r="2" spans="1:4" x14ac:dyDescent="0.45">
      <c r="A2">
        <v>0</v>
      </c>
      <c r="B2">
        <f t="shared" ref="B2:B65" ca="1" si="0">RANDBETWEEN(0,200)</f>
        <v>183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15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102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107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57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160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100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63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51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186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86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30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61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" t="str">
        <f ca="1">IF(dict_zuord_Meth_Transfers[[#This Row],[kval_active]],dict_zuord_Meth_Transfers[[#This Row],[ID_Transfers]],"")</f>
        <v/>
      </c>
    </row>
    <row r="15" spans="1:4" x14ac:dyDescent="0.45">
      <c r="A15">
        <v>2</v>
      </c>
      <c r="B15" s="3">
        <f t="shared" ca="1" si="0"/>
        <v>57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" t="str">
        <f ca="1">IF(dict_zuord_Meth_Transfers[[#This Row],[kval_active]],dict_zuord_Meth_Transfers[[#This Row],[ID_Transfers]],"")</f>
        <v/>
      </c>
    </row>
    <row r="16" spans="1:4" x14ac:dyDescent="0.45">
      <c r="A16">
        <v>2</v>
      </c>
      <c r="B16" s="3">
        <f t="shared" ca="1" si="0"/>
        <v>111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" t="str">
        <f ca="1">IF(dict_zuord_Meth_Transfers[[#This Row],[kval_active]],dict_zuord_Meth_Transfers[[#This Row],[ID_Transfers]],"")</f>
        <v/>
      </c>
    </row>
    <row r="17" spans="1:4" x14ac:dyDescent="0.45">
      <c r="A17">
        <v>2</v>
      </c>
      <c r="B17" s="3">
        <f t="shared" ca="1" si="0"/>
        <v>104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" t="str">
        <f ca="1">IF(dict_zuord_Meth_Transfers[[#This Row],[kval_active]],dict_zuord_Meth_Transfers[[#This Row],[ID_Transfers]],"")</f>
        <v/>
      </c>
    </row>
    <row r="18" spans="1:4" x14ac:dyDescent="0.45">
      <c r="A18">
        <v>2</v>
      </c>
      <c r="B18">
        <f t="shared" ca="1" si="0"/>
        <v>36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" t="str">
        <f ca="1">IF(dict_zuord_Meth_Transfers[[#This Row],[kval_active]],dict_zuord_Meth_Transfers[[#This Row],[ID_Transfers]],"")</f>
        <v/>
      </c>
    </row>
    <row r="19" spans="1:4" x14ac:dyDescent="0.45">
      <c r="A19">
        <v>2</v>
      </c>
      <c r="B19">
        <f t="shared" ca="1" si="0"/>
        <v>94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" t="str">
        <f ca="1">IF(dict_zuord_Meth_Transfers[[#This Row],[kval_active]],dict_zuord_Meth_Transfers[[#This Row],[ID_Transfers]],"")</f>
        <v/>
      </c>
    </row>
    <row r="20" spans="1:4" x14ac:dyDescent="0.45">
      <c r="A20">
        <v>3</v>
      </c>
      <c r="B20" s="3">
        <f t="shared" ca="1" si="0"/>
        <v>112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" t="str">
        <f ca="1">IF(dict_zuord_Meth_Transfers[[#This Row],[kval_active]],dict_zuord_Meth_Transfers[[#This Row],[ID_Transfers]],"")</f>
        <v/>
      </c>
    </row>
    <row r="21" spans="1:4" x14ac:dyDescent="0.45">
      <c r="A21">
        <v>3</v>
      </c>
      <c r="B21">
        <f t="shared" ca="1" si="0"/>
        <v>198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" t="str">
        <f ca="1">IF(dict_zuord_Meth_Transfers[[#This Row],[kval_active]],dict_zuord_Meth_Transfers[[#This Row],[ID_Transfers]],"")</f>
        <v/>
      </c>
    </row>
    <row r="22" spans="1:4" x14ac:dyDescent="0.45">
      <c r="A22">
        <v>3</v>
      </c>
      <c r="B22" s="3">
        <f t="shared" ca="1" si="0"/>
        <v>83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" t="str">
        <f ca="1">IF(dict_zuord_Meth_Transfers[[#This Row],[kval_active]],dict_zuord_Meth_Transfers[[#This Row],[ID_Transfers]],"")</f>
        <v/>
      </c>
    </row>
    <row r="23" spans="1:4" x14ac:dyDescent="0.45">
      <c r="A23">
        <v>3</v>
      </c>
      <c r="B23">
        <f t="shared" ca="1" si="0"/>
        <v>141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" t="str">
        <f ca="1">IF(dict_zuord_Meth_Transfers[[#This Row],[kval_active]],dict_zuord_Meth_Transfers[[#This Row],[ID_Transfers]],"")</f>
        <v/>
      </c>
    </row>
    <row r="24" spans="1:4" x14ac:dyDescent="0.45">
      <c r="A24">
        <v>3</v>
      </c>
      <c r="B24">
        <f t="shared" ca="1" si="0"/>
        <v>143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" t="str">
        <f ca="1">IF(dict_zuord_Meth_Transfers[[#This Row],[kval_active]],dict_zuord_Meth_Transfers[[#This Row],[ID_Transfers]],"")</f>
        <v/>
      </c>
    </row>
    <row r="25" spans="1:4" x14ac:dyDescent="0.45">
      <c r="A25">
        <v>3</v>
      </c>
      <c r="B25" s="3">
        <f t="shared" ca="1" si="0"/>
        <v>55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" t="str">
        <f ca="1">IF(dict_zuord_Meth_Transfers[[#This Row],[kval_active]],dict_zuord_Meth_Transfers[[#This Row],[ID_Transfers]],"")</f>
        <v/>
      </c>
    </row>
    <row r="26" spans="1:4" x14ac:dyDescent="0.45">
      <c r="A26">
        <v>4</v>
      </c>
      <c r="B26">
        <f t="shared" ca="1" si="0"/>
        <v>116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" t="str">
        <f ca="1">IF(dict_zuord_Meth_Transfers[[#This Row],[kval_active]],dict_zuord_Meth_Transfers[[#This Row],[ID_Transfers]],"")</f>
        <v/>
      </c>
    </row>
    <row r="27" spans="1:4" x14ac:dyDescent="0.45">
      <c r="A27">
        <v>4</v>
      </c>
      <c r="B27">
        <f t="shared" ca="1" si="0"/>
        <v>28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" t="str">
        <f ca="1">IF(dict_zuord_Meth_Transfers[[#This Row],[kval_active]],dict_zuord_Meth_Transfers[[#This Row],[ID_Transfers]],"")</f>
        <v/>
      </c>
    </row>
    <row r="28" spans="1:4" x14ac:dyDescent="0.45">
      <c r="A28">
        <v>4</v>
      </c>
      <c r="B28">
        <f t="shared" ca="1" si="0"/>
        <v>17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" t="str">
        <f ca="1">IF(dict_zuord_Meth_Transfers[[#This Row],[kval_active]],dict_zuord_Meth_Transfers[[#This Row],[ID_Transfers]],"")</f>
        <v/>
      </c>
    </row>
    <row r="29" spans="1:4" x14ac:dyDescent="0.45">
      <c r="A29">
        <v>4</v>
      </c>
      <c r="B29" s="3">
        <f t="shared" ca="1" si="0"/>
        <v>100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" t="str">
        <f ca="1">IF(dict_zuord_Meth_Transfers[[#This Row],[kval_active]],dict_zuord_Meth_Transfers[[#This Row],[ID_Transfers]],"")</f>
        <v/>
      </c>
    </row>
    <row r="30" spans="1:4" x14ac:dyDescent="0.45">
      <c r="A30">
        <v>4</v>
      </c>
      <c r="B30" s="3">
        <f t="shared" ca="1" si="0"/>
        <v>62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" t="str">
        <f ca="1">IF(dict_zuord_Meth_Transfers[[#This Row],[kval_active]],dict_zuord_Meth_Transfers[[#This Row],[ID_Transfers]],"")</f>
        <v/>
      </c>
    </row>
    <row r="31" spans="1:4" x14ac:dyDescent="0.45">
      <c r="A31">
        <v>4</v>
      </c>
      <c r="B31" s="3">
        <f t="shared" ca="1" si="0"/>
        <v>79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" t="str">
        <f ca="1">IF(dict_zuord_Meth_Transfers[[#This Row],[kval_active]],dict_zuord_Meth_Transfers[[#This Row],[ID_Transfers]],"")</f>
        <v/>
      </c>
    </row>
    <row r="32" spans="1:4" x14ac:dyDescent="0.45">
      <c r="A32">
        <v>5</v>
      </c>
      <c r="B32" s="3">
        <f t="shared" ca="1" si="0"/>
        <v>68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98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13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21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167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29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183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138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32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58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141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53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136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" t="str">
        <f ca="1">IF(dict_zuord_Meth_Transfers[[#This Row],[kval_active]],dict_zuord_Meth_Transfers[[#This Row],[ID_Transfers]],"")</f>
        <v/>
      </c>
    </row>
    <row r="45" spans="1:4" x14ac:dyDescent="0.45">
      <c r="A45">
        <v>7</v>
      </c>
      <c r="B45" s="3">
        <f t="shared" ca="1" si="0"/>
        <v>32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" t="str">
        <f ca="1">IF(dict_zuord_Meth_Transfers[[#This Row],[kval_active]],dict_zuord_Meth_Transfers[[#This Row],[ID_Transfers]],"")</f>
        <v/>
      </c>
    </row>
    <row r="46" spans="1:4" x14ac:dyDescent="0.45">
      <c r="A46">
        <v>7</v>
      </c>
      <c r="B46">
        <f t="shared" ca="1" si="0"/>
        <v>186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" t="str">
        <f ca="1">IF(dict_zuord_Meth_Transfers[[#This Row],[kval_active]],dict_zuord_Meth_Transfers[[#This Row],[ID_Transfers]],"")</f>
        <v/>
      </c>
    </row>
    <row r="47" spans="1:4" x14ac:dyDescent="0.45">
      <c r="A47">
        <v>7</v>
      </c>
      <c r="B47" s="3">
        <f t="shared" ca="1" si="0"/>
        <v>62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" t="str">
        <f ca="1">IF(dict_zuord_Meth_Transfers[[#This Row],[kval_active]],dict_zuord_Meth_Transfers[[#This Row],[ID_Transfers]],"")</f>
        <v/>
      </c>
    </row>
    <row r="48" spans="1:4" x14ac:dyDescent="0.45">
      <c r="A48">
        <v>7</v>
      </c>
      <c r="B48">
        <f t="shared" ca="1" si="0"/>
        <v>97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" t="str">
        <f ca="1">IF(dict_zuord_Meth_Transfers[[#This Row],[kval_active]],dict_zuord_Meth_Transfers[[#This Row],[ID_Transfers]],"")</f>
        <v/>
      </c>
    </row>
    <row r="49" spans="1:4" x14ac:dyDescent="0.45">
      <c r="A49">
        <v>7</v>
      </c>
      <c r="B49" s="3">
        <f t="shared" ca="1" si="0"/>
        <v>53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" t="str">
        <f ca="1">IF(dict_zuord_Meth_Transfers[[#This Row],[kval_active]],dict_zuord_Meth_Transfers[[#This Row],[ID_Transfers]],"")</f>
        <v/>
      </c>
    </row>
    <row r="50" spans="1:4" x14ac:dyDescent="0.45">
      <c r="A50">
        <v>8</v>
      </c>
      <c r="B50" s="3">
        <f t="shared" ca="1" si="0"/>
        <v>25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" t="str">
        <f ca="1">IF(dict_zuord_Meth_Transfers[[#This Row],[kval_active]],dict_zuord_Meth_Transfers[[#This Row],[ID_Transfers]],"")</f>
        <v/>
      </c>
    </row>
    <row r="51" spans="1:4" x14ac:dyDescent="0.45">
      <c r="A51">
        <v>8</v>
      </c>
      <c r="B51" s="3">
        <f t="shared" ca="1" si="0"/>
        <v>143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" t="str">
        <f ca="1">IF(dict_zuord_Meth_Transfers[[#This Row],[kval_active]],dict_zuord_Meth_Transfers[[#This Row],[ID_Transfers]],"")</f>
        <v/>
      </c>
    </row>
    <row r="52" spans="1:4" x14ac:dyDescent="0.45">
      <c r="A52">
        <v>8</v>
      </c>
      <c r="B52" s="3">
        <f t="shared" ca="1" si="0"/>
        <v>157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" t="str">
        <f ca="1">IF(dict_zuord_Meth_Transfers[[#This Row],[kval_active]],dict_zuord_Meth_Transfers[[#This Row],[ID_Transfers]],"")</f>
        <v/>
      </c>
    </row>
    <row r="53" spans="1:4" x14ac:dyDescent="0.45">
      <c r="A53">
        <v>8</v>
      </c>
      <c r="B53">
        <f t="shared" ca="1" si="0"/>
        <v>52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" t="str">
        <f ca="1">IF(dict_zuord_Meth_Transfers[[#This Row],[kval_active]],dict_zuord_Meth_Transfers[[#This Row],[ID_Transfers]],"")</f>
        <v/>
      </c>
    </row>
    <row r="54" spans="1:4" x14ac:dyDescent="0.45">
      <c r="A54">
        <v>8</v>
      </c>
      <c r="B54">
        <f t="shared" ca="1" si="0"/>
        <v>23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" t="str">
        <f ca="1">IF(dict_zuord_Meth_Transfers[[#This Row],[kval_active]],dict_zuord_Meth_Transfers[[#This Row],[ID_Transfers]],"")</f>
        <v/>
      </c>
    </row>
    <row r="55" spans="1:4" x14ac:dyDescent="0.45">
      <c r="A55">
        <v>8</v>
      </c>
      <c r="B55">
        <f t="shared" ca="1" si="0"/>
        <v>171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" t="str">
        <f ca="1">IF(dict_zuord_Meth_Transfers[[#This Row],[kval_active]],dict_zuord_Meth_Transfers[[#This Row],[ID_Transfers]],"")</f>
        <v/>
      </c>
    </row>
    <row r="56" spans="1:4" x14ac:dyDescent="0.45">
      <c r="A56">
        <v>9</v>
      </c>
      <c r="B56">
        <f t="shared" ca="1" si="0"/>
        <v>198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106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164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132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47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152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193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14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190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59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59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108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185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49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197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65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135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168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81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" t="str">
        <f ca="1">IF(dict_zuord_Meth_Transfers[[#This Row],[kval_active]],dict_zuord_Meth_Transfers[[#This Row],[ID_Transfers]],"")</f>
        <v/>
      </c>
    </row>
    <row r="75" spans="1:4" x14ac:dyDescent="0.45">
      <c r="A75">
        <v>12</v>
      </c>
      <c r="B75" s="3">
        <f t="shared" ca="1" si="1"/>
        <v>57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" t="str">
        <f ca="1">IF(dict_zuord_Meth_Transfers[[#This Row],[kval_active]],dict_zuord_Meth_Transfers[[#This Row],[ID_Transfers]],"")</f>
        <v/>
      </c>
    </row>
    <row r="76" spans="1:4" x14ac:dyDescent="0.45">
      <c r="A76">
        <v>12</v>
      </c>
      <c r="B76" s="3">
        <f t="shared" ca="1" si="1"/>
        <v>27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" t="str">
        <f ca="1">IF(dict_zuord_Meth_Transfers[[#This Row],[kval_active]],dict_zuord_Meth_Transfers[[#This Row],[ID_Transfers]],"")</f>
        <v/>
      </c>
    </row>
    <row r="77" spans="1:4" x14ac:dyDescent="0.45">
      <c r="A77">
        <v>12</v>
      </c>
      <c r="B77">
        <f t="shared" ca="1" si="1"/>
        <v>47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" t="str">
        <f ca="1">IF(dict_zuord_Meth_Transfers[[#This Row],[kval_active]],dict_zuord_Meth_Transfers[[#This Row],[ID_Transfers]],"")</f>
        <v/>
      </c>
    </row>
    <row r="78" spans="1:4" x14ac:dyDescent="0.45">
      <c r="A78">
        <v>12</v>
      </c>
      <c r="B78" s="3">
        <f t="shared" ca="1" si="1"/>
        <v>142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" t="str">
        <f ca="1">IF(dict_zuord_Meth_Transfers[[#This Row],[kval_active]],dict_zuord_Meth_Transfers[[#This Row],[ID_Transfers]],"")</f>
        <v/>
      </c>
    </row>
    <row r="79" spans="1:4" x14ac:dyDescent="0.45">
      <c r="A79">
        <v>12</v>
      </c>
      <c r="B79">
        <f t="shared" ca="1" si="1"/>
        <v>135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" t="str">
        <f ca="1">IF(dict_zuord_Meth_Transfers[[#This Row],[kval_active]],dict_zuord_Meth_Transfers[[#This Row],[ID_Transfers]],"")</f>
        <v/>
      </c>
    </row>
    <row r="80" spans="1:4" x14ac:dyDescent="0.45">
      <c r="A80">
        <v>13</v>
      </c>
      <c r="B80">
        <f t="shared" ca="1" si="1"/>
        <v>59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93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24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9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24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132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53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52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89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56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21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192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111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61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194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190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162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8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151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135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143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42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81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126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43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193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14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62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131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133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23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" t="str">
        <f ca="1">IF(dict_zuord_Meth_Transfers[[#This Row],[kval_active]],dict_zuord_Meth_Transfers[[#This Row],[ID_Transfers]],"")</f>
        <v/>
      </c>
    </row>
    <row r="111" spans="1:4" x14ac:dyDescent="0.45">
      <c r="A111">
        <v>18</v>
      </c>
      <c r="B111">
        <f t="shared" ca="1" si="1"/>
        <v>37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" t="str">
        <f ca="1">IF(dict_zuord_Meth_Transfers[[#This Row],[kval_active]],dict_zuord_Meth_Transfers[[#This Row],[ID_Transfers]],"")</f>
        <v/>
      </c>
    </row>
    <row r="112" spans="1:4" x14ac:dyDescent="0.45">
      <c r="A112">
        <v>18</v>
      </c>
      <c r="B112" s="3">
        <f t="shared" ca="1" si="1"/>
        <v>160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" t="str">
        <f ca="1">IF(dict_zuord_Meth_Transfers[[#This Row],[kval_active]],dict_zuord_Meth_Transfers[[#This Row],[ID_Transfers]],"")</f>
        <v/>
      </c>
    </row>
    <row r="113" spans="1:4" x14ac:dyDescent="0.45">
      <c r="A113">
        <v>18</v>
      </c>
      <c r="B113" s="3">
        <f t="shared" ca="1" si="1"/>
        <v>170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" t="str">
        <f ca="1">IF(dict_zuord_Meth_Transfers[[#This Row],[kval_active]],dict_zuord_Meth_Transfers[[#This Row],[ID_Transfers]],"")</f>
        <v/>
      </c>
    </row>
    <row r="114" spans="1:4" x14ac:dyDescent="0.45">
      <c r="A114">
        <v>18</v>
      </c>
      <c r="B114">
        <f t="shared" ca="1" si="1"/>
        <v>62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" t="str">
        <f ca="1">IF(dict_zuord_Meth_Transfers[[#This Row],[kval_active]],dict_zuord_Meth_Transfers[[#This Row],[ID_Transfers]],"")</f>
        <v/>
      </c>
    </row>
    <row r="115" spans="1:4" x14ac:dyDescent="0.45">
      <c r="A115">
        <v>18</v>
      </c>
      <c r="B115">
        <f t="shared" ca="1" si="1"/>
        <v>140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" t="str">
        <f ca="1">IF(dict_zuord_Meth_Transfers[[#This Row],[kval_active]],dict_zuord_Meth_Transfers[[#This Row],[ID_Transfers]],"")</f>
        <v/>
      </c>
    </row>
    <row r="116" spans="1:4" x14ac:dyDescent="0.45">
      <c r="A116">
        <v>19</v>
      </c>
      <c r="B116" s="3">
        <f t="shared" ca="1" si="1"/>
        <v>1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7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21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185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164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184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112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22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171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110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83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58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49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83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57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59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59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36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53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" t="str">
        <f ca="1">IF(dict_zuord_Meth_Transfers[[#This Row],[kval_active]],dict_zuord_Meth_Transfers[[#This Row],[ID_Transfers]],"")</f>
        <v/>
      </c>
    </row>
    <row r="135" spans="1:4" x14ac:dyDescent="0.45">
      <c r="A135">
        <v>22</v>
      </c>
      <c r="B135">
        <f t="shared" ca="1" si="2"/>
        <v>180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" t="str">
        <f ca="1">IF(dict_zuord_Meth_Transfers[[#This Row],[kval_active]],dict_zuord_Meth_Transfers[[#This Row],[ID_Transfers]],"")</f>
        <v/>
      </c>
    </row>
    <row r="136" spans="1:4" x14ac:dyDescent="0.45">
      <c r="A136">
        <v>22</v>
      </c>
      <c r="B136" s="3">
        <f t="shared" ca="1" si="2"/>
        <v>76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" t="str">
        <f ca="1">IF(dict_zuord_Meth_Transfers[[#This Row],[kval_active]],dict_zuord_Meth_Transfers[[#This Row],[ID_Transfers]],"")</f>
        <v/>
      </c>
    </row>
    <row r="137" spans="1:4" x14ac:dyDescent="0.45">
      <c r="A137">
        <v>22</v>
      </c>
      <c r="B137" s="3">
        <f t="shared" ca="1" si="2"/>
        <v>188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" t="str">
        <f ca="1">IF(dict_zuord_Meth_Transfers[[#This Row],[kval_active]],dict_zuord_Meth_Transfers[[#This Row],[ID_Transfers]],"")</f>
        <v/>
      </c>
    </row>
    <row r="138" spans="1:4" x14ac:dyDescent="0.45">
      <c r="A138">
        <v>22</v>
      </c>
      <c r="B138" s="3">
        <f t="shared" ca="1" si="2"/>
        <v>131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" t="str">
        <f ca="1">IF(dict_zuord_Meth_Transfers[[#This Row],[kval_active]],dict_zuord_Meth_Transfers[[#This Row],[ID_Transfers]],"")</f>
        <v/>
      </c>
    </row>
    <row r="139" spans="1:4" x14ac:dyDescent="0.45">
      <c r="A139">
        <v>22</v>
      </c>
      <c r="B139">
        <f t="shared" ca="1" si="2"/>
        <v>131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" t="str">
        <f ca="1">IF(dict_zuord_Meth_Transfers[[#This Row],[kval_active]],dict_zuord_Meth_Transfers[[#This Row],[ID_Transfers]],"")</f>
        <v/>
      </c>
    </row>
    <row r="140" spans="1:4" x14ac:dyDescent="0.45">
      <c r="A140">
        <v>23</v>
      </c>
      <c r="B140" s="3">
        <f t="shared" ca="1" si="2"/>
        <v>28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96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5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64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15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27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144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" t="str">
        <f ca="1">IF(dict_zuord_Meth_Transfers[[#This Row],[kval_active]],dict_zuord_Meth_Transfers[[#This Row],[ID_Transfers]],"")</f>
        <v/>
      </c>
    </row>
    <row r="147" spans="1:4" x14ac:dyDescent="0.45">
      <c r="A147">
        <v>24</v>
      </c>
      <c r="B147">
        <f t="shared" ca="1" si="2"/>
        <v>98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" t="str">
        <f ca="1">IF(dict_zuord_Meth_Transfers[[#This Row],[kval_active]],dict_zuord_Meth_Transfers[[#This Row],[ID_Transfers]],"")</f>
        <v/>
      </c>
    </row>
    <row r="148" spans="1:4" x14ac:dyDescent="0.45">
      <c r="A148">
        <v>24</v>
      </c>
      <c r="B148" s="3">
        <f t="shared" ca="1" si="2"/>
        <v>51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" t="str">
        <f ca="1">IF(dict_zuord_Meth_Transfers[[#This Row],[kval_active]],dict_zuord_Meth_Transfers[[#This Row],[ID_Transfers]],"")</f>
        <v/>
      </c>
    </row>
    <row r="149" spans="1:4" x14ac:dyDescent="0.45">
      <c r="A149">
        <v>24</v>
      </c>
      <c r="B149" s="3">
        <f t="shared" ca="1" si="2"/>
        <v>187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" t="str">
        <f ca="1">IF(dict_zuord_Meth_Transfers[[#This Row],[kval_active]],dict_zuord_Meth_Transfers[[#This Row],[ID_Transfers]],"")</f>
        <v/>
      </c>
    </row>
    <row r="150" spans="1:4" x14ac:dyDescent="0.45">
      <c r="A150">
        <v>24</v>
      </c>
      <c r="B150">
        <f t="shared" ca="1" si="2"/>
        <v>119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" t="str">
        <f ca="1">IF(dict_zuord_Meth_Transfers[[#This Row],[kval_active]],dict_zuord_Meth_Transfers[[#This Row],[ID_Transfers]],"")</f>
        <v/>
      </c>
    </row>
    <row r="151" spans="1:4" x14ac:dyDescent="0.45">
      <c r="A151">
        <v>24</v>
      </c>
      <c r="B151" s="3">
        <f t="shared" ca="1" si="2"/>
        <v>12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" t="str">
        <f ca="1">IF(dict_zuord_Meth_Transfers[[#This Row],[kval_active]],dict_zuord_Meth_Transfers[[#This Row],[ID_Transfers]],"")</f>
        <v/>
      </c>
    </row>
    <row r="152" spans="1:4" x14ac:dyDescent="0.45">
      <c r="A152">
        <v>25</v>
      </c>
      <c r="B152" s="3">
        <f t="shared" ca="1" si="2"/>
        <v>186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33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12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79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92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25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141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96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83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157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79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191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80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" t="str">
        <f ca="1">IF(dict_zuord_Meth_Transfers[[#This Row],[kval_active]],dict_zuord_Meth_Transfers[[#This Row],[ID_Transfers]],"")</f>
        <v/>
      </c>
    </row>
    <row r="165" spans="1:4" x14ac:dyDescent="0.45">
      <c r="A165">
        <v>27</v>
      </c>
      <c r="B165">
        <f t="shared" ca="1" si="2"/>
        <v>14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" t="str">
        <f ca="1">IF(dict_zuord_Meth_Transfers[[#This Row],[kval_active]],dict_zuord_Meth_Transfers[[#This Row],[ID_Transfers]],"")</f>
        <v/>
      </c>
    </row>
    <row r="166" spans="1:4" x14ac:dyDescent="0.45">
      <c r="A166">
        <v>27</v>
      </c>
      <c r="B166" s="3">
        <f t="shared" ca="1" si="2"/>
        <v>14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" t="str">
        <f ca="1">IF(dict_zuord_Meth_Transfers[[#This Row],[kval_active]],dict_zuord_Meth_Transfers[[#This Row],[ID_Transfers]],"")</f>
        <v/>
      </c>
    </row>
    <row r="167" spans="1:4" x14ac:dyDescent="0.45">
      <c r="A167">
        <v>27</v>
      </c>
      <c r="B167">
        <f t="shared" ca="1" si="2"/>
        <v>107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" t="str">
        <f ca="1">IF(dict_zuord_Meth_Transfers[[#This Row],[kval_active]],dict_zuord_Meth_Transfers[[#This Row],[ID_Transfers]],"")</f>
        <v/>
      </c>
    </row>
    <row r="168" spans="1:4" x14ac:dyDescent="0.45">
      <c r="A168">
        <v>27</v>
      </c>
      <c r="B168">
        <f t="shared" ca="1" si="2"/>
        <v>25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" t="str">
        <f ca="1">IF(dict_zuord_Meth_Transfers[[#This Row],[kval_active]],dict_zuord_Meth_Transfers[[#This Row],[ID_Transfers]],"")</f>
        <v/>
      </c>
    </row>
    <row r="169" spans="1:4" x14ac:dyDescent="0.45">
      <c r="A169">
        <v>27</v>
      </c>
      <c r="B169" s="3">
        <f t="shared" ca="1" si="2"/>
        <v>172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" t="str">
        <f ca="1">IF(dict_zuord_Meth_Transfers[[#This Row],[kval_active]],dict_zuord_Meth_Transfers[[#This Row],[ID_Transfers]],"")</f>
        <v/>
      </c>
    </row>
    <row r="170" spans="1:4" x14ac:dyDescent="0.45">
      <c r="A170">
        <v>28</v>
      </c>
      <c r="B170">
        <f t="shared" ca="1" si="2"/>
        <v>98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" t="str">
        <f ca="1">IF(dict_zuord_Meth_Transfers[[#This Row],[kval_active]],dict_zuord_Meth_Transfers[[#This Row],[ID_Transfers]],"")</f>
        <v/>
      </c>
    </row>
    <row r="171" spans="1:4" x14ac:dyDescent="0.45">
      <c r="A171">
        <v>28</v>
      </c>
      <c r="B171">
        <f t="shared" ca="1" si="2"/>
        <v>197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" t="str">
        <f ca="1">IF(dict_zuord_Meth_Transfers[[#This Row],[kval_active]],dict_zuord_Meth_Transfers[[#This Row],[ID_Transfers]],"")</f>
        <v/>
      </c>
    </row>
    <row r="172" spans="1:4" x14ac:dyDescent="0.45">
      <c r="A172">
        <v>28</v>
      </c>
      <c r="B172" s="3">
        <f t="shared" ca="1" si="2"/>
        <v>154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" t="str">
        <f ca="1">IF(dict_zuord_Meth_Transfers[[#This Row],[kval_active]],dict_zuord_Meth_Transfers[[#This Row],[ID_Transfers]],"")</f>
        <v/>
      </c>
    </row>
    <row r="173" spans="1:4" x14ac:dyDescent="0.45">
      <c r="A173">
        <v>28</v>
      </c>
      <c r="B173" s="3">
        <f t="shared" ca="1" si="2"/>
        <v>157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" t="str">
        <f ca="1">IF(dict_zuord_Meth_Transfers[[#This Row],[kval_active]],dict_zuord_Meth_Transfers[[#This Row],[ID_Transfers]],"")</f>
        <v/>
      </c>
    </row>
    <row r="174" spans="1:4" x14ac:dyDescent="0.45">
      <c r="A174">
        <v>28</v>
      </c>
      <c r="B174">
        <f t="shared" ca="1" si="2"/>
        <v>72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" t="str">
        <f ca="1">IF(dict_zuord_Meth_Transfers[[#This Row],[kval_active]],dict_zuord_Meth_Transfers[[#This Row],[ID_Transfers]],"")</f>
        <v/>
      </c>
    </row>
    <row r="175" spans="1:4" x14ac:dyDescent="0.45">
      <c r="A175">
        <v>28</v>
      </c>
      <c r="B175" s="3">
        <f t="shared" ca="1" si="2"/>
        <v>194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" t="str">
        <f ca="1">IF(dict_zuord_Meth_Transfers[[#This Row],[kval_active]],dict_zuord_Meth_Transfers[[#This Row],[ID_Transfers]],"")</f>
        <v/>
      </c>
    </row>
    <row r="176" spans="1:4" x14ac:dyDescent="0.45">
      <c r="A176">
        <v>29</v>
      </c>
      <c r="B176">
        <f t="shared" ca="1" si="2"/>
        <v>172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99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36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116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80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104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189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26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45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59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197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21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151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" t="str">
        <f ca="1">IF(dict_zuord_Meth_Transfers[[#This Row],[kval_active]],dict_zuord_Meth_Transfers[[#This Row],[ID_Transfers]],"")</f>
        <v/>
      </c>
    </row>
    <row r="189" spans="1:4" x14ac:dyDescent="0.45">
      <c r="A189">
        <v>31</v>
      </c>
      <c r="B189">
        <f t="shared" ca="1" si="2"/>
        <v>159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" t="str">
        <f ca="1">IF(dict_zuord_Meth_Transfers[[#This Row],[kval_active]],dict_zuord_Meth_Transfers[[#This Row],[ID_Transfers]],"")</f>
        <v/>
      </c>
    </row>
    <row r="190" spans="1:4" x14ac:dyDescent="0.45">
      <c r="A190">
        <v>31</v>
      </c>
      <c r="B190">
        <f t="shared" ca="1" si="2"/>
        <v>173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" t="str">
        <f ca="1">IF(dict_zuord_Meth_Transfers[[#This Row],[kval_active]],dict_zuord_Meth_Transfers[[#This Row],[ID_Transfers]],"")</f>
        <v/>
      </c>
    </row>
    <row r="191" spans="1:4" x14ac:dyDescent="0.45">
      <c r="A191">
        <v>31</v>
      </c>
      <c r="B191" s="3">
        <f t="shared" ca="1" si="2"/>
        <v>171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" t="str">
        <f ca="1">IF(dict_zuord_Meth_Transfers[[#This Row],[kval_active]],dict_zuord_Meth_Transfers[[#This Row],[ID_Transfers]],"")</f>
        <v/>
      </c>
    </row>
    <row r="192" spans="1:4" x14ac:dyDescent="0.45">
      <c r="A192">
        <v>31</v>
      </c>
      <c r="B192" s="3">
        <f t="shared" ca="1" si="2"/>
        <v>151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" t="str">
        <f ca="1">IF(dict_zuord_Meth_Transfers[[#This Row],[kval_active]],dict_zuord_Meth_Transfers[[#This Row],[ID_Transfers]],"")</f>
        <v/>
      </c>
    </row>
    <row r="193" spans="1:4" x14ac:dyDescent="0.45">
      <c r="A193">
        <v>31</v>
      </c>
      <c r="B193">
        <f t="shared" ca="1" si="2"/>
        <v>60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" t="str">
        <f ca="1">IF(dict_zuord_Meth_Transfers[[#This Row],[kval_active]],dict_zuord_Meth_Transfers[[#This Row],[ID_Transfers]],"")</f>
        <v/>
      </c>
    </row>
    <row r="194" spans="1:4" x14ac:dyDescent="0.45">
      <c r="A194">
        <v>32</v>
      </c>
      <c r="B194" s="3">
        <f t="shared" ref="B194:B257" ca="1" si="3">RANDBETWEEN(0,200)</f>
        <v>166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27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158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171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196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81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82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135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197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22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139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197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157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" t="str">
        <f ca="1">IF(dict_zuord_Meth_Transfers[[#This Row],[kval_active]],dict_zuord_Meth_Transfers[[#This Row],[ID_Transfers]],"")</f>
        <v/>
      </c>
    </row>
    <row r="207" spans="1:4" x14ac:dyDescent="0.45">
      <c r="A207">
        <v>34</v>
      </c>
      <c r="B207">
        <f t="shared" ca="1" si="3"/>
        <v>50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" t="str">
        <f ca="1">IF(dict_zuord_Meth_Transfers[[#This Row],[kval_active]],dict_zuord_Meth_Transfers[[#This Row],[ID_Transfers]],"")</f>
        <v/>
      </c>
    </row>
    <row r="208" spans="1:4" x14ac:dyDescent="0.45">
      <c r="A208">
        <v>34</v>
      </c>
      <c r="B208">
        <f t="shared" ca="1" si="3"/>
        <v>162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" t="str">
        <f ca="1">IF(dict_zuord_Meth_Transfers[[#This Row],[kval_active]],dict_zuord_Meth_Transfers[[#This Row],[ID_Transfers]],"")</f>
        <v/>
      </c>
    </row>
    <row r="209" spans="1:4" x14ac:dyDescent="0.45">
      <c r="A209">
        <v>34</v>
      </c>
      <c r="B209">
        <f t="shared" ca="1" si="3"/>
        <v>32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" t="str">
        <f ca="1">IF(dict_zuord_Meth_Transfers[[#This Row],[kval_active]],dict_zuord_Meth_Transfers[[#This Row],[ID_Transfers]],"")</f>
        <v/>
      </c>
    </row>
    <row r="210" spans="1:4" x14ac:dyDescent="0.45">
      <c r="A210">
        <v>34</v>
      </c>
      <c r="B210" s="3">
        <f t="shared" ca="1" si="3"/>
        <v>173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" t="str">
        <f ca="1">IF(dict_zuord_Meth_Transfers[[#This Row],[kval_active]],dict_zuord_Meth_Transfers[[#This Row],[ID_Transfers]],"")</f>
        <v/>
      </c>
    </row>
    <row r="211" spans="1:4" x14ac:dyDescent="0.45">
      <c r="A211">
        <v>34</v>
      </c>
      <c r="B211" s="3">
        <f t="shared" ca="1" si="3"/>
        <v>22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" t="str">
        <f ca="1">IF(dict_zuord_Meth_Transfers[[#This Row],[kval_active]],dict_zuord_Meth_Transfers[[#This Row],[ID_Transfers]],"")</f>
        <v/>
      </c>
    </row>
    <row r="212" spans="1:4" x14ac:dyDescent="0.45">
      <c r="A212">
        <v>35</v>
      </c>
      <c r="B212" s="3">
        <f t="shared" ca="1" si="3"/>
        <v>133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191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7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38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127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2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42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140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42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9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73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64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169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" t="str">
        <f ca="1">IF(dict_zuord_Meth_Transfers[[#This Row],[kval_active]],dict_zuord_Meth_Transfers[[#This Row],[ID_Transfers]],"")</f>
        <v/>
      </c>
    </row>
    <row r="225" spans="1:4" x14ac:dyDescent="0.45">
      <c r="A225">
        <v>37</v>
      </c>
      <c r="B225" s="3">
        <f t="shared" ca="1" si="3"/>
        <v>54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" t="str">
        <f ca="1">IF(dict_zuord_Meth_Transfers[[#This Row],[kval_active]],dict_zuord_Meth_Transfers[[#This Row],[ID_Transfers]],"")</f>
        <v/>
      </c>
    </row>
    <row r="226" spans="1:4" x14ac:dyDescent="0.45">
      <c r="A226">
        <v>37</v>
      </c>
      <c r="B226" s="3">
        <f t="shared" ca="1" si="3"/>
        <v>188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" t="str">
        <f ca="1">IF(dict_zuord_Meth_Transfers[[#This Row],[kval_active]],dict_zuord_Meth_Transfers[[#This Row],[ID_Transfers]],"")</f>
        <v/>
      </c>
    </row>
    <row r="227" spans="1:4" x14ac:dyDescent="0.45">
      <c r="A227">
        <v>37</v>
      </c>
      <c r="B227">
        <f t="shared" ca="1" si="3"/>
        <v>154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" t="str">
        <f ca="1">IF(dict_zuord_Meth_Transfers[[#This Row],[kval_active]],dict_zuord_Meth_Transfers[[#This Row],[ID_Transfers]],"")</f>
        <v/>
      </c>
    </row>
    <row r="228" spans="1:4" x14ac:dyDescent="0.45">
      <c r="A228">
        <v>37</v>
      </c>
      <c r="B228">
        <f t="shared" ca="1" si="3"/>
        <v>8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" t="str">
        <f ca="1">IF(dict_zuord_Meth_Transfers[[#This Row],[kval_active]],dict_zuord_Meth_Transfers[[#This Row],[ID_Transfers]],"")</f>
        <v/>
      </c>
    </row>
    <row r="229" spans="1:4" x14ac:dyDescent="0.45">
      <c r="A229">
        <v>37</v>
      </c>
      <c r="B229" s="3">
        <f t="shared" ca="1" si="3"/>
        <v>133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" t="str">
        <f ca="1">IF(dict_zuord_Meth_Transfers[[#This Row],[kval_active]],dict_zuord_Meth_Transfers[[#This Row],[ID_Transfers]],"")</f>
        <v/>
      </c>
    </row>
    <row r="230" spans="1:4" x14ac:dyDescent="0.45">
      <c r="A230">
        <v>38</v>
      </c>
      <c r="B230" s="3">
        <f t="shared" ca="1" si="3"/>
        <v>17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" t="str">
        <f ca="1">IF(dict_zuord_Meth_Transfers[[#This Row],[kval_active]],dict_zuord_Meth_Transfers[[#This Row],[ID_Transfers]],"")</f>
        <v/>
      </c>
    </row>
    <row r="231" spans="1:4" x14ac:dyDescent="0.45">
      <c r="A231">
        <v>38</v>
      </c>
      <c r="B231">
        <f t="shared" ca="1" si="3"/>
        <v>193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" t="str">
        <f ca="1">IF(dict_zuord_Meth_Transfers[[#This Row],[kval_active]],dict_zuord_Meth_Transfers[[#This Row],[ID_Transfers]],"")</f>
        <v/>
      </c>
    </row>
    <row r="232" spans="1:4" x14ac:dyDescent="0.45">
      <c r="A232">
        <v>38</v>
      </c>
      <c r="B232" s="3">
        <f t="shared" ca="1" si="3"/>
        <v>1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" t="str">
        <f ca="1">IF(dict_zuord_Meth_Transfers[[#This Row],[kval_active]],dict_zuord_Meth_Transfers[[#This Row],[ID_Transfers]],"")</f>
        <v/>
      </c>
    </row>
    <row r="233" spans="1:4" x14ac:dyDescent="0.45">
      <c r="A233">
        <v>38</v>
      </c>
      <c r="B233">
        <f t="shared" ca="1" si="3"/>
        <v>149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" t="str">
        <f ca="1">IF(dict_zuord_Meth_Transfers[[#This Row],[kval_active]],dict_zuord_Meth_Transfers[[#This Row],[ID_Transfers]],"")</f>
        <v/>
      </c>
    </row>
    <row r="234" spans="1:4" x14ac:dyDescent="0.45">
      <c r="A234">
        <v>38</v>
      </c>
      <c r="B234">
        <f t="shared" ca="1" si="3"/>
        <v>100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" t="str">
        <f ca="1">IF(dict_zuord_Meth_Transfers[[#This Row],[kval_active]],dict_zuord_Meth_Transfers[[#This Row],[ID_Transfers]],"")</f>
        <v/>
      </c>
    </row>
    <row r="235" spans="1:4" x14ac:dyDescent="0.45">
      <c r="A235">
        <v>38</v>
      </c>
      <c r="B235" s="3">
        <f t="shared" ca="1" si="3"/>
        <v>93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" t="str">
        <f ca="1">IF(dict_zuord_Meth_Transfers[[#This Row],[kval_active]],dict_zuord_Meth_Transfers[[#This Row],[ID_Transfers]],"")</f>
        <v/>
      </c>
    </row>
    <row r="236" spans="1:4" x14ac:dyDescent="0.45">
      <c r="A236">
        <v>39</v>
      </c>
      <c r="B236" s="3">
        <f t="shared" ca="1" si="3"/>
        <v>29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" t="str">
        <f ca="1">IF(dict_zuord_Meth_Transfers[[#This Row],[kval_active]],dict_zuord_Meth_Transfers[[#This Row],[ID_Transfers]],"")</f>
        <v/>
      </c>
    </row>
    <row r="237" spans="1:4" x14ac:dyDescent="0.45">
      <c r="A237">
        <v>39</v>
      </c>
      <c r="B237" s="3">
        <f t="shared" ca="1" si="3"/>
        <v>151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" t="str">
        <f ca="1">IF(dict_zuord_Meth_Transfers[[#This Row],[kval_active]],dict_zuord_Meth_Transfers[[#This Row],[ID_Transfers]],"")</f>
        <v/>
      </c>
    </row>
    <row r="238" spans="1:4" x14ac:dyDescent="0.45">
      <c r="A238">
        <v>39</v>
      </c>
      <c r="B238" s="3">
        <f t="shared" ca="1" si="3"/>
        <v>185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" t="str">
        <f ca="1">IF(dict_zuord_Meth_Transfers[[#This Row],[kval_active]],dict_zuord_Meth_Transfers[[#This Row],[ID_Transfers]],"")</f>
        <v/>
      </c>
    </row>
    <row r="239" spans="1:4" x14ac:dyDescent="0.45">
      <c r="A239">
        <v>39</v>
      </c>
      <c r="B239">
        <f t="shared" ca="1" si="3"/>
        <v>142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" t="str">
        <f ca="1">IF(dict_zuord_Meth_Transfers[[#This Row],[kval_active]],dict_zuord_Meth_Transfers[[#This Row],[ID_Transfers]],"")</f>
        <v/>
      </c>
    </row>
    <row r="240" spans="1:4" x14ac:dyDescent="0.45">
      <c r="A240">
        <v>39</v>
      </c>
      <c r="B240">
        <f t="shared" ca="1" si="3"/>
        <v>18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" t="str">
        <f ca="1">IF(dict_zuord_Meth_Transfers[[#This Row],[kval_active]],dict_zuord_Meth_Transfers[[#This Row],[ID_Transfers]],"")</f>
        <v/>
      </c>
    </row>
    <row r="241" spans="1:4" x14ac:dyDescent="0.45">
      <c r="A241">
        <v>39</v>
      </c>
      <c r="B241">
        <f t="shared" ca="1" si="3"/>
        <v>28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" t="str">
        <f ca="1">IF(dict_zuord_Meth_Transfers[[#This Row],[kval_active]],dict_zuord_Meth_Transfers[[#This Row],[ID_Transfers]],"")</f>
        <v/>
      </c>
    </row>
    <row r="242" spans="1:4" x14ac:dyDescent="0.45">
      <c r="A242">
        <v>40</v>
      </c>
      <c r="B242" s="3">
        <f t="shared" ca="1" si="3"/>
        <v>18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196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121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195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20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117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37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194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69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151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149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20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148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" t="str">
        <f ca="1">IF(dict_zuord_Meth_Transfers[[#This Row],[kval_active]],dict_zuord_Meth_Transfers[[#This Row],[ID_Transfers]],"")</f>
        <v/>
      </c>
    </row>
    <row r="255" spans="1:4" x14ac:dyDescent="0.45">
      <c r="A255">
        <v>42</v>
      </c>
      <c r="B255">
        <f t="shared" ca="1" si="3"/>
        <v>181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" t="str">
        <f ca="1">IF(dict_zuord_Meth_Transfers[[#This Row],[kval_active]],dict_zuord_Meth_Transfers[[#This Row],[ID_Transfers]],"")</f>
        <v/>
      </c>
    </row>
    <row r="256" spans="1:4" x14ac:dyDescent="0.45">
      <c r="A256">
        <v>42</v>
      </c>
      <c r="B256" s="3">
        <f t="shared" ca="1" si="3"/>
        <v>21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" t="str">
        <f ca="1">IF(dict_zuord_Meth_Transfers[[#This Row],[kval_active]],dict_zuord_Meth_Transfers[[#This Row],[ID_Transfers]],"")</f>
        <v/>
      </c>
    </row>
    <row r="257" spans="1:4" x14ac:dyDescent="0.45">
      <c r="A257">
        <v>42</v>
      </c>
      <c r="B257">
        <f t="shared" ca="1" si="3"/>
        <v>74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" t="str">
        <f ca="1">IF(dict_zuord_Meth_Transfers[[#This Row],[kval_active]],dict_zuord_Meth_Transfers[[#This Row],[ID_Transfers]],"")</f>
        <v/>
      </c>
    </row>
    <row r="258" spans="1:4" x14ac:dyDescent="0.45">
      <c r="A258">
        <v>42</v>
      </c>
      <c r="B258" s="3">
        <f t="shared" ref="B258:B321" ca="1" si="4">RANDBETWEEN(0,200)</f>
        <v>195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" t="str">
        <f ca="1">IF(dict_zuord_Meth_Transfers[[#This Row],[kval_active]],dict_zuord_Meth_Transfers[[#This Row],[ID_Transfers]],"")</f>
        <v/>
      </c>
    </row>
    <row r="259" spans="1:4" x14ac:dyDescent="0.45">
      <c r="A259">
        <v>42</v>
      </c>
      <c r="B259">
        <f t="shared" ca="1" si="4"/>
        <v>120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" t="str">
        <f ca="1">IF(dict_zuord_Meth_Transfers[[#This Row],[kval_active]],dict_zuord_Meth_Transfers[[#This Row],[ID_Transfers]],"")</f>
        <v/>
      </c>
    </row>
    <row r="260" spans="1:4" x14ac:dyDescent="0.45">
      <c r="A260">
        <v>43</v>
      </c>
      <c r="B260" s="3">
        <f t="shared" ca="1" si="4"/>
        <v>163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75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106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7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177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98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0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138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195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145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149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159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101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184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112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104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138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46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59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" t="str">
        <f ca="1">IF(dict_zuord_Meth_Transfers[[#This Row],[kval_active]],dict_zuord_Meth_Transfers[[#This Row],[ID_Transfers]],"")</f>
        <v/>
      </c>
    </row>
    <row r="279" spans="1:4" x14ac:dyDescent="0.45">
      <c r="A279">
        <v>46</v>
      </c>
      <c r="B279" s="3">
        <f t="shared" ca="1" si="4"/>
        <v>47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" t="str">
        <f ca="1">IF(dict_zuord_Meth_Transfers[[#This Row],[kval_active]],dict_zuord_Meth_Transfers[[#This Row],[ID_Transfers]],"")</f>
        <v/>
      </c>
    </row>
    <row r="280" spans="1:4" x14ac:dyDescent="0.45">
      <c r="A280">
        <v>46</v>
      </c>
      <c r="B280">
        <f t="shared" ca="1" si="4"/>
        <v>79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" t="str">
        <f ca="1">IF(dict_zuord_Meth_Transfers[[#This Row],[kval_active]],dict_zuord_Meth_Transfers[[#This Row],[ID_Transfers]],"")</f>
        <v/>
      </c>
    </row>
    <row r="281" spans="1:4" x14ac:dyDescent="0.45">
      <c r="A281">
        <v>46</v>
      </c>
      <c r="B281" s="3">
        <f t="shared" ca="1" si="4"/>
        <v>155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" t="str">
        <f ca="1">IF(dict_zuord_Meth_Transfers[[#This Row],[kval_active]],dict_zuord_Meth_Transfers[[#This Row],[ID_Transfers]],"")</f>
        <v/>
      </c>
    </row>
    <row r="282" spans="1:4" x14ac:dyDescent="0.45">
      <c r="A282">
        <v>46</v>
      </c>
      <c r="B282" s="3">
        <f t="shared" ca="1" si="4"/>
        <v>53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" t="str">
        <f ca="1">IF(dict_zuord_Meth_Transfers[[#This Row],[kval_active]],dict_zuord_Meth_Transfers[[#This Row],[ID_Transfers]],"")</f>
        <v/>
      </c>
    </row>
    <row r="283" spans="1:4" x14ac:dyDescent="0.45">
      <c r="A283">
        <v>46</v>
      </c>
      <c r="B283">
        <f t="shared" ca="1" si="4"/>
        <v>115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" t="str">
        <f ca="1">IF(dict_zuord_Meth_Transfers[[#This Row],[kval_active]],dict_zuord_Meth_Transfers[[#This Row],[ID_Transfers]],"")</f>
        <v/>
      </c>
    </row>
    <row r="284" spans="1:4" x14ac:dyDescent="0.45">
      <c r="A284">
        <v>47</v>
      </c>
      <c r="B284">
        <f t="shared" ca="1" si="4"/>
        <v>108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198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17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145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181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151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132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" t="str">
        <f ca="1">IF(dict_zuord_Meth_Transfers[[#This Row],[kval_active]],dict_zuord_Meth_Transfers[[#This Row],[ID_Transfers]],"")</f>
        <v/>
      </c>
    </row>
    <row r="291" spans="1:4" x14ac:dyDescent="0.45">
      <c r="A291">
        <v>48</v>
      </c>
      <c r="B291">
        <f t="shared" ca="1" si="4"/>
        <v>63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" t="str">
        <f ca="1">IF(dict_zuord_Meth_Transfers[[#This Row],[kval_active]],dict_zuord_Meth_Transfers[[#This Row],[ID_Transfers]],"")</f>
        <v/>
      </c>
    </row>
    <row r="292" spans="1:4" x14ac:dyDescent="0.45">
      <c r="A292">
        <v>48</v>
      </c>
      <c r="B292" s="3">
        <f t="shared" ca="1" si="4"/>
        <v>173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" t="str">
        <f ca="1">IF(dict_zuord_Meth_Transfers[[#This Row],[kval_active]],dict_zuord_Meth_Transfers[[#This Row],[ID_Transfers]],"")</f>
        <v/>
      </c>
    </row>
    <row r="293" spans="1:4" x14ac:dyDescent="0.45">
      <c r="A293">
        <v>48</v>
      </c>
      <c r="B293" s="3">
        <f t="shared" ca="1" si="4"/>
        <v>58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" t="str">
        <f ca="1">IF(dict_zuord_Meth_Transfers[[#This Row],[kval_active]],dict_zuord_Meth_Transfers[[#This Row],[ID_Transfers]],"")</f>
        <v/>
      </c>
    </row>
    <row r="294" spans="1:4" x14ac:dyDescent="0.45">
      <c r="A294">
        <v>48</v>
      </c>
      <c r="B294" s="3">
        <f t="shared" ca="1" si="4"/>
        <v>58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" t="str">
        <f ca="1">IF(dict_zuord_Meth_Transfers[[#This Row],[kval_active]],dict_zuord_Meth_Transfers[[#This Row],[ID_Transfers]],"")</f>
        <v/>
      </c>
    </row>
    <row r="295" spans="1:4" x14ac:dyDescent="0.45">
      <c r="A295">
        <v>48</v>
      </c>
      <c r="B295">
        <f t="shared" ca="1" si="4"/>
        <v>186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" t="str">
        <f ca="1">IF(dict_zuord_Meth_Transfers[[#This Row],[kval_active]],dict_zuord_Meth_Transfers[[#This Row],[ID_Transfers]],"")</f>
        <v/>
      </c>
    </row>
    <row r="296" spans="1:4" x14ac:dyDescent="0.45">
      <c r="A296">
        <v>49</v>
      </c>
      <c r="B296">
        <f t="shared" ca="1" si="4"/>
        <v>162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17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37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53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0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14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43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43</v>
      </c>
    </row>
    <row r="303" spans="1:4" x14ac:dyDescent="0.45">
      <c r="A303">
        <v>50</v>
      </c>
      <c r="B303">
        <f t="shared" ca="1" si="4"/>
        <v>14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14</v>
      </c>
    </row>
    <row r="304" spans="1:4" x14ac:dyDescent="0.45">
      <c r="A304">
        <v>50</v>
      </c>
      <c r="B304" s="3">
        <f t="shared" ca="1" si="4"/>
        <v>0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0</v>
      </c>
    </row>
    <row r="305" spans="1:4" x14ac:dyDescent="0.45">
      <c r="A305">
        <v>50</v>
      </c>
      <c r="B305">
        <f t="shared" ca="1" si="4"/>
        <v>185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185</v>
      </c>
    </row>
    <row r="306" spans="1:4" x14ac:dyDescent="0.45">
      <c r="A306">
        <v>50</v>
      </c>
      <c r="B306">
        <f t="shared" ca="1" si="4"/>
        <v>135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135</v>
      </c>
    </row>
    <row r="307" spans="1:4" x14ac:dyDescent="0.45">
      <c r="A307">
        <v>50</v>
      </c>
      <c r="B307" s="3">
        <f t="shared" ca="1" si="4"/>
        <v>60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60</v>
      </c>
    </row>
    <row r="308" spans="1:4" x14ac:dyDescent="0.45">
      <c r="A308">
        <v>51</v>
      </c>
      <c r="B308" s="3">
        <f t="shared" ca="1" si="4"/>
        <v>125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" t="str">
        <f ca="1">IF(dict_zuord_Meth_Transfers[[#This Row],[kval_active]],dict_zuord_Meth_Transfers[[#This Row],[ID_Transfers]],"")</f>
        <v/>
      </c>
    </row>
    <row r="309" spans="1:4" x14ac:dyDescent="0.45">
      <c r="A309">
        <v>51</v>
      </c>
      <c r="B309" s="3">
        <f t="shared" ca="1" si="4"/>
        <v>77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" t="str">
        <f ca="1">IF(dict_zuord_Meth_Transfers[[#This Row],[kval_active]],dict_zuord_Meth_Transfers[[#This Row],[ID_Transfers]],"")</f>
        <v/>
      </c>
    </row>
    <row r="310" spans="1:4" x14ac:dyDescent="0.45">
      <c r="A310">
        <v>51</v>
      </c>
      <c r="B310">
        <f t="shared" ca="1" si="4"/>
        <v>129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" t="str">
        <f ca="1">IF(dict_zuord_Meth_Transfers[[#This Row],[kval_active]],dict_zuord_Meth_Transfers[[#This Row],[ID_Transfers]],"")</f>
        <v/>
      </c>
    </row>
    <row r="311" spans="1:4" x14ac:dyDescent="0.45">
      <c r="A311">
        <v>51</v>
      </c>
      <c r="B311">
        <f t="shared" ca="1" si="4"/>
        <v>167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" t="str">
        <f ca="1">IF(dict_zuord_Meth_Transfers[[#This Row],[kval_active]],dict_zuord_Meth_Transfers[[#This Row],[ID_Transfers]],"")</f>
        <v/>
      </c>
    </row>
    <row r="312" spans="1:4" x14ac:dyDescent="0.45">
      <c r="A312">
        <v>51</v>
      </c>
      <c r="B312" s="3">
        <f t="shared" ca="1" si="4"/>
        <v>153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" t="str">
        <f ca="1">IF(dict_zuord_Meth_Transfers[[#This Row],[kval_active]],dict_zuord_Meth_Transfers[[#This Row],[ID_Transfers]],"")</f>
        <v/>
      </c>
    </row>
    <row r="313" spans="1:4" x14ac:dyDescent="0.45">
      <c r="A313">
        <v>51</v>
      </c>
      <c r="B313">
        <f t="shared" ca="1" si="4"/>
        <v>78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" t="str">
        <f ca="1">IF(dict_zuord_Meth_Transfers[[#This Row],[kval_active]],dict_zuord_Meth_Transfers[[#This Row],[ID_Transfers]],"")</f>
        <v/>
      </c>
    </row>
    <row r="314" spans="1:4" x14ac:dyDescent="0.45">
      <c r="A314">
        <v>52</v>
      </c>
      <c r="B314" s="3">
        <f t="shared" ca="1" si="4"/>
        <v>47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159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26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187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192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34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153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113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172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196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175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143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140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31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134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133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41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10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44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" t="str">
        <f ca="1">IF(dict_zuord_Meth_Transfers[[#This Row],[kval_active]],dict_zuord_Meth_Transfers[[#This Row],[ID_Transfers]],"")</f>
        <v/>
      </c>
    </row>
    <row r="333" spans="1:4" x14ac:dyDescent="0.45">
      <c r="A333">
        <v>55</v>
      </c>
      <c r="B333">
        <f t="shared" ca="1" si="5"/>
        <v>86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" t="str">
        <f ca="1">IF(dict_zuord_Meth_Transfers[[#This Row],[kval_active]],dict_zuord_Meth_Transfers[[#This Row],[ID_Transfers]],"")</f>
        <v/>
      </c>
    </row>
    <row r="334" spans="1:4" x14ac:dyDescent="0.45">
      <c r="A334">
        <v>55</v>
      </c>
      <c r="B334">
        <f t="shared" ca="1" si="5"/>
        <v>27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" t="str">
        <f ca="1">IF(dict_zuord_Meth_Transfers[[#This Row],[kval_active]],dict_zuord_Meth_Transfers[[#This Row],[ID_Transfers]],"")</f>
        <v/>
      </c>
    </row>
    <row r="335" spans="1:4" x14ac:dyDescent="0.45">
      <c r="A335">
        <v>55</v>
      </c>
      <c r="B335">
        <f t="shared" ca="1" si="5"/>
        <v>6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" t="str">
        <f ca="1">IF(dict_zuord_Meth_Transfers[[#This Row],[kval_active]],dict_zuord_Meth_Transfers[[#This Row],[ID_Transfers]],"")</f>
        <v/>
      </c>
    </row>
    <row r="336" spans="1:4" x14ac:dyDescent="0.45">
      <c r="A336">
        <v>55</v>
      </c>
      <c r="B336" s="3">
        <f t="shared" ca="1" si="5"/>
        <v>56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" t="str">
        <f ca="1">IF(dict_zuord_Meth_Transfers[[#This Row],[kval_active]],dict_zuord_Meth_Transfers[[#This Row],[ID_Transfers]],"")</f>
        <v/>
      </c>
    </row>
    <row r="337" spans="1:4" x14ac:dyDescent="0.45">
      <c r="A337">
        <v>55</v>
      </c>
      <c r="B337" s="3">
        <f t="shared" ca="1" si="5"/>
        <v>65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" t="str">
        <f ca="1">IF(dict_zuord_Meth_Transfers[[#This Row],[kval_active]],dict_zuord_Meth_Transfers[[#This Row],[ID_Transfers]],"")</f>
        <v/>
      </c>
    </row>
    <row r="338" spans="1:4" x14ac:dyDescent="0.45">
      <c r="A338">
        <v>56</v>
      </c>
      <c r="B338" s="3">
        <f t="shared" ca="1" si="5"/>
        <v>149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123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41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18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190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136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63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154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104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131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177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55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90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" t="str">
        <f ca="1">IF(dict_zuord_Meth_Transfers[[#This Row],[kval_active]],dict_zuord_Meth_Transfers[[#This Row],[ID_Transfers]],"")</f>
        <v/>
      </c>
    </row>
    <row r="351" spans="1:4" x14ac:dyDescent="0.45">
      <c r="A351">
        <v>58</v>
      </c>
      <c r="B351" s="3">
        <f t="shared" ca="1" si="5"/>
        <v>92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" t="str">
        <f ca="1">IF(dict_zuord_Meth_Transfers[[#This Row],[kval_active]],dict_zuord_Meth_Transfers[[#This Row],[ID_Transfers]],"")</f>
        <v/>
      </c>
    </row>
    <row r="352" spans="1:4" x14ac:dyDescent="0.45">
      <c r="A352">
        <v>58</v>
      </c>
      <c r="B352" s="3">
        <f t="shared" ca="1" si="5"/>
        <v>103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" t="str">
        <f ca="1">IF(dict_zuord_Meth_Transfers[[#This Row],[kval_active]],dict_zuord_Meth_Transfers[[#This Row],[ID_Transfers]],"")</f>
        <v/>
      </c>
    </row>
    <row r="353" spans="1:4" x14ac:dyDescent="0.45">
      <c r="A353">
        <v>58</v>
      </c>
      <c r="B353">
        <f t="shared" ca="1" si="5"/>
        <v>109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" t="str">
        <f ca="1">IF(dict_zuord_Meth_Transfers[[#This Row],[kval_active]],dict_zuord_Meth_Transfers[[#This Row],[ID_Transfers]],"")</f>
        <v/>
      </c>
    </row>
    <row r="354" spans="1:4" x14ac:dyDescent="0.45">
      <c r="A354">
        <v>58</v>
      </c>
      <c r="B354">
        <f t="shared" ca="1" si="5"/>
        <v>83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" t="str">
        <f ca="1">IF(dict_zuord_Meth_Transfers[[#This Row],[kval_active]],dict_zuord_Meth_Transfers[[#This Row],[ID_Transfers]],"")</f>
        <v/>
      </c>
    </row>
    <row r="355" spans="1:4" x14ac:dyDescent="0.45">
      <c r="A355">
        <v>58</v>
      </c>
      <c r="B355" s="3">
        <f t="shared" ca="1" si="5"/>
        <v>125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" t="str">
        <f ca="1">IF(dict_zuord_Meth_Transfers[[#This Row],[kval_active]],dict_zuord_Meth_Transfers[[#This Row],[ID_Transfers]],"")</f>
        <v/>
      </c>
    </row>
    <row r="356" spans="1:4" x14ac:dyDescent="0.45">
      <c r="A356">
        <v>59</v>
      </c>
      <c r="B356">
        <f t="shared" ca="1" si="5"/>
        <v>12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111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52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121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9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13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82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19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99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13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125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35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55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188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124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169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16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94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109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181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61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174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104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139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158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" t="str">
        <f ca="1">IF(dict_zuord_Meth_Transfers[[#This Row],[kval_active]],dict_zuord_Meth_Transfers[[#This Row],[ID_Transfers]],"")</f>
        <v/>
      </c>
    </row>
    <row r="381" spans="1:4" x14ac:dyDescent="0.45">
      <c r="A381">
        <v>63</v>
      </c>
      <c r="B381">
        <f t="shared" ca="1" si="5"/>
        <v>90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" t="str">
        <f ca="1">IF(dict_zuord_Meth_Transfers[[#This Row],[kval_active]],dict_zuord_Meth_Transfers[[#This Row],[ID_Transfers]],"")</f>
        <v/>
      </c>
    </row>
    <row r="382" spans="1:4" x14ac:dyDescent="0.45">
      <c r="A382">
        <v>63</v>
      </c>
      <c r="B382" s="3">
        <f t="shared" ca="1" si="5"/>
        <v>59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" t="str">
        <f ca="1">IF(dict_zuord_Meth_Transfers[[#This Row],[kval_active]],dict_zuord_Meth_Transfers[[#This Row],[ID_Transfers]],"")</f>
        <v/>
      </c>
    </row>
    <row r="383" spans="1:4" x14ac:dyDescent="0.45">
      <c r="A383">
        <v>63</v>
      </c>
      <c r="B383">
        <f t="shared" ca="1" si="5"/>
        <v>169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" t="str">
        <f ca="1">IF(dict_zuord_Meth_Transfers[[#This Row],[kval_active]],dict_zuord_Meth_Transfers[[#This Row],[ID_Transfers]],"")</f>
        <v/>
      </c>
    </row>
    <row r="384" spans="1:4" x14ac:dyDescent="0.45">
      <c r="A384">
        <v>63</v>
      </c>
      <c r="B384">
        <f t="shared" ca="1" si="5"/>
        <v>54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" t="str">
        <f ca="1">IF(dict_zuord_Meth_Transfers[[#This Row],[kval_active]],dict_zuord_Meth_Transfers[[#This Row],[ID_Transfers]],"")</f>
        <v/>
      </c>
    </row>
    <row r="385" spans="1:4" x14ac:dyDescent="0.45">
      <c r="A385">
        <v>63</v>
      </c>
      <c r="B385" s="3">
        <f t="shared" ca="1" si="5"/>
        <v>188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" t="str">
        <f ca="1">IF(dict_zuord_Meth_Transfers[[#This Row],[kval_active]],dict_zuord_Meth_Transfers[[#This Row],[ID_Transfers]],"")</f>
        <v/>
      </c>
    </row>
    <row r="386" spans="1:4" x14ac:dyDescent="0.45">
      <c r="A386">
        <v>64</v>
      </c>
      <c r="B386">
        <f t="shared" ref="B386:B449" ca="1" si="6">RANDBETWEEN(0,200)</f>
        <v>189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67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51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168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52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85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107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164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39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26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3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65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104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131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138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95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0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111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155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120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133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23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55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167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64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146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70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32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3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65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53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92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62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10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100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182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22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73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23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115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174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125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176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24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5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6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50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42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79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198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125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14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130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92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168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53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73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181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94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144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2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111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79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28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86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54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33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141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51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181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44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173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132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107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69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102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109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59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84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186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17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5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22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11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167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9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141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9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37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176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40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69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117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65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148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37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90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200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64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194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70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197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18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36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104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119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170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177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0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191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9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20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60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193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29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16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90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62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57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190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31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6">
        <f ca="1">IF(dict_zuord_Meth_Transfers[[#This Row],[kval_active]],dict_zuord_Meth_Transfers[[#This Row],[ID_Transfers]],"")</f>
        <v>31</v>
      </c>
    </row>
    <row r="507" spans="1:4" x14ac:dyDescent="0.45">
      <c r="A507">
        <v>84</v>
      </c>
      <c r="B507" s="3">
        <f t="shared" ca="1" si="7"/>
        <v>134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7">
        <f ca="1">IF(dict_zuord_Meth_Transfers[[#This Row],[kval_active]],dict_zuord_Meth_Transfers[[#This Row],[ID_Transfers]],"")</f>
        <v>134</v>
      </c>
    </row>
    <row r="508" spans="1:4" x14ac:dyDescent="0.45">
      <c r="A508">
        <v>84</v>
      </c>
      <c r="B508">
        <f t="shared" ca="1" si="7"/>
        <v>91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8">
        <f ca="1">IF(dict_zuord_Meth_Transfers[[#This Row],[kval_active]],dict_zuord_Meth_Transfers[[#This Row],[ID_Transfers]],"")</f>
        <v>91</v>
      </c>
    </row>
    <row r="509" spans="1:4" x14ac:dyDescent="0.45">
      <c r="A509">
        <v>84</v>
      </c>
      <c r="B509">
        <f t="shared" ca="1" si="7"/>
        <v>153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9">
        <f ca="1">IF(dict_zuord_Meth_Transfers[[#This Row],[kval_active]],dict_zuord_Meth_Transfers[[#This Row],[ID_Transfers]],"")</f>
        <v>153</v>
      </c>
    </row>
    <row r="510" spans="1:4" x14ac:dyDescent="0.45">
      <c r="A510">
        <v>84</v>
      </c>
      <c r="B510" s="3">
        <f t="shared" ca="1" si="7"/>
        <v>89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0">
        <f ca="1">IF(dict_zuord_Meth_Transfers[[#This Row],[kval_active]],dict_zuord_Meth_Transfers[[#This Row],[ID_Transfers]],"")</f>
        <v>89</v>
      </c>
    </row>
    <row r="511" spans="1:4" x14ac:dyDescent="0.45">
      <c r="A511">
        <v>84</v>
      </c>
      <c r="B511" s="3">
        <f t="shared" ca="1" si="7"/>
        <v>185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1">
        <f ca="1">IF(dict_zuord_Meth_Transfers[[#This Row],[kval_active]],dict_zuord_Meth_Transfers[[#This Row],[ID_Transfers]],"")</f>
        <v>185</v>
      </c>
    </row>
    <row r="512" spans="1:4" x14ac:dyDescent="0.45">
      <c r="A512">
        <v>85</v>
      </c>
      <c r="B512">
        <f t="shared" ca="1" si="7"/>
        <v>105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53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15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35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15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187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74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3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121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158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127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15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155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35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154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37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156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173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78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99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153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74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12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90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175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54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114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154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50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166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140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131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108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119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2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133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38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17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55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197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183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116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65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181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18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3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141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94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0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167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188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100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200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152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77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174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29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8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49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103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143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41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189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115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35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188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4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130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97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143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142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6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134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95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13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94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155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193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107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48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128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114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194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2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36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56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73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103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9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13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122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130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18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195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172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26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68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17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173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180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180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182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186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6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198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162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0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74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39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0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17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73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79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178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89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27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91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91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34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75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112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19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65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122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97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139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0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113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133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55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58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94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154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118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70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102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173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159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138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73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172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144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112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188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172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55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33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20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26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154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100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120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20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161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40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7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103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36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191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199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130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123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150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152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99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175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136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154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172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51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56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31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68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157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147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10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36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100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131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91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181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148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51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142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130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30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84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37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44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120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118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43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100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192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77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21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6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140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200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99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142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42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37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67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187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70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144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114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132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76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184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150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123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78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155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72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159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26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73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147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105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139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140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193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107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89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146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22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124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142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155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41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53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68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85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108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189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188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127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28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107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67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141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142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38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80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109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8" t="str">
        <f ca="1">IF(dict_zuord_Meth_Transfers[[#This Row],[kval_active]],dict_zuord_Meth_Transfers[[#This Row],[ID_Transfers]],"")</f>
        <v/>
      </c>
    </row>
    <row r="759" spans="1:4" x14ac:dyDescent="0.45">
      <c r="A759">
        <v>126</v>
      </c>
      <c r="B759" s="3">
        <f t="shared" ca="1" si="11"/>
        <v>5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9" t="str">
        <f ca="1">IF(dict_zuord_Meth_Transfers[[#This Row],[kval_active]],dict_zuord_Meth_Transfers[[#This Row],[ID_Transfers]],"")</f>
        <v/>
      </c>
    </row>
    <row r="760" spans="1:4" x14ac:dyDescent="0.45">
      <c r="A760">
        <v>126</v>
      </c>
      <c r="B760" s="3">
        <f t="shared" ca="1" si="11"/>
        <v>0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0" t="str">
        <f ca="1">IF(dict_zuord_Meth_Transfers[[#This Row],[kval_active]],dict_zuord_Meth_Transfers[[#This Row],[ID_Transfers]],"")</f>
        <v/>
      </c>
    </row>
    <row r="761" spans="1:4" x14ac:dyDescent="0.45">
      <c r="A761">
        <v>126</v>
      </c>
      <c r="B761">
        <f t="shared" ca="1" si="11"/>
        <v>124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1" t="str">
        <f ca="1">IF(dict_zuord_Meth_Transfers[[#This Row],[kval_active]],dict_zuord_Meth_Transfers[[#This Row],[ID_Transfers]],"")</f>
        <v/>
      </c>
    </row>
    <row r="762" spans="1:4" x14ac:dyDescent="0.45">
      <c r="A762">
        <v>126</v>
      </c>
      <c r="B762">
        <f t="shared" ca="1" si="11"/>
        <v>127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2" t="str">
        <f ca="1">IF(dict_zuord_Meth_Transfers[[#This Row],[kval_active]],dict_zuord_Meth_Transfers[[#This Row],[ID_Transfers]],"")</f>
        <v/>
      </c>
    </row>
    <row r="763" spans="1:4" x14ac:dyDescent="0.45">
      <c r="A763">
        <v>126</v>
      </c>
      <c r="B763">
        <f t="shared" ca="1" si="11"/>
        <v>21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3" t="str">
        <f ca="1">IF(dict_zuord_Meth_Transfers[[#This Row],[kval_active]],dict_zuord_Meth_Transfers[[#This Row],[ID_Transfers]],"")</f>
        <v/>
      </c>
    </row>
    <row r="764" spans="1:4" x14ac:dyDescent="0.45">
      <c r="A764">
        <v>127</v>
      </c>
      <c r="B764">
        <f t="shared" ca="1" si="11"/>
        <v>14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74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140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199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187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53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189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52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194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113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16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169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121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37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26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20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166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142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2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171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68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101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100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165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154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73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58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136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53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88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187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171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94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96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142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189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70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55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167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155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23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63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170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176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102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115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164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187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107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179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150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122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129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117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135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27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133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134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178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3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18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171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93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29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179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38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89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2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114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132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84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14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57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191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145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62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120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11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19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79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9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88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116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197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146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77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192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36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145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109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128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155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195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54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127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113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67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133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29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55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151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87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177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107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9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123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147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101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182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127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199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1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37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76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138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72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74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164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34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18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39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53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93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11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30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169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46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84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115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109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167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128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100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106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169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125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160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35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107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2" t="str">
        <f ca="1">IF(dict_zuord_Meth_Transfers[[#This Row],[kval_active]],dict_zuord_Meth_Transfers[[#This Row],[ID_Transfers]],"")</f>
        <v/>
      </c>
    </row>
    <row r="903" spans="1:4" x14ac:dyDescent="0.45">
      <c r="A903">
        <v>150</v>
      </c>
      <c r="B903">
        <f t="shared" ca="1" si="14"/>
        <v>85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3" t="str">
        <f ca="1">IF(dict_zuord_Meth_Transfers[[#This Row],[kval_active]],dict_zuord_Meth_Transfers[[#This Row],[ID_Transfers]],"")</f>
        <v/>
      </c>
    </row>
    <row r="904" spans="1:4" x14ac:dyDescent="0.45">
      <c r="A904">
        <v>150</v>
      </c>
      <c r="B904">
        <f t="shared" ca="1" si="14"/>
        <v>37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4" t="str">
        <f ca="1">IF(dict_zuord_Meth_Transfers[[#This Row],[kval_active]],dict_zuord_Meth_Transfers[[#This Row],[ID_Transfers]],"")</f>
        <v/>
      </c>
    </row>
    <row r="905" spans="1:4" x14ac:dyDescent="0.45">
      <c r="A905">
        <v>150</v>
      </c>
      <c r="B905">
        <f t="shared" ca="1" si="14"/>
        <v>163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5" t="str">
        <f ca="1">IF(dict_zuord_Meth_Transfers[[#This Row],[kval_active]],dict_zuord_Meth_Transfers[[#This Row],[ID_Transfers]],"")</f>
        <v/>
      </c>
    </row>
    <row r="906" spans="1:4" x14ac:dyDescent="0.45">
      <c r="A906">
        <v>150</v>
      </c>
      <c r="B906" s="3">
        <f t="shared" ca="1" si="14"/>
        <v>116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6" t="str">
        <f ca="1">IF(dict_zuord_Meth_Transfers[[#This Row],[kval_active]],dict_zuord_Meth_Transfers[[#This Row],[ID_Transfers]],"")</f>
        <v/>
      </c>
    </row>
    <row r="907" spans="1:4" x14ac:dyDescent="0.45">
      <c r="A907">
        <v>150</v>
      </c>
      <c r="B907" s="3">
        <f t="shared" ca="1" si="14"/>
        <v>19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7" t="str">
        <f ca="1">IF(dict_zuord_Meth_Transfers[[#This Row],[kval_active]],dict_zuord_Meth_Transfers[[#This Row],[ID_Transfers]],"")</f>
        <v/>
      </c>
    </row>
    <row r="908" spans="1:4" x14ac:dyDescent="0.45">
      <c r="A908">
        <v>151</v>
      </c>
      <c r="B908">
        <f t="shared" ca="1" si="14"/>
        <v>139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79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29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168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10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198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152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4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42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176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167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132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132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113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74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28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170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127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59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176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131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197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142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74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147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167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33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106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120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65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58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52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158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29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182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122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121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114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40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101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162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172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40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146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67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163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176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160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123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105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132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94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121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160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155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121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27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3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12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9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167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0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199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76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59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44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14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181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70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99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187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2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81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21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180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100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16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188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196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101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14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141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68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90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67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2" t="str">
        <f ca="1">IF(dict_zuord_Meth_Transfers[[#This Row],[kval_active]],dict_zuord_Meth_Transfers[[#This Row],[ID_Transfers]],"")</f>
        <v/>
      </c>
    </row>
    <row r="993" spans="1:4" x14ac:dyDescent="0.45">
      <c r="A993">
        <v>165</v>
      </c>
      <c r="B993">
        <f t="shared" ca="1" si="15"/>
        <v>162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3" t="str">
        <f ca="1">IF(dict_zuord_Meth_Transfers[[#This Row],[kval_active]],dict_zuord_Meth_Transfers[[#This Row],[ID_Transfers]],"")</f>
        <v/>
      </c>
    </row>
    <row r="994" spans="1:4" x14ac:dyDescent="0.45">
      <c r="A994">
        <v>165</v>
      </c>
      <c r="B994">
        <f t="shared" ca="1" si="15"/>
        <v>95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4" t="str">
        <f ca="1">IF(dict_zuord_Meth_Transfers[[#This Row],[kval_active]],dict_zuord_Meth_Transfers[[#This Row],[ID_Transfers]],"")</f>
        <v/>
      </c>
    </row>
    <row r="995" spans="1:4" x14ac:dyDescent="0.45">
      <c r="A995">
        <v>165</v>
      </c>
      <c r="B995">
        <f t="shared" ca="1" si="15"/>
        <v>34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5" t="str">
        <f ca="1">IF(dict_zuord_Meth_Transfers[[#This Row],[kval_active]],dict_zuord_Meth_Transfers[[#This Row],[ID_Transfers]],"")</f>
        <v/>
      </c>
    </row>
    <row r="996" spans="1:4" x14ac:dyDescent="0.45">
      <c r="A996">
        <v>165</v>
      </c>
      <c r="B996" s="3">
        <f t="shared" ca="1" si="15"/>
        <v>171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6" t="str">
        <f ca="1">IF(dict_zuord_Meth_Transfers[[#This Row],[kval_active]],dict_zuord_Meth_Transfers[[#This Row],[ID_Transfers]],"")</f>
        <v/>
      </c>
    </row>
    <row r="997" spans="1:4" x14ac:dyDescent="0.45">
      <c r="A997">
        <v>165</v>
      </c>
      <c r="B997" s="3">
        <f t="shared" ca="1" si="15"/>
        <v>114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7" t="str">
        <f ca="1">IF(dict_zuord_Meth_Transfers[[#This Row],[kval_active]],dict_zuord_Meth_Transfers[[#This Row],[ID_Transfers]],"")</f>
        <v/>
      </c>
    </row>
    <row r="998" spans="1:4" x14ac:dyDescent="0.45">
      <c r="A998">
        <v>166</v>
      </c>
      <c r="B998" s="3">
        <f t="shared" ca="1" si="15"/>
        <v>2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8">
        <f ca="1">IF(dict_zuord_Meth_Transfers[[#This Row],[kval_active]],dict_zuord_Meth_Transfers[[#This Row],[ID_Transfers]],"")</f>
        <v>2</v>
      </c>
    </row>
    <row r="999" spans="1:4" x14ac:dyDescent="0.45">
      <c r="A999">
        <v>166</v>
      </c>
      <c r="B999">
        <f t="shared" ca="1" si="15"/>
        <v>124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9">
        <f ca="1">IF(dict_zuord_Meth_Transfers[[#This Row],[kval_active]],dict_zuord_Meth_Transfers[[#This Row],[ID_Transfers]],"")</f>
        <v>124</v>
      </c>
    </row>
    <row r="1000" spans="1:4" x14ac:dyDescent="0.45">
      <c r="A1000">
        <v>166</v>
      </c>
      <c r="B1000">
        <f t="shared" ca="1" si="15"/>
        <v>28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0">
        <f ca="1">IF(dict_zuord_Meth_Transfers[[#This Row],[kval_active]],dict_zuord_Meth_Transfers[[#This Row],[ID_Transfers]],"")</f>
        <v>28</v>
      </c>
    </row>
    <row r="1001" spans="1:4" x14ac:dyDescent="0.45">
      <c r="A1001">
        <v>166</v>
      </c>
      <c r="B1001">
        <f t="shared" ca="1" si="15"/>
        <v>141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1">
        <f ca="1">IF(dict_zuord_Meth_Transfers[[#This Row],[kval_active]],dict_zuord_Meth_Transfers[[#This Row],[ID_Transfers]],"")</f>
        <v>141</v>
      </c>
    </row>
    <row r="1002" spans="1:4" x14ac:dyDescent="0.45">
      <c r="A1002">
        <v>166</v>
      </c>
      <c r="B1002" s="3">
        <f t="shared" ca="1" si="15"/>
        <v>98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2">
        <f ca="1">IF(dict_zuord_Meth_Transfers[[#This Row],[kval_active]],dict_zuord_Meth_Transfers[[#This Row],[ID_Transfers]],"")</f>
        <v>98</v>
      </c>
    </row>
    <row r="1003" spans="1:4" x14ac:dyDescent="0.45">
      <c r="A1003">
        <v>166</v>
      </c>
      <c r="B1003" s="3">
        <f t="shared" ca="1" si="15"/>
        <v>157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3">
        <f ca="1">IF(dict_zuord_Meth_Transfers[[#This Row],[kval_active]],dict_zuord_Meth_Transfers[[#This Row],[ID_Transfers]],"")</f>
        <v>157</v>
      </c>
    </row>
    <row r="1004" spans="1:4" x14ac:dyDescent="0.45">
      <c r="A1004">
        <v>167</v>
      </c>
      <c r="B1004" s="3">
        <f t="shared" ca="1" si="15"/>
        <v>10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85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87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67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74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189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178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76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0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163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78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107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8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160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177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60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84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90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46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136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80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194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4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8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180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56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88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176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157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143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174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138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143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174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25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116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8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28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4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194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65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41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153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72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158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32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136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158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106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83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146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65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67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99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71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135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131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64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182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62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114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178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68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125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106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145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81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0">
        <f ca="1">IF(dict_zuord_Meth_Transfers[[#This Row],[kval_active]],dict_zuord_Meth_Transfers[[#This Row],[ID_Transfers]],"")</f>
        <v>81</v>
      </c>
    </row>
    <row r="1071" spans="1:4" x14ac:dyDescent="0.45">
      <c r="A1071">
        <v>178</v>
      </c>
      <c r="B1071">
        <f t="shared" ca="1" si="16"/>
        <v>178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1">
        <f ca="1">IF(dict_zuord_Meth_Transfers[[#This Row],[kval_active]],dict_zuord_Meth_Transfers[[#This Row],[ID_Transfers]],"")</f>
        <v>178</v>
      </c>
    </row>
    <row r="1072" spans="1:4" x14ac:dyDescent="0.45">
      <c r="A1072">
        <v>178</v>
      </c>
      <c r="B1072">
        <f t="shared" ca="1" si="16"/>
        <v>119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2">
        <f ca="1">IF(dict_zuord_Meth_Transfers[[#This Row],[kval_active]],dict_zuord_Meth_Transfers[[#This Row],[ID_Transfers]],"")</f>
        <v>119</v>
      </c>
    </row>
    <row r="1073" spans="1:4" x14ac:dyDescent="0.45">
      <c r="A1073">
        <v>178</v>
      </c>
      <c r="B1073" s="3">
        <f t="shared" ca="1" si="16"/>
        <v>97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3">
        <f ca="1">IF(dict_zuord_Meth_Transfers[[#This Row],[kval_active]],dict_zuord_Meth_Transfers[[#This Row],[ID_Transfers]],"")</f>
        <v>97</v>
      </c>
    </row>
    <row r="1074" spans="1:4" x14ac:dyDescent="0.45">
      <c r="A1074">
        <v>178</v>
      </c>
      <c r="B1074" s="3">
        <f t="shared" ca="1" si="16"/>
        <v>152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4">
        <f ca="1">IF(dict_zuord_Meth_Transfers[[#This Row],[kval_active]],dict_zuord_Meth_Transfers[[#This Row],[ID_Transfers]],"")</f>
        <v>152</v>
      </c>
    </row>
    <row r="1075" spans="1:4" x14ac:dyDescent="0.45">
      <c r="A1075">
        <v>178</v>
      </c>
      <c r="B1075">
        <f t="shared" ca="1" si="16"/>
        <v>139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5">
        <f ca="1">IF(dict_zuord_Meth_Transfers[[#This Row],[kval_active]],dict_zuord_Meth_Transfers[[#This Row],[ID_Transfers]],"")</f>
        <v>139</v>
      </c>
    </row>
    <row r="1076" spans="1:4" x14ac:dyDescent="0.45">
      <c r="A1076">
        <v>179</v>
      </c>
      <c r="B1076">
        <f t="shared" ca="1" si="16"/>
        <v>139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78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178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157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87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20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152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118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132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119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138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152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159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34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34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89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156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170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157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153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109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102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108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167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187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96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71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146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4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38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93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180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153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173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92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98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8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2" t="str">
        <f ca="1">IF(dict_zuord_Meth_Transfers[[#This Row],[kval_active]],dict_zuord_Meth_Transfers[[#This Row],[ID_Transfers]],"")</f>
        <v/>
      </c>
    </row>
    <row r="1113" spans="1:4" x14ac:dyDescent="0.45">
      <c r="A1113">
        <v>185</v>
      </c>
      <c r="B1113">
        <f t="shared" ca="1" si="17"/>
        <v>138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3" t="str">
        <f ca="1">IF(dict_zuord_Meth_Transfers[[#This Row],[kval_active]],dict_zuord_Meth_Transfers[[#This Row],[ID_Transfers]],"")</f>
        <v/>
      </c>
    </row>
    <row r="1114" spans="1:4" x14ac:dyDescent="0.45">
      <c r="A1114">
        <v>185</v>
      </c>
      <c r="B1114">
        <f t="shared" ca="1" si="17"/>
        <v>60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4" t="str">
        <f ca="1">IF(dict_zuord_Meth_Transfers[[#This Row],[kval_active]],dict_zuord_Meth_Transfers[[#This Row],[ID_Transfers]],"")</f>
        <v/>
      </c>
    </row>
    <row r="1115" spans="1:4" x14ac:dyDescent="0.45">
      <c r="A1115">
        <v>185</v>
      </c>
      <c r="B1115" s="3">
        <f t="shared" ca="1" si="17"/>
        <v>15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5" t="str">
        <f ca="1">IF(dict_zuord_Meth_Transfers[[#This Row],[kval_active]],dict_zuord_Meth_Transfers[[#This Row],[ID_Transfers]],"")</f>
        <v/>
      </c>
    </row>
    <row r="1116" spans="1:4" x14ac:dyDescent="0.45">
      <c r="A1116">
        <v>185</v>
      </c>
      <c r="B1116" s="3">
        <f t="shared" ca="1" si="17"/>
        <v>200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6" t="str">
        <f ca="1">IF(dict_zuord_Meth_Transfers[[#This Row],[kval_active]],dict_zuord_Meth_Transfers[[#This Row],[ID_Transfers]],"")</f>
        <v/>
      </c>
    </row>
    <row r="1117" spans="1:4" x14ac:dyDescent="0.45">
      <c r="A1117">
        <v>185</v>
      </c>
      <c r="B1117">
        <f t="shared" ca="1" si="17"/>
        <v>135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7" t="str">
        <f ca="1">IF(dict_zuord_Meth_Transfers[[#This Row],[kval_active]],dict_zuord_Meth_Transfers[[#This Row],[ID_Transfers]],"")</f>
        <v/>
      </c>
    </row>
    <row r="1118" spans="1:4" x14ac:dyDescent="0.45">
      <c r="A1118">
        <v>186</v>
      </c>
      <c r="B1118">
        <f t="shared" ca="1" si="17"/>
        <v>44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80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81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135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149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83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186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101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160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49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13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71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45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153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153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174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188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200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104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179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152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195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139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187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45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88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186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184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21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51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38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154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93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129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155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28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141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66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47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168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34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171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197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117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111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90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71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146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155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92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183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70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184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156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108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56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105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52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67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80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172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198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130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62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187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53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77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77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130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80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46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97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157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0" t="str">
        <f ca="1">IF(dict_zuord_Meth_Transfers[[#This Row],[kval_active]],dict_zuord_Meth_Transfers[[#This Row],[ID_Transfers]],"")</f>
        <v/>
      </c>
    </row>
    <row r="1191" spans="1:4" x14ac:dyDescent="0.45">
      <c r="A1191">
        <v>198</v>
      </c>
      <c r="B1191">
        <f t="shared" ca="1" si="18"/>
        <v>120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1" t="str">
        <f ca="1">IF(dict_zuord_Meth_Transfers[[#This Row],[kval_active]],dict_zuord_Meth_Transfers[[#This Row],[ID_Transfers]],"")</f>
        <v/>
      </c>
    </row>
    <row r="1192" spans="1:4" x14ac:dyDescent="0.45">
      <c r="A1192">
        <v>198</v>
      </c>
      <c r="B1192">
        <f t="shared" ca="1" si="18"/>
        <v>179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2" t="str">
        <f ca="1">IF(dict_zuord_Meth_Transfers[[#This Row],[kval_active]],dict_zuord_Meth_Transfers[[#This Row],[ID_Transfers]],"")</f>
        <v/>
      </c>
    </row>
    <row r="1193" spans="1:4" x14ac:dyDescent="0.45">
      <c r="A1193">
        <v>198</v>
      </c>
      <c r="B1193">
        <f t="shared" ca="1" si="18"/>
        <v>29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3" t="str">
        <f ca="1">IF(dict_zuord_Meth_Transfers[[#This Row],[kval_active]],dict_zuord_Meth_Transfers[[#This Row],[ID_Transfers]],"")</f>
        <v/>
      </c>
    </row>
    <row r="1194" spans="1:4" x14ac:dyDescent="0.45">
      <c r="A1194">
        <v>198</v>
      </c>
      <c r="B1194" s="3">
        <f t="shared" ca="1" si="18"/>
        <v>27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4" t="str">
        <f ca="1">IF(dict_zuord_Meth_Transfers[[#This Row],[kval_active]],dict_zuord_Meth_Transfers[[#This Row],[ID_Transfers]],"")</f>
        <v/>
      </c>
    </row>
    <row r="1195" spans="1:4" x14ac:dyDescent="0.45">
      <c r="A1195">
        <v>198</v>
      </c>
      <c r="B1195" s="3">
        <f t="shared" ca="1" si="18"/>
        <v>30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5" t="str">
        <f ca="1">IF(dict_zuord_Meth_Transfers[[#This Row],[kval_active]],dict_zuord_Meth_Transfers[[#This Row],[ID_Transfers]],"")</f>
        <v/>
      </c>
    </row>
    <row r="1196" spans="1:4" x14ac:dyDescent="0.45">
      <c r="A1196">
        <v>199</v>
      </c>
      <c r="B1196">
        <f t="shared" ca="1" si="18"/>
        <v>78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44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28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96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198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114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84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191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156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112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136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14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158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1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10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3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28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105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70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66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79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85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129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163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32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3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114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47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153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175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48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93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114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59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169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98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6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191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59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33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80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97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134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94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187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109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144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17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133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164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79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200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4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86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34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182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145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18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143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46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109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178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47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151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198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43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35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160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7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68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121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142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41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128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52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133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173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85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197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167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54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171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117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31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101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140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147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114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74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68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170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176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145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169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183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58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171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197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78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57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12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0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48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70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155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39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65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138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26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101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96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177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132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94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105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96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90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101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45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2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172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134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58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100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17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129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60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69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200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187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119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200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62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176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99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69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194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175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160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24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163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28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38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103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145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14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44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38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184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100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114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19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155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12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127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22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68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160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181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193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6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77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35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138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181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182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7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91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196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52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190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55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99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173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81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0">
        <f ca="1">IF(dict_zuord_Meth_Transfers[[#This Row],[kval_active]],dict_zuord_Meth_Transfers[[#This Row],[ID_Transfers]],"")</f>
        <v>81</v>
      </c>
    </row>
    <row r="1371" spans="1:4" x14ac:dyDescent="0.45">
      <c r="A1371">
        <v>228</v>
      </c>
      <c r="B1371" s="3">
        <f t="shared" ca="1" si="21"/>
        <v>11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1">
        <f ca="1">IF(dict_zuord_Meth_Transfers[[#This Row],[kval_active]],dict_zuord_Meth_Transfers[[#This Row],[ID_Transfers]],"")</f>
        <v>11</v>
      </c>
    </row>
    <row r="1372" spans="1:4" x14ac:dyDescent="0.45">
      <c r="A1372">
        <v>228</v>
      </c>
      <c r="B1372" s="3">
        <f t="shared" ca="1" si="21"/>
        <v>127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2">
        <f ca="1">IF(dict_zuord_Meth_Transfers[[#This Row],[kval_active]],dict_zuord_Meth_Transfers[[#This Row],[ID_Transfers]],"")</f>
        <v>127</v>
      </c>
    </row>
    <row r="1373" spans="1:4" x14ac:dyDescent="0.45">
      <c r="A1373">
        <v>228</v>
      </c>
      <c r="B1373" s="3">
        <f t="shared" ca="1" si="21"/>
        <v>87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3">
        <f ca="1">IF(dict_zuord_Meth_Transfers[[#This Row],[kval_active]],dict_zuord_Meth_Transfers[[#This Row],[ID_Transfers]],"")</f>
        <v>87</v>
      </c>
    </row>
    <row r="1374" spans="1:4" x14ac:dyDescent="0.45">
      <c r="A1374">
        <v>228</v>
      </c>
      <c r="B1374">
        <f t="shared" ca="1" si="21"/>
        <v>50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4">
        <f ca="1">IF(dict_zuord_Meth_Transfers[[#This Row],[kval_active]],dict_zuord_Meth_Transfers[[#This Row],[ID_Transfers]],"")</f>
        <v>50</v>
      </c>
    </row>
    <row r="1375" spans="1:4" x14ac:dyDescent="0.45">
      <c r="A1375">
        <v>228</v>
      </c>
      <c r="B1375">
        <f t="shared" ca="1" si="21"/>
        <v>72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5">
        <f ca="1">IF(dict_zuord_Meth_Transfers[[#This Row],[kval_active]],dict_zuord_Meth_Transfers[[#This Row],[ID_Transfers]],"")</f>
        <v>72</v>
      </c>
    </row>
    <row r="1376" spans="1:4" x14ac:dyDescent="0.45">
      <c r="A1376">
        <v>229</v>
      </c>
      <c r="B1376">
        <f t="shared" ca="1" si="21"/>
        <v>163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6" t="str">
        <f ca="1">IF(dict_zuord_Meth_Transfers[[#This Row],[kval_active]],dict_zuord_Meth_Transfers[[#This Row],[ID_Transfers]],"")</f>
        <v/>
      </c>
    </row>
    <row r="1377" spans="1:4" x14ac:dyDescent="0.45">
      <c r="A1377">
        <v>229</v>
      </c>
      <c r="B1377" s="3">
        <f t="shared" ca="1" si="21"/>
        <v>43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7" t="str">
        <f ca="1">IF(dict_zuord_Meth_Transfers[[#This Row],[kval_active]],dict_zuord_Meth_Transfers[[#This Row],[ID_Transfers]],"")</f>
        <v/>
      </c>
    </row>
    <row r="1378" spans="1:4" x14ac:dyDescent="0.45">
      <c r="A1378">
        <v>229</v>
      </c>
      <c r="B1378" s="3">
        <f t="shared" ca="1" si="21"/>
        <v>77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8" t="str">
        <f ca="1">IF(dict_zuord_Meth_Transfers[[#This Row],[kval_active]],dict_zuord_Meth_Transfers[[#This Row],[ID_Transfers]],"")</f>
        <v/>
      </c>
    </row>
    <row r="1379" spans="1:4" x14ac:dyDescent="0.45">
      <c r="A1379">
        <v>229</v>
      </c>
      <c r="B1379" s="3">
        <f t="shared" ca="1" si="21"/>
        <v>182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9" t="str">
        <f ca="1">IF(dict_zuord_Meth_Transfers[[#This Row],[kval_active]],dict_zuord_Meth_Transfers[[#This Row],[ID_Transfers]],"")</f>
        <v/>
      </c>
    </row>
    <row r="1380" spans="1:4" x14ac:dyDescent="0.45">
      <c r="A1380">
        <v>229</v>
      </c>
      <c r="B1380">
        <f t="shared" ca="1" si="21"/>
        <v>125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0" t="str">
        <f ca="1">IF(dict_zuord_Meth_Transfers[[#This Row],[kval_active]],dict_zuord_Meth_Transfers[[#This Row],[ID_Transfers]],"")</f>
        <v/>
      </c>
    </row>
    <row r="1381" spans="1:4" x14ac:dyDescent="0.45">
      <c r="A1381">
        <v>229</v>
      </c>
      <c r="B1381">
        <f t="shared" ca="1" si="21"/>
        <v>132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1" t="str">
        <f ca="1">IF(dict_zuord_Meth_Transfers[[#This Row],[kval_active]],dict_zuord_Meth_Transfers[[#This Row],[ID_Transfers]],"")</f>
        <v/>
      </c>
    </row>
    <row r="1382" spans="1:4" x14ac:dyDescent="0.45">
      <c r="A1382">
        <v>230</v>
      </c>
      <c r="B1382" s="3">
        <f t="shared" ca="1" si="21"/>
        <v>159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78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15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58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18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4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156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63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146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8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114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175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178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182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167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97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101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56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82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45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176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68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170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77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162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156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196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38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72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142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155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93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68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184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148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162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61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6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20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112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71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88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116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186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152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77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161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160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152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11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192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15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19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63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180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107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168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174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89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102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169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176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26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181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169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58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189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139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122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166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11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115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167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77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7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4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165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6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143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83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101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30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56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76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22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168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74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42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22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9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169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182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140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141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173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5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171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180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193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83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25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139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141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179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89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184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2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163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13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144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8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131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133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182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136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181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153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67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29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184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194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154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30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14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113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26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73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114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84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147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73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196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106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4">
        <f ca="1">IF(dict_zuord_Meth_Transfers[[#This Row],[kval_active]],dict_zuord_Meth_Transfers[[#This Row],[ID_Transfers]],"")</f>
        <v>106</v>
      </c>
    </row>
    <row r="1515" spans="1:4" x14ac:dyDescent="0.45">
      <c r="A1515">
        <v>252</v>
      </c>
      <c r="B1515" s="3">
        <f t="shared" ca="1" si="23"/>
        <v>93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5">
        <f ca="1">IF(dict_zuord_Meth_Transfers[[#This Row],[kval_active]],dict_zuord_Meth_Transfers[[#This Row],[ID_Transfers]],"")</f>
        <v>93</v>
      </c>
    </row>
    <row r="1516" spans="1:4" x14ac:dyDescent="0.45">
      <c r="A1516">
        <v>252</v>
      </c>
      <c r="B1516" s="3">
        <f t="shared" ca="1" si="23"/>
        <v>87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6">
        <f ca="1">IF(dict_zuord_Meth_Transfers[[#This Row],[kval_active]],dict_zuord_Meth_Transfers[[#This Row],[ID_Transfers]],"")</f>
        <v>87</v>
      </c>
    </row>
    <row r="1517" spans="1:4" x14ac:dyDescent="0.45">
      <c r="A1517">
        <v>252</v>
      </c>
      <c r="B1517">
        <f t="shared" ca="1" si="23"/>
        <v>196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7">
        <f ca="1">IF(dict_zuord_Meth_Transfers[[#This Row],[kval_active]],dict_zuord_Meth_Transfers[[#This Row],[ID_Transfers]],"")</f>
        <v>196</v>
      </c>
    </row>
    <row r="1518" spans="1:4" x14ac:dyDescent="0.45">
      <c r="A1518">
        <v>252</v>
      </c>
      <c r="B1518">
        <f t="shared" ca="1" si="23"/>
        <v>199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8">
        <f ca="1">IF(dict_zuord_Meth_Transfers[[#This Row],[kval_active]],dict_zuord_Meth_Transfers[[#This Row],[ID_Transfers]],"")</f>
        <v>199</v>
      </c>
    </row>
    <row r="1519" spans="1:4" x14ac:dyDescent="0.45">
      <c r="A1519">
        <v>252</v>
      </c>
      <c r="B1519" s="3">
        <f t="shared" ca="1" si="23"/>
        <v>176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9">
        <f ca="1">IF(dict_zuord_Meth_Transfers[[#This Row],[kval_active]],dict_zuord_Meth_Transfers[[#This Row],[ID_Transfers]],"")</f>
        <v>176</v>
      </c>
    </row>
    <row r="1520" spans="1:4" x14ac:dyDescent="0.45">
      <c r="A1520">
        <v>253</v>
      </c>
      <c r="B1520" s="3">
        <f t="shared" ca="1" si="23"/>
        <v>36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8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151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38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20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105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196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38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42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49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60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56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59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63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46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146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10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63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160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5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105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40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19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18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52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165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109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7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43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49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74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88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111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101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93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170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152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60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84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65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98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138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146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171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3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128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24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13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109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195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194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189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114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163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120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139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121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31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35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72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71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12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155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159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97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62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27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185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78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119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100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159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89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55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8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180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101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150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190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39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30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148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47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56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98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17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94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89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165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0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139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85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25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82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63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145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97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156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145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104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117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151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87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97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116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180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151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141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16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143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2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188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78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21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178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157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122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144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18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33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53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174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168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61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184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153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127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194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189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140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72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80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37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2" t="str">
        <f ca="1">IF(dict_zuord_Meth_Transfers[[#This Row],[kval_active]],dict_zuord_Meth_Transfers[[#This Row],[ID_Transfers]],"")</f>
        <v/>
      </c>
    </row>
    <row r="1653" spans="1:4" x14ac:dyDescent="0.45">
      <c r="A1653">
        <v>275</v>
      </c>
      <c r="B1653">
        <f t="shared" ca="1" si="25"/>
        <v>176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3" t="str">
        <f ca="1">IF(dict_zuord_Meth_Transfers[[#This Row],[kval_active]],dict_zuord_Meth_Transfers[[#This Row],[ID_Transfers]],"")</f>
        <v/>
      </c>
    </row>
    <row r="1654" spans="1:4" x14ac:dyDescent="0.45">
      <c r="A1654">
        <v>275</v>
      </c>
      <c r="B1654">
        <f t="shared" ca="1" si="25"/>
        <v>169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4" t="str">
        <f ca="1">IF(dict_zuord_Meth_Transfers[[#This Row],[kval_active]],dict_zuord_Meth_Transfers[[#This Row],[ID_Transfers]],"")</f>
        <v/>
      </c>
    </row>
    <row r="1655" spans="1:4" x14ac:dyDescent="0.45">
      <c r="A1655">
        <v>275</v>
      </c>
      <c r="B1655">
        <f t="shared" ca="1" si="25"/>
        <v>34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5" t="str">
        <f ca="1">IF(dict_zuord_Meth_Transfers[[#This Row],[kval_active]],dict_zuord_Meth_Transfers[[#This Row],[ID_Transfers]],"")</f>
        <v/>
      </c>
    </row>
    <row r="1656" spans="1:4" x14ac:dyDescent="0.45">
      <c r="A1656">
        <v>275</v>
      </c>
      <c r="B1656" s="3">
        <f t="shared" ca="1" si="25"/>
        <v>44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6" t="str">
        <f ca="1">IF(dict_zuord_Meth_Transfers[[#This Row],[kval_active]],dict_zuord_Meth_Transfers[[#This Row],[ID_Transfers]],"")</f>
        <v/>
      </c>
    </row>
    <row r="1657" spans="1:4" x14ac:dyDescent="0.45">
      <c r="A1657">
        <v>275</v>
      </c>
      <c r="B1657" s="3">
        <f t="shared" ca="1" si="25"/>
        <v>98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7" t="str">
        <f ca="1">IF(dict_zuord_Meth_Transfers[[#This Row],[kval_active]],dict_zuord_Meth_Transfers[[#This Row],[ID_Transfers]],"")</f>
        <v/>
      </c>
    </row>
    <row r="1658" spans="1:4" x14ac:dyDescent="0.45">
      <c r="A1658">
        <v>276</v>
      </c>
      <c r="B1658">
        <f t="shared" ca="1" si="25"/>
        <v>196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179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13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62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87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22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120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97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63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161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169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81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99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23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100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50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54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70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157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141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71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145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142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118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179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105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87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38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33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122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193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193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63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130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180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34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187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108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155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74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26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49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194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17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72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42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134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13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150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30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3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7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197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134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136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101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46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118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101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15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129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46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116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71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86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78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109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160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141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144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95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160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41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193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48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76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150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173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90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193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127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61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103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187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63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179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29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82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4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90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38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54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42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32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161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150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37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99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115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183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8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30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194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154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130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120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45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36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96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157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138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127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156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195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42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16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148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34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124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58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94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128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119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158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99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91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138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171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63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153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100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174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29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125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103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173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86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122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48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128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4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30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109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59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183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2">
        <f ca="1">IF(dict_zuord_Meth_Transfers[[#This Row],[kval_active]],dict_zuord_Meth_Transfers[[#This Row],[ID_Transfers]],"")</f>
        <v>183</v>
      </c>
    </row>
    <row r="1803" spans="1:4" x14ac:dyDescent="0.45">
      <c r="A1803">
        <v>300</v>
      </c>
      <c r="B1803">
        <f t="shared" ca="1" si="28"/>
        <v>28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3">
        <f ca="1">IF(dict_zuord_Meth_Transfers[[#This Row],[kval_active]],dict_zuord_Meth_Transfers[[#This Row],[ID_Transfers]],"")</f>
        <v>28</v>
      </c>
    </row>
    <row r="1804" spans="1:4" x14ac:dyDescent="0.45">
      <c r="A1804">
        <v>300</v>
      </c>
      <c r="B1804" s="3">
        <f t="shared" ca="1" si="28"/>
        <v>31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4">
        <f ca="1">IF(dict_zuord_Meth_Transfers[[#This Row],[kval_active]],dict_zuord_Meth_Transfers[[#This Row],[ID_Transfers]],"")</f>
        <v>31</v>
      </c>
    </row>
    <row r="1805" spans="1:4" x14ac:dyDescent="0.45">
      <c r="A1805">
        <v>300</v>
      </c>
      <c r="B1805">
        <f t="shared" ca="1" si="28"/>
        <v>115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5">
        <f ca="1">IF(dict_zuord_Meth_Transfers[[#This Row],[kval_active]],dict_zuord_Meth_Transfers[[#This Row],[ID_Transfers]],"")</f>
        <v>115</v>
      </c>
    </row>
    <row r="1806" spans="1:4" x14ac:dyDescent="0.45">
      <c r="A1806">
        <v>300</v>
      </c>
      <c r="B1806" s="3">
        <f t="shared" ca="1" si="28"/>
        <v>71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6">
        <f ca="1">IF(dict_zuord_Meth_Transfers[[#This Row],[kval_active]],dict_zuord_Meth_Transfers[[#This Row],[ID_Transfers]],"")</f>
        <v>71</v>
      </c>
    </row>
    <row r="1807" spans="1:4" x14ac:dyDescent="0.45">
      <c r="A1807">
        <v>300</v>
      </c>
      <c r="B1807" s="3">
        <f t="shared" ca="1" si="28"/>
        <v>139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7">
        <f ca="1">IF(dict_zuord_Meth_Transfers[[#This Row],[kval_active]],dict_zuord_Meth_Transfers[[#This Row],[ID_Transfers]],"")</f>
        <v>139</v>
      </c>
    </row>
    <row r="1808" spans="1:4" x14ac:dyDescent="0.45">
      <c r="A1808">
        <v>301</v>
      </c>
      <c r="B1808" s="3">
        <f t="shared" ca="1" si="28"/>
        <v>94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68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78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64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106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78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25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147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177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1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138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26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45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199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177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6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67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27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62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40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116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51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162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98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90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50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185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60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107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60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168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132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59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96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179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127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178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118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127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48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180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54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165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13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27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32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182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55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69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135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71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66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143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155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90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170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72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119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136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105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154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128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36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200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2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22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169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4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8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80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166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24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129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50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56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124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110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27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37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32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174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197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53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56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94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90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174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14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11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94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121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174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64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146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60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126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5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36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11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198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36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52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153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105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180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93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8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44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28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28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152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135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101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103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126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91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196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61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25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39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141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62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3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180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54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69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170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125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129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10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140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76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114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47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178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40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36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144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67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140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163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107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60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185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76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60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79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117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172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174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57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24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24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177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74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60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9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28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51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162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129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103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30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105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144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145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80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14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44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192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194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89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113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139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8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2" t="str">
        <f ca="1">IF(dict_zuord_Meth_Transfers[[#This Row],[kval_active]],dict_zuord_Meth_Transfers[[#This Row],[ID_Transfers]],"")</f>
        <v/>
      </c>
    </row>
    <row r="1983" spans="1:4" x14ac:dyDescent="0.45">
      <c r="A1983">
        <v>330</v>
      </c>
      <c r="B1983">
        <f t="shared" ca="1" si="30"/>
        <v>193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3" t="str">
        <f ca="1">IF(dict_zuord_Meth_Transfers[[#This Row],[kval_active]],dict_zuord_Meth_Transfers[[#This Row],[ID_Transfers]],"")</f>
        <v/>
      </c>
    </row>
    <row r="1984" spans="1:4" x14ac:dyDescent="0.45">
      <c r="A1984">
        <v>330</v>
      </c>
      <c r="B1984">
        <f t="shared" ca="1" si="30"/>
        <v>173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4" t="str">
        <f ca="1">IF(dict_zuord_Meth_Transfers[[#This Row],[kval_active]],dict_zuord_Meth_Transfers[[#This Row],[ID_Transfers]],"")</f>
        <v/>
      </c>
    </row>
    <row r="1985" spans="1:4" x14ac:dyDescent="0.45">
      <c r="A1985">
        <v>330</v>
      </c>
      <c r="B1985" s="3">
        <f t="shared" ca="1" si="30"/>
        <v>71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5" t="str">
        <f ca="1">IF(dict_zuord_Meth_Transfers[[#This Row],[kval_active]],dict_zuord_Meth_Transfers[[#This Row],[ID_Transfers]],"")</f>
        <v/>
      </c>
    </row>
    <row r="1986" spans="1:4" x14ac:dyDescent="0.45">
      <c r="A1986">
        <v>330</v>
      </c>
      <c r="B1986">
        <f t="shared" ref="B1986:B2049" ca="1" si="31">RANDBETWEEN(0,200)</f>
        <v>16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6" t="str">
        <f ca="1">IF(dict_zuord_Meth_Transfers[[#This Row],[kval_active]],dict_zuord_Meth_Transfers[[#This Row],[ID_Transfers]],"")</f>
        <v/>
      </c>
    </row>
    <row r="1987" spans="1:4" x14ac:dyDescent="0.45">
      <c r="A1987">
        <v>330</v>
      </c>
      <c r="B1987" s="3">
        <f t="shared" ca="1" si="31"/>
        <v>88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7" t="str">
        <f ca="1">IF(dict_zuord_Meth_Transfers[[#This Row],[kval_active]],dict_zuord_Meth_Transfers[[#This Row],[ID_Transfers]],"")</f>
        <v/>
      </c>
    </row>
    <row r="1988" spans="1:4" x14ac:dyDescent="0.45">
      <c r="A1988">
        <v>331</v>
      </c>
      <c r="B1988">
        <f t="shared" ca="1" si="31"/>
        <v>25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16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83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101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11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194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11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106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129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173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196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32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13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117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157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112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81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161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193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6" t="str">
        <f ca="1">IF(dict_zuord_Meth_Transfers[[#This Row],[kval_active]],dict_zuord_Meth_Transfers[[#This Row],[ID_Transfers]],"")</f>
        <v/>
      </c>
    </row>
    <row r="2007" spans="1:4" x14ac:dyDescent="0.45">
      <c r="A2007">
        <v>334</v>
      </c>
      <c r="B2007">
        <f t="shared" ca="1" si="31"/>
        <v>66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7" t="str">
        <f ca="1">IF(dict_zuord_Meth_Transfers[[#This Row],[kval_active]],dict_zuord_Meth_Transfers[[#This Row],[ID_Transfers]],"")</f>
        <v/>
      </c>
    </row>
    <row r="2008" spans="1:4" x14ac:dyDescent="0.45">
      <c r="A2008">
        <v>334</v>
      </c>
      <c r="B2008" s="3">
        <f t="shared" ca="1" si="31"/>
        <v>160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8" t="str">
        <f ca="1">IF(dict_zuord_Meth_Transfers[[#This Row],[kval_active]],dict_zuord_Meth_Transfers[[#This Row],[ID_Transfers]],"")</f>
        <v/>
      </c>
    </row>
    <row r="2009" spans="1:4" x14ac:dyDescent="0.45">
      <c r="A2009">
        <v>334</v>
      </c>
      <c r="B2009">
        <f t="shared" ca="1" si="31"/>
        <v>16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9" t="str">
        <f ca="1">IF(dict_zuord_Meth_Transfers[[#This Row],[kval_active]],dict_zuord_Meth_Transfers[[#This Row],[ID_Transfers]],"")</f>
        <v/>
      </c>
    </row>
    <row r="2010" spans="1:4" x14ac:dyDescent="0.45">
      <c r="A2010">
        <v>334</v>
      </c>
      <c r="B2010" s="3">
        <f t="shared" ca="1" si="31"/>
        <v>27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0" t="str">
        <f ca="1">IF(dict_zuord_Meth_Transfers[[#This Row],[kval_active]],dict_zuord_Meth_Transfers[[#This Row],[ID_Transfers]],"")</f>
        <v/>
      </c>
    </row>
    <row r="2011" spans="1:4" x14ac:dyDescent="0.45">
      <c r="A2011">
        <v>334</v>
      </c>
      <c r="B2011">
        <f t="shared" ca="1" si="31"/>
        <v>24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1" t="str">
        <f ca="1">IF(dict_zuord_Meth_Transfers[[#This Row],[kval_active]],dict_zuord_Meth_Transfers[[#This Row],[ID_Transfers]],"")</f>
        <v/>
      </c>
    </row>
    <row r="2012" spans="1:4" x14ac:dyDescent="0.45">
      <c r="A2012">
        <v>335</v>
      </c>
      <c r="B2012">
        <f t="shared" ca="1" si="31"/>
        <v>95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22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85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53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164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32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52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4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181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66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34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185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98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62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139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12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91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63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27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88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25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44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14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180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37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42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121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9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188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25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133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41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19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36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56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166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12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102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3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152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75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28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49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2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194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128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119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166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103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48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131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150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100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78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176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40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32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87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87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92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120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116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60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121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110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177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136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182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70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131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21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61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14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187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32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161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89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73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36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119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117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44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5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195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48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6">
        <f ca="1">IF(dict_zuord_Meth_Transfers[[#This Row],[kval_active]],dict_zuord_Meth_Transfers[[#This Row],[ID_Transfers]],"")</f>
        <v>48</v>
      </c>
    </row>
    <row r="2097" spans="1:4" x14ac:dyDescent="0.45">
      <c r="A2097">
        <v>349</v>
      </c>
      <c r="B2097" s="3">
        <f t="shared" ca="1" si="32"/>
        <v>185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7">
        <f ca="1">IF(dict_zuord_Meth_Transfers[[#This Row],[kval_active]],dict_zuord_Meth_Transfers[[#This Row],[ID_Transfers]],"")</f>
        <v>185</v>
      </c>
    </row>
    <row r="2098" spans="1:4" x14ac:dyDescent="0.45">
      <c r="A2098">
        <v>349</v>
      </c>
      <c r="B2098">
        <f t="shared" ca="1" si="32"/>
        <v>81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8">
        <f ca="1">IF(dict_zuord_Meth_Transfers[[#This Row],[kval_active]],dict_zuord_Meth_Transfers[[#This Row],[ID_Transfers]],"")</f>
        <v>81</v>
      </c>
    </row>
    <row r="2099" spans="1:4" x14ac:dyDescent="0.45">
      <c r="A2099">
        <v>349</v>
      </c>
      <c r="B2099" s="3">
        <f t="shared" ca="1" si="32"/>
        <v>131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9">
        <f ca="1">IF(dict_zuord_Meth_Transfers[[#This Row],[kval_active]],dict_zuord_Meth_Transfers[[#This Row],[ID_Transfers]],"")</f>
        <v>131</v>
      </c>
    </row>
    <row r="2100" spans="1:4" x14ac:dyDescent="0.45">
      <c r="A2100">
        <v>349</v>
      </c>
      <c r="B2100" s="3">
        <f t="shared" ca="1" si="32"/>
        <v>121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0">
        <f ca="1">IF(dict_zuord_Meth_Transfers[[#This Row],[kval_active]],dict_zuord_Meth_Transfers[[#This Row],[ID_Transfers]],"")</f>
        <v>121</v>
      </c>
    </row>
    <row r="2101" spans="1:4" x14ac:dyDescent="0.45">
      <c r="A2101">
        <v>349</v>
      </c>
      <c r="B2101">
        <f t="shared" ca="1" si="32"/>
        <v>89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1">
        <f ca="1">IF(dict_zuord_Meth_Transfers[[#This Row],[kval_active]],dict_zuord_Meth_Transfers[[#This Row],[ID_Transfers]],"")</f>
        <v>89</v>
      </c>
    </row>
    <row r="2102" spans="1:4" x14ac:dyDescent="0.45">
      <c r="A2102">
        <v>350</v>
      </c>
      <c r="B2102" s="3">
        <f t="shared" ca="1" si="32"/>
        <v>22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95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173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170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98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63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31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92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119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151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76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146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179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30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94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18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185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189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6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61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176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35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62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21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156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50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41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157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23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100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60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91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39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81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74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19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8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110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167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42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79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126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26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80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70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84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54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48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69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80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33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27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179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51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27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0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84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91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144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26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193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187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125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56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99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145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143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8">
        <f ca="1">IF(dict_zuord_Meth_Transfers[[#This Row],[kval_active]],dict_zuord_Meth_Transfers[[#This Row],[ID_Transfers]],"")</f>
        <v>143</v>
      </c>
    </row>
    <row r="2169" spans="1:4" x14ac:dyDescent="0.45">
      <c r="A2169">
        <v>361</v>
      </c>
      <c r="B2169" s="3">
        <f t="shared" ca="1" si="33"/>
        <v>158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9">
        <f ca="1">IF(dict_zuord_Meth_Transfers[[#This Row],[kval_active]],dict_zuord_Meth_Transfers[[#This Row],[ID_Transfers]],"")</f>
        <v>158</v>
      </c>
    </row>
    <row r="2170" spans="1:4" x14ac:dyDescent="0.45">
      <c r="A2170">
        <v>361</v>
      </c>
      <c r="B2170" s="3">
        <f t="shared" ca="1" si="33"/>
        <v>70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0">
        <f ca="1">IF(dict_zuord_Meth_Transfers[[#This Row],[kval_active]],dict_zuord_Meth_Transfers[[#This Row],[ID_Transfers]],"")</f>
        <v>70</v>
      </c>
    </row>
    <row r="2171" spans="1:4" x14ac:dyDescent="0.45">
      <c r="A2171">
        <v>361</v>
      </c>
      <c r="B2171" s="3">
        <f t="shared" ca="1" si="33"/>
        <v>153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1">
        <f ca="1">IF(dict_zuord_Meth_Transfers[[#This Row],[kval_active]],dict_zuord_Meth_Transfers[[#This Row],[ID_Transfers]],"")</f>
        <v>153</v>
      </c>
    </row>
    <row r="2172" spans="1:4" x14ac:dyDescent="0.45">
      <c r="A2172">
        <v>361</v>
      </c>
      <c r="B2172">
        <f t="shared" ca="1" si="33"/>
        <v>57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2">
        <f ca="1">IF(dict_zuord_Meth_Transfers[[#This Row],[kval_active]],dict_zuord_Meth_Transfers[[#This Row],[ID_Transfers]],"")</f>
        <v>57</v>
      </c>
    </row>
    <row r="2173" spans="1:4" x14ac:dyDescent="0.45">
      <c r="A2173">
        <v>361</v>
      </c>
      <c r="B2173">
        <f t="shared" ca="1" si="33"/>
        <v>54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3">
        <f ca="1">IF(dict_zuord_Meth_Transfers[[#This Row],[kval_active]],dict_zuord_Meth_Transfers[[#This Row],[ID_Transfers]],"")</f>
        <v>54</v>
      </c>
    </row>
    <row r="2174" spans="1:4" x14ac:dyDescent="0.45">
      <c r="A2174">
        <v>362</v>
      </c>
      <c r="B2174" s="3">
        <f t="shared" ca="1" si="33"/>
        <v>147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31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24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124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161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66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91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12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110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84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153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82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92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33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30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135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177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95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111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38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101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56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157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33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73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51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136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94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16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141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6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75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80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29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11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74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170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183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32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10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157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108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59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168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108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35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197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56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16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53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90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74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135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177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8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119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47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81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59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31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175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74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186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23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16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156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187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182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42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108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173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53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95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63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123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192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170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189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69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20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167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31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196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76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65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173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136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5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113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184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16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118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195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88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83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62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136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11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177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155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76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135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135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70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136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71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136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22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129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17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159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118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156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195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8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148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128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68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133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136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121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113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59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36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129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129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185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147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110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163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71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95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128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118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26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104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94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178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105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56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108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50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169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191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61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33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130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167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47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149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68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132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12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20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181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62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114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160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182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153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105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144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192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121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41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50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71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82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72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115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112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196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52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158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49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77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101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120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65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190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90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13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70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146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43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107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130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119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165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170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73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89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10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187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29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69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101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14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47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183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84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44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137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187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27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3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51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91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75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140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152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194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115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160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153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133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107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23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28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92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189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125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85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13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133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167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72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118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109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171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62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192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22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136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0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14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115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16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47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17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153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171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27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122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137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117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83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75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99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179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121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173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169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166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58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60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156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133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118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77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41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10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89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46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178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198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141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163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87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67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36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103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42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122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138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30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25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47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83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176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176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23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50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66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149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51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186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180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36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82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17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187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101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164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96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183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8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39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74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99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103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9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119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103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152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18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70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28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179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84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37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134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66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153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176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111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95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108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65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8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108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122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95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157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171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29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134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200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68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175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46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128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16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56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114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104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86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7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74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47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113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17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56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136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62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149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133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7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195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118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33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184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131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72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13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80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83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67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169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148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32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155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59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124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120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185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144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7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47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175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60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128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104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139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159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44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138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54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133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69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63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9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184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31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70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103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112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159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79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35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67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108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106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30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51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3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32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4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128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40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180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74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18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0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123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179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45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101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66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29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64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101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73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51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95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1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171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25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92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97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110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134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145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76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129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166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47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105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100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141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166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197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77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196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135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55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21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136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104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53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108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17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180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38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20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158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21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150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194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151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20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184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134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64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139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15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177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177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35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95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42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128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45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36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49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150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165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38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86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164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26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15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162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142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35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8" t="str">
        <f ca="1">IF(dict_zuord_Meth_Transfers[[#This Row],[kval_active]],dict_zuord_Meth_Transfers[[#This Row],[ID_Transfers]],"")</f>
        <v/>
      </c>
    </row>
    <row r="2649" spans="1:4" x14ac:dyDescent="0.45">
      <c r="A2649">
        <v>441</v>
      </c>
      <c r="B2649" s="3">
        <f t="shared" ca="1" si="41"/>
        <v>75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9" t="str">
        <f ca="1">IF(dict_zuord_Meth_Transfers[[#This Row],[kval_active]],dict_zuord_Meth_Transfers[[#This Row],[ID_Transfers]],"")</f>
        <v/>
      </c>
    </row>
    <row r="2650" spans="1:4" x14ac:dyDescent="0.45">
      <c r="A2650">
        <v>441</v>
      </c>
      <c r="B2650" s="3">
        <f t="shared" ca="1" si="41"/>
        <v>6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0" t="str">
        <f ca="1">IF(dict_zuord_Meth_Transfers[[#This Row],[kval_active]],dict_zuord_Meth_Transfers[[#This Row],[ID_Transfers]],"")</f>
        <v/>
      </c>
    </row>
    <row r="2651" spans="1:4" x14ac:dyDescent="0.45">
      <c r="A2651">
        <v>441</v>
      </c>
      <c r="B2651">
        <f t="shared" ca="1" si="41"/>
        <v>98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1" t="str">
        <f ca="1">IF(dict_zuord_Meth_Transfers[[#This Row],[kval_active]],dict_zuord_Meth_Transfers[[#This Row],[ID_Transfers]],"")</f>
        <v/>
      </c>
    </row>
    <row r="2652" spans="1:4" x14ac:dyDescent="0.45">
      <c r="A2652">
        <v>441</v>
      </c>
      <c r="B2652">
        <f t="shared" ca="1" si="41"/>
        <v>36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2" t="str">
        <f ca="1">IF(dict_zuord_Meth_Transfers[[#This Row],[kval_active]],dict_zuord_Meth_Transfers[[#This Row],[ID_Transfers]],"")</f>
        <v/>
      </c>
    </row>
    <row r="2653" spans="1:4" x14ac:dyDescent="0.45">
      <c r="A2653">
        <v>441</v>
      </c>
      <c r="B2653" s="3">
        <f t="shared" ca="1" si="41"/>
        <v>129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3" t="str">
        <f ca="1">IF(dict_zuord_Meth_Transfers[[#This Row],[kval_active]],dict_zuord_Meth_Transfers[[#This Row],[ID_Transfers]],"")</f>
        <v/>
      </c>
    </row>
    <row r="2654" spans="1:4" x14ac:dyDescent="0.45">
      <c r="A2654">
        <v>442</v>
      </c>
      <c r="B2654">
        <f t="shared" ca="1" si="41"/>
        <v>86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74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52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171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53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90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90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176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3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165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59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200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34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169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199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20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63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134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152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136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147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33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79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151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151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110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7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51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73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86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91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151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70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97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98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5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185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71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183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146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10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175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43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41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164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67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58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107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106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126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140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187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70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187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168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100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8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54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137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124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30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98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18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104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110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164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38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81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8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32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26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74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62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167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158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14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165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86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111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90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57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69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81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79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22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98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9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26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16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52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58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41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196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83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48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169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145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35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128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191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96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151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69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17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78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152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157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152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183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135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157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162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87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132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194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59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43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181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46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81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111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45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76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74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108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160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127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101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105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9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147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159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99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180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15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73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183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16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145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153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118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1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132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163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8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183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127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84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84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56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190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190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184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139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7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130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115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17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192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7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112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44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45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172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103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18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67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182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190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76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29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193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92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52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137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98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18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43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104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67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16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196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122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45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174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115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28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178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112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105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46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74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188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125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79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88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26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156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181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18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59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74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94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126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119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26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116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71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138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159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81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69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172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136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111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41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55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87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81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41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20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44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121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142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74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61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108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55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142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0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160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193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27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169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16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74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183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184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58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164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109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29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193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39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83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99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7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135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73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58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81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109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114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20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62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110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84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156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181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5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171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116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135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169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70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14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147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120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79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161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200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61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73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171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176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31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81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95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83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61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102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29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48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196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199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108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128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85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67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163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120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71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193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110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53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116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174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176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51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105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63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115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101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22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82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77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174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33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69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25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63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69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171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153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140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195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126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180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22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165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56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75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187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102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190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177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10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33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167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92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21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32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99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42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144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178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12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71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84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60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165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31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99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121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107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179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154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115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39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91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107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166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114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13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145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103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44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60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182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174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109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176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172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69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80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140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51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40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16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108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174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177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15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176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153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102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46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35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87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24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141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160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19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137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70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127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156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14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170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62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30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199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122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104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113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109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24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167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83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166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2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24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107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200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69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145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155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38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39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79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93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185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141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49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4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157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154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106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104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58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107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139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141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177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31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50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19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158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120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108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15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174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172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8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97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145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103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64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12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192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179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49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153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111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158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53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105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32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109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83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126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79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34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46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185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188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48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73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25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75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71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9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133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5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165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106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48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159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71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3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177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107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90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86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97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52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93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153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174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130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192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133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129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98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23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170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15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139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116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76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127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155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199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119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98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51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167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153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8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61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179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25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124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125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139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175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194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175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63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69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97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195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135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92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94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158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29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23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58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195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157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75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200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47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156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13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40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78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159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126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25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65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78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5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26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76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120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94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131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179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68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195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194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60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14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43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22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15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98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95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39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137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108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0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76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31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23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97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102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102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124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79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67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193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82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75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136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4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50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183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172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21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159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113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161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43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159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104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80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10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158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197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166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141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165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70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173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110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146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75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41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64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71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39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121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9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24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10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192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97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190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10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109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12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185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122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196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199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25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176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23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131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156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74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22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44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168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152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46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49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112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130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181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153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183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46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171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198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40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61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183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150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32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115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43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118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126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8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89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90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119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189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17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77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34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14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105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48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158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143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157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93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4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125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30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149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61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102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45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164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112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25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173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135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198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153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157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76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26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46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85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178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26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171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107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91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150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169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144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159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41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98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129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134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87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8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191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165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122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98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125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154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36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117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195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5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183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21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32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109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1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100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79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6" t="str">
        <f ca="1">IF(dict_zuord_Meth_Transfers[[#This Row],[kval_active]],dict_zuord_Meth_Transfers[[#This Row],[ID_Transfers]],"")</f>
        <v/>
      </c>
    </row>
    <row r="3357" spans="1:4" x14ac:dyDescent="0.45">
      <c r="A3357">
        <v>559</v>
      </c>
      <c r="B3357">
        <f t="shared" ca="1" si="52"/>
        <v>49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7" t="str">
        <f ca="1">IF(dict_zuord_Meth_Transfers[[#This Row],[kval_active]],dict_zuord_Meth_Transfers[[#This Row],[ID_Transfers]],"")</f>
        <v/>
      </c>
    </row>
    <row r="3358" spans="1:4" x14ac:dyDescent="0.45">
      <c r="A3358">
        <v>559</v>
      </c>
      <c r="B3358" s="3">
        <f t="shared" ca="1" si="52"/>
        <v>55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8" t="str">
        <f ca="1">IF(dict_zuord_Meth_Transfers[[#This Row],[kval_active]],dict_zuord_Meth_Transfers[[#This Row],[ID_Transfers]],"")</f>
        <v/>
      </c>
    </row>
    <row r="3359" spans="1:4" x14ac:dyDescent="0.45">
      <c r="A3359">
        <v>559</v>
      </c>
      <c r="B3359">
        <f t="shared" ca="1" si="52"/>
        <v>52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9" t="str">
        <f ca="1">IF(dict_zuord_Meth_Transfers[[#This Row],[kval_active]],dict_zuord_Meth_Transfers[[#This Row],[ID_Transfers]],"")</f>
        <v/>
      </c>
    </row>
    <row r="3360" spans="1:4" x14ac:dyDescent="0.45">
      <c r="A3360">
        <v>559</v>
      </c>
      <c r="B3360" s="3">
        <f t="shared" ca="1" si="52"/>
        <v>141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0" t="str">
        <f ca="1">IF(dict_zuord_Meth_Transfers[[#This Row],[kval_active]],dict_zuord_Meth_Transfers[[#This Row],[ID_Transfers]],"")</f>
        <v/>
      </c>
    </row>
    <row r="3361" spans="1:4" x14ac:dyDescent="0.45">
      <c r="A3361">
        <v>559</v>
      </c>
      <c r="B3361">
        <f t="shared" ca="1" si="52"/>
        <v>52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1" t="str">
        <f ca="1">IF(dict_zuord_Meth_Transfers[[#This Row],[kval_active]],dict_zuord_Meth_Transfers[[#This Row],[ID_Transfers]],"")</f>
        <v/>
      </c>
    </row>
    <row r="3362" spans="1:4" x14ac:dyDescent="0.45">
      <c r="A3362">
        <v>560</v>
      </c>
      <c r="B3362" s="3">
        <f t="shared" ca="1" si="52"/>
        <v>179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78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41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167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191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155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137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44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106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50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16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113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186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178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11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161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2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21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68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18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0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68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45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84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124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84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178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134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199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93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79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47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24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75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6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136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157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91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18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55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44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102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54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73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108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124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161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196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6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118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65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19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161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67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80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185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1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137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112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161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135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2" t="str">
        <f ca="1">IF(dict_zuord_Meth_Transfers[[#This Row],[kval_active]],dict_zuord_Meth_Transfers[[#This Row],[ID_Transfers]],"")</f>
        <v/>
      </c>
    </row>
    <row r="3423" spans="1:4" x14ac:dyDescent="0.45">
      <c r="A3423">
        <v>570</v>
      </c>
      <c r="B3423">
        <f t="shared" ca="1" si="53"/>
        <v>2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3" t="str">
        <f ca="1">IF(dict_zuord_Meth_Transfers[[#This Row],[kval_active]],dict_zuord_Meth_Transfers[[#This Row],[ID_Transfers]],"")</f>
        <v/>
      </c>
    </row>
    <row r="3424" spans="1:4" x14ac:dyDescent="0.45">
      <c r="A3424">
        <v>570</v>
      </c>
      <c r="B3424" s="3">
        <f t="shared" ca="1" si="53"/>
        <v>33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4" t="str">
        <f ca="1">IF(dict_zuord_Meth_Transfers[[#This Row],[kval_active]],dict_zuord_Meth_Transfers[[#This Row],[ID_Transfers]],"")</f>
        <v/>
      </c>
    </row>
    <row r="3425" spans="1:4" x14ac:dyDescent="0.45">
      <c r="A3425">
        <v>570</v>
      </c>
      <c r="B3425" s="3">
        <f t="shared" ca="1" si="53"/>
        <v>25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5" t="str">
        <f ca="1">IF(dict_zuord_Meth_Transfers[[#This Row],[kval_active]],dict_zuord_Meth_Transfers[[#This Row],[ID_Transfers]],"")</f>
        <v/>
      </c>
    </row>
    <row r="3426" spans="1:4" x14ac:dyDescent="0.45">
      <c r="A3426">
        <v>570</v>
      </c>
      <c r="B3426">
        <f t="shared" ca="1" si="53"/>
        <v>151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6" t="str">
        <f ca="1">IF(dict_zuord_Meth_Transfers[[#This Row],[kval_active]],dict_zuord_Meth_Transfers[[#This Row],[ID_Transfers]],"")</f>
        <v/>
      </c>
    </row>
    <row r="3427" spans="1:4" x14ac:dyDescent="0.45">
      <c r="A3427">
        <v>570</v>
      </c>
      <c r="B3427" s="3">
        <f t="shared" ca="1" si="53"/>
        <v>109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7" t="str">
        <f ca="1">IF(dict_zuord_Meth_Transfers[[#This Row],[kval_active]],dict_zuord_Meth_Transfers[[#This Row],[ID_Transfers]],"")</f>
        <v/>
      </c>
    </row>
    <row r="3428" spans="1:4" x14ac:dyDescent="0.45">
      <c r="A3428">
        <v>571</v>
      </c>
      <c r="B3428">
        <f t="shared" ca="1" si="53"/>
        <v>130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77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9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101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169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35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159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0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151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162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38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34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139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90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194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178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22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118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147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88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109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68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33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109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106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2" t="str">
        <f ca="1">IF(dict_zuord_Meth_Transfers[[#This Row],[kval_active]],dict_zuord_Meth_Transfers[[#This Row],[ID_Transfers]],"")</f>
        <v/>
      </c>
    </row>
    <row r="3453" spans="1:4" x14ac:dyDescent="0.45">
      <c r="A3453">
        <v>575</v>
      </c>
      <c r="B3453">
        <f t="shared" ca="1" si="53"/>
        <v>177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3" t="str">
        <f ca="1">IF(dict_zuord_Meth_Transfers[[#This Row],[kval_active]],dict_zuord_Meth_Transfers[[#This Row],[ID_Transfers]],"")</f>
        <v/>
      </c>
    </row>
    <row r="3454" spans="1:4" x14ac:dyDescent="0.45">
      <c r="A3454">
        <v>575</v>
      </c>
      <c r="B3454">
        <f t="shared" ca="1" si="53"/>
        <v>136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4" t="str">
        <f ca="1">IF(dict_zuord_Meth_Transfers[[#This Row],[kval_active]],dict_zuord_Meth_Transfers[[#This Row],[ID_Transfers]],"")</f>
        <v/>
      </c>
    </row>
    <row r="3455" spans="1:4" x14ac:dyDescent="0.45">
      <c r="A3455">
        <v>575</v>
      </c>
      <c r="B3455">
        <f t="shared" ca="1" si="53"/>
        <v>133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5" t="str">
        <f ca="1">IF(dict_zuord_Meth_Transfers[[#This Row],[kval_active]],dict_zuord_Meth_Transfers[[#This Row],[ID_Transfers]],"")</f>
        <v/>
      </c>
    </row>
    <row r="3456" spans="1:4" x14ac:dyDescent="0.45">
      <c r="A3456">
        <v>575</v>
      </c>
      <c r="B3456" s="3">
        <f t="shared" ca="1" si="53"/>
        <v>133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6" t="str">
        <f ca="1">IF(dict_zuord_Meth_Transfers[[#This Row],[kval_active]],dict_zuord_Meth_Transfers[[#This Row],[ID_Transfers]],"")</f>
        <v/>
      </c>
    </row>
    <row r="3457" spans="1:4" x14ac:dyDescent="0.45">
      <c r="A3457">
        <v>575</v>
      </c>
      <c r="B3457" s="3">
        <f t="shared" ca="1" si="53"/>
        <v>56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7" t="str">
        <f ca="1">IF(dict_zuord_Meth_Transfers[[#This Row],[kval_active]],dict_zuord_Meth_Transfers[[#This Row],[ID_Transfers]],"")</f>
        <v/>
      </c>
    </row>
    <row r="3458" spans="1:4" x14ac:dyDescent="0.45">
      <c r="A3458">
        <v>576</v>
      </c>
      <c r="B3458">
        <f t="shared" ref="B3458:B3521" ca="1" si="54">RANDBETWEEN(0,200)</f>
        <v>135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60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41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77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136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123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131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99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2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154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199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75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18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51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18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20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104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22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39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8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103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55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132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82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108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69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24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121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152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120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32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144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189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158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113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129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177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20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41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80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19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154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74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20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100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53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173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57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178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89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97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10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157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154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94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104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124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5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133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108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153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127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13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163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101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23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116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152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32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64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6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51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55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89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143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37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43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186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127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48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148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190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42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16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48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27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199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94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178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112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54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179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127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46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134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147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19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91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81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192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118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153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127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178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144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33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38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140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48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185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155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186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33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127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165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80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85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27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17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166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145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106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197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114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2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30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37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147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86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140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112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52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108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65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173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111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82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178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111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129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136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23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70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21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187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134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180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167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36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85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139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70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184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127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78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186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126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143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128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130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188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143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126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58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2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109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32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186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113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141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97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113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140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151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71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121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154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174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161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53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198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184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166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149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68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178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90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73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70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108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95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113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64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97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67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100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145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16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56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141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97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94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195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102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8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1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181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142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60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68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113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171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77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41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146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64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57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72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64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53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1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121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94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144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191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46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133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22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30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193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146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77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30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90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78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33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38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97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22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83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168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177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109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78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38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183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179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75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85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16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106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191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44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2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152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180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39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48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189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32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10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43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36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115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40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17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131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157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160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110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183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146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179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19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65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122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20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50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131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154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143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85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30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74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130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170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185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157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15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152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16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69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67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127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189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109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152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48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125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31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164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79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145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56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37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120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14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52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199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151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8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30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160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133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46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47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99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188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84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160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91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22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106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10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135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26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94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158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64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40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51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98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33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113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52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25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179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71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41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34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103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134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144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10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60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131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70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58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9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161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149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16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139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64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193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44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133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151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82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146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125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18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46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38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58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20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191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41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16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55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55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35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32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40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97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46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95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34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152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146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151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162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132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57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90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149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9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195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200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116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20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158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170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193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136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147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36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144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37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137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32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84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7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166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5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150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134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173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101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141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153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145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99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89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199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197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66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143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82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114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117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47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168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168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146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123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179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128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17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0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119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73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155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148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73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188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127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199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119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77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146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41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4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17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184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29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190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159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146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68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51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8">
        <f ca="1">IF(dict_zuord_Meth_Transfers[[#This Row],[kval_active]],dict_zuord_Meth_Transfers[[#This Row],[ID_Transfers]],"")</f>
        <v>51</v>
      </c>
    </row>
    <row r="3909" spans="1:4" x14ac:dyDescent="0.45">
      <c r="A3909">
        <v>651</v>
      </c>
      <c r="B3909" s="3">
        <f t="shared" ca="1" si="61"/>
        <v>15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9">
        <f ca="1">IF(dict_zuord_Meth_Transfers[[#This Row],[kval_active]],dict_zuord_Meth_Transfers[[#This Row],[ID_Transfers]],"")</f>
        <v>15</v>
      </c>
    </row>
    <row r="3910" spans="1:4" x14ac:dyDescent="0.45">
      <c r="A3910">
        <v>651</v>
      </c>
      <c r="B3910">
        <f t="shared" ca="1" si="61"/>
        <v>161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0">
        <f ca="1">IF(dict_zuord_Meth_Transfers[[#This Row],[kval_active]],dict_zuord_Meth_Transfers[[#This Row],[ID_Transfers]],"")</f>
        <v>161</v>
      </c>
    </row>
    <row r="3911" spans="1:4" x14ac:dyDescent="0.45">
      <c r="A3911">
        <v>651</v>
      </c>
      <c r="B3911" s="3">
        <f t="shared" ca="1" si="61"/>
        <v>54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1">
        <f ca="1">IF(dict_zuord_Meth_Transfers[[#This Row],[kval_active]],dict_zuord_Meth_Transfers[[#This Row],[ID_Transfers]],"")</f>
        <v>54</v>
      </c>
    </row>
    <row r="3912" spans="1:4" x14ac:dyDescent="0.45">
      <c r="A3912">
        <v>651</v>
      </c>
      <c r="B3912">
        <f t="shared" ca="1" si="61"/>
        <v>3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2">
        <f ca="1">IF(dict_zuord_Meth_Transfers[[#This Row],[kval_active]],dict_zuord_Meth_Transfers[[#This Row],[ID_Transfers]],"")</f>
        <v>3</v>
      </c>
    </row>
    <row r="3913" spans="1:4" x14ac:dyDescent="0.45">
      <c r="A3913">
        <v>651</v>
      </c>
      <c r="B3913" s="3">
        <f t="shared" ca="1" si="61"/>
        <v>186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3">
        <f ca="1">IF(dict_zuord_Meth_Transfers[[#This Row],[kval_active]],dict_zuord_Meth_Transfers[[#This Row],[ID_Transfers]],"")</f>
        <v>186</v>
      </c>
    </row>
    <row r="3914" spans="1:4" x14ac:dyDescent="0.45">
      <c r="A3914">
        <v>652</v>
      </c>
      <c r="B3914">
        <f t="shared" ca="1" si="61"/>
        <v>76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14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132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168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126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166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183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123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72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16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52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170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161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74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53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200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131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125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196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58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146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115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64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112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49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20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177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167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192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164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166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113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35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34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22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3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113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71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18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49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64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119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2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64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133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54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42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19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136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180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144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177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84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16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42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165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127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99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50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147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92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4">
        <f ca="1">IF(dict_zuord_Meth_Transfers[[#This Row],[kval_active]],dict_zuord_Meth_Transfers[[#This Row],[ID_Transfers]],"")</f>
        <v>92</v>
      </c>
    </row>
    <row r="3975" spans="1:4" x14ac:dyDescent="0.45">
      <c r="A3975">
        <v>662</v>
      </c>
      <c r="B3975" s="3">
        <f t="shared" ca="1" si="62"/>
        <v>104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5">
        <f ca="1">IF(dict_zuord_Meth_Transfers[[#This Row],[kval_active]],dict_zuord_Meth_Transfers[[#This Row],[ID_Transfers]],"")</f>
        <v>104</v>
      </c>
    </row>
    <row r="3976" spans="1:4" x14ac:dyDescent="0.45">
      <c r="A3976">
        <v>662</v>
      </c>
      <c r="B3976" s="3">
        <f t="shared" ca="1" si="62"/>
        <v>125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6">
        <f ca="1">IF(dict_zuord_Meth_Transfers[[#This Row],[kval_active]],dict_zuord_Meth_Transfers[[#This Row],[ID_Transfers]],"")</f>
        <v>125</v>
      </c>
    </row>
    <row r="3977" spans="1:4" x14ac:dyDescent="0.45">
      <c r="A3977">
        <v>662</v>
      </c>
      <c r="B3977">
        <f t="shared" ca="1" si="62"/>
        <v>81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7">
        <f ca="1">IF(dict_zuord_Meth_Transfers[[#This Row],[kval_active]],dict_zuord_Meth_Transfers[[#This Row],[ID_Transfers]],"")</f>
        <v>81</v>
      </c>
    </row>
    <row r="3978" spans="1:4" x14ac:dyDescent="0.45">
      <c r="A3978">
        <v>662</v>
      </c>
      <c r="B3978">
        <f t="shared" ca="1" si="62"/>
        <v>114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8">
        <f ca="1">IF(dict_zuord_Meth_Transfers[[#This Row],[kval_active]],dict_zuord_Meth_Transfers[[#This Row],[ID_Transfers]],"")</f>
        <v>114</v>
      </c>
    </row>
    <row r="3979" spans="1:4" x14ac:dyDescent="0.45">
      <c r="A3979">
        <v>662</v>
      </c>
      <c r="B3979" s="3">
        <f t="shared" ca="1" si="62"/>
        <v>57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9">
        <f ca="1">IF(dict_zuord_Meth_Transfers[[#This Row],[kval_active]],dict_zuord_Meth_Transfers[[#This Row],[ID_Transfers]],"")</f>
        <v>57</v>
      </c>
    </row>
    <row r="3980" spans="1:4" x14ac:dyDescent="0.45">
      <c r="A3980">
        <v>663</v>
      </c>
      <c r="B3980" s="3">
        <f t="shared" ca="1" si="62"/>
        <v>168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112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16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52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78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192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104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124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17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8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92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42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3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25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10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157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107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165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65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186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44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75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132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101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6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67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7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54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83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144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110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170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191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127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144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190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39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54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161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141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72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77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59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14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106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44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57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146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32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96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146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109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30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95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192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67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115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149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11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121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108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176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173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132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199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102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186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115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189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79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193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154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1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187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169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133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197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122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63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82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171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73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130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174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98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4" t="str">
        <f ca="1">IF(dict_zuord_Meth_Transfers[[#This Row],[kval_active]],dict_zuord_Meth_Transfers[[#This Row],[ID_Transfers]],"")</f>
        <v/>
      </c>
    </row>
    <row r="4065" spans="1:4" x14ac:dyDescent="0.45">
      <c r="A4065">
        <v>677</v>
      </c>
      <c r="B4065">
        <f t="shared" ca="1" si="63"/>
        <v>121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5" t="str">
        <f ca="1">IF(dict_zuord_Meth_Transfers[[#This Row],[kval_active]],dict_zuord_Meth_Transfers[[#This Row],[ID_Transfers]],"")</f>
        <v/>
      </c>
    </row>
    <row r="4066" spans="1:4" x14ac:dyDescent="0.45">
      <c r="A4066">
        <v>677</v>
      </c>
      <c r="B4066" s="3">
        <f t="shared" ca="1" si="63"/>
        <v>19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6" t="str">
        <f ca="1">IF(dict_zuord_Meth_Transfers[[#This Row],[kval_active]],dict_zuord_Meth_Transfers[[#This Row],[ID_Transfers]],"")</f>
        <v/>
      </c>
    </row>
    <row r="4067" spans="1:4" x14ac:dyDescent="0.45">
      <c r="A4067">
        <v>677</v>
      </c>
      <c r="B4067">
        <f t="shared" ca="1" si="63"/>
        <v>50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7" t="str">
        <f ca="1">IF(dict_zuord_Meth_Transfers[[#This Row],[kval_active]],dict_zuord_Meth_Transfers[[#This Row],[ID_Transfers]],"")</f>
        <v/>
      </c>
    </row>
    <row r="4068" spans="1:4" x14ac:dyDescent="0.45">
      <c r="A4068">
        <v>677</v>
      </c>
      <c r="B4068">
        <f t="shared" ca="1" si="63"/>
        <v>0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8" t="str">
        <f ca="1">IF(dict_zuord_Meth_Transfers[[#This Row],[kval_active]],dict_zuord_Meth_Transfers[[#This Row],[ID_Transfers]],"")</f>
        <v/>
      </c>
    </row>
    <row r="4069" spans="1:4" x14ac:dyDescent="0.45">
      <c r="A4069">
        <v>677</v>
      </c>
      <c r="B4069" s="3">
        <f t="shared" ca="1" si="63"/>
        <v>146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9" t="str">
        <f ca="1">IF(dict_zuord_Meth_Transfers[[#This Row],[kval_active]],dict_zuord_Meth_Transfers[[#This Row],[ID_Transfers]],"")</f>
        <v/>
      </c>
    </row>
    <row r="4070" spans="1:4" x14ac:dyDescent="0.45">
      <c r="A4070">
        <v>678</v>
      </c>
      <c r="B4070">
        <f t="shared" ca="1" si="63"/>
        <v>154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105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40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89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70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18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126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76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84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77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169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160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187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94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41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109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150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183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140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75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146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33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50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89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15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190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44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76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167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182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18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24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9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74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169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85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96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113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60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118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16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82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86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143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174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142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193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37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112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17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176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68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24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86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69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49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0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89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3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150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181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75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24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92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156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18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188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168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0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15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43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180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56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90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95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53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197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120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93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92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146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67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66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144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103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101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86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155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178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98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69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0" t="str">
        <f ca="1">IF(dict_zuord_Meth_Transfers[[#This Row],[kval_active]],dict_zuord_Meth_Transfers[[#This Row],[ID_Transfers]],"")</f>
        <v/>
      </c>
    </row>
    <row r="4161" spans="1:4" x14ac:dyDescent="0.45">
      <c r="A4161">
        <v>693</v>
      </c>
      <c r="B4161">
        <f t="shared" ca="1" si="64"/>
        <v>170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1" t="str">
        <f ca="1">IF(dict_zuord_Meth_Transfers[[#This Row],[kval_active]],dict_zuord_Meth_Transfers[[#This Row],[ID_Transfers]],"")</f>
        <v/>
      </c>
    </row>
    <row r="4162" spans="1:4" x14ac:dyDescent="0.45">
      <c r="A4162">
        <v>693</v>
      </c>
      <c r="B4162">
        <f t="shared" ref="B4162:B4207" ca="1" si="65">RANDBETWEEN(0,200)</f>
        <v>58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2" t="str">
        <f ca="1">IF(dict_zuord_Meth_Transfers[[#This Row],[kval_active]],dict_zuord_Meth_Transfers[[#This Row],[ID_Transfers]],"")</f>
        <v/>
      </c>
    </row>
    <row r="4163" spans="1:4" x14ac:dyDescent="0.45">
      <c r="A4163">
        <v>693</v>
      </c>
      <c r="B4163" s="3">
        <f t="shared" ca="1" si="65"/>
        <v>138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3" t="str">
        <f ca="1">IF(dict_zuord_Meth_Transfers[[#This Row],[kval_active]],dict_zuord_Meth_Transfers[[#This Row],[ID_Transfers]],"")</f>
        <v/>
      </c>
    </row>
    <row r="4164" spans="1:4" x14ac:dyDescent="0.45">
      <c r="A4164">
        <v>693</v>
      </c>
      <c r="B4164" s="3">
        <f t="shared" ca="1" si="65"/>
        <v>173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4" t="str">
        <f ca="1">IF(dict_zuord_Meth_Transfers[[#This Row],[kval_active]],dict_zuord_Meth_Transfers[[#This Row],[ID_Transfers]],"")</f>
        <v/>
      </c>
    </row>
    <row r="4165" spans="1:4" x14ac:dyDescent="0.45">
      <c r="A4165">
        <v>693</v>
      </c>
      <c r="B4165">
        <f t="shared" ca="1" si="65"/>
        <v>150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5" t="str">
        <f ca="1">IF(dict_zuord_Meth_Transfers[[#This Row],[kval_active]],dict_zuord_Meth_Transfers[[#This Row],[ID_Transfers]],"")</f>
        <v/>
      </c>
    </row>
    <row r="4166" spans="1:4" x14ac:dyDescent="0.45">
      <c r="A4166">
        <v>694</v>
      </c>
      <c r="B4166">
        <f t="shared" ca="1" si="65"/>
        <v>16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127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91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48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156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43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107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80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195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165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190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22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174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8">
        <f ca="1">IF(dict_zuord_Meth_Transfers[[#This Row],[kval_active]],dict_zuord_Meth_Transfers[[#This Row],[ID_Transfers]],"")</f>
        <v>174</v>
      </c>
    </row>
    <row r="4179" spans="1:4" x14ac:dyDescent="0.45">
      <c r="A4179">
        <v>696</v>
      </c>
      <c r="B4179" s="3">
        <f t="shared" ca="1" si="65"/>
        <v>128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9">
        <f ca="1">IF(dict_zuord_Meth_Transfers[[#This Row],[kval_active]],dict_zuord_Meth_Transfers[[#This Row],[ID_Transfers]],"")</f>
        <v>128</v>
      </c>
    </row>
    <row r="4180" spans="1:4" x14ac:dyDescent="0.45">
      <c r="A4180">
        <v>696</v>
      </c>
      <c r="B4180">
        <f t="shared" ca="1" si="65"/>
        <v>6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0">
        <f ca="1">IF(dict_zuord_Meth_Transfers[[#This Row],[kval_active]],dict_zuord_Meth_Transfers[[#This Row],[ID_Transfers]],"")</f>
        <v>6</v>
      </c>
    </row>
    <row r="4181" spans="1:4" x14ac:dyDescent="0.45">
      <c r="A4181">
        <v>696</v>
      </c>
      <c r="B4181" s="3">
        <f t="shared" ca="1" si="65"/>
        <v>116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1">
        <f ca="1">IF(dict_zuord_Meth_Transfers[[#This Row],[kval_active]],dict_zuord_Meth_Transfers[[#This Row],[ID_Transfers]],"")</f>
        <v>116</v>
      </c>
    </row>
    <row r="4182" spans="1:4" x14ac:dyDescent="0.45">
      <c r="A4182">
        <v>696</v>
      </c>
      <c r="B4182">
        <f t="shared" ca="1" si="65"/>
        <v>192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2">
        <f ca="1">IF(dict_zuord_Meth_Transfers[[#This Row],[kval_active]],dict_zuord_Meth_Transfers[[#This Row],[ID_Transfers]],"")</f>
        <v>192</v>
      </c>
    </row>
    <row r="4183" spans="1:4" x14ac:dyDescent="0.45">
      <c r="A4183">
        <v>696</v>
      </c>
      <c r="B4183">
        <f t="shared" ca="1" si="65"/>
        <v>54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3">
        <f ca="1">IF(dict_zuord_Meth_Transfers[[#This Row],[kval_active]],dict_zuord_Meth_Transfers[[#This Row],[ID_Transfers]],"")</f>
        <v>54</v>
      </c>
    </row>
    <row r="4184" spans="1:4" x14ac:dyDescent="0.45">
      <c r="A4184">
        <v>697</v>
      </c>
      <c r="B4184">
        <f t="shared" ca="1" si="65"/>
        <v>117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118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195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44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164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114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104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105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63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26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190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59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17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134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197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6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132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47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34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176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48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158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74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164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10"/>
  <sheetViews>
    <sheetView topLeftCell="A97" workbookViewId="0">
      <selection activeCell="B2" sqref="B2"/>
    </sheetView>
    <sheetView topLeftCell="A334" workbookViewId="1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350</v>
      </c>
    </row>
    <row r="2" spans="1:4" x14ac:dyDescent="0.45">
      <c r="A2">
        <v>0</v>
      </c>
      <c r="B2">
        <f t="shared" ref="B2:B65" ca="1" si="0">RANDBETWEEN(0,100)</f>
        <v>98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98</v>
      </c>
    </row>
    <row r="3" spans="1:4" x14ac:dyDescent="0.45">
      <c r="A3">
        <v>0</v>
      </c>
      <c r="B3">
        <f t="shared" ca="1" si="0"/>
        <v>48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48</v>
      </c>
    </row>
    <row r="4" spans="1:4" x14ac:dyDescent="0.45">
      <c r="A4">
        <v>0</v>
      </c>
      <c r="B4">
        <f t="shared" ca="1" si="0"/>
        <v>84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84</v>
      </c>
    </row>
    <row r="5" spans="1:4" x14ac:dyDescent="0.45">
      <c r="A5">
        <v>0</v>
      </c>
      <c r="B5">
        <f t="shared" ca="1" si="0"/>
        <v>25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25</v>
      </c>
    </row>
    <row r="6" spans="1:4" x14ac:dyDescent="0.45">
      <c r="A6">
        <v>0</v>
      </c>
      <c r="B6">
        <f t="shared" ca="1" si="0"/>
        <v>91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91</v>
      </c>
    </row>
    <row r="7" spans="1:4" x14ac:dyDescent="0.45">
      <c r="A7">
        <v>0</v>
      </c>
      <c r="B7">
        <f t="shared" ca="1" si="0"/>
        <v>31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31</v>
      </c>
    </row>
    <row r="8" spans="1:4" x14ac:dyDescent="0.45">
      <c r="A8">
        <v>0</v>
      </c>
      <c r="B8">
        <f t="shared" ca="1" si="0"/>
        <v>18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18</v>
      </c>
    </row>
    <row r="9" spans="1:4" x14ac:dyDescent="0.45">
      <c r="A9">
        <v>0</v>
      </c>
      <c r="B9">
        <f t="shared" ca="1" si="0"/>
        <v>75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75</v>
      </c>
    </row>
    <row r="10" spans="1:4" x14ac:dyDescent="0.45">
      <c r="A10">
        <v>0</v>
      </c>
      <c r="B10">
        <f t="shared" ca="1" si="0"/>
        <v>57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57</v>
      </c>
    </row>
    <row r="11" spans="1:4" x14ac:dyDescent="0.45">
      <c r="A11">
        <v>1</v>
      </c>
      <c r="B11">
        <f t="shared" ca="1" si="0"/>
        <v>48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" t="str">
        <f ca="1">IF(dict_zuord_Transfers_Storages[[#This Row],[kval_active]],dict_zuord_Transfers_Storages[[#This Row],[ID_Storages]],"")</f>
        <v/>
      </c>
    </row>
    <row r="12" spans="1:4" x14ac:dyDescent="0.45">
      <c r="A12">
        <v>1</v>
      </c>
      <c r="B12">
        <f t="shared" ca="1" si="0"/>
        <v>22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" t="str">
        <f ca="1">IF(dict_zuord_Transfers_Storages[[#This Row],[kval_active]],dict_zuord_Transfers_Storages[[#This Row],[ID_Storages]],"")</f>
        <v/>
      </c>
    </row>
    <row r="13" spans="1:4" x14ac:dyDescent="0.45">
      <c r="A13">
        <v>1</v>
      </c>
      <c r="B13">
        <f t="shared" ca="1" si="0"/>
        <v>9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" t="str">
        <f ca="1">IF(dict_zuord_Transfers_Storages[[#This Row],[kval_active]],dict_zuord_Transfers_Storages[[#This Row],[ID_Storages]],"")</f>
        <v/>
      </c>
    </row>
    <row r="14" spans="1:4" x14ac:dyDescent="0.45">
      <c r="A14">
        <v>1</v>
      </c>
      <c r="B14">
        <f t="shared" ca="1" si="0"/>
        <v>37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" t="str">
        <f ca="1">IF(dict_zuord_Transfers_Storages[[#This Row],[kval_active]],dict_zuord_Transfers_Storages[[#This Row],[ID_Storages]],"")</f>
        <v/>
      </c>
    </row>
    <row r="15" spans="1:4" x14ac:dyDescent="0.45">
      <c r="A15">
        <v>1</v>
      </c>
      <c r="B15">
        <f t="shared" ca="1" si="0"/>
        <v>95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" t="str">
        <f ca="1">IF(dict_zuord_Transfers_Storages[[#This Row],[kval_active]],dict_zuord_Transfers_Storages[[#This Row],[ID_Storages]],"")</f>
        <v/>
      </c>
    </row>
    <row r="16" spans="1:4" x14ac:dyDescent="0.45">
      <c r="A16">
        <v>1</v>
      </c>
      <c r="B16">
        <f t="shared" ca="1" si="0"/>
        <v>74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" t="str">
        <f ca="1">IF(dict_zuord_Transfers_Storages[[#This Row],[kval_active]],dict_zuord_Transfers_Storages[[#This Row],[ID_Storages]],"")</f>
        <v/>
      </c>
    </row>
    <row r="17" spans="1:4" x14ac:dyDescent="0.45">
      <c r="A17">
        <v>1</v>
      </c>
      <c r="B17">
        <f t="shared" ca="1" si="0"/>
        <v>53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" t="str">
        <f ca="1">IF(dict_zuord_Transfers_Storages[[#This Row],[kval_active]],dict_zuord_Transfers_Storages[[#This Row],[ID_Storages]],"")</f>
        <v/>
      </c>
    </row>
    <row r="18" spans="1:4" x14ac:dyDescent="0.45">
      <c r="A18">
        <v>1</v>
      </c>
      <c r="B18">
        <f t="shared" ca="1" si="0"/>
        <v>15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" t="str">
        <f ca="1">IF(dict_zuord_Transfers_Storages[[#This Row],[kval_active]],dict_zuord_Transfers_Storages[[#This Row],[ID_Storages]],"")</f>
        <v/>
      </c>
    </row>
    <row r="19" spans="1:4" x14ac:dyDescent="0.45">
      <c r="A19">
        <v>1</v>
      </c>
      <c r="B19">
        <f t="shared" ca="1" si="0"/>
        <v>26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" t="str">
        <f ca="1">IF(dict_zuord_Transfers_Storages[[#This Row],[kval_active]],dict_zuord_Transfers_Storages[[#This Row],[ID_Storages]],"")</f>
        <v/>
      </c>
    </row>
    <row r="20" spans="1:4" x14ac:dyDescent="0.45">
      <c r="A20">
        <v>2</v>
      </c>
      <c r="B20">
        <f t="shared" ca="1" si="0"/>
        <v>66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">
        <f ca="1">IF(dict_zuord_Transfers_Storages[[#This Row],[kval_active]],dict_zuord_Transfers_Storages[[#This Row],[ID_Storages]],"")</f>
        <v>66</v>
      </c>
    </row>
    <row r="21" spans="1:4" x14ac:dyDescent="0.45">
      <c r="A21">
        <v>2</v>
      </c>
      <c r="B21">
        <f t="shared" ca="1" si="0"/>
        <v>68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">
        <f ca="1">IF(dict_zuord_Transfers_Storages[[#This Row],[kval_active]],dict_zuord_Transfers_Storages[[#This Row],[ID_Storages]],"")</f>
        <v>68</v>
      </c>
    </row>
    <row r="22" spans="1:4" x14ac:dyDescent="0.45">
      <c r="A22">
        <v>2</v>
      </c>
      <c r="B22">
        <f t="shared" ca="1" si="0"/>
        <v>22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">
        <f ca="1">IF(dict_zuord_Transfers_Storages[[#This Row],[kval_active]],dict_zuord_Transfers_Storages[[#This Row],[ID_Storages]],"")</f>
        <v>22</v>
      </c>
    </row>
    <row r="23" spans="1:4" x14ac:dyDescent="0.45">
      <c r="A23">
        <v>2</v>
      </c>
      <c r="B23">
        <f t="shared" ca="1" si="0"/>
        <v>22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">
        <f ca="1">IF(dict_zuord_Transfers_Storages[[#This Row],[kval_active]],dict_zuord_Transfers_Storages[[#This Row],[ID_Storages]],"")</f>
        <v>22</v>
      </c>
    </row>
    <row r="24" spans="1:4" x14ac:dyDescent="0.45">
      <c r="A24">
        <v>2</v>
      </c>
      <c r="B24">
        <f t="shared" ca="1" si="0"/>
        <v>71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">
        <f ca="1">IF(dict_zuord_Transfers_Storages[[#This Row],[kval_active]],dict_zuord_Transfers_Storages[[#This Row],[ID_Storages]],"")</f>
        <v>71</v>
      </c>
    </row>
    <row r="25" spans="1:4" x14ac:dyDescent="0.45">
      <c r="A25">
        <v>2</v>
      </c>
      <c r="B25">
        <f t="shared" ca="1" si="0"/>
        <v>23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">
        <f ca="1">IF(dict_zuord_Transfers_Storages[[#This Row],[kval_active]],dict_zuord_Transfers_Storages[[#This Row],[ID_Storages]],"")</f>
        <v>23</v>
      </c>
    </row>
    <row r="26" spans="1:4" x14ac:dyDescent="0.45">
      <c r="A26">
        <v>2</v>
      </c>
      <c r="B26">
        <f t="shared" ca="1" si="0"/>
        <v>96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">
        <f ca="1">IF(dict_zuord_Transfers_Storages[[#This Row],[kval_active]],dict_zuord_Transfers_Storages[[#This Row],[ID_Storages]],"")</f>
        <v>96</v>
      </c>
    </row>
    <row r="27" spans="1:4" x14ac:dyDescent="0.45">
      <c r="A27">
        <v>2</v>
      </c>
      <c r="B27">
        <f t="shared" ca="1" si="0"/>
        <v>35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">
        <f ca="1">IF(dict_zuord_Transfers_Storages[[#This Row],[kval_active]],dict_zuord_Transfers_Storages[[#This Row],[ID_Storages]],"")</f>
        <v>35</v>
      </c>
    </row>
    <row r="28" spans="1:4" x14ac:dyDescent="0.45">
      <c r="A28">
        <v>2</v>
      </c>
      <c r="B28">
        <f t="shared" ca="1" si="0"/>
        <v>8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">
        <f ca="1">IF(dict_zuord_Transfers_Storages[[#This Row],[kval_active]],dict_zuord_Transfers_Storages[[#This Row],[ID_Storages]],"")</f>
        <v>8</v>
      </c>
    </row>
    <row r="29" spans="1:4" x14ac:dyDescent="0.45">
      <c r="A29">
        <v>3</v>
      </c>
      <c r="B29">
        <f t="shared" ca="1" si="0"/>
        <v>58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58</v>
      </c>
    </row>
    <row r="30" spans="1:4" x14ac:dyDescent="0.45">
      <c r="A30">
        <v>3</v>
      </c>
      <c r="B30">
        <f t="shared" ca="1" si="0"/>
        <v>65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65</v>
      </c>
    </row>
    <row r="31" spans="1:4" x14ac:dyDescent="0.45">
      <c r="A31">
        <v>3</v>
      </c>
      <c r="B31">
        <f t="shared" ca="1" si="0"/>
        <v>31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31</v>
      </c>
    </row>
    <row r="32" spans="1:4" x14ac:dyDescent="0.45">
      <c r="A32">
        <v>3</v>
      </c>
      <c r="B32">
        <f t="shared" ca="1" si="0"/>
        <v>61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61</v>
      </c>
    </row>
    <row r="33" spans="1:4" x14ac:dyDescent="0.45">
      <c r="A33">
        <v>3</v>
      </c>
      <c r="B33">
        <f t="shared" ca="1" si="0"/>
        <v>52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52</v>
      </c>
    </row>
    <row r="34" spans="1:4" x14ac:dyDescent="0.45">
      <c r="A34">
        <v>3</v>
      </c>
      <c r="B34">
        <f t="shared" ca="1" si="0"/>
        <v>99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99</v>
      </c>
    </row>
    <row r="35" spans="1:4" x14ac:dyDescent="0.45">
      <c r="A35">
        <v>3</v>
      </c>
      <c r="B35">
        <f t="shared" ca="1" si="0"/>
        <v>11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11</v>
      </c>
    </row>
    <row r="36" spans="1:4" x14ac:dyDescent="0.45">
      <c r="A36">
        <v>3</v>
      </c>
      <c r="B36">
        <f t="shared" ca="1" si="0"/>
        <v>88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88</v>
      </c>
    </row>
    <row r="37" spans="1:4" x14ac:dyDescent="0.45">
      <c r="A37">
        <v>3</v>
      </c>
      <c r="B37">
        <f t="shared" ca="1" si="0"/>
        <v>73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73</v>
      </c>
    </row>
    <row r="38" spans="1:4" x14ac:dyDescent="0.45">
      <c r="A38">
        <v>4</v>
      </c>
      <c r="B38">
        <f t="shared" ca="1" si="0"/>
        <v>28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" t="str">
        <f ca="1">IF(dict_zuord_Transfers_Storages[[#This Row],[kval_active]],dict_zuord_Transfers_Storages[[#This Row],[ID_Storages]],"")</f>
        <v/>
      </c>
    </row>
    <row r="39" spans="1:4" x14ac:dyDescent="0.45">
      <c r="A39">
        <v>4</v>
      </c>
      <c r="B39">
        <f t="shared" ca="1" si="0"/>
        <v>65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" t="str">
        <f ca="1">IF(dict_zuord_Transfers_Storages[[#This Row],[kval_active]],dict_zuord_Transfers_Storages[[#This Row],[ID_Storages]],"")</f>
        <v/>
      </c>
    </row>
    <row r="40" spans="1:4" x14ac:dyDescent="0.45">
      <c r="A40">
        <v>4</v>
      </c>
      <c r="B40">
        <f t="shared" ca="1" si="0"/>
        <v>88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" t="str">
        <f ca="1">IF(dict_zuord_Transfers_Storages[[#This Row],[kval_active]],dict_zuord_Transfers_Storages[[#This Row],[ID_Storages]],"")</f>
        <v/>
      </c>
    </row>
    <row r="41" spans="1:4" x14ac:dyDescent="0.45">
      <c r="A41">
        <v>4</v>
      </c>
      <c r="B41">
        <f t="shared" ca="1" si="0"/>
        <v>95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" t="str">
        <f ca="1">IF(dict_zuord_Transfers_Storages[[#This Row],[kval_active]],dict_zuord_Transfers_Storages[[#This Row],[ID_Storages]],"")</f>
        <v/>
      </c>
    </row>
    <row r="42" spans="1:4" x14ac:dyDescent="0.45">
      <c r="A42">
        <v>4</v>
      </c>
      <c r="B42">
        <f t="shared" ca="1" si="0"/>
        <v>37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" t="str">
        <f ca="1">IF(dict_zuord_Transfers_Storages[[#This Row],[kval_active]],dict_zuord_Transfers_Storages[[#This Row],[ID_Storages]],"")</f>
        <v/>
      </c>
    </row>
    <row r="43" spans="1:4" x14ac:dyDescent="0.45">
      <c r="A43">
        <v>4</v>
      </c>
      <c r="B43">
        <f t="shared" ca="1" si="0"/>
        <v>96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" t="str">
        <f ca="1">IF(dict_zuord_Transfers_Storages[[#This Row],[kval_active]],dict_zuord_Transfers_Storages[[#This Row],[ID_Storages]],"")</f>
        <v/>
      </c>
    </row>
    <row r="44" spans="1:4" x14ac:dyDescent="0.45">
      <c r="A44">
        <v>4</v>
      </c>
      <c r="B44">
        <f t="shared" ca="1" si="0"/>
        <v>97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" t="str">
        <f ca="1">IF(dict_zuord_Transfers_Storages[[#This Row],[kval_active]],dict_zuord_Transfers_Storages[[#This Row],[ID_Storages]],"")</f>
        <v/>
      </c>
    </row>
    <row r="45" spans="1:4" x14ac:dyDescent="0.45">
      <c r="A45">
        <v>4</v>
      </c>
      <c r="B45">
        <f t="shared" ca="1" si="0"/>
        <v>50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" t="str">
        <f ca="1">IF(dict_zuord_Transfers_Storages[[#This Row],[kval_active]],dict_zuord_Transfers_Storages[[#This Row],[ID_Storages]],"")</f>
        <v/>
      </c>
    </row>
    <row r="46" spans="1:4" x14ac:dyDescent="0.45">
      <c r="A46">
        <v>4</v>
      </c>
      <c r="B46">
        <f t="shared" ca="1" si="0"/>
        <v>54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" t="str">
        <f ca="1">IF(dict_zuord_Transfers_Storages[[#This Row],[kval_active]],dict_zuord_Transfers_Storages[[#This Row],[ID_Storages]],"")</f>
        <v/>
      </c>
    </row>
    <row r="47" spans="1:4" x14ac:dyDescent="0.45">
      <c r="A47">
        <v>5</v>
      </c>
      <c r="B47">
        <f t="shared" ca="1" si="0"/>
        <v>36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" t="str">
        <f ca="1">IF(dict_zuord_Transfers_Storages[[#This Row],[kval_active]],dict_zuord_Transfers_Storages[[#This Row],[ID_Storages]],"")</f>
        <v/>
      </c>
    </row>
    <row r="48" spans="1:4" x14ac:dyDescent="0.45">
      <c r="A48">
        <v>5</v>
      </c>
      <c r="B48">
        <f t="shared" ca="1" si="0"/>
        <v>68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" t="str">
        <f ca="1">IF(dict_zuord_Transfers_Storages[[#This Row],[kval_active]],dict_zuord_Transfers_Storages[[#This Row],[ID_Storages]],"")</f>
        <v/>
      </c>
    </row>
    <row r="49" spans="1:4" x14ac:dyDescent="0.45">
      <c r="A49">
        <v>5</v>
      </c>
      <c r="B49">
        <f t="shared" ca="1" si="0"/>
        <v>64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" t="str">
        <f ca="1">IF(dict_zuord_Transfers_Storages[[#This Row],[kval_active]],dict_zuord_Transfers_Storages[[#This Row],[ID_Storages]],"")</f>
        <v/>
      </c>
    </row>
    <row r="50" spans="1:4" x14ac:dyDescent="0.45">
      <c r="A50">
        <v>5</v>
      </c>
      <c r="B50">
        <f t="shared" ca="1" si="0"/>
        <v>53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" t="str">
        <f ca="1">IF(dict_zuord_Transfers_Storages[[#This Row],[kval_active]],dict_zuord_Transfers_Storages[[#This Row],[ID_Storages]],"")</f>
        <v/>
      </c>
    </row>
    <row r="51" spans="1:4" x14ac:dyDescent="0.45">
      <c r="A51">
        <v>5</v>
      </c>
      <c r="B51">
        <f t="shared" ca="1" si="0"/>
        <v>63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" t="str">
        <f ca="1">IF(dict_zuord_Transfers_Storages[[#This Row],[kval_active]],dict_zuord_Transfers_Storages[[#This Row],[ID_Storages]],"")</f>
        <v/>
      </c>
    </row>
    <row r="52" spans="1:4" x14ac:dyDescent="0.45">
      <c r="A52">
        <v>5</v>
      </c>
      <c r="B52">
        <f t="shared" ca="1" si="0"/>
        <v>10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" t="str">
        <f ca="1">IF(dict_zuord_Transfers_Storages[[#This Row],[kval_active]],dict_zuord_Transfers_Storages[[#This Row],[ID_Storages]],"")</f>
        <v/>
      </c>
    </row>
    <row r="53" spans="1:4" x14ac:dyDescent="0.45">
      <c r="A53">
        <v>5</v>
      </c>
      <c r="B53">
        <f t="shared" ca="1" si="0"/>
        <v>62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" t="str">
        <f ca="1">IF(dict_zuord_Transfers_Storages[[#This Row],[kval_active]],dict_zuord_Transfers_Storages[[#This Row],[ID_Storages]],"")</f>
        <v/>
      </c>
    </row>
    <row r="54" spans="1:4" x14ac:dyDescent="0.45">
      <c r="A54">
        <v>5</v>
      </c>
      <c r="B54">
        <f t="shared" ca="1" si="0"/>
        <v>69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" t="str">
        <f ca="1">IF(dict_zuord_Transfers_Storages[[#This Row],[kval_active]],dict_zuord_Transfers_Storages[[#This Row],[ID_Storages]],"")</f>
        <v/>
      </c>
    </row>
    <row r="55" spans="1:4" x14ac:dyDescent="0.45">
      <c r="A55">
        <v>5</v>
      </c>
      <c r="B55">
        <f t="shared" ca="1" si="0"/>
        <v>84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" t="str">
        <f ca="1">IF(dict_zuord_Transfers_Storages[[#This Row],[kval_active]],dict_zuord_Transfers_Storages[[#This Row],[ID_Storages]],"")</f>
        <v/>
      </c>
    </row>
    <row r="56" spans="1:4" x14ac:dyDescent="0.45">
      <c r="A56">
        <v>6</v>
      </c>
      <c r="B56">
        <f t="shared" ca="1" si="0"/>
        <v>9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">
        <f ca="1">IF(dict_zuord_Transfers_Storages[[#This Row],[kval_active]],dict_zuord_Transfers_Storages[[#This Row],[ID_Storages]],"")</f>
        <v>9</v>
      </c>
    </row>
    <row r="57" spans="1:4" x14ac:dyDescent="0.45">
      <c r="A57">
        <v>6</v>
      </c>
      <c r="B57">
        <f t="shared" ca="1" si="0"/>
        <v>15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">
        <f ca="1">IF(dict_zuord_Transfers_Storages[[#This Row],[kval_active]],dict_zuord_Transfers_Storages[[#This Row],[ID_Storages]],"")</f>
        <v>15</v>
      </c>
    </row>
    <row r="58" spans="1:4" x14ac:dyDescent="0.45">
      <c r="A58">
        <v>6</v>
      </c>
      <c r="B58">
        <f t="shared" ca="1" si="0"/>
        <v>55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">
        <f ca="1">IF(dict_zuord_Transfers_Storages[[#This Row],[kval_active]],dict_zuord_Transfers_Storages[[#This Row],[ID_Storages]],"")</f>
        <v>55</v>
      </c>
    </row>
    <row r="59" spans="1:4" x14ac:dyDescent="0.45">
      <c r="A59">
        <v>6</v>
      </c>
      <c r="B59">
        <f t="shared" ca="1" si="0"/>
        <v>86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">
        <f ca="1">IF(dict_zuord_Transfers_Storages[[#This Row],[kval_active]],dict_zuord_Transfers_Storages[[#This Row],[ID_Storages]],"")</f>
        <v>86</v>
      </c>
    </row>
    <row r="60" spans="1:4" x14ac:dyDescent="0.45">
      <c r="A60">
        <v>6</v>
      </c>
      <c r="B60">
        <f t="shared" ca="1" si="0"/>
        <v>34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">
        <f ca="1">IF(dict_zuord_Transfers_Storages[[#This Row],[kval_active]],dict_zuord_Transfers_Storages[[#This Row],[ID_Storages]],"")</f>
        <v>34</v>
      </c>
    </row>
    <row r="61" spans="1:4" x14ac:dyDescent="0.45">
      <c r="A61">
        <v>6</v>
      </c>
      <c r="B61">
        <f t="shared" ca="1" si="0"/>
        <v>25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">
        <f ca="1">IF(dict_zuord_Transfers_Storages[[#This Row],[kval_active]],dict_zuord_Transfers_Storages[[#This Row],[ID_Storages]],"")</f>
        <v>25</v>
      </c>
    </row>
    <row r="62" spans="1:4" x14ac:dyDescent="0.45">
      <c r="A62">
        <v>6</v>
      </c>
      <c r="B62">
        <f t="shared" ca="1" si="0"/>
        <v>62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">
        <f ca="1">IF(dict_zuord_Transfers_Storages[[#This Row],[kval_active]],dict_zuord_Transfers_Storages[[#This Row],[ID_Storages]],"")</f>
        <v>62</v>
      </c>
    </row>
    <row r="63" spans="1:4" x14ac:dyDescent="0.45">
      <c r="A63">
        <v>6</v>
      </c>
      <c r="B63">
        <f t="shared" ca="1" si="0"/>
        <v>33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">
        <f ca="1">IF(dict_zuord_Transfers_Storages[[#This Row],[kval_active]],dict_zuord_Transfers_Storages[[#This Row],[ID_Storages]],"")</f>
        <v>33</v>
      </c>
    </row>
    <row r="64" spans="1:4" x14ac:dyDescent="0.45">
      <c r="A64">
        <v>6</v>
      </c>
      <c r="B64">
        <f t="shared" ca="1" si="0"/>
        <v>54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">
        <f ca="1">IF(dict_zuord_Transfers_Storages[[#This Row],[kval_active]],dict_zuord_Transfers_Storages[[#This Row],[ID_Storages]],"")</f>
        <v>54</v>
      </c>
    </row>
    <row r="65" spans="1:4" x14ac:dyDescent="0.45">
      <c r="A65">
        <v>7</v>
      </c>
      <c r="B65">
        <f t="shared" ca="1" si="0"/>
        <v>3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" t="str">
        <f ca="1">IF(dict_zuord_Transfers_Storages[[#This Row],[kval_active]],dict_zuord_Transfers_Storages[[#This Row],[ID_Storages]],"")</f>
        <v/>
      </c>
    </row>
    <row r="66" spans="1:4" x14ac:dyDescent="0.45">
      <c r="A66">
        <v>7</v>
      </c>
      <c r="B66">
        <f t="shared" ref="B66:B129" ca="1" si="1">RANDBETWEEN(0,100)</f>
        <v>75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" t="str">
        <f ca="1">IF(dict_zuord_Transfers_Storages[[#This Row],[kval_active]],dict_zuord_Transfers_Storages[[#This Row],[ID_Storages]],"")</f>
        <v/>
      </c>
    </row>
    <row r="67" spans="1:4" x14ac:dyDescent="0.45">
      <c r="A67">
        <v>7</v>
      </c>
      <c r="B67">
        <f t="shared" ca="1" si="1"/>
        <v>70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" t="str">
        <f ca="1">IF(dict_zuord_Transfers_Storages[[#This Row],[kval_active]],dict_zuord_Transfers_Storages[[#This Row],[ID_Storages]],"")</f>
        <v/>
      </c>
    </row>
    <row r="68" spans="1:4" x14ac:dyDescent="0.45">
      <c r="A68">
        <v>7</v>
      </c>
      <c r="B68">
        <f t="shared" ca="1" si="1"/>
        <v>6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" t="str">
        <f ca="1">IF(dict_zuord_Transfers_Storages[[#This Row],[kval_active]],dict_zuord_Transfers_Storages[[#This Row],[ID_Storages]],"")</f>
        <v/>
      </c>
    </row>
    <row r="69" spans="1:4" x14ac:dyDescent="0.45">
      <c r="A69">
        <v>7</v>
      </c>
      <c r="B69">
        <f t="shared" ca="1" si="1"/>
        <v>14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" t="str">
        <f ca="1">IF(dict_zuord_Transfers_Storages[[#This Row],[kval_active]],dict_zuord_Transfers_Storages[[#This Row],[ID_Storages]],"")</f>
        <v/>
      </c>
    </row>
    <row r="70" spans="1:4" x14ac:dyDescent="0.45">
      <c r="A70">
        <v>7</v>
      </c>
      <c r="B70">
        <f t="shared" ca="1" si="1"/>
        <v>46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" t="str">
        <f ca="1">IF(dict_zuord_Transfers_Storages[[#This Row],[kval_active]],dict_zuord_Transfers_Storages[[#This Row],[ID_Storages]],"")</f>
        <v/>
      </c>
    </row>
    <row r="71" spans="1:4" x14ac:dyDescent="0.45">
      <c r="A71">
        <v>7</v>
      </c>
      <c r="B71">
        <f t="shared" ca="1" si="1"/>
        <v>61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" t="str">
        <f ca="1">IF(dict_zuord_Transfers_Storages[[#This Row],[kval_active]],dict_zuord_Transfers_Storages[[#This Row],[ID_Storages]],"")</f>
        <v/>
      </c>
    </row>
    <row r="72" spans="1:4" x14ac:dyDescent="0.45">
      <c r="A72">
        <v>7</v>
      </c>
      <c r="B72">
        <f t="shared" ca="1" si="1"/>
        <v>54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" t="str">
        <f ca="1">IF(dict_zuord_Transfers_Storages[[#This Row],[kval_active]],dict_zuord_Transfers_Storages[[#This Row],[ID_Storages]],"")</f>
        <v/>
      </c>
    </row>
    <row r="73" spans="1:4" x14ac:dyDescent="0.45">
      <c r="A73">
        <v>7</v>
      </c>
      <c r="B73">
        <f t="shared" ca="1" si="1"/>
        <v>85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" t="str">
        <f ca="1">IF(dict_zuord_Transfers_Storages[[#This Row],[kval_active]],dict_zuord_Transfers_Storages[[#This Row],[ID_Storages]],"")</f>
        <v/>
      </c>
    </row>
    <row r="74" spans="1:4" x14ac:dyDescent="0.45">
      <c r="A74">
        <v>8</v>
      </c>
      <c r="B74">
        <f t="shared" ca="1" si="1"/>
        <v>38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" t="str">
        <f ca="1">IF(dict_zuord_Transfers_Storages[[#This Row],[kval_active]],dict_zuord_Transfers_Storages[[#This Row],[ID_Storages]],"")</f>
        <v/>
      </c>
    </row>
    <row r="75" spans="1:4" x14ac:dyDescent="0.45">
      <c r="A75">
        <v>8</v>
      </c>
      <c r="B75">
        <f t="shared" ca="1" si="1"/>
        <v>95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" t="str">
        <f ca="1">IF(dict_zuord_Transfers_Storages[[#This Row],[kval_active]],dict_zuord_Transfers_Storages[[#This Row],[ID_Storages]],"")</f>
        <v/>
      </c>
    </row>
    <row r="76" spans="1:4" x14ac:dyDescent="0.45">
      <c r="A76">
        <v>8</v>
      </c>
      <c r="B76">
        <f t="shared" ca="1" si="1"/>
        <v>87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" t="str">
        <f ca="1">IF(dict_zuord_Transfers_Storages[[#This Row],[kval_active]],dict_zuord_Transfers_Storages[[#This Row],[ID_Storages]],"")</f>
        <v/>
      </c>
    </row>
    <row r="77" spans="1:4" x14ac:dyDescent="0.45">
      <c r="A77">
        <v>8</v>
      </c>
      <c r="B77">
        <f t="shared" ca="1" si="1"/>
        <v>45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" t="str">
        <f ca="1">IF(dict_zuord_Transfers_Storages[[#This Row],[kval_active]],dict_zuord_Transfers_Storages[[#This Row],[ID_Storages]],"")</f>
        <v/>
      </c>
    </row>
    <row r="78" spans="1:4" x14ac:dyDescent="0.45">
      <c r="A78">
        <v>8</v>
      </c>
      <c r="B78">
        <f t="shared" ca="1" si="1"/>
        <v>21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" t="str">
        <f ca="1">IF(dict_zuord_Transfers_Storages[[#This Row],[kval_active]],dict_zuord_Transfers_Storages[[#This Row],[ID_Storages]],"")</f>
        <v/>
      </c>
    </row>
    <row r="79" spans="1:4" x14ac:dyDescent="0.45">
      <c r="A79">
        <v>8</v>
      </c>
      <c r="B79">
        <f t="shared" ca="1" si="1"/>
        <v>46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" t="str">
        <f ca="1">IF(dict_zuord_Transfers_Storages[[#This Row],[kval_active]],dict_zuord_Transfers_Storages[[#This Row],[ID_Storages]],"")</f>
        <v/>
      </c>
    </row>
    <row r="80" spans="1:4" x14ac:dyDescent="0.45">
      <c r="A80">
        <v>8</v>
      </c>
      <c r="B80">
        <f t="shared" ca="1" si="1"/>
        <v>26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" t="str">
        <f ca="1">IF(dict_zuord_Transfers_Storages[[#This Row],[kval_active]],dict_zuord_Transfers_Storages[[#This Row],[ID_Storages]],"")</f>
        <v/>
      </c>
    </row>
    <row r="81" spans="1:4" x14ac:dyDescent="0.45">
      <c r="A81">
        <v>8</v>
      </c>
      <c r="B81">
        <f t="shared" ca="1" si="1"/>
        <v>93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" t="str">
        <f ca="1">IF(dict_zuord_Transfers_Storages[[#This Row],[kval_active]],dict_zuord_Transfers_Storages[[#This Row],[ID_Storages]],"")</f>
        <v/>
      </c>
    </row>
    <row r="82" spans="1:4" x14ac:dyDescent="0.45">
      <c r="A82">
        <v>8</v>
      </c>
      <c r="B82">
        <f t="shared" ca="1" si="1"/>
        <v>69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" t="str">
        <f ca="1">IF(dict_zuord_Transfers_Storages[[#This Row],[kval_active]],dict_zuord_Transfers_Storages[[#This Row],[ID_Storages]],"")</f>
        <v/>
      </c>
    </row>
    <row r="83" spans="1:4" x14ac:dyDescent="0.45">
      <c r="A83">
        <v>9</v>
      </c>
      <c r="B83">
        <f t="shared" ca="1" si="1"/>
        <v>75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" t="str">
        <f ca="1">IF(dict_zuord_Transfers_Storages[[#This Row],[kval_active]],dict_zuord_Transfers_Storages[[#This Row],[ID_Storages]],"")</f>
        <v/>
      </c>
    </row>
    <row r="84" spans="1:4" x14ac:dyDescent="0.45">
      <c r="A84">
        <v>9</v>
      </c>
      <c r="B84">
        <f t="shared" ca="1" si="1"/>
        <v>28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" t="str">
        <f ca="1">IF(dict_zuord_Transfers_Storages[[#This Row],[kval_active]],dict_zuord_Transfers_Storages[[#This Row],[ID_Storages]],"")</f>
        <v/>
      </c>
    </row>
    <row r="85" spans="1:4" x14ac:dyDescent="0.45">
      <c r="A85">
        <v>9</v>
      </c>
      <c r="B85">
        <f t="shared" ca="1" si="1"/>
        <v>20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" t="str">
        <f ca="1">IF(dict_zuord_Transfers_Storages[[#This Row],[kval_active]],dict_zuord_Transfers_Storages[[#This Row],[ID_Storages]],"")</f>
        <v/>
      </c>
    </row>
    <row r="86" spans="1:4" x14ac:dyDescent="0.45">
      <c r="A86">
        <v>9</v>
      </c>
      <c r="B86">
        <f t="shared" ca="1" si="1"/>
        <v>0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" t="str">
        <f ca="1">IF(dict_zuord_Transfers_Storages[[#This Row],[kval_active]],dict_zuord_Transfers_Storages[[#This Row],[ID_Storages]],"")</f>
        <v/>
      </c>
    </row>
    <row r="87" spans="1:4" x14ac:dyDescent="0.45">
      <c r="A87">
        <v>9</v>
      </c>
      <c r="B87">
        <f t="shared" ca="1" si="1"/>
        <v>93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" t="str">
        <f ca="1">IF(dict_zuord_Transfers_Storages[[#This Row],[kval_active]],dict_zuord_Transfers_Storages[[#This Row],[ID_Storages]],"")</f>
        <v/>
      </c>
    </row>
    <row r="88" spans="1:4" x14ac:dyDescent="0.45">
      <c r="A88">
        <v>9</v>
      </c>
      <c r="B88">
        <f t="shared" ca="1" si="1"/>
        <v>49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" t="str">
        <f ca="1">IF(dict_zuord_Transfers_Storages[[#This Row],[kval_active]],dict_zuord_Transfers_Storages[[#This Row],[ID_Storages]],"")</f>
        <v/>
      </c>
    </row>
    <row r="89" spans="1:4" x14ac:dyDescent="0.45">
      <c r="A89">
        <v>9</v>
      </c>
      <c r="B89">
        <f t="shared" ca="1" si="1"/>
        <v>8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" t="str">
        <f ca="1">IF(dict_zuord_Transfers_Storages[[#This Row],[kval_active]],dict_zuord_Transfers_Storages[[#This Row],[ID_Storages]],"")</f>
        <v/>
      </c>
    </row>
    <row r="90" spans="1:4" x14ac:dyDescent="0.45">
      <c r="A90">
        <v>9</v>
      </c>
      <c r="B90">
        <f t="shared" ca="1" si="1"/>
        <v>75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" t="str">
        <f ca="1">IF(dict_zuord_Transfers_Storages[[#This Row],[kval_active]],dict_zuord_Transfers_Storages[[#This Row],[ID_Storages]],"")</f>
        <v/>
      </c>
    </row>
    <row r="91" spans="1:4" x14ac:dyDescent="0.45">
      <c r="A91">
        <v>9</v>
      </c>
      <c r="B91">
        <f t="shared" ca="1" si="1"/>
        <v>19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" t="str">
        <f ca="1">IF(dict_zuord_Transfers_Storages[[#This Row],[kval_active]],dict_zuord_Transfers_Storages[[#This Row],[ID_Storages]],"")</f>
        <v/>
      </c>
    </row>
    <row r="92" spans="1:4" x14ac:dyDescent="0.45">
      <c r="A92">
        <v>10</v>
      </c>
      <c r="B92">
        <f t="shared" ca="1" si="1"/>
        <v>79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" t="str">
        <f ca="1">IF(dict_zuord_Transfers_Storages[[#This Row],[kval_active]],dict_zuord_Transfers_Storages[[#This Row],[ID_Storages]],"")</f>
        <v/>
      </c>
    </row>
    <row r="93" spans="1:4" x14ac:dyDescent="0.45">
      <c r="A93">
        <v>10</v>
      </c>
      <c r="B93">
        <f t="shared" ca="1" si="1"/>
        <v>93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" t="str">
        <f ca="1">IF(dict_zuord_Transfers_Storages[[#This Row],[kval_active]],dict_zuord_Transfers_Storages[[#This Row],[ID_Storages]],"")</f>
        <v/>
      </c>
    </row>
    <row r="94" spans="1:4" x14ac:dyDescent="0.45">
      <c r="A94">
        <v>10</v>
      </c>
      <c r="B94">
        <f t="shared" ca="1" si="1"/>
        <v>17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" t="str">
        <f ca="1">IF(dict_zuord_Transfers_Storages[[#This Row],[kval_active]],dict_zuord_Transfers_Storages[[#This Row],[ID_Storages]],"")</f>
        <v/>
      </c>
    </row>
    <row r="95" spans="1:4" x14ac:dyDescent="0.45">
      <c r="A95">
        <v>10</v>
      </c>
      <c r="B95">
        <f t="shared" ca="1" si="1"/>
        <v>39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" t="str">
        <f ca="1">IF(dict_zuord_Transfers_Storages[[#This Row],[kval_active]],dict_zuord_Transfers_Storages[[#This Row],[ID_Storages]],"")</f>
        <v/>
      </c>
    </row>
    <row r="96" spans="1:4" x14ac:dyDescent="0.45">
      <c r="A96">
        <v>10</v>
      </c>
      <c r="B96">
        <f t="shared" ca="1" si="1"/>
        <v>13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" t="str">
        <f ca="1">IF(dict_zuord_Transfers_Storages[[#This Row],[kval_active]],dict_zuord_Transfers_Storages[[#This Row],[ID_Storages]],"")</f>
        <v/>
      </c>
    </row>
    <row r="97" spans="1:4" x14ac:dyDescent="0.45">
      <c r="A97">
        <v>10</v>
      </c>
      <c r="B97">
        <f t="shared" ca="1" si="1"/>
        <v>84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" t="str">
        <f ca="1">IF(dict_zuord_Transfers_Storages[[#This Row],[kval_active]],dict_zuord_Transfers_Storages[[#This Row],[ID_Storages]],"")</f>
        <v/>
      </c>
    </row>
    <row r="98" spans="1:4" x14ac:dyDescent="0.45">
      <c r="A98">
        <v>10</v>
      </c>
      <c r="B98">
        <f t="shared" ca="1" si="1"/>
        <v>68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" t="str">
        <f ca="1">IF(dict_zuord_Transfers_Storages[[#This Row],[kval_active]],dict_zuord_Transfers_Storages[[#This Row],[ID_Storages]],"")</f>
        <v/>
      </c>
    </row>
    <row r="99" spans="1:4" x14ac:dyDescent="0.45">
      <c r="A99">
        <v>10</v>
      </c>
      <c r="B99">
        <f t="shared" ca="1" si="1"/>
        <v>65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" t="str">
        <f ca="1">IF(dict_zuord_Transfers_Storages[[#This Row],[kval_active]],dict_zuord_Transfers_Storages[[#This Row],[ID_Storages]],"")</f>
        <v/>
      </c>
    </row>
    <row r="100" spans="1:4" x14ac:dyDescent="0.45">
      <c r="A100">
        <v>10</v>
      </c>
      <c r="B100">
        <f t="shared" ca="1" si="1"/>
        <v>87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" t="str">
        <f ca="1">IF(dict_zuord_Transfers_Storages[[#This Row],[kval_active]],dict_zuord_Transfers_Storages[[#This Row],[ID_Storages]],"")</f>
        <v/>
      </c>
    </row>
    <row r="101" spans="1:4" x14ac:dyDescent="0.45">
      <c r="A101">
        <v>11</v>
      </c>
      <c r="B101">
        <f t="shared" ca="1" si="1"/>
        <v>60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60</v>
      </c>
    </row>
    <row r="102" spans="1:4" x14ac:dyDescent="0.45">
      <c r="A102">
        <v>11</v>
      </c>
      <c r="B102">
        <f t="shared" ca="1" si="1"/>
        <v>45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45</v>
      </c>
    </row>
    <row r="103" spans="1:4" x14ac:dyDescent="0.45">
      <c r="A103">
        <v>11</v>
      </c>
      <c r="B103">
        <f t="shared" ca="1" si="1"/>
        <v>57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57</v>
      </c>
    </row>
    <row r="104" spans="1:4" x14ac:dyDescent="0.45">
      <c r="A104">
        <v>11</v>
      </c>
      <c r="B104">
        <f t="shared" ca="1" si="1"/>
        <v>23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23</v>
      </c>
    </row>
    <row r="105" spans="1:4" x14ac:dyDescent="0.45">
      <c r="A105">
        <v>11</v>
      </c>
      <c r="B105">
        <f t="shared" ca="1" si="1"/>
        <v>35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35</v>
      </c>
    </row>
    <row r="106" spans="1:4" x14ac:dyDescent="0.45">
      <c r="A106">
        <v>11</v>
      </c>
      <c r="B106">
        <f t="shared" ca="1" si="1"/>
        <v>89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89</v>
      </c>
    </row>
    <row r="107" spans="1:4" x14ac:dyDescent="0.45">
      <c r="A107">
        <v>11</v>
      </c>
      <c r="B107">
        <f t="shared" ca="1" si="1"/>
        <v>4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4</v>
      </c>
    </row>
    <row r="108" spans="1:4" x14ac:dyDescent="0.45">
      <c r="A108">
        <v>11</v>
      </c>
      <c r="B108">
        <f t="shared" ca="1" si="1"/>
        <v>64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64</v>
      </c>
    </row>
    <row r="109" spans="1:4" x14ac:dyDescent="0.45">
      <c r="A109">
        <v>11</v>
      </c>
      <c r="B109">
        <f t="shared" ca="1" si="1"/>
        <v>76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76</v>
      </c>
    </row>
    <row r="110" spans="1:4" x14ac:dyDescent="0.45">
      <c r="A110">
        <v>12</v>
      </c>
      <c r="B110">
        <f t="shared" ca="1" si="1"/>
        <v>80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" t="str">
        <f ca="1">IF(dict_zuord_Transfers_Storages[[#This Row],[kval_active]],dict_zuord_Transfers_Storages[[#This Row],[ID_Storages]],"")</f>
        <v/>
      </c>
    </row>
    <row r="111" spans="1:4" x14ac:dyDescent="0.45">
      <c r="A111">
        <v>12</v>
      </c>
      <c r="B111">
        <f t="shared" ca="1" si="1"/>
        <v>12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" t="str">
        <f ca="1">IF(dict_zuord_Transfers_Storages[[#This Row],[kval_active]],dict_zuord_Transfers_Storages[[#This Row],[ID_Storages]],"")</f>
        <v/>
      </c>
    </row>
    <row r="112" spans="1:4" x14ac:dyDescent="0.45">
      <c r="A112">
        <v>12</v>
      </c>
      <c r="B112">
        <f t="shared" ca="1" si="1"/>
        <v>76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" t="str">
        <f ca="1">IF(dict_zuord_Transfers_Storages[[#This Row],[kval_active]],dict_zuord_Transfers_Storages[[#This Row],[ID_Storages]],"")</f>
        <v/>
      </c>
    </row>
    <row r="113" spans="1:4" x14ac:dyDescent="0.45">
      <c r="A113">
        <v>12</v>
      </c>
      <c r="B113">
        <f t="shared" ca="1" si="1"/>
        <v>76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" t="str">
        <f ca="1">IF(dict_zuord_Transfers_Storages[[#This Row],[kval_active]],dict_zuord_Transfers_Storages[[#This Row],[ID_Storages]],"")</f>
        <v/>
      </c>
    </row>
    <row r="114" spans="1:4" x14ac:dyDescent="0.45">
      <c r="A114">
        <v>12</v>
      </c>
      <c r="B114">
        <f t="shared" ca="1" si="1"/>
        <v>35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" t="str">
        <f ca="1">IF(dict_zuord_Transfers_Storages[[#This Row],[kval_active]],dict_zuord_Transfers_Storages[[#This Row],[ID_Storages]],"")</f>
        <v/>
      </c>
    </row>
    <row r="115" spans="1:4" x14ac:dyDescent="0.45">
      <c r="A115">
        <v>12</v>
      </c>
      <c r="B115">
        <f t="shared" ca="1" si="1"/>
        <v>15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" t="str">
        <f ca="1">IF(dict_zuord_Transfers_Storages[[#This Row],[kval_active]],dict_zuord_Transfers_Storages[[#This Row],[ID_Storages]],"")</f>
        <v/>
      </c>
    </row>
    <row r="116" spans="1:4" x14ac:dyDescent="0.45">
      <c r="A116">
        <v>12</v>
      </c>
      <c r="B116">
        <f t="shared" ca="1" si="1"/>
        <v>44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" t="str">
        <f ca="1">IF(dict_zuord_Transfers_Storages[[#This Row],[kval_active]],dict_zuord_Transfers_Storages[[#This Row],[ID_Storages]],"")</f>
        <v/>
      </c>
    </row>
    <row r="117" spans="1:4" x14ac:dyDescent="0.45">
      <c r="A117">
        <v>12</v>
      </c>
      <c r="B117">
        <f t="shared" ca="1" si="1"/>
        <v>3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" t="str">
        <f ca="1">IF(dict_zuord_Transfers_Storages[[#This Row],[kval_active]],dict_zuord_Transfers_Storages[[#This Row],[ID_Storages]],"")</f>
        <v/>
      </c>
    </row>
    <row r="118" spans="1:4" x14ac:dyDescent="0.45">
      <c r="A118">
        <v>12</v>
      </c>
      <c r="B118">
        <f t="shared" ca="1" si="1"/>
        <v>36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" t="str">
        <f ca="1">IF(dict_zuord_Transfers_Storages[[#This Row],[kval_active]],dict_zuord_Transfers_Storages[[#This Row],[ID_Storages]],"")</f>
        <v/>
      </c>
    </row>
    <row r="119" spans="1:4" x14ac:dyDescent="0.45">
      <c r="A119">
        <v>13</v>
      </c>
      <c r="B119">
        <f t="shared" ca="1" si="1"/>
        <v>73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" t="str">
        <f ca="1">IF(dict_zuord_Transfers_Storages[[#This Row],[kval_active]],dict_zuord_Transfers_Storages[[#This Row],[ID_Storages]],"")</f>
        <v/>
      </c>
    </row>
    <row r="120" spans="1:4" x14ac:dyDescent="0.45">
      <c r="A120">
        <v>13</v>
      </c>
      <c r="B120">
        <f t="shared" ca="1" si="1"/>
        <v>4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" t="str">
        <f ca="1">IF(dict_zuord_Transfers_Storages[[#This Row],[kval_active]],dict_zuord_Transfers_Storages[[#This Row],[ID_Storages]],"")</f>
        <v/>
      </c>
    </row>
    <row r="121" spans="1:4" x14ac:dyDescent="0.45">
      <c r="A121">
        <v>13</v>
      </c>
      <c r="B121">
        <f t="shared" ca="1" si="1"/>
        <v>26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" t="str">
        <f ca="1">IF(dict_zuord_Transfers_Storages[[#This Row],[kval_active]],dict_zuord_Transfers_Storages[[#This Row],[ID_Storages]],"")</f>
        <v/>
      </c>
    </row>
    <row r="122" spans="1:4" x14ac:dyDescent="0.45">
      <c r="A122">
        <v>13</v>
      </c>
      <c r="B122">
        <f t="shared" ca="1" si="1"/>
        <v>39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" t="str">
        <f ca="1">IF(dict_zuord_Transfers_Storages[[#This Row],[kval_active]],dict_zuord_Transfers_Storages[[#This Row],[ID_Storages]],"")</f>
        <v/>
      </c>
    </row>
    <row r="123" spans="1:4" x14ac:dyDescent="0.45">
      <c r="A123">
        <v>13</v>
      </c>
      <c r="B123">
        <f t="shared" ca="1" si="1"/>
        <v>70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" t="str">
        <f ca="1">IF(dict_zuord_Transfers_Storages[[#This Row],[kval_active]],dict_zuord_Transfers_Storages[[#This Row],[ID_Storages]],"")</f>
        <v/>
      </c>
    </row>
    <row r="124" spans="1:4" x14ac:dyDescent="0.45">
      <c r="A124">
        <v>13</v>
      </c>
      <c r="B124">
        <f t="shared" ca="1" si="1"/>
        <v>70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" t="str">
        <f ca="1">IF(dict_zuord_Transfers_Storages[[#This Row],[kval_active]],dict_zuord_Transfers_Storages[[#This Row],[ID_Storages]],"")</f>
        <v/>
      </c>
    </row>
    <row r="125" spans="1:4" x14ac:dyDescent="0.45">
      <c r="A125">
        <v>13</v>
      </c>
      <c r="B125">
        <f t="shared" ca="1" si="1"/>
        <v>60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" t="str">
        <f ca="1">IF(dict_zuord_Transfers_Storages[[#This Row],[kval_active]],dict_zuord_Transfers_Storages[[#This Row],[ID_Storages]],"")</f>
        <v/>
      </c>
    </row>
    <row r="126" spans="1:4" x14ac:dyDescent="0.45">
      <c r="A126">
        <v>13</v>
      </c>
      <c r="B126">
        <f t="shared" ca="1" si="1"/>
        <v>59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" t="str">
        <f ca="1">IF(dict_zuord_Transfers_Storages[[#This Row],[kval_active]],dict_zuord_Transfers_Storages[[#This Row],[ID_Storages]],"")</f>
        <v/>
      </c>
    </row>
    <row r="127" spans="1:4" x14ac:dyDescent="0.45">
      <c r="A127">
        <v>13</v>
      </c>
      <c r="B127">
        <f t="shared" ca="1" si="1"/>
        <v>97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" t="str">
        <f ca="1">IF(dict_zuord_Transfers_Storages[[#This Row],[kval_active]],dict_zuord_Transfers_Storages[[#This Row],[ID_Storages]],"")</f>
        <v/>
      </c>
    </row>
    <row r="128" spans="1:4" x14ac:dyDescent="0.45">
      <c r="A128">
        <v>14</v>
      </c>
      <c r="B128">
        <f t="shared" ca="1" si="1"/>
        <v>8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8</v>
      </c>
    </row>
    <row r="129" spans="1:4" x14ac:dyDescent="0.45">
      <c r="A129">
        <v>14</v>
      </c>
      <c r="B129">
        <f t="shared" ca="1" si="1"/>
        <v>28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28</v>
      </c>
    </row>
    <row r="130" spans="1:4" x14ac:dyDescent="0.45">
      <c r="A130">
        <v>14</v>
      </c>
      <c r="B130">
        <f t="shared" ref="B130:B193" ca="1" si="2">RANDBETWEEN(0,100)</f>
        <v>15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15</v>
      </c>
    </row>
    <row r="131" spans="1:4" x14ac:dyDescent="0.45">
      <c r="A131">
        <v>14</v>
      </c>
      <c r="B131">
        <f t="shared" ca="1" si="2"/>
        <v>78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78</v>
      </c>
    </row>
    <row r="132" spans="1:4" x14ac:dyDescent="0.45">
      <c r="A132">
        <v>14</v>
      </c>
      <c r="B132">
        <f t="shared" ca="1" si="2"/>
        <v>83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83</v>
      </c>
    </row>
    <row r="133" spans="1:4" x14ac:dyDescent="0.45">
      <c r="A133">
        <v>14</v>
      </c>
      <c r="B133">
        <f t="shared" ca="1" si="2"/>
        <v>86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86</v>
      </c>
    </row>
    <row r="134" spans="1:4" x14ac:dyDescent="0.45">
      <c r="A134">
        <v>14</v>
      </c>
      <c r="B134">
        <f t="shared" ca="1" si="2"/>
        <v>45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45</v>
      </c>
    </row>
    <row r="135" spans="1:4" x14ac:dyDescent="0.45">
      <c r="A135">
        <v>14</v>
      </c>
      <c r="B135">
        <f t="shared" ca="1" si="2"/>
        <v>15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15</v>
      </c>
    </row>
    <row r="136" spans="1:4" x14ac:dyDescent="0.45">
      <c r="A136">
        <v>14</v>
      </c>
      <c r="B136">
        <f t="shared" ca="1" si="2"/>
        <v>68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68</v>
      </c>
    </row>
    <row r="137" spans="1:4" x14ac:dyDescent="0.45">
      <c r="A137">
        <v>15</v>
      </c>
      <c r="B137">
        <f t="shared" ca="1" si="2"/>
        <v>78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78</v>
      </c>
    </row>
    <row r="138" spans="1:4" x14ac:dyDescent="0.45">
      <c r="A138">
        <v>15</v>
      </c>
      <c r="B138">
        <f t="shared" ca="1" si="2"/>
        <v>6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6</v>
      </c>
    </row>
    <row r="139" spans="1:4" x14ac:dyDescent="0.45">
      <c r="A139">
        <v>15</v>
      </c>
      <c r="B139">
        <f t="shared" ca="1" si="2"/>
        <v>51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51</v>
      </c>
    </row>
    <row r="140" spans="1:4" x14ac:dyDescent="0.45">
      <c r="A140">
        <v>15</v>
      </c>
      <c r="B140">
        <f t="shared" ca="1" si="2"/>
        <v>66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66</v>
      </c>
    </row>
    <row r="141" spans="1:4" x14ac:dyDescent="0.45">
      <c r="A141">
        <v>15</v>
      </c>
      <c r="B141">
        <f t="shared" ca="1" si="2"/>
        <v>74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74</v>
      </c>
    </row>
    <row r="142" spans="1:4" x14ac:dyDescent="0.45">
      <c r="A142">
        <v>15</v>
      </c>
      <c r="B142">
        <f t="shared" ca="1" si="2"/>
        <v>18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18</v>
      </c>
    </row>
    <row r="143" spans="1:4" x14ac:dyDescent="0.45">
      <c r="A143">
        <v>15</v>
      </c>
      <c r="B143">
        <f t="shared" ca="1" si="2"/>
        <v>25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25</v>
      </c>
    </row>
    <row r="144" spans="1:4" x14ac:dyDescent="0.45">
      <c r="A144">
        <v>15</v>
      </c>
      <c r="B144">
        <f t="shared" ca="1" si="2"/>
        <v>52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52</v>
      </c>
    </row>
    <row r="145" spans="1:4" x14ac:dyDescent="0.45">
      <c r="A145">
        <v>15</v>
      </c>
      <c r="B145">
        <f t="shared" ca="1" si="2"/>
        <v>1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1</v>
      </c>
    </row>
    <row r="146" spans="1:4" x14ac:dyDescent="0.45">
      <c r="A146">
        <v>16</v>
      </c>
      <c r="B146">
        <f t="shared" ca="1" si="2"/>
        <v>41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" t="str">
        <f ca="1">IF(dict_zuord_Transfers_Storages[[#This Row],[kval_active]],dict_zuord_Transfers_Storages[[#This Row],[ID_Storages]],"")</f>
        <v/>
      </c>
    </row>
    <row r="147" spans="1:4" x14ac:dyDescent="0.45">
      <c r="A147">
        <v>16</v>
      </c>
      <c r="B147">
        <f t="shared" ca="1" si="2"/>
        <v>47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" t="str">
        <f ca="1">IF(dict_zuord_Transfers_Storages[[#This Row],[kval_active]],dict_zuord_Transfers_Storages[[#This Row],[ID_Storages]],"")</f>
        <v/>
      </c>
    </row>
    <row r="148" spans="1:4" x14ac:dyDescent="0.45">
      <c r="A148">
        <v>16</v>
      </c>
      <c r="B148">
        <f t="shared" ca="1" si="2"/>
        <v>67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" t="str">
        <f ca="1">IF(dict_zuord_Transfers_Storages[[#This Row],[kval_active]],dict_zuord_Transfers_Storages[[#This Row],[ID_Storages]],"")</f>
        <v/>
      </c>
    </row>
    <row r="149" spans="1:4" x14ac:dyDescent="0.45">
      <c r="A149">
        <v>16</v>
      </c>
      <c r="B149">
        <f t="shared" ca="1" si="2"/>
        <v>4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" t="str">
        <f ca="1">IF(dict_zuord_Transfers_Storages[[#This Row],[kval_active]],dict_zuord_Transfers_Storages[[#This Row],[ID_Storages]],"")</f>
        <v/>
      </c>
    </row>
    <row r="150" spans="1:4" x14ac:dyDescent="0.45">
      <c r="A150">
        <v>16</v>
      </c>
      <c r="B150">
        <f t="shared" ca="1" si="2"/>
        <v>39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" t="str">
        <f ca="1">IF(dict_zuord_Transfers_Storages[[#This Row],[kval_active]],dict_zuord_Transfers_Storages[[#This Row],[ID_Storages]],"")</f>
        <v/>
      </c>
    </row>
    <row r="151" spans="1:4" x14ac:dyDescent="0.45">
      <c r="A151">
        <v>16</v>
      </c>
      <c r="B151">
        <f t="shared" ca="1" si="2"/>
        <v>81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" t="str">
        <f ca="1">IF(dict_zuord_Transfers_Storages[[#This Row],[kval_active]],dict_zuord_Transfers_Storages[[#This Row],[ID_Storages]],"")</f>
        <v/>
      </c>
    </row>
    <row r="152" spans="1:4" x14ac:dyDescent="0.45">
      <c r="A152">
        <v>16</v>
      </c>
      <c r="B152">
        <f t="shared" ca="1" si="2"/>
        <v>38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" t="str">
        <f ca="1">IF(dict_zuord_Transfers_Storages[[#This Row],[kval_active]],dict_zuord_Transfers_Storages[[#This Row],[ID_Storages]],"")</f>
        <v/>
      </c>
    </row>
    <row r="153" spans="1:4" x14ac:dyDescent="0.45">
      <c r="A153">
        <v>16</v>
      </c>
      <c r="B153">
        <f t="shared" ca="1" si="2"/>
        <v>85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" t="str">
        <f ca="1">IF(dict_zuord_Transfers_Storages[[#This Row],[kval_active]],dict_zuord_Transfers_Storages[[#This Row],[ID_Storages]],"")</f>
        <v/>
      </c>
    </row>
    <row r="154" spans="1:4" x14ac:dyDescent="0.45">
      <c r="A154">
        <v>16</v>
      </c>
      <c r="B154">
        <f t="shared" ca="1" si="2"/>
        <v>42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" t="str">
        <f ca="1">IF(dict_zuord_Transfers_Storages[[#This Row],[kval_active]],dict_zuord_Transfers_Storages[[#This Row],[ID_Storages]],"")</f>
        <v/>
      </c>
    </row>
    <row r="155" spans="1:4" x14ac:dyDescent="0.45">
      <c r="A155">
        <v>17</v>
      </c>
      <c r="B155">
        <f t="shared" ca="1" si="2"/>
        <v>12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" t="str">
        <f ca="1">IF(dict_zuord_Transfers_Storages[[#This Row],[kval_active]],dict_zuord_Transfers_Storages[[#This Row],[ID_Storages]],"")</f>
        <v/>
      </c>
    </row>
    <row r="156" spans="1:4" x14ac:dyDescent="0.45">
      <c r="A156">
        <v>17</v>
      </c>
      <c r="B156">
        <f t="shared" ca="1" si="2"/>
        <v>78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" t="str">
        <f ca="1">IF(dict_zuord_Transfers_Storages[[#This Row],[kval_active]],dict_zuord_Transfers_Storages[[#This Row],[ID_Storages]],"")</f>
        <v/>
      </c>
    </row>
    <row r="157" spans="1:4" x14ac:dyDescent="0.45">
      <c r="A157">
        <v>17</v>
      </c>
      <c r="B157">
        <f t="shared" ca="1" si="2"/>
        <v>41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" t="str">
        <f ca="1">IF(dict_zuord_Transfers_Storages[[#This Row],[kval_active]],dict_zuord_Transfers_Storages[[#This Row],[ID_Storages]],"")</f>
        <v/>
      </c>
    </row>
    <row r="158" spans="1:4" x14ac:dyDescent="0.45">
      <c r="A158">
        <v>17</v>
      </c>
      <c r="B158">
        <f t="shared" ca="1" si="2"/>
        <v>60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" t="str">
        <f ca="1">IF(dict_zuord_Transfers_Storages[[#This Row],[kval_active]],dict_zuord_Transfers_Storages[[#This Row],[ID_Storages]],"")</f>
        <v/>
      </c>
    </row>
    <row r="159" spans="1:4" x14ac:dyDescent="0.45">
      <c r="A159">
        <v>17</v>
      </c>
      <c r="B159">
        <f t="shared" ca="1" si="2"/>
        <v>97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" t="str">
        <f ca="1">IF(dict_zuord_Transfers_Storages[[#This Row],[kval_active]],dict_zuord_Transfers_Storages[[#This Row],[ID_Storages]],"")</f>
        <v/>
      </c>
    </row>
    <row r="160" spans="1:4" x14ac:dyDescent="0.45">
      <c r="A160">
        <v>17</v>
      </c>
      <c r="B160">
        <f t="shared" ca="1" si="2"/>
        <v>62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" t="str">
        <f ca="1">IF(dict_zuord_Transfers_Storages[[#This Row],[kval_active]],dict_zuord_Transfers_Storages[[#This Row],[ID_Storages]],"")</f>
        <v/>
      </c>
    </row>
    <row r="161" spans="1:4" x14ac:dyDescent="0.45">
      <c r="A161">
        <v>17</v>
      </c>
      <c r="B161">
        <f t="shared" ca="1" si="2"/>
        <v>81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" t="str">
        <f ca="1">IF(dict_zuord_Transfers_Storages[[#This Row],[kval_active]],dict_zuord_Transfers_Storages[[#This Row],[ID_Storages]],"")</f>
        <v/>
      </c>
    </row>
    <row r="162" spans="1:4" x14ac:dyDescent="0.45">
      <c r="A162">
        <v>17</v>
      </c>
      <c r="B162">
        <f t="shared" ca="1" si="2"/>
        <v>13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" t="str">
        <f ca="1">IF(dict_zuord_Transfers_Storages[[#This Row],[kval_active]],dict_zuord_Transfers_Storages[[#This Row],[ID_Storages]],"")</f>
        <v/>
      </c>
    </row>
    <row r="163" spans="1:4" x14ac:dyDescent="0.45">
      <c r="A163">
        <v>17</v>
      </c>
      <c r="B163">
        <f t="shared" ca="1" si="2"/>
        <v>92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" t="str">
        <f ca="1">IF(dict_zuord_Transfers_Storages[[#This Row],[kval_active]],dict_zuord_Transfers_Storages[[#This Row],[ID_Storages]],"")</f>
        <v/>
      </c>
    </row>
    <row r="164" spans="1:4" x14ac:dyDescent="0.45">
      <c r="A164">
        <v>18</v>
      </c>
      <c r="B164">
        <f t="shared" ca="1" si="2"/>
        <v>77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" t="str">
        <f ca="1">IF(dict_zuord_Transfers_Storages[[#This Row],[kval_active]],dict_zuord_Transfers_Storages[[#This Row],[ID_Storages]],"")</f>
        <v/>
      </c>
    </row>
    <row r="165" spans="1:4" x14ac:dyDescent="0.45">
      <c r="A165">
        <v>18</v>
      </c>
      <c r="B165">
        <f t="shared" ca="1" si="2"/>
        <v>81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" t="str">
        <f ca="1">IF(dict_zuord_Transfers_Storages[[#This Row],[kval_active]],dict_zuord_Transfers_Storages[[#This Row],[ID_Storages]],"")</f>
        <v/>
      </c>
    </row>
    <row r="166" spans="1:4" x14ac:dyDescent="0.45">
      <c r="A166">
        <v>18</v>
      </c>
      <c r="B166">
        <f t="shared" ca="1" si="2"/>
        <v>89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" t="str">
        <f ca="1">IF(dict_zuord_Transfers_Storages[[#This Row],[kval_active]],dict_zuord_Transfers_Storages[[#This Row],[ID_Storages]],"")</f>
        <v/>
      </c>
    </row>
    <row r="167" spans="1:4" x14ac:dyDescent="0.45">
      <c r="A167">
        <v>18</v>
      </c>
      <c r="B167">
        <f t="shared" ca="1" si="2"/>
        <v>59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" t="str">
        <f ca="1">IF(dict_zuord_Transfers_Storages[[#This Row],[kval_active]],dict_zuord_Transfers_Storages[[#This Row],[ID_Storages]],"")</f>
        <v/>
      </c>
    </row>
    <row r="168" spans="1:4" x14ac:dyDescent="0.45">
      <c r="A168">
        <v>18</v>
      </c>
      <c r="B168">
        <f t="shared" ca="1" si="2"/>
        <v>55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" t="str">
        <f ca="1">IF(dict_zuord_Transfers_Storages[[#This Row],[kval_active]],dict_zuord_Transfers_Storages[[#This Row],[ID_Storages]],"")</f>
        <v/>
      </c>
    </row>
    <row r="169" spans="1:4" x14ac:dyDescent="0.45">
      <c r="A169">
        <v>18</v>
      </c>
      <c r="B169">
        <f t="shared" ca="1" si="2"/>
        <v>48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" t="str">
        <f ca="1">IF(dict_zuord_Transfers_Storages[[#This Row],[kval_active]],dict_zuord_Transfers_Storages[[#This Row],[ID_Storages]],"")</f>
        <v/>
      </c>
    </row>
    <row r="170" spans="1:4" x14ac:dyDescent="0.45">
      <c r="A170">
        <v>18</v>
      </c>
      <c r="B170">
        <f t="shared" ca="1" si="2"/>
        <v>99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" t="str">
        <f ca="1">IF(dict_zuord_Transfers_Storages[[#This Row],[kval_active]],dict_zuord_Transfers_Storages[[#This Row],[ID_Storages]],"")</f>
        <v/>
      </c>
    </row>
    <row r="171" spans="1:4" x14ac:dyDescent="0.45">
      <c r="A171">
        <v>18</v>
      </c>
      <c r="B171">
        <f t="shared" ca="1" si="2"/>
        <v>90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" t="str">
        <f ca="1">IF(dict_zuord_Transfers_Storages[[#This Row],[kval_active]],dict_zuord_Transfers_Storages[[#This Row],[ID_Storages]],"")</f>
        <v/>
      </c>
    </row>
    <row r="172" spans="1:4" x14ac:dyDescent="0.45">
      <c r="A172">
        <v>18</v>
      </c>
      <c r="B172">
        <f t="shared" ca="1" si="2"/>
        <v>42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" t="str">
        <f ca="1">IF(dict_zuord_Transfers_Storages[[#This Row],[kval_active]],dict_zuord_Transfers_Storages[[#This Row],[ID_Storages]],"")</f>
        <v/>
      </c>
    </row>
    <row r="173" spans="1:4" x14ac:dyDescent="0.45">
      <c r="A173">
        <v>19</v>
      </c>
      <c r="B173">
        <f t="shared" ca="1" si="2"/>
        <v>5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" t="str">
        <f ca="1">IF(dict_zuord_Transfers_Storages[[#This Row],[kval_active]],dict_zuord_Transfers_Storages[[#This Row],[ID_Storages]],"")</f>
        <v/>
      </c>
    </row>
    <row r="174" spans="1:4" x14ac:dyDescent="0.45">
      <c r="A174">
        <v>19</v>
      </c>
      <c r="B174">
        <f t="shared" ca="1" si="2"/>
        <v>80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" t="str">
        <f ca="1">IF(dict_zuord_Transfers_Storages[[#This Row],[kval_active]],dict_zuord_Transfers_Storages[[#This Row],[ID_Storages]],"")</f>
        <v/>
      </c>
    </row>
    <row r="175" spans="1:4" x14ac:dyDescent="0.45">
      <c r="A175">
        <v>19</v>
      </c>
      <c r="B175">
        <f t="shared" ca="1" si="2"/>
        <v>3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" t="str">
        <f ca="1">IF(dict_zuord_Transfers_Storages[[#This Row],[kval_active]],dict_zuord_Transfers_Storages[[#This Row],[ID_Storages]],"")</f>
        <v/>
      </c>
    </row>
    <row r="176" spans="1:4" x14ac:dyDescent="0.45">
      <c r="A176">
        <v>19</v>
      </c>
      <c r="B176">
        <f t="shared" ca="1" si="2"/>
        <v>65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" t="str">
        <f ca="1">IF(dict_zuord_Transfers_Storages[[#This Row],[kval_active]],dict_zuord_Transfers_Storages[[#This Row],[ID_Storages]],"")</f>
        <v/>
      </c>
    </row>
    <row r="177" spans="1:4" x14ac:dyDescent="0.45">
      <c r="A177">
        <v>19</v>
      </c>
      <c r="B177">
        <f t="shared" ca="1" si="2"/>
        <v>25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" t="str">
        <f ca="1">IF(dict_zuord_Transfers_Storages[[#This Row],[kval_active]],dict_zuord_Transfers_Storages[[#This Row],[ID_Storages]],"")</f>
        <v/>
      </c>
    </row>
    <row r="178" spans="1:4" x14ac:dyDescent="0.45">
      <c r="A178">
        <v>19</v>
      </c>
      <c r="B178">
        <f t="shared" ca="1" si="2"/>
        <v>52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" t="str">
        <f ca="1">IF(dict_zuord_Transfers_Storages[[#This Row],[kval_active]],dict_zuord_Transfers_Storages[[#This Row],[ID_Storages]],"")</f>
        <v/>
      </c>
    </row>
    <row r="179" spans="1:4" x14ac:dyDescent="0.45">
      <c r="A179">
        <v>19</v>
      </c>
      <c r="B179">
        <f t="shared" ca="1" si="2"/>
        <v>50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" t="str">
        <f ca="1">IF(dict_zuord_Transfers_Storages[[#This Row],[kval_active]],dict_zuord_Transfers_Storages[[#This Row],[ID_Storages]],"")</f>
        <v/>
      </c>
    </row>
    <row r="180" spans="1:4" x14ac:dyDescent="0.45">
      <c r="A180">
        <v>19</v>
      </c>
      <c r="B180">
        <f t="shared" ca="1" si="2"/>
        <v>67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" t="str">
        <f ca="1">IF(dict_zuord_Transfers_Storages[[#This Row],[kval_active]],dict_zuord_Transfers_Storages[[#This Row],[ID_Storages]],"")</f>
        <v/>
      </c>
    </row>
    <row r="181" spans="1:4" x14ac:dyDescent="0.45">
      <c r="A181">
        <v>19</v>
      </c>
      <c r="B181">
        <f t="shared" ca="1" si="2"/>
        <v>4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" t="str">
        <f ca="1">IF(dict_zuord_Transfers_Storages[[#This Row],[kval_active]],dict_zuord_Transfers_Storages[[#This Row],[ID_Storages]],"")</f>
        <v/>
      </c>
    </row>
    <row r="182" spans="1:4" x14ac:dyDescent="0.45">
      <c r="A182">
        <v>20</v>
      </c>
      <c r="B182">
        <f t="shared" ca="1" si="2"/>
        <v>69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2" t="str">
        <f ca="1">IF(dict_zuord_Transfers_Storages[[#This Row],[kval_active]],dict_zuord_Transfers_Storages[[#This Row],[ID_Storages]],"")</f>
        <v/>
      </c>
    </row>
    <row r="183" spans="1:4" x14ac:dyDescent="0.45">
      <c r="A183">
        <v>20</v>
      </c>
      <c r="B183">
        <f t="shared" ca="1" si="2"/>
        <v>66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3" t="str">
        <f ca="1">IF(dict_zuord_Transfers_Storages[[#This Row],[kval_active]],dict_zuord_Transfers_Storages[[#This Row],[ID_Storages]],"")</f>
        <v/>
      </c>
    </row>
    <row r="184" spans="1:4" x14ac:dyDescent="0.45">
      <c r="A184">
        <v>20</v>
      </c>
      <c r="B184">
        <f t="shared" ca="1" si="2"/>
        <v>44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4" t="str">
        <f ca="1">IF(dict_zuord_Transfers_Storages[[#This Row],[kval_active]],dict_zuord_Transfers_Storages[[#This Row],[ID_Storages]],"")</f>
        <v/>
      </c>
    </row>
    <row r="185" spans="1:4" x14ac:dyDescent="0.45">
      <c r="A185">
        <v>20</v>
      </c>
      <c r="B185">
        <f t="shared" ca="1" si="2"/>
        <v>91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5" t="str">
        <f ca="1">IF(dict_zuord_Transfers_Storages[[#This Row],[kval_active]],dict_zuord_Transfers_Storages[[#This Row],[ID_Storages]],"")</f>
        <v/>
      </c>
    </row>
    <row r="186" spans="1:4" x14ac:dyDescent="0.45">
      <c r="A186">
        <v>20</v>
      </c>
      <c r="B186">
        <f t="shared" ca="1" si="2"/>
        <v>63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6" t="str">
        <f ca="1">IF(dict_zuord_Transfers_Storages[[#This Row],[kval_active]],dict_zuord_Transfers_Storages[[#This Row],[ID_Storages]],"")</f>
        <v/>
      </c>
    </row>
    <row r="187" spans="1:4" x14ac:dyDescent="0.45">
      <c r="A187">
        <v>20</v>
      </c>
      <c r="B187">
        <f t="shared" ca="1" si="2"/>
        <v>0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7" t="str">
        <f ca="1">IF(dict_zuord_Transfers_Storages[[#This Row],[kval_active]],dict_zuord_Transfers_Storages[[#This Row],[ID_Storages]],"")</f>
        <v/>
      </c>
    </row>
    <row r="188" spans="1:4" x14ac:dyDescent="0.45">
      <c r="A188">
        <v>20</v>
      </c>
      <c r="B188">
        <f t="shared" ca="1" si="2"/>
        <v>48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8" t="str">
        <f ca="1">IF(dict_zuord_Transfers_Storages[[#This Row],[kval_active]],dict_zuord_Transfers_Storages[[#This Row],[ID_Storages]],"")</f>
        <v/>
      </c>
    </row>
    <row r="189" spans="1:4" x14ac:dyDescent="0.45">
      <c r="A189">
        <v>20</v>
      </c>
      <c r="B189">
        <f t="shared" ca="1" si="2"/>
        <v>84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9" t="str">
        <f ca="1">IF(dict_zuord_Transfers_Storages[[#This Row],[kval_active]],dict_zuord_Transfers_Storages[[#This Row],[ID_Storages]],"")</f>
        <v/>
      </c>
    </row>
    <row r="190" spans="1:4" x14ac:dyDescent="0.45">
      <c r="A190">
        <v>20</v>
      </c>
      <c r="B190">
        <f t="shared" ca="1" si="2"/>
        <v>58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0" t="str">
        <f ca="1">IF(dict_zuord_Transfers_Storages[[#This Row],[kval_active]],dict_zuord_Transfers_Storages[[#This Row],[ID_Storages]],"")</f>
        <v/>
      </c>
    </row>
    <row r="191" spans="1:4" x14ac:dyDescent="0.45">
      <c r="A191">
        <v>21</v>
      </c>
      <c r="B191">
        <f t="shared" ca="1" si="2"/>
        <v>49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1" t="str">
        <f ca="1">IF(dict_zuord_Transfers_Storages[[#This Row],[kval_active]],dict_zuord_Transfers_Storages[[#This Row],[ID_Storages]],"")</f>
        <v/>
      </c>
    </row>
    <row r="192" spans="1:4" x14ac:dyDescent="0.45">
      <c r="A192">
        <v>21</v>
      </c>
      <c r="B192">
        <f t="shared" ca="1" si="2"/>
        <v>93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2" t="str">
        <f ca="1">IF(dict_zuord_Transfers_Storages[[#This Row],[kval_active]],dict_zuord_Transfers_Storages[[#This Row],[ID_Storages]],"")</f>
        <v/>
      </c>
    </row>
    <row r="193" spans="1:4" x14ac:dyDescent="0.45">
      <c r="A193">
        <v>21</v>
      </c>
      <c r="B193">
        <f t="shared" ca="1" si="2"/>
        <v>74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3" t="str">
        <f ca="1">IF(dict_zuord_Transfers_Storages[[#This Row],[kval_active]],dict_zuord_Transfers_Storages[[#This Row],[ID_Storages]],"")</f>
        <v/>
      </c>
    </row>
    <row r="194" spans="1:4" x14ac:dyDescent="0.45">
      <c r="A194">
        <v>21</v>
      </c>
      <c r="B194">
        <f t="shared" ref="B194:B257" ca="1" si="3">RANDBETWEEN(0,100)</f>
        <v>19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4" t="str">
        <f ca="1">IF(dict_zuord_Transfers_Storages[[#This Row],[kval_active]],dict_zuord_Transfers_Storages[[#This Row],[ID_Storages]],"")</f>
        <v/>
      </c>
    </row>
    <row r="195" spans="1:4" x14ac:dyDescent="0.45">
      <c r="A195">
        <v>21</v>
      </c>
      <c r="B195">
        <f t="shared" ca="1" si="3"/>
        <v>15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5" t="str">
        <f ca="1">IF(dict_zuord_Transfers_Storages[[#This Row],[kval_active]],dict_zuord_Transfers_Storages[[#This Row],[ID_Storages]],"")</f>
        <v/>
      </c>
    </row>
    <row r="196" spans="1:4" x14ac:dyDescent="0.45">
      <c r="A196">
        <v>21</v>
      </c>
      <c r="B196">
        <f t="shared" ca="1" si="3"/>
        <v>3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6" t="str">
        <f ca="1">IF(dict_zuord_Transfers_Storages[[#This Row],[kval_active]],dict_zuord_Transfers_Storages[[#This Row],[ID_Storages]],"")</f>
        <v/>
      </c>
    </row>
    <row r="197" spans="1:4" x14ac:dyDescent="0.45">
      <c r="A197">
        <v>21</v>
      </c>
      <c r="B197">
        <f t="shared" ca="1" si="3"/>
        <v>31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7" t="str">
        <f ca="1">IF(dict_zuord_Transfers_Storages[[#This Row],[kval_active]],dict_zuord_Transfers_Storages[[#This Row],[ID_Storages]],"")</f>
        <v/>
      </c>
    </row>
    <row r="198" spans="1:4" x14ac:dyDescent="0.45">
      <c r="A198">
        <v>21</v>
      </c>
      <c r="B198">
        <f t="shared" ca="1" si="3"/>
        <v>65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8" t="str">
        <f ca="1">IF(dict_zuord_Transfers_Storages[[#This Row],[kval_active]],dict_zuord_Transfers_Storages[[#This Row],[ID_Storages]],"")</f>
        <v/>
      </c>
    </row>
    <row r="199" spans="1:4" x14ac:dyDescent="0.45">
      <c r="A199">
        <v>21</v>
      </c>
      <c r="B199">
        <f t="shared" ca="1" si="3"/>
        <v>96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9" t="str">
        <f ca="1">IF(dict_zuord_Transfers_Storages[[#This Row],[kval_active]],dict_zuord_Transfers_Storages[[#This Row],[ID_Storages]],"")</f>
        <v/>
      </c>
    </row>
    <row r="200" spans="1:4" x14ac:dyDescent="0.45">
      <c r="A200">
        <v>22</v>
      </c>
      <c r="B200">
        <f t="shared" ca="1" si="3"/>
        <v>74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0" t="str">
        <f ca="1">IF(dict_zuord_Transfers_Storages[[#This Row],[kval_active]],dict_zuord_Transfers_Storages[[#This Row],[ID_Storages]],"")</f>
        <v/>
      </c>
    </row>
    <row r="201" spans="1:4" x14ac:dyDescent="0.45">
      <c r="A201">
        <v>22</v>
      </c>
      <c r="B201">
        <f t="shared" ca="1" si="3"/>
        <v>84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1" t="str">
        <f ca="1">IF(dict_zuord_Transfers_Storages[[#This Row],[kval_active]],dict_zuord_Transfers_Storages[[#This Row],[ID_Storages]],"")</f>
        <v/>
      </c>
    </row>
    <row r="202" spans="1:4" x14ac:dyDescent="0.45">
      <c r="A202">
        <v>22</v>
      </c>
      <c r="B202">
        <f t="shared" ca="1" si="3"/>
        <v>94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2" t="str">
        <f ca="1">IF(dict_zuord_Transfers_Storages[[#This Row],[kval_active]],dict_zuord_Transfers_Storages[[#This Row],[ID_Storages]],"")</f>
        <v/>
      </c>
    </row>
    <row r="203" spans="1:4" x14ac:dyDescent="0.45">
      <c r="A203">
        <v>22</v>
      </c>
      <c r="B203">
        <f t="shared" ca="1" si="3"/>
        <v>46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3" t="str">
        <f ca="1">IF(dict_zuord_Transfers_Storages[[#This Row],[kval_active]],dict_zuord_Transfers_Storages[[#This Row],[ID_Storages]],"")</f>
        <v/>
      </c>
    </row>
    <row r="204" spans="1:4" x14ac:dyDescent="0.45">
      <c r="A204">
        <v>22</v>
      </c>
      <c r="B204">
        <f t="shared" ca="1" si="3"/>
        <v>95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4" t="str">
        <f ca="1">IF(dict_zuord_Transfers_Storages[[#This Row],[kval_active]],dict_zuord_Transfers_Storages[[#This Row],[ID_Storages]],"")</f>
        <v/>
      </c>
    </row>
    <row r="205" spans="1:4" x14ac:dyDescent="0.45">
      <c r="A205">
        <v>22</v>
      </c>
      <c r="B205">
        <f t="shared" ca="1" si="3"/>
        <v>27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5" t="str">
        <f ca="1">IF(dict_zuord_Transfers_Storages[[#This Row],[kval_active]],dict_zuord_Transfers_Storages[[#This Row],[ID_Storages]],"")</f>
        <v/>
      </c>
    </row>
    <row r="206" spans="1:4" x14ac:dyDescent="0.45">
      <c r="A206">
        <v>22</v>
      </c>
      <c r="B206">
        <f t="shared" ca="1" si="3"/>
        <v>31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6" t="str">
        <f ca="1">IF(dict_zuord_Transfers_Storages[[#This Row],[kval_active]],dict_zuord_Transfers_Storages[[#This Row],[ID_Storages]],"")</f>
        <v/>
      </c>
    </row>
    <row r="207" spans="1:4" x14ac:dyDescent="0.45">
      <c r="A207">
        <v>22</v>
      </c>
      <c r="B207">
        <f t="shared" ca="1" si="3"/>
        <v>100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7" t="str">
        <f ca="1">IF(dict_zuord_Transfers_Storages[[#This Row],[kval_active]],dict_zuord_Transfers_Storages[[#This Row],[ID_Storages]],"")</f>
        <v/>
      </c>
    </row>
    <row r="208" spans="1:4" x14ac:dyDescent="0.45">
      <c r="A208">
        <v>22</v>
      </c>
      <c r="B208">
        <f t="shared" ca="1" si="3"/>
        <v>79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8" t="str">
        <f ca="1">IF(dict_zuord_Transfers_Storages[[#This Row],[kval_active]],dict_zuord_Transfers_Storages[[#This Row],[ID_Storages]],"")</f>
        <v/>
      </c>
    </row>
    <row r="209" spans="1:4" x14ac:dyDescent="0.45">
      <c r="A209">
        <v>23</v>
      </c>
      <c r="B209">
        <f t="shared" ca="1" si="3"/>
        <v>1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9" t="str">
        <f ca="1">IF(dict_zuord_Transfers_Storages[[#This Row],[kval_active]],dict_zuord_Transfers_Storages[[#This Row],[ID_Storages]],"")</f>
        <v/>
      </c>
    </row>
    <row r="210" spans="1:4" x14ac:dyDescent="0.45">
      <c r="A210">
        <v>23</v>
      </c>
      <c r="B210">
        <f t="shared" ca="1" si="3"/>
        <v>26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0" t="str">
        <f ca="1">IF(dict_zuord_Transfers_Storages[[#This Row],[kval_active]],dict_zuord_Transfers_Storages[[#This Row],[ID_Storages]],"")</f>
        <v/>
      </c>
    </row>
    <row r="211" spans="1:4" x14ac:dyDescent="0.45">
      <c r="A211">
        <v>23</v>
      </c>
      <c r="B211">
        <f t="shared" ca="1" si="3"/>
        <v>29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1" t="str">
        <f ca="1">IF(dict_zuord_Transfers_Storages[[#This Row],[kval_active]],dict_zuord_Transfers_Storages[[#This Row],[ID_Storages]],"")</f>
        <v/>
      </c>
    </row>
    <row r="212" spans="1:4" x14ac:dyDescent="0.45">
      <c r="A212">
        <v>23</v>
      </c>
      <c r="B212">
        <f t="shared" ca="1" si="3"/>
        <v>5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2" t="str">
        <f ca="1">IF(dict_zuord_Transfers_Storages[[#This Row],[kval_active]],dict_zuord_Transfers_Storages[[#This Row],[ID_Storages]],"")</f>
        <v/>
      </c>
    </row>
    <row r="213" spans="1:4" x14ac:dyDescent="0.45">
      <c r="A213">
        <v>23</v>
      </c>
      <c r="B213">
        <f t="shared" ca="1" si="3"/>
        <v>74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3" t="str">
        <f ca="1">IF(dict_zuord_Transfers_Storages[[#This Row],[kval_active]],dict_zuord_Transfers_Storages[[#This Row],[ID_Storages]],"")</f>
        <v/>
      </c>
    </row>
    <row r="214" spans="1:4" x14ac:dyDescent="0.45">
      <c r="A214">
        <v>23</v>
      </c>
      <c r="B214">
        <f t="shared" ca="1" si="3"/>
        <v>99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4" t="str">
        <f ca="1">IF(dict_zuord_Transfers_Storages[[#This Row],[kval_active]],dict_zuord_Transfers_Storages[[#This Row],[ID_Storages]],"")</f>
        <v/>
      </c>
    </row>
    <row r="215" spans="1:4" x14ac:dyDescent="0.45">
      <c r="A215">
        <v>23</v>
      </c>
      <c r="B215">
        <f t="shared" ca="1" si="3"/>
        <v>86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5" t="str">
        <f ca="1">IF(dict_zuord_Transfers_Storages[[#This Row],[kval_active]],dict_zuord_Transfers_Storages[[#This Row],[ID_Storages]],"")</f>
        <v/>
      </c>
    </row>
    <row r="216" spans="1:4" x14ac:dyDescent="0.45">
      <c r="A216">
        <v>23</v>
      </c>
      <c r="B216">
        <f t="shared" ca="1" si="3"/>
        <v>12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6" t="str">
        <f ca="1">IF(dict_zuord_Transfers_Storages[[#This Row],[kval_active]],dict_zuord_Transfers_Storages[[#This Row],[ID_Storages]],"")</f>
        <v/>
      </c>
    </row>
    <row r="217" spans="1:4" x14ac:dyDescent="0.45">
      <c r="A217">
        <v>23</v>
      </c>
      <c r="B217">
        <f t="shared" ca="1" si="3"/>
        <v>22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7" t="str">
        <f ca="1">IF(dict_zuord_Transfers_Storages[[#This Row],[kval_active]],dict_zuord_Transfers_Storages[[#This Row],[ID_Storages]],"")</f>
        <v/>
      </c>
    </row>
    <row r="218" spans="1:4" x14ac:dyDescent="0.45">
      <c r="A218">
        <v>24</v>
      </c>
      <c r="B218">
        <f t="shared" ca="1" si="3"/>
        <v>44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8" t="str">
        <f ca="1">IF(dict_zuord_Transfers_Storages[[#This Row],[kval_active]],dict_zuord_Transfers_Storages[[#This Row],[ID_Storages]],"")</f>
        <v/>
      </c>
    </row>
    <row r="219" spans="1:4" x14ac:dyDescent="0.45">
      <c r="A219">
        <v>24</v>
      </c>
      <c r="B219">
        <f t="shared" ca="1" si="3"/>
        <v>89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9" t="str">
        <f ca="1">IF(dict_zuord_Transfers_Storages[[#This Row],[kval_active]],dict_zuord_Transfers_Storages[[#This Row],[ID_Storages]],"")</f>
        <v/>
      </c>
    </row>
    <row r="220" spans="1:4" x14ac:dyDescent="0.45">
      <c r="A220">
        <v>24</v>
      </c>
      <c r="B220">
        <f t="shared" ca="1" si="3"/>
        <v>100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0" t="str">
        <f ca="1">IF(dict_zuord_Transfers_Storages[[#This Row],[kval_active]],dict_zuord_Transfers_Storages[[#This Row],[ID_Storages]],"")</f>
        <v/>
      </c>
    </row>
    <row r="221" spans="1:4" x14ac:dyDescent="0.45">
      <c r="A221">
        <v>24</v>
      </c>
      <c r="B221">
        <f t="shared" ca="1" si="3"/>
        <v>67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1" t="str">
        <f ca="1">IF(dict_zuord_Transfers_Storages[[#This Row],[kval_active]],dict_zuord_Transfers_Storages[[#This Row],[ID_Storages]],"")</f>
        <v/>
      </c>
    </row>
    <row r="222" spans="1:4" x14ac:dyDescent="0.45">
      <c r="A222">
        <v>24</v>
      </c>
      <c r="B222">
        <f t="shared" ca="1" si="3"/>
        <v>15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2" t="str">
        <f ca="1">IF(dict_zuord_Transfers_Storages[[#This Row],[kval_active]],dict_zuord_Transfers_Storages[[#This Row],[ID_Storages]],"")</f>
        <v/>
      </c>
    </row>
    <row r="223" spans="1:4" x14ac:dyDescent="0.45">
      <c r="A223">
        <v>24</v>
      </c>
      <c r="B223">
        <f t="shared" ca="1" si="3"/>
        <v>10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3" t="str">
        <f ca="1">IF(dict_zuord_Transfers_Storages[[#This Row],[kval_active]],dict_zuord_Transfers_Storages[[#This Row],[ID_Storages]],"")</f>
        <v/>
      </c>
    </row>
    <row r="224" spans="1:4" x14ac:dyDescent="0.45">
      <c r="A224">
        <v>24</v>
      </c>
      <c r="B224">
        <f t="shared" ca="1" si="3"/>
        <v>62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4" t="str">
        <f ca="1">IF(dict_zuord_Transfers_Storages[[#This Row],[kval_active]],dict_zuord_Transfers_Storages[[#This Row],[ID_Storages]],"")</f>
        <v/>
      </c>
    </row>
    <row r="225" spans="1:4" x14ac:dyDescent="0.45">
      <c r="A225">
        <v>24</v>
      </c>
      <c r="B225">
        <f t="shared" ca="1" si="3"/>
        <v>48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5" t="str">
        <f ca="1">IF(dict_zuord_Transfers_Storages[[#This Row],[kval_active]],dict_zuord_Transfers_Storages[[#This Row],[ID_Storages]],"")</f>
        <v/>
      </c>
    </row>
    <row r="226" spans="1:4" x14ac:dyDescent="0.45">
      <c r="A226">
        <v>24</v>
      </c>
      <c r="B226">
        <f t="shared" ca="1" si="3"/>
        <v>6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6" t="str">
        <f ca="1">IF(dict_zuord_Transfers_Storages[[#This Row],[kval_active]],dict_zuord_Transfers_Storages[[#This Row],[ID_Storages]],"")</f>
        <v/>
      </c>
    </row>
    <row r="227" spans="1:4" x14ac:dyDescent="0.45">
      <c r="A227">
        <v>25</v>
      </c>
      <c r="B227">
        <f t="shared" ca="1" si="3"/>
        <v>49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7" t="str">
        <f ca="1">IF(dict_zuord_Transfers_Storages[[#This Row],[kval_active]],dict_zuord_Transfers_Storages[[#This Row],[ID_Storages]],"")</f>
        <v/>
      </c>
    </row>
    <row r="228" spans="1:4" x14ac:dyDescent="0.45">
      <c r="A228">
        <v>25</v>
      </c>
      <c r="B228">
        <f t="shared" ca="1" si="3"/>
        <v>84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8" t="str">
        <f ca="1">IF(dict_zuord_Transfers_Storages[[#This Row],[kval_active]],dict_zuord_Transfers_Storages[[#This Row],[ID_Storages]],"")</f>
        <v/>
      </c>
    </row>
    <row r="229" spans="1:4" x14ac:dyDescent="0.45">
      <c r="A229">
        <v>25</v>
      </c>
      <c r="B229">
        <f t="shared" ca="1" si="3"/>
        <v>50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9" t="str">
        <f ca="1">IF(dict_zuord_Transfers_Storages[[#This Row],[kval_active]],dict_zuord_Transfers_Storages[[#This Row],[ID_Storages]],"")</f>
        <v/>
      </c>
    </row>
    <row r="230" spans="1:4" x14ac:dyDescent="0.45">
      <c r="A230">
        <v>25</v>
      </c>
      <c r="B230">
        <f t="shared" ca="1" si="3"/>
        <v>97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0" t="str">
        <f ca="1">IF(dict_zuord_Transfers_Storages[[#This Row],[kval_active]],dict_zuord_Transfers_Storages[[#This Row],[ID_Storages]],"")</f>
        <v/>
      </c>
    </row>
    <row r="231" spans="1:4" x14ac:dyDescent="0.45">
      <c r="A231">
        <v>25</v>
      </c>
      <c r="B231">
        <f t="shared" ca="1" si="3"/>
        <v>76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1" t="str">
        <f ca="1">IF(dict_zuord_Transfers_Storages[[#This Row],[kval_active]],dict_zuord_Transfers_Storages[[#This Row],[ID_Storages]],"")</f>
        <v/>
      </c>
    </row>
    <row r="232" spans="1:4" x14ac:dyDescent="0.45">
      <c r="A232">
        <v>25</v>
      </c>
      <c r="B232">
        <f t="shared" ca="1" si="3"/>
        <v>88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2" t="str">
        <f ca="1">IF(dict_zuord_Transfers_Storages[[#This Row],[kval_active]],dict_zuord_Transfers_Storages[[#This Row],[ID_Storages]],"")</f>
        <v/>
      </c>
    </row>
    <row r="233" spans="1:4" x14ac:dyDescent="0.45">
      <c r="A233">
        <v>25</v>
      </c>
      <c r="B233">
        <f t="shared" ca="1" si="3"/>
        <v>74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3" t="str">
        <f ca="1">IF(dict_zuord_Transfers_Storages[[#This Row],[kval_active]],dict_zuord_Transfers_Storages[[#This Row],[ID_Storages]],"")</f>
        <v/>
      </c>
    </row>
    <row r="234" spans="1:4" x14ac:dyDescent="0.45">
      <c r="A234">
        <v>25</v>
      </c>
      <c r="B234">
        <f t="shared" ca="1" si="3"/>
        <v>67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4" t="str">
        <f ca="1">IF(dict_zuord_Transfers_Storages[[#This Row],[kval_active]],dict_zuord_Transfers_Storages[[#This Row],[ID_Storages]],"")</f>
        <v/>
      </c>
    </row>
    <row r="235" spans="1:4" x14ac:dyDescent="0.45">
      <c r="A235">
        <v>25</v>
      </c>
      <c r="B235">
        <f t="shared" ca="1" si="3"/>
        <v>11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5" t="str">
        <f ca="1">IF(dict_zuord_Transfers_Storages[[#This Row],[kval_active]],dict_zuord_Transfers_Storages[[#This Row],[ID_Storages]],"")</f>
        <v/>
      </c>
    </row>
    <row r="236" spans="1:4" x14ac:dyDescent="0.45">
      <c r="A236">
        <v>26</v>
      </c>
      <c r="B236">
        <f t="shared" ca="1" si="3"/>
        <v>69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6" t="str">
        <f ca="1">IF(dict_zuord_Transfers_Storages[[#This Row],[kval_active]],dict_zuord_Transfers_Storages[[#This Row],[ID_Storages]],"")</f>
        <v/>
      </c>
    </row>
    <row r="237" spans="1:4" x14ac:dyDescent="0.45">
      <c r="A237">
        <v>26</v>
      </c>
      <c r="B237">
        <f t="shared" ca="1" si="3"/>
        <v>88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7" t="str">
        <f ca="1">IF(dict_zuord_Transfers_Storages[[#This Row],[kval_active]],dict_zuord_Transfers_Storages[[#This Row],[ID_Storages]],"")</f>
        <v/>
      </c>
    </row>
    <row r="238" spans="1:4" x14ac:dyDescent="0.45">
      <c r="A238">
        <v>26</v>
      </c>
      <c r="B238">
        <f t="shared" ca="1" si="3"/>
        <v>24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8" t="str">
        <f ca="1">IF(dict_zuord_Transfers_Storages[[#This Row],[kval_active]],dict_zuord_Transfers_Storages[[#This Row],[ID_Storages]],"")</f>
        <v/>
      </c>
    </row>
    <row r="239" spans="1:4" x14ac:dyDescent="0.45">
      <c r="A239">
        <v>26</v>
      </c>
      <c r="B239">
        <f t="shared" ca="1" si="3"/>
        <v>15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9" t="str">
        <f ca="1">IF(dict_zuord_Transfers_Storages[[#This Row],[kval_active]],dict_zuord_Transfers_Storages[[#This Row],[ID_Storages]],"")</f>
        <v/>
      </c>
    </row>
    <row r="240" spans="1:4" x14ac:dyDescent="0.45">
      <c r="A240">
        <v>26</v>
      </c>
      <c r="B240">
        <f t="shared" ca="1" si="3"/>
        <v>76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0" t="str">
        <f ca="1">IF(dict_zuord_Transfers_Storages[[#This Row],[kval_active]],dict_zuord_Transfers_Storages[[#This Row],[ID_Storages]],"")</f>
        <v/>
      </c>
    </row>
    <row r="241" spans="1:4" x14ac:dyDescent="0.45">
      <c r="A241">
        <v>26</v>
      </c>
      <c r="B241">
        <f t="shared" ca="1" si="3"/>
        <v>7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1" t="str">
        <f ca="1">IF(dict_zuord_Transfers_Storages[[#This Row],[kval_active]],dict_zuord_Transfers_Storages[[#This Row],[ID_Storages]],"")</f>
        <v/>
      </c>
    </row>
    <row r="242" spans="1:4" x14ac:dyDescent="0.45">
      <c r="A242">
        <v>26</v>
      </c>
      <c r="B242">
        <f t="shared" ca="1" si="3"/>
        <v>77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2" t="str">
        <f ca="1">IF(dict_zuord_Transfers_Storages[[#This Row],[kval_active]],dict_zuord_Transfers_Storages[[#This Row],[ID_Storages]],"")</f>
        <v/>
      </c>
    </row>
    <row r="243" spans="1:4" x14ac:dyDescent="0.45">
      <c r="A243">
        <v>26</v>
      </c>
      <c r="B243">
        <f t="shared" ca="1" si="3"/>
        <v>90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3" t="str">
        <f ca="1">IF(dict_zuord_Transfers_Storages[[#This Row],[kval_active]],dict_zuord_Transfers_Storages[[#This Row],[ID_Storages]],"")</f>
        <v/>
      </c>
    </row>
    <row r="244" spans="1:4" x14ac:dyDescent="0.45">
      <c r="A244">
        <v>26</v>
      </c>
      <c r="B244">
        <f t="shared" ca="1" si="3"/>
        <v>86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4" t="str">
        <f ca="1">IF(dict_zuord_Transfers_Storages[[#This Row],[kval_active]],dict_zuord_Transfers_Storages[[#This Row],[ID_Storages]],"")</f>
        <v/>
      </c>
    </row>
    <row r="245" spans="1:4" x14ac:dyDescent="0.45">
      <c r="A245">
        <v>27</v>
      </c>
      <c r="B245">
        <f t="shared" ca="1" si="3"/>
        <v>39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5" t="str">
        <f ca="1">IF(dict_zuord_Transfers_Storages[[#This Row],[kval_active]],dict_zuord_Transfers_Storages[[#This Row],[ID_Storages]],"")</f>
        <v/>
      </c>
    </row>
    <row r="246" spans="1:4" x14ac:dyDescent="0.45">
      <c r="A246">
        <v>27</v>
      </c>
      <c r="B246">
        <f t="shared" ca="1" si="3"/>
        <v>86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6" t="str">
        <f ca="1">IF(dict_zuord_Transfers_Storages[[#This Row],[kval_active]],dict_zuord_Transfers_Storages[[#This Row],[ID_Storages]],"")</f>
        <v/>
      </c>
    </row>
    <row r="247" spans="1:4" x14ac:dyDescent="0.45">
      <c r="A247">
        <v>27</v>
      </c>
      <c r="B247">
        <f t="shared" ca="1" si="3"/>
        <v>68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7" t="str">
        <f ca="1">IF(dict_zuord_Transfers_Storages[[#This Row],[kval_active]],dict_zuord_Transfers_Storages[[#This Row],[ID_Storages]],"")</f>
        <v/>
      </c>
    </row>
    <row r="248" spans="1:4" x14ac:dyDescent="0.45">
      <c r="A248">
        <v>27</v>
      </c>
      <c r="B248">
        <f t="shared" ca="1" si="3"/>
        <v>29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8" t="str">
        <f ca="1">IF(dict_zuord_Transfers_Storages[[#This Row],[kval_active]],dict_zuord_Transfers_Storages[[#This Row],[ID_Storages]],"")</f>
        <v/>
      </c>
    </row>
    <row r="249" spans="1:4" x14ac:dyDescent="0.45">
      <c r="A249">
        <v>27</v>
      </c>
      <c r="B249">
        <f t="shared" ca="1" si="3"/>
        <v>67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9" t="str">
        <f ca="1">IF(dict_zuord_Transfers_Storages[[#This Row],[kval_active]],dict_zuord_Transfers_Storages[[#This Row],[ID_Storages]],"")</f>
        <v/>
      </c>
    </row>
    <row r="250" spans="1:4" x14ac:dyDescent="0.45">
      <c r="A250">
        <v>27</v>
      </c>
      <c r="B250">
        <f t="shared" ca="1" si="3"/>
        <v>7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0" t="str">
        <f ca="1">IF(dict_zuord_Transfers_Storages[[#This Row],[kval_active]],dict_zuord_Transfers_Storages[[#This Row],[ID_Storages]],"")</f>
        <v/>
      </c>
    </row>
    <row r="251" spans="1:4" x14ac:dyDescent="0.45">
      <c r="A251">
        <v>27</v>
      </c>
      <c r="B251">
        <f t="shared" ca="1" si="3"/>
        <v>36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1" t="str">
        <f ca="1">IF(dict_zuord_Transfers_Storages[[#This Row],[kval_active]],dict_zuord_Transfers_Storages[[#This Row],[ID_Storages]],"")</f>
        <v/>
      </c>
    </row>
    <row r="252" spans="1:4" x14ac:dyDescent="0.45">
      <c r="A252">
        <v>27</v>
      </c>
      <c r="B252">
        <f t="shared" ca="1" si="3"/>
        <v>37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2" t="str">
        <f ca="1">IF(dict_zuord_Transfers_Storages[[#This Row],[kval_active]],dict_zuord_Transfers_Storages[[#This Row],[ID_Storages]],"")</f>
        <v/>
      </c>
    </row>
    <row r="253" spans="1:4" x14ac:dyDescent="0.45">
      <c r="A253">
        <v>27</v>
      </c>
      <c r="B253">
        <f t="shared" ca="1" si="3"/>
        <v>8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3" t="str">
        <f ca="1">IF(dict_zuord_Transfers_Storages[[#This Row],[kval_active]],dict_zuord_Transfers_Storages[[#This Row],[ID_Storages]],"")</f>
        <v/>
      </c>
    </row>
    <row r="254" spans="1:4" x14ac:dyDescent="0.45">
      <c r="A254">
        <v>28</v>
      </c>
      <c r="B254">
        <f t="shared" ca="1" si="3"/>
        <v>87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87</v>
      </c>
    </row>
    <row r="255" spans="1:4" x14ac:dyDescent="0.45">
      <c r="A255">
        <v>28</v>
      </c>
      <c r="B255">
        <f t="shared" ca="1" si="3"/>
        <v>51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51</v>
      </c>
    </row>
    <row r="256" spans="1:4" x14ac:dyDescent="0.45">
      <c r="A256">
        <v>28</v>
      </c>
      <c r="B256">
        <f t="shared" ca="1" si="3"/>
        <v>80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80</v>
      </c>
    </row>
    <row r="257" spans="1:4" x14ac:dyDescent="0.45">
      <c r="A257">
        <v>28</v>
      </c>
      <c r="B257">
        <f t="shared" ca="1" si="3"/>
        <v>66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66</v>
      </c>
    </row>
    <row r="258" spans="1:4" x14ac:dyDescent="0.45">
      <c r="A258">
        <v>28</v>
      </c>
      <c r="B258">
        <f t="shared" ref="B258:B321" ca="1" si="4">RANDBETWEEN(0,100)</f>
        <v>72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72</v>
      </c>
    </row>
    <row r="259" spans="1:4" x14ac:dyDescent="0.45">
      <c r="A259">
        <v>28</v>
      </c>
      <c r="B259">
        <f t="shared" ca="1" si="4"/>
        <v>93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93</v>
      </c>
    </row>
    <row r="260" spans="1:4" x14ac:dyDescent="0.45">
      <c r="A260">
        <v>28</v>
      </c>
      <c r="B260">
        <f t="shared" ca="1" si="4"/>
        <v>72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72</v>
      </c>
    </row>
    <row r="261" spans="1:4" x14ac:dyDescent="0.45">
      <c r="A261">
        <v>28</v>
      </c>
      <c r="B261">
        <f t="shared" ca="1" si="4"/>
        <v>88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88</v>
      </c>
    </row>
    <row r="262" spans="1:4" x14ac:dyDescent="0.45">
      <c r="A262">
        <v>28</v>
      </c>
      <c r="B262">
        <f t="shared" ca="1" si="4"/>
        <v>21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21</v>
      </c>
    </row>
    <row r="263" spans="1:4" x14ac:dyDescent="0.45">
      <c r="A263">
        <v>29</v>
      </c>
      <c r="B263">
        <f t="shared" ca="1" si="4"/>
        <v>98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3" t="str">
        <f ca="1">IF(dict_zuord_Transfers_Storages[[#This Row],[kval_active]],dict_zuord_Transfers_Storages[[#This Row],[ID_Storages]],"")</f>
        <v/>
      </c>
    </row>
    <row r="264" spans="1:4" x14ac:dyDescent="0.45">
      <c r="A264">
        <v>29</v>
      </c>
      <c r="B264">
        <f t="shared" ca="1" si="4"/>
        <v>5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4" t="str">
        <f ca="1">IF(dict_zuord_Transfers_Storages[[#This Row],[kval_active]],dict_zuord_Transfers_Storages[[#This Row],[ID_Storages]],"")</f>
        <v/>
      </c>
    </row>
    <row r="265" spans="1:4" x14ac:dyDescent="0.45">
      <c r="A265">
        <v>29</v>
      </c>
      <c r="B265">
        <f t="shared" ca="1" si="4"/>
        <v>9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5" t="str">
        <f ca="1">IF(dict_zuord_Transfers_Storages[[#This Row],[kval_active]],dict_zuord_Transfers_Storages[[#This Row],[ID_Storages]],"")</f>
        <v/>
      </c>
    </row>
    <row r="266" spans="1:4" x14ac:dyDescent="0.45">
      <c r="A266">
        <v>29</v>
      </c>
      <c r="B266">
        <f t="shared" ca="1" si="4"/>
        <v>25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6" t="str">
        <f ca="1">IF(dict_zuord_Transfers_Storages[[#This Row],[kval_active]],dict_zuord_Transfers_Storages[[#This Row],[ID_Storages]],"")</f>
        <v/>
      </c>
    </row>
    <row r="267" spans="1:4" x14ac:dyDescent="0.45">
      <c r="A267">
        <v>29</v>
      </c>
      <c r="B267">
        <f t="shared" ca="1" si="4"/>
        <v>86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7" t="str">
        <f ca="1">IF(dict_zuord_Transfers_Storages[[#This Row],[kval_active]],dict_zuord_Transfers_Storages[[#This Row],[ID_Storages]],"")</f>
        <v/>
      </c>
    </row>
    <row r="268" spans="1:4" x14ac:dyDescent="0.45">
      <c r="A268">
        <v>29</v>
      </c>
      <c r="B268">
        <f t="shared" ca="1" si="4"/>
        <v>22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8" t="str">
        <f ca="1">IF(dict_zuord_Transfers_Storages[[#This Row],[kval_active]],dict_zuord_Transfers_Storages[[#This Row],[ID_Storages]],"")</f>
        <v/>
      </c>
    </row>
    <row r="269" spans="1:4" x14ac:dyDescent="0.45">
      <c r="A269">
        <v>29</v>
      </c>
      <c r="B269">
        <f t="shared" ca="1" si="4"/>
        <v>4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9" t="str">
        <f ca="1">IF(dict_zuord_Transfers_Storages[[#This Row],[kval_active]],dict_zuord_Transfers_Storages[[#This Row],[ID_Storages]],"")</f>
        <v/>
      </c>
    </row>
    <row r="270" spans="1:4" x14ac:dyDescent="0.45">
      <c r="A270">
        <v>29</v>
      </c>
      <c r="B270">
        <f t="shared" ca="1" si="4"/>
        <v>77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0" t="str">
        <f ca="1">IF(dict_zuord_Transfers_Storages[[#This Row],[kval_active]],dict_zuord_Transfers_Storages[[#This Row],[ID_Storages]],"")</f>
        <v/>
      </c>
    </row>
    <row r="271" spans="1:4" x14ac:dyDescent="0.45">
      <c r="A271">
        <v>29</v>
      </c>
      <c r="B271">
        <f t="shared" ca="1" si="4"/>
        <v>22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1" t="str">
        <f ca="1">IF(dict_zuord_Transfers_Storages[[#This Row],[kval_active]],dict_zuord_Transfers_Storages[[#This Row],[ID_Storages]],"")</f>
        <v/>
      </c>
    </row>
    <row r="272" spans="1:4" x14ac:dyDescent="0.45">
      <c r="A272">
        <v>30</v>
      </c>
      <c r="B272">
        <f t="shared" ca="1" si="4"/>
        <v>24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2" t="str">
        <f ca="1">IF(dict_zuord_Transfers_Storages[[#This Row],[kval_active]],dict_zuord_Transfers_Storages[[#This Row],[ID_Storages]],"")</f>
        <v/>
      </c>
    </row>
    <row r="273" spans="1:4" x14ac:dyDescent="0.45">
      <c r="A273">
        <v>30</v>
      </c>
      <c r="B273">
        <f t="shared" ca="1" si="4"/>
        <v>31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3" t="str">
        <f ca="1">IF(dict_zuord_Transfers_Storages[[#This Row],[kval_active]],dict_zuord_Transfers_Storages[[#This Row],[ID_Storages]],"")</f>
        <v/>
      </c>
    </row>
    <row r="274" spans="1:4" x14ac:dyDescent="0.45">
      <c r="A274">
        <v>30</v>
      </c>
      <c r="B274">
        <f t="shared" ca="1" si="4"/>
        <v>55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4" t="str">
        <f ca="1">IF(dict_zuord_Transfers_Storages[[#This Row],[kval_active]],dict_zuord_Transfers_Storages[[#This Row],[ID_Storages]],"")</f>
        <v/>
      </c>
    </row>
    <row r="275" spans="1:4" x14ac:dyDescent="0.45">
      <c r="A275">
        <v>30</v>
      </c>
      <c r="B275">
        <f t="shared" ca="1" si="4"/>
        <v>28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5" t="str">
        <f ca="1">IF(dict_zuord_Transfers_Storages[[#This Row],[kval_active]],dict_zuord_Transfers_Storages[[#This Row],[ID_Storages]],"")</f>
        <v/>
      </c>
    </row>
    <row r="276" spans="1:4" x14ac:dyDescent="0.45">
      <c r="A276">
        <v>30</v>
      </c>
      <c r="B276">
        <f t="shared" ca="1" si="4"/>
        <v>84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6" t="str">
        <f ca="1">IF(dict_zuord_Transfers_Storages[[#This Row],[kval_active]],dict_zuord_Transfers_Storages[[#This Row],[ID_Storages]],"")</f>
        <v/>
      </c>
    </row>
    <row r="277" spans="1:4" x14ac:dyDescent="0.45">
      <c r="A277">
        <v>30</v>
      </c>
      <c r="B277">
        <f t="shared" ca="1" si="4"/>
        <v>29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7" t="str">
        <f ca="1">IF(dict_zuord_Transfers_Storages[[#This Row],[kval_active]],dict_zuord_Transfers_Storages[[#This Row],[ID_Storages]],"")</f>
        <v/>
      </c>
    </row>
    <row r="278" spans="1:4" x14ac:dyDescent="0.45">
      <c r="A278">
        <v>30</v>
      </c>
      <c r="B278">
        <f t="shared" ca="1" si="4"/>
        <v>8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8" t="str">
        <f ca="1">IF(dict_zuord_Transfers_Storages[[#This Row],[kval_active]],dict_zuord_Transfers_Storages[[#This Row],[ID_Storages]],"")</f>
        <v/>
      </c>
    </row>
    <row r="279" spans="1:4" x14ac:dyDescent="0.45">
      <c r="A279">
        <v>30</v>
      </c>
      <c r="B279">
        <f t="shared" ca="1" si="4"/>
        <v>64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9" t="str">
        <f ca="1">IF(dict_zuord_Transfers_Storages[[#This Row],[kval_active]],dict_zuord_Transfers_Storages[[#This Row],[ID_Storages]],"")</f>
        <v/>
      </c>
    </row>
    <row r="280" spans="1:4" x14ac:dyDescent="0.45">
      <c r="A280">
        <v>30</v>
      </c>
      <c r="B280">
        <f t="shared" ca="1" si="4"/>
        <v>77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0" t="str">
        <f ca="1">IF(dict_zuord_Transfers_Storages[[#This Row],[kval_active]],dict_zuord_Transfers_Storages[[#This Row],[ID_Storages]],"")</f>
        <v/>
      </c>
    </row>
    <row r="281" spans="1:4" x14ac:dyDescent="0.45">
      <c r="A281">
        <v>31</v>
      </c>
      <c r="B281">
        <f t="shared" ca="1" si="4"/>
        <v>15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15</v>
      </c>
    </row>
    <row r="282" spans="1:4" x14ac:dyDescent="0.45">
      <c r="A282">
        <v>31</v>
      </c>
      <c r="B282">
        <f t="shared" ca="1" si="4"/>
        <v>24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24</v>
      </c>
    </row>
    <row r="283" spans="1:4" x14ac:dyDescent="0.45">
      <c r="A283">
        <v>31</v>
      </c>
      <c r="B283">
        <f t="shared" ca="1" si="4"/>
        <v>5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5</v>
      </c>
    </row>
    <row r="284" spans="1:4" x14ac:dyDescent="0.45">
      <c r="A284">
        <v>31</v>
      </c>
      <c r="B284">
        <f t="shared" ca="1" si="4"/>
        <v>86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86</v>
      </c>
    </row>
    <row r="285" spans="1:4" x14ac:dyDescent="0.45">
      <c r="A285">
        <v>31</v>
      </c>
      <c r="B285">
        <f t="shared" ca="1" si="4"/>
        <v>80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80</v>
      </c>
    </row>
    <row r="286" spans="1:4" x14ac:dyDescent="0.45">
      <c r="A286">
        <v>31</v>
      </c>
      <c r="B286">
        <f t="shared" ca="1" si="4"/>
        <v>82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82</v>
      </c>
    </row>
    <row r="287" spans="1:4" x14ac:dyDescent="0.45">
      <c r="A287">
        <v>31</v>
      </c>
      <c r="B287">
        <f t="shared" ca="1" si="4"/>
        <v>27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27</v>
      </c>
    </row>
    <row r="288" spans="1:4" x14ac:dyDescent="0.45">
      <c r="A288">
        <v>31</v>
      </c>
      <c r="B288">
        <f t="shared" ca="1" si="4"/>
        <v>65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65</v>
      </c>
    </row>
    <row r="289" spans="1:4" x14ac:dyDescent="0.45">
      <c r="A289">
        <v>31</v>
      </c>
      <c r="B289">
        <f t="shared" ca="1" si="4"/>
        <v>72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72</v>
      </c>
    </row>
    <row r="290" spans="1:4" x14ac:dyDescent="0.45">
      <c r="A290">
        <v>32</v>
      </c>
      <c r="B290">
        <f t="shared" ca="1" si="4"/>
        <v>66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0" t="str">
        <f ca="1">IF(dict_zuord_Transfers_Storages[[#This Row],[kval_active]],dict_zuord_Transfers_Storages[[#This Row],[ID_Storages]],"")</f>
        <v/>
      </c>
    </row>
    <row r="291" spans="1:4" x14ac:dyDescent="0.45">
      <c r="A291">
        <v>32</v>
      </c>
      <c r="B291">
        <f t="shared" ca="1" si="4"/>
        <v>46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1" t="str">
        <f ca="1">IF(dict_zuord_Transfers_Storages[[#This Row],[kval_active]],dict_zuord_Transfers_Storages[[#This Row],[ID_Storages]],"")</f>
        <v/>
      </c>
    </row>
    <row r="292" spans="1:4" x14ac:dyDescent="0.45">
      <c r="A292">
        <v>32</v>
      </c>
      <c r="B292">
        <f t="shared" ca="1" si="4"/>
        <v>79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2" t="str">
        <f ca="1">IF(dict_zuord_Transfers_Storages[[#This Row],[kval_active]],dict_zuord_Transfers_Storages[[#This Row],[ID_Storages]],"")</f>
        <v/>
      </c>
    </row>
    <row r="293" spans="1:4" x14ac:dyDescent="0.45">
      <c r="A293">
        <v>32</v>
      </c>
      <c r="B293">
        <f t="shared" ca="1" si="4"/>
        <v>97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3" t="str">
        <f ca="1">IF(dict_zuord_Transfers_Storages[[#This Row],[kval_active]],dict_zuord_Transfers_Storages[[#This Row],[ID_Storages]],"")</f>
        <v/>
      </c>
    </row>
    <row r="294" spans="1:4" x14ac:dyDescent="0.45">
      <c r="A294">
        <v>32</v>
      </c>
      <c r="B294">
        <f t="shared" ca="1" si="4"/>
        <v>45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4" t="str">
        <f ca="1">IF(dict_zuord_Transfers_Storages[[#This Row],[kval_active]],dict_zuord_Transfers_Storages[[#This Row],[ID_Storages]],"")</f>
        <v/>
      </c>
    </row>
    <row r="295" spans="1:4" x14ac:dyDescent="0.45">
      <c r="A295">
        <v>32</v>
      </c>
      <c r="B295">
        <f t="shared" ca="1" si="4"/>
        <v>58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5" t="str">
        <f ca="1">IF(dict_zuord_Transfers_Storages[[#This Row],[kval_active]],dict_zuord_Transfers_Storages[[#This Row],[ID_Storages]],"")</f>
        <v/>
      </c>
    </row>
    <row r="296" spans="1:4" x14ac:dyDescent="0.45">
      <c r="A296">
        <v>32</v>
      </c>
      <c r="B296">
        <f t="shared" ca="1" si="4"/>
        <v>80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6" t="str">
        <f ca="1">IF(dict_zuord_Transfers_Storages[[#This Row],[kval_active]],dict_zuord_Transfers_Storages[[#This Row],[ID_Storages]],"")</f>
        <v/>
      </c>
    </row>
    <row r="297" spans="1:4" x14ac:dyDescent="0.45">
      <c r="A297">
        <v>32</v>
      </c>
      <c r="B297">
        <f t="shared" ca="1" si="4"/>
        <v>74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7" t="str">
        <f ca="1">IF(dict_zuord_Transfers_Storages[[#This Row],[kval_active]],dict_zuord_Transfers_Storages[[#This Row],[ID_Storages]],"")</f>
        <v/>
      </c>
    </row>
    <row r="298" spans="1:4" x14ac:dyDescent="0.45">
      <c r="A298">
        <v>32</v>
      </c>
      <c r="B298">
        <f t="shared" ca="1" si="4"/>
        <v>89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8" t="str">
        <f ca="1">IF(dict_zuord_Transfers_Storages[[#This Row],[kval_active]],dict_zuord_Transfers_Storages[[#This Row],[ID_Storages]],"")</f>
        <v/>
      </c>
    </row>
    <row r="299" spans="1:4" x14ac:dyDescent="0.45">
      <c r="A299">
        <v>33</v>
      </c>
      <c r="B299">
        <f t="shared" ca="1" si="4"/>
        <v>72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9" t="str">
        <f ca="1">IF(dict_zuord_Transfers_Storages[[#This Row],[kval_active]],dict_zuord_Transfers_Storages[[#This Row],[ID_Storages]],"")</f>
        <v/>
      </c>
    </row>
    <row r="300" spans="1:4" x14ac:dyDescent="0.45">
      <c r="A300">
        <v>33</v>
      </c>
      <c r="B300">
        <f t="shared" ca="1" si="4"/>
        <v>27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0" t="str">
        <f ca="1">IF(dict_zuord_Transfers_Storages[[#This Row],[kval_active]],dict_zuord_Transfers_Storages[[#This Row],[ID_Storages]],"")</f>
        <v/>
      </c>
    </row>
    <row r="301" spans="1:4" x14ac:dyDescent="0.45">
      <c r="A301">
        <v>33</v>
      </c>
      <c r="B301">
        <f t="shared" ca="1" si="4"/>
        <v>84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1" t="str">
        <f ca="1">IF(dict_zuord_Transfers_Storages[[#This Row],[kval_active]],dict_zuord_Transfers_Storages[[#This Row],[ID_Storages]],"")</f>
        <v/>
      </c>
    </row>
    <row r="302" spans="1:4" x14ac:dyDescent="0.45">
      <c r="A302">
        <v>33</v>
      </c>
      <c r="B302">
        <f t="shared" ca="1" si="4"/>
        <v>93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2" t="str">
        <f ca="1">IF(dict_zuord_Transfers_Storages[[#This Row],[kval_active]],dict_zuord_Transfers_Storages[[#This Row],[ID_Storages]],"")</f>
        <v/>
      </c>
    </row>
    <row r="303" spans="1:4" x14ac:dyDescent="0.45">
      <c r="A303">
        <v>33</v>
      </c>
      <c r="B303">
        <f t="shared" ca="1" si="4"/>
        <v>35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3" t="str">
        <f ca="1">IF(dict_zuord_Transfers_Storages[[#This Row],[kval_active]],dict_zuord_Transfers_Storages[[#This Row],[ID_Storages]],"")</f>
        <v/>
      </c>
    </row>
    <row r="304" spans="1:4" x14ac:dyDescent="0.45">
      <c r="A304">
        <v>33</v>
      </c>
      <c r="B304">
        <f t="shared" ca="1" si="4"/>
        <v>77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4" t="str">
        <f ca="1">IF(dict_zuord_Transfers_Storages[[#This Row],[kval_active]],dict_zuord_Transfers_Storages[[#This Row],[ID_Storages]],"")</f>
        <v/>
      </c>
    </row>
    <row r="305" spans="1:4" x14ac:dyDescent="0.45">
      <c r="A305">
        <v>33</v>
      </c>
      <c r="B305">
        <f t="shared" ca="1" si="4"/>
        <v>87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5" t="str">
        <f ca="1">IF(dict_zuord_Transfers_Storages[[#This Row],[kval_active]],dict_zuord_Transfers_Storages[[#This Row],[ID_Storages]],"")</f>
        <v/>
      </c>
    </row>
    <row r="306" spans="1:4" x14ac:dyDescent="0.45">
      <c r="A306">
        <v>33</v>
      </c>
      <c r="B306">
        <f t="shared" ca="1" si="4"/>
        <v>75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6" t="str">
        <f ca="1">IF(dict_zuord_Transfers_Storages[[#This Row],[kval_active]],dict_zuord_Transfers_Storages[[#This Row],[ID_Storages]],"")</f>
        <v/>
      </c>
    </row>
    <row r="307" spans="1:4" x14ac:dyDescent="0.45">
      <c r="A307">
        <v>33</v>
      </c>
      <c r="B307">
        <f t="shared" ca="1" si="4"/>
        <v>62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7" t="str">
        <f ca="1">IF(dict_zuord_Transfers_Storages[[#This Row],[kval_active]],dict_zuord_Transfers_Storages[[#This Row],[ID_Storages]],"")</f>
        <v/>
      </c>
    </row>
    <row r="308" spans="1:4" x14ac:dyDescent="0.45">
      <c r="A308">
        <v>34</v>
      </c>
      <c r="B308">
        <f t="shared" ca="1" si="4"/>
        <v>3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8" t="str">
        <f ca="1">IF(dict_zuord_Transfers_Storages[[#This Row],[kval_active]],dict_zuord_Transfers_Storages[[#This Row],[ID_Storages]],"")</f>
        <v/>
      </c>
    </row>
    <row r="309" spans="1:4" x14ac:dyDescent="0.45">
      <c r="A309">
        <v>34</v>
      </c>
      <c r="B309">
        <f t="shared" ca="1" si="4"/>
        <v>60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9" t="str">
        <f ca="1">IF(dict_zuord_Transfers_Storages[[#This Row],[kval_active]],dict_zuord_Transfers_Storages[[#This Row],[ID_Storages]],"")</f>
        <v/>
      </c>
    </row>
    <row r="310" spans="1:4" x14ac:dyDescent="0.45">
      <c r="A310">
        <v>34</v>
      </c>
      <c r="B310">
        <f t="shared" ca="1" si="4"/>
        <v>27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0" t="str">
        <f ca="1">IF(dict_zuord_Transfers_Storages[[#This Row],[kval_active]],dict_zuord_Transfers_Storages[[#This Row],[ID_Storages]],"")</f>
        <v/>
      </c>
    </row>
    <row r="311" spans="1:4" x14ac:dyDescent="0.45">
      <c r="A311">
        <v>34</v>
      </c>
      <c r="B311">
        <f t="shared" ca="1" si="4"/>
        <v>92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1" t="str">
        <f ca="1">IF(dict_zuord_Transfers_Storages[[#This Row],[kval_active]],dict_zuord_Transfers_Storages[[#This Row],[ID_Storages]],"")</f>
        <v/>
      </c>
    </row>
    <row r="312" spans="1:4" x14ac:dyDescent="0.45">
      <c r="A312">
        <v>34</v>
      </c>
      <c r="B312">
        <f t="shared" ca="1" si="4"/>
        <v>7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2" t="str">
        <f ca="1">IF(dict_zuord_Transfers_Storages[[#This Row],[kval_active]],dict_zuord_Transfers_Storages[[#This Row],[ID_Storages]],"")</f>
        <v/>
      </c>
    </row>
    <row r="313" spans="1:4" x14ac:dyDescent="0.45">
      <c r="A313">
        <v>34</v>
      </c>
      <c r="B313">
        <f t="shared" ca="1" si="4"/>
        <v>52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3" t="str">
        <f ca="1">IF(dict_zuord_Transfers_Storages[[#This Row],[kval_active]],dict_zuord_Transfers_Storages[[#This Row],[ID_Storages]],"")</f>
        <v/>
      </c>
    </row>
    <row r="314" spans="1:4" x14ac:dyDescent="0.45">
      <c r="A314">
        <v>34</v>
      </c>
      <c r="B314">
        <f t="shared" ca="1" si="4"/>
        <v>31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4" t="str">
        <f ca="1">IF(dict_zuord_Transfers_Storages[[#This Row],[kval_active]],dict_zuord_Transfers_Storages[[#This Row],[ID_Storages]],"")</f>
        <v/>
      </c>
    </row>
    <row r="315" spans="1:4" x14ac:dyDescent="0.45">
      <c r="A315">
        <v>34</v>
      </c>
      <c r="B315">
        <f t="shared" ca="1" si="4"/>
        <v>1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5" t="str">
        <f ca="1">IF(dict_zuord_Transfers_Storages[[#This Row],[kval_active]],dict_zuord_Transfers_Storages[[#This Row],[ID_Storages]],"")</f>
        <v/>
      </c>
    </row>
    <row r="316" spans="1:4" x14ac:dyDescent="0.45">
      <c r="A316">
        <v>34</v>
      </c>
      <c r="B316">
        <f t="shared" ca="1" si="4"/>
        <v>14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6" t="str">
        <f ca="1">IF(dict_zuord_Transfers_Storages[[#This Row],[kval_active]],dict_zuord_Transfers_Storages[[#This Row],[ID_Storages]],"")</f>
        <v/>
      </c>
    </row>
    <row r="317" spans="1:4" x14ac:dyDescent="0.45">
      <c r="A317">
        <v>35</v>
      </c>
      <c r="B317">
        <f t="shared" ca="1" si="4"/>
        <v>39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7" t="str">
        <f ca="1">IF(dict_zuord_Transfers_Storages[[#This Row],[kval_active]],dict_zuord_Transfers_Storages[[#This Row],[ID_Storages]],"")</f>
        <v/>
      </c>
    </row>
    <row r="318" spans="1:4" x14ac:dyDescent="0.45">
      <c r="A318">
        <v>35</v>
      </c>
      <c r="B318">
        <f t="shared" ca="1" si="4"/>
        <v>47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8" t="str">
        <f ca="1">IF(dict_zuord_Transfers_Storages[[#This Row],[kval_active]],dict_zuord_Transfers_Storages[[#This Row],[ID_Storages]],"")</f>
        <v/>
      </c>
    </row>
    <row r="319" spans="1:4" x14ac:dyDescent="0.45">
      <c r="A319">
        <v>35</v>
      </c>
      <c r="B319">
        <f t="shared" ca="1" si="4"/>
        <v>25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9" t="str">
        <f ca="1">IF(dict_zuord_Transfers_Storages[[#This Row],[kval_active]],dict_zuord_Transfers_Storages[[#This Row],[ID_Storages]],"")</f>
        <v/>
      </c>
    </row>
    <row r="320" spans="1:4" x14ac:dyDescent="0.45">
      <c r="A320">
        <v>35</v>
      </c>
      <c r="B320">
        <f t="shared" ca="1" si="4"/>
        <v>2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0" t="str">
        <f ca="1">IF(dict_zuord_Transfers_Storages[[#This Row],[kval_active]],dict_zuord_Transfers_Storages[[#This Row],[ID_Storages]],"")</f>
        <v/>
      </c>
    </row>
    <row r="321" spans="1:4" x14ac:dyDescent="0.45">
      <c r="A321">
        <v>35</v>
      </c>
      <c r="B321">
        <f t="shared" ca="1" si="4"/>
        <v>48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1" t="str">
        <f ca="1">IF(dict_zuord_Transfers_Storages[[#This Row],[kval_active]],dict_zuord_Transfers_Storages[[#This Row],[ID_Storages]],"")</f>
        <v/>
      </c>
    </row>
    <row r="322" spans="1:4" x14ac:dyDescent="0.45">
      <c r="A322">
        <v>35</v>
      </c>
      <c r="B322">
        <f t="shared" ref="B322:B385" ca="1" si="5">RANDBETWEEN(0,100)</f>
        <v>83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2" t="str">
        <f ca="1">IF(dict_zuord_Transfers_Storages[[#This Row],[kval_active]],dict_zuord_Transfers_Storages[[#This Row],[ID_Storages]],"")</f>
        <v/>
      </c>
    </row>
    <row r="323" spans="1:4" x14ac:dyDescent="0.45">
      <c r="A323">
        <v>35</v>
      </c>
      <c r="B323">
        <f t="shared" ca="1" si="5"/>
        <v>71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3" t="str">
        <f ca="1">IF(dict_zuord_Transfers_Storages[[#This Row],[kval_active]],dict_zuord_Transfers_Storages[[#This Row],[ID_Storages]],"")</f>
        <v/>
      </c>
    </row>
    <row r="324" spans="1:4" x14ac:dyDescent="0.45">
      <c r="A324">
        <v>35</v>
      </c>
      <c r="B324">
        <f t="shared" ca="1" si="5"/>
        <v>71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4" t="str">
        <f ca="1">IF(dict_zuord_Transfers_Storages[[#This Row],[kval_active]],dict_zuord_Transfers_Storages[[#This Row],[ID_Storages]],"")</f>
        <v/>
      </c>
    </row>
    <row r="325" spans="1:4" x14ac:dyDescent="0.45">
      <c r="A325">
        <v>35</v>
      </c>
      <c r="B325">
        <f t="shared" ca="1" si="5"/>
        <v>83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5" t="str">
        <f ca="1">IF(dict_zuord_Transfers_Storages[[#This Row],[kval_active]],dict_zuord_Transfers_Storages[[#This Row],[ID_Storages]],"")</f>
        <v/>
      </c>
    </row>
    <row r="326" spans="1:4" x14ac:dyDescent="0.45">
      <c r="A326">
        <v>36</v>
      </c>
      <c r="B326">
        <f t="shared" ca="1" si="5"/>
        <v>41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6" t="str">
        <f ca="1">IF(dict_zuord_Transfers_Storages[[#This Row],[kval_active]],dict_zuord_Transfers_Storages[[#This Row],[ID_Storages]],"")</f>
        <v/>
      </c>
    </row>
    <row r="327" spans="1:4" x14ac:dyDescent="0.45">
      <c r="A327">
        <v>36</v>
      </c>
      <c r="B327">
        <f t="shared" ca="1" si="5"/>
        <v>66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7" t="str">
        <f ca="1">IF(dict_zuord_Transfers_Storages[[#This Row],[kval_active]],dict_zuord_Transfers_Storages[[#This Row],[ID_Storages]],"")</f>
        <v/>
      </c>
    </row>
    <row r="328" spans="1:4" x14ac:dyDescent="0.45">
      <c r="A328">
        <v>36</v>
      </c>
      <c r="B328">
        <f t="shared" ca="1" si="5"/>
        <v>11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8" t="str">
        <f ca="1">IF(dict_zuord_Transfers_Storages[[#This Row],[kval_active]],dict_zuord_Transfers_Storages[[#This Row],[ID_Storages]],"")</f>
        <v/>
      </c>
    </row>
    <row r="329" spans="1:4" x14ac:dyDescent="0.45">
      <c r="A329">
        <v>36</v>
      </c>
      <c r="B329">
        <f t="shared" ca="1" si="5"/>
        <v>94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9" t="str">
        <f ca="1">IF(dict_zuord_Transfers_Storages[[#This Row],[kval_active]],dict_zuord_Transfers_Storages[[#This Row],[ID_Storages]],"")</f>
        <v/>
      </c>
    </row>
    <row r="330" spans="1:4" x14ac:dyDescent="0.45">
      <c r="A330">
        <v>36</v>
      </c>
      <c r="B330">
        <f t="shared" ca="1" si="5"/>
        <v>21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0" t="str">
        <f ca="1">IF(dict_zuord_Transfers_Storages[[#This Row],[kval_active]],dict_zuord_Transfers_Storages[[#This Row],[ID_Storages]],"")</f>
        <v/>
      </c>
    </row>
    <row r="331" spans="1:4" x14ac:dyDescent="0.45">
      <c r="A331">
        <v>36</v>
      </c>
      <c r="B331">
        <f t="shared" ca="1" si="5"/>
        <v>13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1" t="str">
        <f ca="1">IF(dict_zuord_Transfers_Storages[[#This Row],[kval_active]],dict_zuord_Transfers_Storages[[#This Row],[ID_Storages]],"")</f>
        <v/>
      </c>
    </row>
    <row r="332" spans="1:4" x14ac:dyDescent="0.45">
      <c r="A332">
        <v>36</v>
      </c>
      <c r="B332">
        <f t="shared" ca="1" si="5"/>
        <v>8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2" t="str">
        <f ca="1">IF(dict_zuord_Transfers_Storages[[#This Row],[kval_active]],dict_zuord_Transfers_Storages[[#This Row],[ID_Storages]],"")</f>
        <v/>
      </c>
    </row>
    <row r="333" spans="1:4" x14ac:dyDescent="0.45">
      <c r="A333">
        <v>36</v>
      </c>
      <c r="B333">
        <f t="shared" ca="1" si="5"/>
        <v>4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3" t="str">
        <f ca="1">IF(dict_zuord_Transfers_Storages[[#This Row],[kval_active]],dict_zuord_Transfers_Storages[[#This Row],[ID_Storages]],"")</f>
        <v/>
      </c>
    </row>
    <row r="334" spans="1:4" x14ac:dyDescent="0.45">
      <c r="A334">
        <v>36</v>
      </c>
      <c r="B334">
        <f t="shared" ca="1" si="5"/>
        <v>60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4" t="str">
        <f ca="1">IF(dict_zuord_Transfers_Storages[[#This Row],[kval_active]],dict_zuord_Transfers_Storages[[#This Row],[ID_Storages]],"")</f>
        <v/>
      </c>
    </row>
    <row r="335" spans="1:4" x14ac:dyDescent="0.45">
      <c r="A335">
        <v>37</v>
      </c>
      <c r="B335">
        <f t="shared" ca="1" si="5"/>
        <v>35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5" t="str">
        <f ca="1">IF(dict_zuord_Transfers_Storages[[#This Row],[kval_active]],dict_zuord_Transfers_Storages[[#This Row],[ID_Storages]],"")</f>
        <v/>
      </c>
    </row>
    <row r="336" spans="1:4" x14ac:dyDescent="0.45">
      <c r="A336">
        <v>37</v>
      </c>
      <c r="B336">
        <f t="shared" ca="1" si="5"/>
        <v>96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6" t="str">
        <f ca="1">IF(dict_zuord_Transfers_Storages[[#This Row],[kval_active]],dict_zuord_Transfers_Storages[[#This Row],[ID_Storages]],"")</f>
        <v/>
      </c>
    </row>
    <row r="337" spans="1:4" x14ac:dyDescent="0.45">
      <c r="A337">
        <v>37</v>
      </c>
      <c r="B337">
        <f t="shared" ca="1" si="5"/>
        <v>40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7" t="str">
        <f ca="1">IF(dict_zuord_Transfers_Storages[[#This Row],[kval_active]],dict_zuord_Transfers_Storages[[#This Row],[ID_Storages]],"")</f>
        <v/>
      </c>
    </row>
    <row r="338" spans="1:4" x14ac:dyDescent="0.45">
      <c r="A338">
        <v>37</v>
      </c>
      <c r="B338">
        <f t="shared" ca="1" si="5"/>
        <v>4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8" t="str">
        <f ca="1">IF(dict_zuord_Transfers_Storages[[#This Row],[kval_active]],dict_zuord_Transfers_Storages[[#This Row],[ID_Storages]],"")</f>
        <v/>
      </c>
    </row>
    <row r="339" spans="1:4" x14ac:dyDescent="0.45">
      <c r="A339">
        <v>37</v>
      </c>
      <c r="B339">
        <f t="shared" ca="1" si="5"/>
        <v>81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9" t="str">
        <f ca="1">IF(dict_zuord_Transfers_Storages[[#This Row],[kval_active]],dict_zuord_Transfers_Storages[[#This Row],[ID_Storages]],"")</f>
        <v/>
      </c>
    </row>
    <row r="340" spans="1:4" x14ac:dyDescent="0.45">
      <c r="A340">
        <v>37</v>
      </c>
      <c r="B340">
        <f t="shared" ca="1" si="5"/>
        <v>5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0" t="str">
        <f ca="1">IF(dict_zuord_Transfers_Storages[[#This Row],[kval_active]],dict_zuord_Transfers_Storages[[#This Row],[ID_Storages]],"")</f>
        <v/>
      </c>
    </row>
    <row r="341" spans="1:4" x14ac:dyDescent="0.45">
      <c r="A341">
        <v>37</v>
      </c>
      <c r="B341">
        <f t="shared" ca="1" si="5"/>
        <v>16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1" t="str">
        <f ca="1">IF(dict_zuord_Transfers_Storages[[#This Row],[kval_active]],dict_zuord_Transfers_Storages[[#This Row],[ID_Storages]],"")</f>
        <v/>
      </c>
    </row>
    <row r="342" spans="1:4" x14ac:dyDescent="0.45">
      <c r="A342">
        <v>37</v>
      </c>
      <c r="B342">
        <f t="shared" ca="1" si="5"/>
        <v>49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2" t="str">
        <f ca="1">IF(dict_zuord_Transfers_Storages[[#This Row],[kval_active]],dict_zuord_Transfers_Storages[[#This Row],[ID_Storages]],"")</f>
        <v/>
      </c>
    </row>
    <row r="343" spans="1:4" x14ac:dyDescent="0.45">
      <c r="A343">
        <v>37</v>
      </c>
      <c r="B343">
        <f t="shared" ca="1" si="5"/>
        <v>44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3" t="str">
        <f ca="1">IF(dict_zuord_Transfers_Storages[[#This Row],[kval_active]],dict_zuord_Transfers_Storages[[#This Row],[ID_Storages]],"")</f>
        <v/>
      </c>
    </row>
    <row r="344" spans="1:4" x14ac:dyDescent="0.45">
      <c r="A344">
        <v>38</v>
      </c>
      <c r="B344">
        <f t="shared" ca="1" si="5"/>
        <v>54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4" t="str">
        <f ca="1">IF(dict_zuord_Transfers_Storages[[#This Row],[kval_active]],dict_zuord_Transfers_Storages[[#This Row],[ID_Storages]],"")</f>
        <v/>
      </c>
    </row>
    <row r="345" spans="1:4" x14ac:dyDescent="0.45">
      <c r="A345">
        <v>38</v>
      </c>
      <c r="B345">
        <f t="shared" ca="1" si="5"/>
        <v>83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5" t="str">
        <f ca="1">IF(dict_zuord_Transfers_Storages[[#This Row],[kval_active]],dict_zuord_Transfers_Storages[[#This Row],[ID_Storages]],"")</f>
        <v/>
      </c>
    </row>
    <row r="346" spans="1:4" x14ac:dyDescent="0.45">
      <c r="A346">
        <v>38</v>
      </c>
      <c r="B346">
        <f t="shared" ca="1" si="5"/>
        <v>7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6" t="str">
        <f ca="1">IF(dict_zuord_Transfers_Storages[[#This Row],[kval_active]],dict_zuord_Transfers_Storages[[#This Row],[ID_Storages]],"")</f>
        <v/>
      </c>
    </row>
    <row r="347" spans="1:4" x14ac:dyDescent="0.45">
      <c r="A347">
        <v>38</v>
      </c>
      <c r="B347">
        <f t="shared" ca="1" si="5"/>
        <v>86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7" t="str">
        <f ca="1">IF(dict_zuord_Transfers_Storages[[#This Row],[kval_active]],dict_zuord_Transfers_Storages[[#This Row],[ID_Storages]],"")</f>
        <v/>
      </c>
    </row>
    <row r="348" spans="1:4" x14ac:dyDescent="0.45">
      <c r="A348">
        <v>38</v>
      </c>
      <c r="B348">
        <f t="shared" ca="1" si="5"/>
        <v>57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8" t="str">
        <f ca="1">IF(dict_zuord_Transfers_Storages[[#This Row],[kval_active]],dict_zuord_Transfers_Storages[[#This Row],[ID_Storages]],"")</f>
        <v/>
      </c>
    </row>
    <row r="349" spans="1:4" x14ac:dyDescent="0.45">
      <c r="A349">
        <v>38</v>
      </c>
      <c r="B349">
        <f t="shared" ca="1" si="5"/>
        <v>84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9" t="str">
        <f ca="1">IF(dict_zuord_Transfers_Storages[[#This Row],[kval_active]],dict_zuord_Transfers_Storages[[#This Row],[ID_Storages]],"")</f>
        <v/>
      </c>
    </row>
    <row r="350" spans="1:4" x14ac:dyDescent="0.45">
      <c r="A350">
        <v>38</v>
      </c>
      <c r="B350">
        <f t="shared" ca="1" si="5"/>
        <v>80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0" t="str">
        <f ca="1">IF(dict_zuord_Transfers_Storages[[#This Row],[kval_active]],dict_zuord_Transfers_Storages[[#This Row],[ID_Storages]],"")</f>
        <v/>
      </c>
    </row>
    <row r="351" spans="1:4" x14ac:dyDescent="0.45">
      <c r="A351">
        <v>38</v>
      </c>
      <c r="B351">
        <f t="shared" ca="1" si="5"/>
        <v>46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1" t="str">
        <f ca="1">IF(dict_zuord_Transfers_Storages[[#This Row],[kval_active]],dict_zuord_Transfers_Storages[[#This Row],[ID_Storages]],"")</f>
        <v/>
      </c>
    </row>
    <row r="352" spans="1:4" x14ac:dyDescent="0.45">
      <c r="A352">
        <v>38</v>
      </c>
      <c r="B352">
        <f t="shared" ca="1" si="5"/>
        <v>7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2" t="str">
        <f ca="1">IF(dict_zuord_Transfers_Storages[[#This Row],[kval_active]],dict_zuord_Transfers_Storages[[#This Row],[ID_Storages]],"")</f>
        <v/>
      </c>
    </row>
    <row r="353" spans="1:4" x14ac:dyDescent="0.45">
      <c r="A353">
        <v>39</v>
      </c>
      <c r="B353">
        <f t="shared" ca="1" si="5"/>
        <v>4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3" t="str">
        <f ca="1">IF(dict_zuord_Transfers_Storages[[#This Row],[kval_active]],dict_zuord_Transfers_Storages[[#This Row],[ID_Storages]],"")</f>
        <v/>
      </c>
    </row>
    <row r="354" spans="1:4" x14ac:dyDescent="0.45">
      <c r="A354">
        <v>39</v>
      </c>
      <c r="B354">
        <f t="shared" ca="1" si="5"/>
        <v>55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4" t="str">
        <f ca="1">IF(dict_zuord_Transfers_Storages[[#This Row],[kval_active]],dict_zuord_Transfers_Storages[[#This Row],[ID_Storages]],"")</f>
        <v/>
      </c>
    </row>
    <row r="355" spans="1:4" x14ac:dyDescent="0.45">
      <c r="A355">
        <v>39</v>
      </c>
      <c r="B355">
        <f t="shared" ca="1" si="5"/>
        <v>32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5" t="str">
        <f ca="1">IF(dict_zuord_Transfers_Storages[[#This Row],[kval_active]],dict_zuord_Transfers_Storages[[#This Row],[ID_Storages]],"")</f>
        <v/>
      </c>
    </row>
    <row r="356" spans="1:4" x14ac:dyDescent="0.45">
      <c r="A356">
        <v>39</v>
      </c>
      <c r="B356">
        <f t="shared" ca="1" si="5"/>
        <v>60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6" t="str">
        <f ca="1">IF(dict_zuord_Transfers_Storages[[#This Row],[kval_active]],dict_zuord_Transfers_Storages[[#This Row],[ID_Storages]],"")</f>
        <v/>
      </c>
    </row>
    <row r="357" spans="1:4" x14ac:dyDescent="0.45">
      <c r="A357">
        <v>39</v>
      </c>
      <c r="B357">
        <f t="shared" ca="1" si="5"/>
        <v>66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7" t="str">
        <f ca="1">IF(dict_zuord_Transfers_Storages[[#This Row],[kval_active]],dict_zuord_Transfers_Storages[[#This Row],[ID_Storages]],"")</f>
        <v/>
      </c>
    </row>
    <row r="358" spans="1:4" x14ac:dyDescent="0.45">
      <c r="A358">
        <v>39</v>
      </c>
      <c r="B358">
        <f t="shared" ca="1" si="5"/>
        <v>87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8" t="str">
        <f ca="1">IF(dict_zuord_Transfers_Storages[[#This Row],[kval_active]],dict_zuord_Transfers_Storages[[#This Row],[ID_Storages]],"")</f>
        <v/>
      </c>
    </row>
    <row r="359" spans="1:4" x14ac:dyDescent="0.45">
      <c r="A359">
        <v>39</v>
      </c>
      <c r="B359">
        <f t="shared" ca="1" si="5"/>
        <v>43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9" t="str">
        <f ca="1">IF(dict_zuord_Transfers_Storages[[#This Row],[kval_active]],dict_zuord_Transfers_Storages[[#This Row],[ID_Storages]],"")</f>
        <v/>
      </c>
    </row>
    <row r="360" spans="1:4" x14ac:dyDescent="0.45">
      <c r="A360">
        <v>39</v>
      </c>
      <c r="B360">
        <f t="shared" ca="1" si="5"/>
        <v>65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0" t="str">
        <f ca="1">IF(dict_zuord_Transfers_Storages[[#This Row],[kval_active]],dict_zuord_Transfers_Storages[[#This Row],[ID_Storages]],"")</f>
        <v/>
      </c>
    </row>
    <row r="361" spans="1:4" x14ac:dyDescent="0.45">
      <c r="A361">
        <v>39</v>
      </c>
      <c r="B361">
        <f t="shared" ca="1" si="5"/>
        <v>86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1" t="str">
        <f ca="1">IF(dict_zuord_Transfers_Storages[[#This Row],[kval_active]],dict_zuord_Transfers_Storages[[#This Row],[ID_Storages]],"")</f>
        <v/>
      </c>
    </row>
    <row r="362" spans="1:4" x14ac:dyDescent="0.45">
      <c r="A362">
        <v>40</v>
      </c>
      <c r="B362">
        <f t="shared" ca="1" si="5"/>
        <v>27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2" t="str">
        <f ca="1">IF(dict_zuord_Transfers_Storages[[#This Row],[kval_active]],dict_zuord_Transfers_Storages[[#This Row],[ID_Storages]],"")</f>
        <v/>
      </c>
    </row>
    <row r="363" spans="1:4" x14ac:dyDescent="0.45">
      <c r="A363">
        <v>40</v>
      </c>
      <c r="B363">
        <f t="shared" ca="1" si="5"/>
        <v>72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3" t="str">
        <f ca="1">IF(dict_zuord_Transfers_Storages[[#This Row],[kval_active]],dict_zuord_Transfers_Storages[[#This Row],[ID_Storages]],"")</f>
        <v/>
      </c>
    </row>
    <row r="364" spans="1:4" x14ac:dyDescent="0.45">
      <c r="A364">
        <v>40</v>
      </c>
      <c r="B364">
        <f t="shared" ca="1" si="5"/>
        <v>80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4" t="str">
        <f ca="1">IF(dict_zuord_Transfers_Storages[[#This Row],[kval_active]],dict_zuord_Transfers_Storages[[#This Row],[ID_Storages]],"")</f>
        <v/>
      </c>
    </row>
    <row r="365" spans="1:4" x14ac:dyDescent="0.45">
      <c r="A365">
        <v>40</v>
      </c>
      <c r="B365">
        <f t="shared" ca="1" si="5"/>
        <v>86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5" t="str">
        <f ca="1">IF(dict_zuord_Transfers_Storages[[#This Row],[kval_active]],dict_zuord_Transfers_Storages[[#This Row],[ID_Storages]],"")</f>
        <v/>
      </c>
    </row>
    <row r="366" spans="1:4" x14ac:dyDescent="0.45">
      <c r="A366">
        <v>40</v>
      </c>
      <c r="B366">
        <f t="shared" ca="1" si="5"/>
        <v>13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6" t="str">
        <f ca="1">IF(dict_zuord_Transfers_Storages[[#This Row],[kval_active]],dict_zuord_Transfers_Storages[[#This Row],[ID_Storages]],"")</f>
        <v/>
      </c>
    </row>
    <row r="367" spans="1:4" x14ac:dyDescent="0.45">
      <c r="A367">
        <v>40</v>
      </c>
      <c r="B367">
        <f t="shared" ca="1" si="5"/>
        <v>80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7" t="str">
        <f ca="1">IF(dict_zuord_Transfers_Storages[[#This Row],[kval_active]],dict_zuord_Transfers_Storages[[#This Row],[ID_Storages]],"")</f>
        <v/>
      </c>
    </row>
    <row r="368" spans="1:4" x14ac:dyDescent="0.45">
      <c r="A368">
        <v>40</v>
      </c>
      <c r="B368">
        <f t="shared" ca="1" si="5"/>
        <v>21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8" t="str">
        <f ca="1">IF(dict_zuord_Transfers_Storages[[#This Row],[kval_active]],dict_zuord_Transfers_Storages[[#This Row],[ID_Storages]],"")</f>
        <v/>
      </c>
    </row>
    <row r="369" spans="1:4" x14ac:dyDescent="0.45">
      <c r="A369">
        <v>40</v>
      </c>
      <c r="B369">
        <f t="shared" ca="1" si="5"/>
        <v>94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9" t="str">
        <f ca="1">IF(dict_zuord_Transfers_Storages[[#This Row],[kval_active]],dict_zuord_Transfers_Storages[[#This Row],[ID_Storages]],"")</f>
        <v/>
      </c>
    </row>
    <row r="370" spans="1:4" x14ac:dyDescent="0.45">
      <c r="A370">
        <v>40</v>
      </c>
      <c r="B370">
        <f t="shared" ca="1" si="5"/>
        <v>77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0" t="str">
        <f ca="1">IF(dict_zuord_Transfers_Storages[[#This Row],[kval_active]],dict_zuord_Transfers_Storages[[#This Row],[ID_Storages]],"")</f>
        <v/>
      </c>
    </row>
    <row r="371" spans="1:4" x14ac:dyDescent="0.45">
      <c r="A371">
        <v>41</v>
      </c>
      <c r="B371">
        <f t="shared" ca="1" si="5"/>
        <v>32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1" t="str">
        <f ca="1">IF(dict_zuord_Transfers_Storages[[#This Row],[kval_active]],dict_zuord_Transfers_Storages[[#This Row],[ID_Storages]],"")</f>
        <v/>
      </c>
    </row>
    <row r="372" spans="1:4" x14ac:dyDescent="0.45">
      <c r="A372">
        <v>41</v>
      </c>
      <c r="B372">
        <f t="shared" ca="1" si="5"/>
        <v>8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2" t="str">
        <f ca="1">IF(dict_zuord_Transfers_Storages[[#This Row],[kval_active]],dict_zuord_Transfers_Storages[[#This Row],[ID_Storages]],"")</f>
        <v/>
      </c>
    </row>
    <row r="373" spans="1:4" x14ac:dyDescent="0.45">
      <c r="A373">
        <v>41</v>
      </c>
      <c r="B373">
        <f t="shared" ca="1" si="5"/>
        <v>66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3" t="str">
        <f ca="1">IF(dict_zuord_Transfers_Storages[[#This Row],[kval_active]],dict_zuord_Transfers_Storages[[#This Row],[ID_Storages]],"")</f>
        <v/>
      </c>
    </row>
    <row r="374" spans="1:4" x14ac:dyDescent="0.45">
      <c r="A374">
        <v>41</v>
      </c>
      <c r="B374">
        <f t="shared" ca="1" si="5"/>
        <v>0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4" t="str">
        <f ca="1">IF(dict_zuord_Transfers_Storages[[#This Row],[kval_active]],dict_zuord_Transfers_Storages[[#This Row],[ID_Storages]],"")</f>
        <v/>
      </c>
    </row>
    <row r="375" spans="1:4" x14ac:dyDescent="0.45">
      <c r="A375">
        <v>41</v>
      </c>
      <c r="B375">
        <f t="shared" ca="1" si="5"/>
        <v>10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5" t="str">
        <f ca="1">IF(dict_zuord_Transfers_Storages[[#This Row],[kval_active]],dict_zuord_Transfers_Storages[[#This Row],[ID_Storages]],"")</f>
        <v/>
      </c>
    </row>
    <row r="376" spans="1:4" x14ac:dyDescent="0.45">
      <c r="A376">
        <v>41</v>
      </c>
      <c r="B376">
        <f t="shared" ca="1" si="5"/>
        <v>34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6" t="str">
        <f ca="1">IF(dict_zuord_Transfers_Storages[[#This Row],[kval_active]],dict_zuord_Transfers_Storages[[#This Row],[ID_Storages]],"")</f>
        <v/>
      </c>
    </row>
    <row r="377" spans="1:4" x14ac:dyDescent="0.45">
      <c r="A377">
        <v>41</v>
      </c>
      <c r="B377">
        <f t="shared" ca="1" si="5"/>
        <v>35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7" t="str">
        <f ca="1">IF(dict_zuord_Transfers_Storages[[#This Row],[kval_active]],dict_zuord_Transfers_Storages[[#This Row],[ID_Storages]],"")</f>
        <v/>
      </c>
    </row>
    <row r="378" spans="1:4" x14ac:dyDescent="0.45">
      <c r="A378">
        <v>41</v>
      </c>
      <c r="B378">
        <f t="shared" ca="1" si="5"/>
        <v>53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8" t="str">
        <f ca="1">IF(dict_zuord_Transfers_Storages[[#This Row],[kval_active]],dict_zuord_Transfers_Storages[[#This Row],[ID_Storages]],"")</f>
        <v/>
      </c>
    </row>
    <row r="379" spans="1:4" x14ac:dyDescent="0.45">
      <c r="A379">
        <v>41</v>
      </c>
      <c r="B379">
        <f t="shared" ca="1" si="5"/>
        <v>4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9" t="str">
        <f ca="1">IF(dict_zuord_Transfers_Storages[[#This Row],[kval_active]],dict_zuord_Transfers_Storages[[#This Row],[ID_Storages]],"")</f>
        <v/>
      </c>
    </row>
    <row r="380" spans="1:4" x14ac:dyDescent="0.45">
      <c r="A380">
        <v>42</v>
      </c>
      <c r="B380">
        <f t="shared" ca="1" si="5"/>
        <v>2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0" t="str">
        <f ca="1">IF(dict_zuord_Transfers_Storages[[#This Row],[kval_active]],dict_zuord_Transfers_Storages[[#This Row],[ID_Storages]],"")</f>
        <v/>
      </c>
    </row>
    <row r="381" spans="1:4" x14ac:dyDescent="0.45">
      <c r="A381">
        <v>42</v>
      </c>
      <c r="B381">
        <f t="shared" ca="1" si="5"/>
        <v>29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1" t="str">
        <f ca="1">IF(dict_zuord_Transfers_Storages[[#This Row],[kval_active]],dict_zuord_Transfers_Storages[[#This Row],[ID_Storages]],"")</f>
        <v/>
      </c>
    </row>
    <row r="382" spans="1:4" x14ac:dyDescent="0.45">
      <c r="A382">
        <v>42</v>
      </c>
      <c r="B382">
        <f t="shared" ca="1" si="5"/>
        <v>36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2" t="str">
        <f ca="1">IF(dict_zuord_Transfers_Storages[[#This Row],[kval_active]],dict_zuord_Transfers_Storages[[#This Row],[ID_Storages]],"")</f>
        <v/>
      </c>
    </row>
    <row r="383" spans="1:4" x14ac:dyDescent="0.45">
      <c r="A383">
        <v>42</v>
      </c>
      <c r="B383">
        <f t="shared" ca="1" si="5"/>
        <v>35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3" t="str">
        <f ca="1">IF(dict_zuord_Transfers_Storages[[#This Row],[kval_active]],dict_zuord_Transfers_Storages[[#This Row],[ID_Storages]],"")</f>
        <v/>
      </c>
    </row>
    <row r="384" spans="1:4" x14ac:dyDescent="0.45">
      <c r="A384">
        <v>42</v>
      </c>
      <c r="B384">
        <f t="shared" ca="1" si="5"/>
        <v>94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4" t="str">
        <f ca="1">IF(dict_zuord_Transfers_Storages[[#This Row],[kval_active]],dict_zuord_Transfers_Storages[[#This Row],[ID_Storages]],"")</f>
        <v/>
      </c>
    </row>
    <row r="385" spans="1:4" x14ac:dyDescent="0.45">
      <c r="A385">
        <v>42</v>
      </c>
      <c r="B385">
        <f t="shared" ca="1" si="5"/>
        <v>69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5" t="str">
        <f ca="1">IF(dict_zuord_Transfers_Storages[[#This Row],[kval_active]],dict_zuord_Transfers_Storages[[#This Row],[ID_Storages]],"")</f>
        <v/>
      </c>
    </row>
    <row r="386" spans="1:4" x14ac:dyDescent="0.45">
      <c r="A386">
        <v>42</v>
      </c>
      <c r="B386">
        <f t="shared" ref="B386:B449" ca="1" si="6">RANDBETWEEN(0,100)</f>
        <v>31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6" t="str">
        <f ca="1">IF(dict_zuord_Transfers_Storages[[#This Row],[kval_active]],dict_zuord_Transfers_Storages[[#This Row],[ID_Storages]],"")</f>
        <v/>
      </c>
    </row>
    <row r="387" spans="1:4" x14ac:dyDescent="0.45">
      <c r="A387">
        <v>42</v>
      </c>
      <c r="B387">
        <f t="shared" ca="1" si="6"/>
        <v>12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7" t="str">
        <f ca="1">IF(dict_zuord_Transfers_Storages[[#This Row],[kval_active]],dict_zuord_Transfers_Storages[[#This Row],[ID_Storages]],"")</f>
        <v/>
      </c>
    </row>
    <row r="388" spans="1:4" x14ac:dyDescent="0.45">
      <c r="A388">
        <v>42</v>
      </c>
      <c r="B388">
        <f t="shared" ca="1" si="6"/>
        <v>2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8" t="str">
        <f ca="1">IF(dict_zuord_Transfers_Storages[[#This Row],[kval_active]],dict_zuord_Transfers_Storages[[#This Row],[ID_Storages]],"")</f>
        <v/>
      </c>
    </row>
    <row r="389" spans="1:4" x14ac:dyDescent="0.45">
      <c r="A389">
        <v>43</v>
      </c>
      <c r="B389">
        <f t="shared" ca="1" si="6"/>
        <v>88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88</v>
      </c>
    </row>
    <row r="390" spans="1:4" x14ac:dyDescent="0.45">
      <c r="A390">
        <v>43</v>
      </c>
      <c r="B390">
        <f t="shared" ca="1" si="6"/>
        <v>82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82</v>
      </c>
    </row>
    <row r="391" spans="1:4" x14ac:dyDescent="0.45">
      <c r="A391">
        <v>43</v>
      </c>
      <c r="B391">
        <f t="shared" ca="1" si="6"/>
        <v>36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36</v>
      </c>
    </row>
    <row r="392" spans="1:4" x14ac:dyDescent="0.45">
      <c r="A392">
        <v>43</v>
      </c>
      <c r="B392">
        <f t="shared" ca="1" si="6"/>
        <v>24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24</v>
      </c>
    </row>
    <row r="393" spans="1:4" x14ac:dyDescent="0.45">
      <c r="A393">
        <v>43</v>
      </c>
      <c r="B393">
        <f t="shared" ca="1" si="6"/>
        <v>86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86</v>
      </c>
    </row>
    <row r="394" spans="1:4" x14ac:dyDescent="0.45">
      <c r="A394">
        <v>43</v>
      </c>
      <c r="B394">
        <f t="shared" ca="1" si="6"/>
        <v>76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76</v>
      </c>
    </row>
    <row r="395" spans="1:4" x14ac:dyDescent="0.45">
      <c r="A395">
        <v>43</v>
      </c>
      <c r="B395">
        <f t="shared" ca="1" si="6"/>
        <v>70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70</v>
      </c>
    </row>
    <row r="396" spans="1:4" x14ac:dyDescent="0.45">
      <c r="A396">
        <v>43</v>
      </c>
      <c r="B396">
        <f t="shared" ca="1" si="6"/>
        <v>11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11</v>
      </c>
    </row>
    <row r="397" spans="1:4" x14ac:dyDescent="0.45">
      <c r="A397">
        <v>43</v>
      </c>
      <c r="B397">
        <f t="shared" ca="1" si="6"/>
        <v>74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74</v>
      </c>
    </row>
    <row r="398" spans="1:4" x14ac:dyDescent="0.45">
      <c r="A398">
        <v>44</v>
      </c>
      <c r="B398">
        <f t="shared" ca="1" si="6"/>
        <v>79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8" t="str">
        <f ca="1">IF(dict_zuord_Transfers_Storages[[#This Row],[kval_active]],dict_zuord_Transfers_Storages[[#This Row],[ID_Storages]],"")</f>
        <v/>
      </c>
    </row>
    <row r="399" spans="1:4" x14ac:dyDescent="0.45">
      <c r="A399">
        <v>44</v>
      </c>
      <c r="B399">
        <f t="shared" ca="1" si="6"/>
        <v>6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9" t="str">
        <f ca="1">IF(dict_zuord_Transfers_Storages[[#This Row],[kval_active]],dict_zuord_Transfers_Storages[[#This Row],[ID_Storages]],"")</f>
        <v/>
      </c>
    </row>
    <row r="400" spans="1:4" x14ac:dyDescent="0.45">
      <c r="A400">
        <v>44</v>
      </c>
      <c r="B400">
        <f t="shared" ca="1" si="6"/>
        <v>51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0" t="str">
        <f ca="1">IF(dict_zuord_Transfers_Storages[[#This Row],[kval_active]],dict_zuord_Transfers_Storages[[#This Row],[ID_Storages]],"")</f>
        <v/>
      </c>
    </row>
    <row r="401" spans="1:4" x14ac:dyDescent="0.45">
      <c r="A401">
        <v>44</v>
      </c>
      <c r="B401">
        <f t="shared" ca="1" si="6"/>
        <v>47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1" t="str">
        <f ca="1">IF(dict_zuord_Transfers_Storages[[#This Row],[kval_active]],dict_zuord_Transfers_Storages[[#This Row],[ID_Storages]],"")</f>
        <v/>
      </c>
    </row>
    <row r="402" spans="1:4" x14ac:dyDescent="0.45">
      <c r="A402">
        <v>44</v>
      </c>
      <c r="B402">
        <f t="shared" ca="1" si="6"/>
        <v>12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2" t="str">
        <f ca="1">IF(dict_zuord_Transfers_Storages[[#This Row],[kval_active]],dict_zuord_Transfers_Storages[[#This Row],[ID_Storages]],"")</f>
        <v/>
      </c>
    </row>
    <row r="403" spans="1:4" x14ac:dyDescent="0.45">
      <c r="A403">
        <v>44</v>
      </c>
      <c r="B403">
        <f t="shared" ca="1" si="6"/>
        <v>12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3" t="str">
        <f ca="1">IF(dict_zuord_Transfers_Storages[[#This Row],[kval_active]],dict_zuord_Transfers_Storages[[#This Row],[ID_Storages]],"")</f>
        <v/>
      </c>
    </row>
    <row r="404" spans="1:4" x14ac:dyDescent="0.45">
      <c r="A404">
        <v>44</v>
      </c>
      <c r="B404">
        <f t="shared" ca="1" si="6"/>
        <v>67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4" t="str">
        <f ca="1">IF(dict_zuord_Transfers_Storages[[#This Row],[kval_active]],dict_zuord_Transfers_Storages[[#This Row],[ID_Storages]],"")</f>
        <v/>
      </c>
    </row>
    <row r="405" spans="1:4" x14ac:dyDescent="0.45">
      <c r="A405">
        <v>44</v>
      </c>
      <c r="B405">
        <f t="shared" ca="1" si="6"/>
        <v>6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5" t="str">
        <f ca="1">IF(dict_zuord_Transfers_Storages[[#This Row],[kval_active]],dict_zuord_Transfers_Storages[[#This Row],[ID_Storages]],"")</f>
        <v/>
      </c>
    </row>
    <row r="406" spans="1:4" x14ac:dyDescent="0.45">
      <c r="A406">
        <v>44</v>
      </c>
      <c r="B406">
        <f t="shared" ca="1" si="6"/>
        <v>9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6" t="str">
        <f ca="1">IF(dict_zuord_Transfers_Storages[[#This Row],[kval_active]],dict_zuord_Transfers_Storages[[#This Row],[ID_Storages]],"")</f>
        <v/>
      </c>
    </row>
    <row r="407" spans="1:4" x14ac:dyDescent="0.45">
      <c r="A407">
        <v>45</v>
      </c>
      <c r="B407">
        <f t="shared" ca="1" si="6"/>
        <v>21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7" t="str">
        <f ca="1">IF(dict_zuord_Transfers_Storages[[#This Row],[kval_active]],dict_zuord_Transfers_Storages[[#This Row],[ID_Storages]],"")</f>
        <v/>
      </c>
    </row>
    <row r="408" spans="1:4" x14ac:dyDescent="0.45">
      <c r="A408">
        <v>45</v>
      </c>
      <c r="B408">
        <f t="shared" ca="1" si="6"/>
        <v>54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8" t="str">
        <f ca="1">IF(dict_zuord_Transfers_Storages[[#This Row],[kval_active]],dict_zuord_Transfers_Storages[[#This Row],[ID_Storages]],"")</f>
        <v/>
      </c>
    </row>
    <row r="409" spans="1:4" x14ac:dyDescent="0.45">
      <c r="A409">
        <v>45</v>
      </c>
      <c r="B409">
        <f t="shared" ca="1" si="6"/>
        <v>32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9" t="str">
        <f ca="1">IF(dict_zuord_Transfers_Storages[[#This Row],[kval_active]],dict_zuord_Transfers_Storages[[#This Row],[ID_Storages]],"")</f>
        <v/>
      </c>
    </row>
    <row r="410" spans="1:4" x14ac:dyDescent="0.45">
      <c r="A410">
        <v>45</v>
      </c>
      <c r="B410">
        <f t="shared" ca="1" si="6"/>
        <v>78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0" t="str">
        <f ca="1">IF(dict_zuord_Transfers_Storages[[#This Row],[kval_active]],dict_zuord_Transfers_Storages[[#This Row],[ID_Storages]],"")</f>
        <v/>
      </c>
    </row>
    <row r="411" spans="1:4" x14ac:dyDescent="0.45">
      <c r="A411">
        <v>45</v>
      </c>
      <c r="B411">
        <f t="shared" ca="1" si="6"/>
        <v>79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1" t="str">
        <f ca="1">IF(dict_zuord_Transfers_Storages[[#This Row],[kval_active]],dict_zuord_Transfers_Storages[[#This Row],[ID_Storages]],"")</f>
        <v/>
      </c>
    </row>
    <row r="412" spans="1:4" x14ac:dyDescent="0.45">
      <c r="A412">
        <v>45</v>
      </c>
      <c r="B412">
        <f t="shared" ca="1" si="6"/>
        <v>53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2" t="str">
        <f ca="1">IF(dict_zuord_Transfers_Storages[[#This Row],[kval_active]],dict_zuord_Transfers_Storages[[#This Row],[ID_Storages]],"")</f>
        <v/>
      </c>
    </row>
    <row r="413" spans="1:4" x14ac:dyDescent="0.45">
      <c r="A413">
        <v>45</v>
      </c>
      <c r="B413">
        <f t="shared" ca="1" si="6"/>
        <v>28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3" t="str">
        <f ca="1">IF(dict_zuord_Transfers_Storages[[#This Row],[kval_active]],dict_zuord_Transfers_Storages[[#This Row],[ID_Storages]],"")</f>
        <v/>
      </c>
    </row>
    <row r="414" spans="1:4" x14ac:dyDescent="0.45">
      <c r="A414">
        <v>45</v>
      </c>
      <c r="B414">
        <f t="shared" ca="1" si="6"/>
        <v>40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4" t="str">
        <f ca="1">IF(dict_zuord_Transfers_Storages[[#This Row],[kval_active]],dict_zuord_Transfers_Storages[[#This Row],[ID_Storages]],"")</f>
        <v/>
      </c>
    </row>
    <row r="415" spans="1:4" x14ac:dyDescent="0.45">
      <c r="A415">
        <v>45</v>
      </c>
      <c r="B415">
        <f t="shared" ca="1" si="6"/>
        <v>44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5" t="str">
        <f ca="1">IF(dict_zuord_Transfers_Storages[[#This Row],[kval_active]],dict_zuord_Transfers_Storages[[#This Row],[ID_Storages]],"")</f>
        <v/>
      </c>
    </row>
    <row r="416" spans="1:4" x14ac:dyDescent="0.45">
      <c r="A416">
        <v>46</v>
      </c>
      <c r="B416">
        <f t="shared" ca="1" si="6"/>
        <v>35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6" t="str">
        <f ca="1">IF(dict_zuord_Transfers_Storages[[#This Row],[kval_active]],dict_zuord_Transfers_Storages[[#This Row],[ID_Storages]],"")</f>
        <v/>
      </c>
    </row>
    <row r="417" spans="1:4" x14ac:dyDescent="0.45">
      <c r="A417">
        <v>46</v>
      </c>
      <c r="B417">
        <f t="shared" ca="1" si="6"/>
        <v>6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7" t="str">
        <f ca="1">IF(dict_zuord_Transfers_Storages[[#This Row],[kval_active]],dict_zuord_Transfers_Storages[[#This Row],[ID_Storages]],"")</f>
        <v/>
      </c>
    </row>
    <row r="418" spans="1:4" x14ac:dyDescent="0.45">
      <c r="A418">
        <v>46</v>
      </c>
      <c r="B418">
        <f t="shared" ca="1" si="6"/>
        <v>30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8" t="str">
        <f ca="1">IF(dict_zuord_Transfers_Storages[[#This Row],[kval_active]],dict_zuord_Transfers_Storages[[#This Row],[ID_Storages]],"")</f>
        <v/>
      </c>
    </row>
    <row r="419" spans="1:4" x14ac:dyDescent="0.45">
      <c r="A419">
        <v>46</v>
      </c>
      <c r="B419">
        <f t="shared" ca="1" si="6"/>
        <v>7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9" t="str">
        <f ca="1">IF(dict_zuord_Transfers_Storages[[#This Row],[kval_active]],dict_zuord_Transfers_Storages[[#This Row],[ID_Storages]],"")</f>
        <v/>
      </c>
    </row>
    <row r="420" spans="1:4" x14ac:dyDescent="0.45">
      <c r="A420">
        <v>46</v>
      </c>
      <c r="B420">
        <f t="shared" ca="1" si="6"/>
        <v>94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0" t="str">
        <f ca="1">IF(dict_zuord_Transfers_Storages[[#This Row],[kval_active]],dict_zuord_Transfers_Storages[[#This Row],[ID_Storages]],"")</f>
        <v/>
      </c>
    </row>
    <row r="421" spans="1:4" x14ac:dyDescent="0.45">
      <c r="A421">
        <v>46</v>
      </c>
      <c r="B421">
        <f t="shared" ca="1" si="6"/>
        <v>24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1" t="str">
        <f ca="1">IF(dict_zuord_Transfers_Storages[[#This Row],[kval_active]],dict_zuord_Transfers_Storages[[#This Row],[ID_Storages]],"")</f>
        <v/>
      </c>
    </row>
    <row r="422" spans="1:4" x14ac:dyDescent="0.45">
      <c r="A422">
        <v>46</v>
      </c>
      <c r="B422">
        <f t="shared" ca="1" si="6"/>
        <v>64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2" t="str">
        <f ca="1">IF(dict_zuord_Transfers_Storages[[#This Row],[kval_active]],dict_zuord_Transfers_Storages[[#This Row],[ID_Storages]],"")</f>
        <v/>
      </c>
    </row>
    <row r="423" spans="1:4" x14ac:dyDescent="0.45">
      <c r="A423">
        <v>46</v>
      </c>
      <c r="B423">
        <f t="shared" ca="1" si="6"/>
        <v>99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3" t="str">
        <f ca="1">IF(dict_zuord_Transfers_Storages[[#This Row],[kval_active]],dict_zuord_Transfers_Storages[[#This Row],[ID_Storages]],"")</f>
        <v/>
      </c>
    </row>
    <row r="424" spans="1:4" x14ac:dyDescent="0.45">
      <c r="A424">
        <v>46</v>
      </c>
      <c r="B424">
        <f t="shared" ca="1" si="6"/>
        <v>89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4" t="str">
        <f ca="1">IF(dict_zuord_Transfers_Storages[[#This Row],[kval_active]],dict_zuord_Transfers_Storages[[#This Row],[ID_Storages]],"")</f>
        <v/>
      </c>
    </row>
    <row r="425" spans="1:4" x14ac:dyDescent="0.45">
      <c r="A425">
        <v>47</v>
      </c>
      <c r="B425">
        <f t="shared" ca="1" si="6"/>
        <v>47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5" t="str">
        <f ca="1">IF(dict_zuord_Transfers_Storages[[#This Row],[kval_active]],dict_zuord_Transfers_Storages[[#This Row],[ID_Storages]],"")</f>
        <v/>
      </c>
    </row>
    <row r="426" spans="1:4" x14ac:dyDescent="0.45">
      <c r="A426">
        <v>47</v>
      </c>
      <c r="B426">
        <f t="shared" ca="1" si="6"/>
        <v>5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6" t="str">
        <f ca="1">IF(dict_zuord_Transfers_Storages[[#This Row],[kval_active]],dict_zuord_Transfers_Storages[[#This Row],[ID_Storages]],"")</f>
        <v/>
      </c>
    </row>
    <row r="427" spans="1:4" x14ac:dyDescent="0.45">
      <c r="A427">
        <v>47</v>
      </c>
      <c r="B427">
        <f t="shared" ca="1" si="6"/>
        <v>84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7" t="str">
        <f ca="1">IF(dict_zuord_Transfers_Storages[[#This Row],[kval_active]],dict_zuord_Transfers_Storages[[#This Row],[ID_Storages]],"")</f>
        <v/>
      </c>
    </row>
    <row r="428" spans="1:4" x14ac:dyDescent="0.45">
      <c r="A428">
        <v>47</v>
      </c>
      <c r="B428">
        <f t="shared" ca="1" si="6"/>
        <v>44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8" t="str">
        <f ca="1">IF(dict_zuord_Transfers_Storages[[#This Row],[kval_active]],dict_zuord_Transfers_Storages[[#This Row],[ID_Storages]],"")</f>
        <v/>
      </c>
    </row>
    <row r="429" spans="1:4" x14ac:dyDescent="0.45">
      <c r="A429">
        <v>47</v>
      </c>
      <c r="B429">
        <f t="shared" ca="1" si="6"/>
        <v>79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9" t="str">
        <f ca="1">IF(dict_zuord_Transfers_Storages[[#This Row],[kval_active]],dict_zuord_Transfers_Storages[[#This Row],[ID_Storages]],"")</f>
        <v/>
      </c>
    </row>
    <row r="430" spans="1:4" x14ac:dyDescent="0.45">
      <c r="A430">
        <v>47</v>
      </c>
      <c r="B430">
        <f t="shared" ca="1" si="6"/>
        <v>65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0" t="str">
        <f ca="1">IF(dict_zuord_Transfers_Storages[[#This Row],[kval_active]],dict_zuord_Transfers_Storages[[#This Row],[ID_Storages]],"")</f>
        <v/>
      </c>
    </row>
    <row r="431" spans="1:4" x14ac:dyDescent="0.45">
      <c r="A431">
        <v>47</v>
      </c>
      <c r="B431">
        <f t="shared" ca="1" si="6"/>
        <v>75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1" t="str">
        <f ca="1">IF(dict_zuord_Transfers_Storages[[#This Row],[kval_active]],dict_zuord_Transfers_Storages[[#This Row],[ID_Storages]],"")</f>
        <v/>
      </c>
    </row>
    <row r="432" spans="1:4" x14ac:dyDescent="0.45">
      <c r="A432">
        <v>47</v>
      </c>
      <c r="B432">
        <f t="shared" ca="1" si="6"/>
        <v>94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2" t="str">
        <f ca="1">IF(dict_zuord_Transfers_Storages[[#This Row],[kval_active]],dict_zuord_Transfers_Storages[[#This Row],[ID_Storages]],"")</f>
        <v/>
      </c>
    </row>
    <row r="433" spans="1:4" x14ac:dyDescent="0.45">
      <c r="A433">
        <v>47</v>
      </c>
      <c r="B433">
        <f t="shared" ca="1" si="6"/>
        <v>78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3" t="str">
        <f ca="1">IF(dict_zuord_Transfers_Storages[[#This Row],[kval_active]],dict_zuord_Transfers_Storages[[#This Row],[ID_Storages]],"")</f>
        <v/>
      </c>
    </row>
    <row r="434" spans="1:4" x14ac:dyDescent="0.45">
      <c r="A434">
        <v>48</v>
      </c>
      <c r="B434">
        <f t="shared" ca="1" si="6"/>
        <v>78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78</v>
      </c>
    </row>
    <row r="435" spans="1:4" x14ac:dyDescent="0.45">
      <c r="A435">
        <v>48</v>
      </c>
      <c r="B435">
        <f t="shared" ca="1" si="6"/>
        <v>62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62</v>
      </c>
    </row>
    <row r="436" spans="1:4" x14ac:dyDescent="0.45">
      <c r="A436">
        <v>48</v>
      </c>
      <c r="B436">
        <f t="shared" ca="1" si="6"/>
        <v>60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60</v>
      </c>
    </row>
    <row r="437" spans="1:4" x14ac:dyDescent="0.45">
      <c r="A437">
        <v>48</v>
      </c>
      <c r="B437">
        <f t="shared" ca="1" si="6"/>
        <v>27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27</v>
      </c>
    </row>
    <row r="438" spans="1:4" x14ac:dyDescent="0.45">
      <c r="A438">
        <v>48</v>
      </c>
      <c r="B438">
        <f t="shared" ca="1" si="6"/>
        <v>7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7</v>
      </c>
    </row>
    <row r="439" spans="1:4" x14ac:dyDescent="0.45">
      <c r="A439">
        <v>48</v>
      </c>
      <c r="B439">
        <f t="shared" ca="1" si="6"/>
        <v>15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15</v>
      </c>
    </row>
    <row r="440" spans="1:4" x14ac:dyDescent="0.45">
      <c r="A440">
        <v>48</v>
      </c>
      <c r="B440">
        <f t="shared" ca="1" si="6"/>
        <v>98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98</v>
      </c>
    </row>
    <row r="441" spans="1:4" x14ac:dyDescent="0.45">
      <c r="A441">
        <v>48</v>
      </c>
      <c r="B441">
        <f t="shared" ca="1" si="6"/>
        <v>54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54</v>
      </c>
    </row>
    <row r="442" spans="1:4" x14ac:dyDescent="0.45">
      <c r="A442">
        <v>48</v>
      </c>
      <c r="B442">
        <f t="shared" ca="1" si="6"/>
        <v>8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8</v>
      </c>
    </row>
    <row r="443" spans="1:4" x14ac:dyDescent="0.45">
      <c r="A443">
        <v>49</v>
      </c>
      <c r="B443">
        <f t="shared" ca="1" si="6"/>
        <v>25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3" t="str">
        <f ca="1">IF(dict_zuord_Transfers_Storages[[#This Row],[kval_active]],dict_zuord_Transfers_Storages[[#This Row],[ID_Storages]],"")</f>
        <v/>
      </c>
    </row>
    <row r="444" spans="1:4" x14ac:dyDescent="0.45">
      <c r="A444">
        <v>49</v>
      </c>
      <c r="B444">
        <f t="shared" ca="1" si="6"/>
        <v>58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4" t="str">
        <f ca="1">IF(dict_zuord_Transfers_Storages[[#This Row],[kval_active]],dict_zuord_Transfers_Storages[[#This Row],[ID_Storages]],"")</f>
        <v/>
      </c>
    </row>
    <row r="445" spans="1:4" x14ac:dyDescent="0.45">
      <c r="A445">
        <v>49</v>
      </c>
      <c r="B445">
        <f t="shared" ca="1" si="6"/>
        <v>43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5" t="str">
        <f ca="1">IF(dict_zuord_Transfers_Storages[[#This Row],[kval_active]],dict_zuord_Transfers_Storages[[#This Row],[ID_Storages]],"")</f>
        <v/>
      </c>
    </row>
    <row r="446" spans="1:4" x14ac:dyDescent="0.45">
      <c r="A446">
        <v>49</v>
      </c>
      <c r="B446">
        <f t="shared" ca="1" si="6"/>
        <v>31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6" t="str">
        <f ca="1">IF(dict_zuord_Transfers_Storages[[#This Row],[kval_active]],dict_zuord_Transfers_Storages[[#This Row],[ID_Storages]],"")</f>
        <v/>
      </c>
    </row>
    <row r="447" spans="1:4" x14ac:dyDescent="0.45">
      <c r="A447">
        <v>49</v>
      </c>
      <c r="B447">
        <f t="shared" ca="1" si="6"/>
        <v>83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7" t="str">
        <f ca="1">IF(dict_zuord_Transfers_Storages[[#This Row],[kval_active]],dict_zuord_Transfers_Storages[[#This Row],[ID_Storages]],"")</f>
        <v/>
      </c>
    </row>
    <row r="448" spans="1:4" x14ac:dyDescent="0.45">
      <c r="A448">
        <v>49</v>
      </c>
      <c r="B448">
        <f t="shared" ca="1" si="6"/>
        <v>35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8" t="str">
        <f ca="1">IF(dict_zuord_Transfers_Storages[[#This Row],[kval_active]],dict_zuord_Transfers_Storages[[#This Row],[ID_Storages]],"")</f>
        <v/>
      </c>
    </row>
    <row r="449" spans="1:4" x14ac:dyDescent="0.45">
      <c r="A449">
        <v>49</v>
      </c>
      <c r="B449">
        <f t="shared" ca="1" si="6"/>
        <v>31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9" t="str">
        <f ca="1">IF(dict_zuord_Transfers_Storages[[#This Row],[kval_active]],dict_zuord_Transfers_Storages[[#This Row],[ID_Storages]],"")</f>
        <v/>
      </c>
    </row>
    <row r="450" spans="1:4" x14ac:dyDescent="0.45">
      <c r="A450">
        <v>49</v>
      </c>
      <c r="B450">
        <f t="shared" ref="B450:B513" ca="1" si="7">RANDBETWEEN(0,100)</f>
        <v>64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0" t="str">
        <f ca="1">IF(dict_zuord_Transfers_Storages[[#This Row],[kval_active]],dict_zuord_Transfers_Storages[[#This Row],[ID_Storages]],"")</f>
        <v/>
      </c>
    </row>
    <row r="451" spans="1:4" x14ac:dyDescent="0.45">
      <c r="A451">
        <v>49</v>
      </c>
      <c r="B451">
        <f t="shared" ca="1" si="7"/>
        <v>26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1" t="str">
        <f ca="1">IF(dict_zuord_Transfers_Storages[[#This Row],[kval_active]],dict_zuord_Transfers_Storages[[#This Row],[ID_Storages]],"")</f>
        <v/>
      </c>
    </row>
    <row r="452" spans="1:4" x14ac:dyDescent="0.45">
      <c r="A452">
        <v>50</v>
      </c>
      <c r="B452">
        <f t="shared" ca="1" si="7"/>
        <v>16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2">
        <f ca="1">IF(dict_zuord_Transfers_Storages[[#This Row],[kval_active]],dict_zuord_Transfers_Storages[[#This Row],[ID_Storages]],"")</f>
        <v>16</v>
      </c>
    </row>
    <row r="453" spans="1:4" x14ac:dyDescent="0.45">
      <c r="A453">
        <v>50</v>
      </c>
      <c r="B453">
        <f t="shared" ca="1" si="7"/>
        <v>37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3">
        <f ca="1">IF(dict_zuord_Transfers_Storages[[#This Row],[kval_active]],dict_zuord_Transfers_Storages[[#This Row],[ID_Storages]],"")</f>
        <v>37</v>
      </c>
    </row>
    <row r="454" spans="1:4" x14ac:dyDescent="0.45">
      <c r="A454">
        <v>50</v>
      </c>
      <c r="B454">
        <f t="shared" ca="1" si="7"/>
        <v>91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4">
        <f ca="1">IF(dict_zuord_Transfers_Storages[[#This Row],[kval_active]],dict_zuord_Transfers_Storages[[#This Row],[ID_Storages]],"")</f>
        <v>91</v>
      </c>
    </row>
    <row r="455" spans="1:4" x14ac:dyDescent="0.45">
      <c r="A455">
        <v>50</v>
      </c>
      <c r="B455">
        <f t="shared" ca="1" si="7"/>
        <v>34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5">
        <f ca="1">IF(dict_zuord_Transfers_Storages[[#This Row],[kval_active]],dict_zuord_Transfers_Storages[[#This Row],[ID_Storages]],"")</f>
        <v>34</v>
      </c>
    </row>
    <row r="456" spans="1:4" x14ac:dyDescent="0.45">
      <c r="A456">
        <v>50</v>
      </c>
      <c r="B456">
        <f t="shared" ca="1" si="7"/>
        <v>56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6">
        <f ca="1">IF(dict_zuord_Transfers_Storages[[#This Row],[kval_active]],dict_zuord_Transfers_Storages[[#This Row],[ID_Storages]],"")</f>
        <v>56</v>
      </c>
    </row>
    <row r="457" spans="1:4" x14ac:dyDescent="0.45">
      <c r="A457">
        <v>50</v>
      </c>
      <c r="B457">
        <f t="shared" ca="1" si="7"/>
        <v>92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7">
        <f ca="1">IF(dict_zuord_Transfers_Storages[[#This Row],[kval_active]],dict_zuord_Transfers_Storages[[#This Row],[ID_Storages]],"")</f>
        <v>92</v>
      </c>
    </row>
    <row r="458" spans="1:4" x14ac:dyDescent="0.45">
      <c r="A458">
        <v>50</v>
      </c>
      <c r="B458">
        <f t="shared" ca="1" si="7"/>
        <v>71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8">
        <f ca="1">IF(dict_zuord_Transfers_Storages[[#This Row],[kval_active]],dict_zuord_Transfers_Storages[[#This Row],[ID_Storages]],"")</f>
        <v>71</v>
      </c>
    </row>
    <row r="459" spans="1:4" x14ac:dyDescent="0.45">
      <c r="A459">
        <v>50</v>
      </c>
      <c r="B459">
        <f t="shared" ca="1" si="7"/>
        <v>72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9">
        <f ca="1">IF(dict_zuord_Transfers_Storages[[#This Row],[kval_active]],dict_zuord_Transfers_Storages[[#This Row],[ID_Storages]],"")</f>
        <v>72</v>
      </c>
    </row>
    <row r="460" spans="1:4" x14ac:dyDescent="0.45">
      <c r="A460">
        <v>50</v>
      </c>
      <c r="B460">
        <f t="shared" ca="1" si="7"/>
        <v>66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0">
        <f ca="1">IF(dict_zuord_Transfers_Storages[[#This Row],[kval_active]],dict_zuord_Transfers_Storages[[#This Row],[ID_Storages]],"")</f>
        <v>66</v>
      </c>
    </row>
    <row r="461" spans="1:4" x14ac:dyDescent="0.45">
      <c r="A461">
        <v>51</v>
      </c>
      <c r="B461">
        <f t="shared" ca="1" si="7"/>
        <v>5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5</v>
      </c>
    </row>
    <row r="462" spans="1:4" x14ac:dyDescent="0.45">
      <c r="A462">
        <v>51</v>
      </c>
      <c r="B462">
        <f t="shared" ca="1" si="7"/>
        <v>45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45</v>
      </c>
    </row>
    <row r="463" spans="1:4" x14ac:dyDescent="0.45">
      <c r="A463">
        <v>51</v>
      </c>
      <c r="B463">
        <f t="shared" ca="1" si="7"/>
        <v>20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20</v>
      </c>
    </row>
    <row r="464" spans="1:4" x14ac:dyDescent="0.45">
      <c r="A464">
        <v>51</v>
      </c>
      <c r="B464">
        <f t="shared" ca="1" si="7"/>
        <v>57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57</v>
      </c>
    </row>
    <row r="465" spans="1:4" x14ac:dyDescent="0.45">
      <c r="A465">
        <v>51</v>
      </c>
      <c r="B465">
        <f t="shared" ca="1" si="7"/>
        <v>100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100</v>
      </c>
    </row>
    <row r="466" spans="1:4" x14ac:dyDescent="0.45">
      <c r="A466">
        <v>51</v>
      </c>
      <c r="B466">
        <f t="shared" ca="1" si="7"/>
        <v>75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75</v>
      </c>
    </row>
    <row r="467" spans="1:4" x14ac:dyDescent="0.45">
      <c r="A467">
        <v>51</v>
      </c>
      <c r="B467">
        <f t="shared" ca="1" si="7"/>
        <v>74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74</v>
      </c>
    </row>
    <row r="468" spans="1:4" x14ac:dyDescent="0.45">
      <c r="A468">
        <v>51</v>
      </c>
      <c r="B468">
        <f t="shared" ca="1" si="7"/>
        <v>49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49</v>
      </c>
    </row>
    <row r="469" spans="1:4" x14ac:dyDescent="0.45">
      <c r="A469">
        <v>51</v>
      </c>
      <c r="B469">
        <f t="shared" ca="1" si="7"/>
        <v>78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78</v>
      </c>
    </row>
    <row r="470" spans="1:4" x14ac:dyDescent="0.45">
      <c r="A470">
        <v>52</v>
      </c>
      <c r="B470">
        <f t="shared" ca="1" si="7"/>
        <v>86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0" t="str">
        <f ca="1">IF(dict_zuord_Transfers_Storages[[#This Row],[kval_active]],dict_zuord_Transfers_Storages[[#This Row],[ID_Storages]],"")</f>
        <v/>
      </c>
    </row>
    <row r="471" spans="1:4" x14ac:dyDescent="0.45">
      <c r="A471">
        <v>52</v>
      </c>
      <c r="B471">
        <f t="shared" ca="1" si="7"/>
        <v>69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1" t="str">
        <f ca="1">IF(dict_zuord_Transfers_Storages[[#This Row],[kval_active]],dict_zuord_Transfers_Storages[[#This Row],[ID_Storages]],"")</f>
        <v/>
      </c>
    </row>
    <row r="472" spans="1:4" x14ac:dyDescent="0.45">
      <c r="A472">
        <v>52</v>
      </c>
      <c r="B472">
        <f t="shared" ca="1" si="7"/>
        <v>84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2" t="str">
        <f ca="1">IF(dict_zuord_Transfers_Storages[[#This Row],[kval_active]],dict_zuord_Transfers_Storages[[#This Row],[ID_Storages]],"")</f>
        <v/>
      </c>
    </row>
    <row r="473" spans="1:4" x14ac:dyDescent="0.45">
      <c r="A473">
        <v>52</v>
      </c>
      <c r="B473">
        <f t="shared" ca="1" si="7"/>
        <v>33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3" t="str">
        <f ca="1">IF(dict_zuord_Transfers_Storages[[#This Row],[kval_active]],dict_zuord_Transfers_Storages[[#This Row],[ID_Storages]],"")</f>
        <v/>
      </c>
    </row>
    <row r="474" spans="1:4" x14ac:dyDescent="0.45">
      <c r="A474">
        <v>52</v>
      </c>
      <c r="B474">
        <f t="shared" ca="1" si="7"/>
        <v>56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4" t="str">
        <f ca="1">IF(dict_zuord_Transfers_Storages[[#This Row],[kval_active]],dict_zuord_Transfers_Storages[[#This Row],[ID_Storages]],"")</f>
        <v/>
      </c>
    </row>
    <row r="475" spans="1:4" x14ac:dyDescent="0.45">
      <c r="A475">
        <v>52</v>
      </c>
      <c r="B475">
        <f t="shared" ca="1" si="7"/>
        <v>40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5" t="str">
        <f ca="1">IF(dict_zuord_Transfers_Storages[[#This Row],[kval_active]],dict_zuord_Transfers_Storages[[#This Row],[ID_Storages]],"")</f>
        <v/>
      </c>
    </row>
    <row r="476" spans="1:4" x14ac:dyDescent="0.45">
      <c r="A476">
        <v>52</v>
      </c>
      <c r="B476">
        <f t="shared" ca="1" si="7"/>
        <v>99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6" t="str">
        <f ca="1">IF(dict_zuord_Transfers_Storages[[#This Row],[kval_active]],dict_zuord_Transfers_Storages[[#This Row],[ID_Storages]],"")</f>
        <v/>
      </c>
    </row>
    <row r="477" spans="1:4" x14ac:dyDescent="0.45">
      <c r="A477">
        <v>52</v>
      </c>
      <c r="B477">
        <f t="shared" ca="1" si="7"/>
        <v>32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7" t="str">
        <f ca="1">IF(dict_zuord_Transfers_Storages[[#This Row],[kval_active]],dict_zuord_Transfers_Storages[[#This Row],[ID_Storages]],"")</f>
        <v/>
      </c>
    </row>
    <row r="478" spans="1:4" x14ac:dyDescent="0.45">
      <c r="A478">
        <v>52</v>
      </c>
      <c r="B478">
        <f t="shared" ca="1" si="7"/>
        <v>22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8" t="str">
        <f ca="1">IF(dict_zuord_Transfers_Storages[[#This Row],[kval_active]],dict_zuord_Transfers_Storages[[#This Row],[ID_Storages]],"")</f>
        <v/>
      </c>
    </row>
    <row r="479" spans="1:4" x14ac:dyDescent="0.45">
      <c r="A479">
        <v>53</v>
      </c>
      <c r="B479">
        <f t="shared" ca="1" si="7"/>
        <v>13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9" t="str">
        <f ca="1">IF(dict_zuord_Transfers_Storages[[#This Row],[kval_active]],dict_zuord_Transfers_Storages[[#This Row],[ID_Storages]],"")</f>
        <v/>
      </c>
    </row>
    <row r="480" spans="1:4" x14ac:dyDescent="0.45">
      <c r="A480">
        <v>53</v>
      </c>
      <c r="B480">
        <f t="shared" ca="1" si="7"/>
        <v>79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0" t="str">
        <f ca="1">IF(dict_zuord_Transfers_Storages[[#This Row],[kval_active]],dict_zuord_Transfers_Storages[[#This Row],[ID_Storages]],"")</f>
        <v/>
      </c>
    </row>
    <row r="481" spans="1:4" x14ac:dyDescent="0.45">
      <c r="A481">
        <v>53</v>
      </c>
      <c r="B481">
        <f t="shared" ca="1" si="7"/>
        <v>93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1" t="str">
        <f ca="1">IF(dict_zuord_Transfers_Storages[[#This Row],[kval_active]],dict_zuord_Transfers_Storages[[#This Row],[ID_Storages]],"")</f>
        <v/>
      </c>
    </row>
    <row r="482" spans="1:4" x14ac:dyDescent="0.45">
      <c r="A482">
        <v>53</v>
      </c>
      <c r="B482">
        <f t="shared" ca="1" si="7"/>
        <v>95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2" t="str">
        <f ca="1">IF(dict_zuord_Transfers_Storages[[#This Row],[kval_active]],dict_zuord_Transfers_Storages[[#This Row],[ID_Storages]],"")</f>
        <v/>
      </c>
    </row>
    <row r="483" spans="1:4" x14ac:dyDescent="0.45">
      <c r="A483">
        <v>53</v>
      </c>
      <c r="B483">
        <f t="shared" ca="1" si="7"/>
        <v>35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3" t="str">
        <f ca="1">IF(dict_zuord_Transfers_Storages[[#This Row],[kval_active]],dict_zuord_Transfers_Storages[[#This Row],[ID_Storages]],"")</f>
        <v/>
      </c>
    </row>
    <row r="484" spans="1:4" x14ac:dyDescent="0.45">
      <c r="A484">
        <v>53</v>
      </c>
      <c r="B484">
        <f t="shared" ca="1" si="7"/>
        <v>41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4" t="str">
        <f ca="1">IF(dict_zuord_Transfers_Storages[[#This Row],[kval_active]],dict_zuord_Transfers_Storages[[#This Row],[ID_Storages]],"")</f>
        <v/>
      </c>
    </row>
    <row r="485" spans="1:4" x14ac:dyDescent="0.45">
      <c r="A485">
        <v>53</v>
      </c>
      <c r="B485">
        <f t="shared" ca="1" si="7"/>
        <v>9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5" t="str">
        <f ca="1">IF(dict_zuord_Transfers_Storages[[#This Row],[kval_active]],dict_zuord_Transfers_Storages[[#This Row],[ID_Storages]],"")</f>
        <v/>
      </c>
    </row>
    <row r="486" spans="1:4" x14ac:dyDescent="0.45">
      <c r="A486">
        <v>53</v>
      </c>
      <c r="B486">
        <f t="shared" ca="1" si="7"/>
        <v>98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6" t="str">
        <f ca="1">IF(dict_zuord_Transfers_Storages[[#This Row],[kval_active]],dict_zuord_Transfers_Storages[[#This Row],[ID_Storages]],"")</f>
        <v/>
      </c>
    </row>
    <row r="487" spans="1:4" x14ac:dyDescent="0.45">
      <c r="A487">
        <v>53</v>
      </c>
      <c r="B487">
        <f t="shared" ca="1" si="7"/>
        <v>44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7" t="str">
        <f ca="1">IF(dict_zuord_Transfers_Storages[[#This Row],[kval_active]],dict_zuord_Transfers_Storages[[#This Row],[ID_Storages]],"")</f>
        <v/>
      </c>
    </row>
    <row r="488" spans="1:4" x14ac:dyDescent="0.45">
      <c r="A488">
        <v>54</v>
      </c>
      <c r="B488">
        <f t="shared" ca="1" si="7"/>
        <v>99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99</v>
      </c>
    </row>
    <row r="489" spans="1:4" x14ac:dyDescent="0.45">
      <c r="A489">
        <v>54</v>
      </c>
      <c r="B489">
        <f t="shared" ca="1" si="7"/>
        <v>82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82</v>
      </c>
    </row>
    <row r="490" spans="1:4" x14ac:dyDescent="0.45">
      <c r="A490">
        <v>54</v>
      </c>
      <c r="B490">
        <f t="shared" ca="1" si="7"/>
        <v>78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78</v>
      </c>
    </row>
    <row r="491" spans="1:4" x14ac:dyDescent="0.45">
      <c r="A491">
        <v>54</v>
      </c>
      <c r="B491">
        <f t="shared" ca="1" si="7"/>
        <v>58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58</v>
      </c>
    </row>
    <row r="492" spans="1:4" x14ac:dyDescent="0.45">
      <c r="A492">
        <v>54</v>
      </c>
      <c r="B492">
        <f t="shared" ca="1" si="7"/>
        <v>59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59</v>
      </c>
    </row>
    <row r="493" spans="1:4" x14ac:dyDescent="0.45">
      <c r="A493">
        <v>54</v>
      </c>
      <c r="B493">
        <f t="shared" ca="1" si="7"/>
        <v>19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19</v>
      </c>
    </row>
    <row r="494" spans="1:4" x14ac:dyDescent="0.45">
      <c r="A494">
        <v>54</v>
      </c>
      <c r="B494">
        <f t="shared" ca="1" si="7"/>
        <v>57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57</v>
      </c>
    </row>
    <row r="495" spans="1:4" x14ac:dyDescent="0.45">
      <c r="A495">
        <v>54</v>
      </c>
      <c r="B495">
        <f t="shared" ca="1" si="7"/>
        <v>60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60</v>
      </c>
    </row>
    <row r="496" spans="1:4" x14ac:dyDescent="0.45">
      <c r="A496">
        <v>54</v>
      </c>
      <c r="B496">
        <f t="shared" ca="1" si="7"/>
        <v>32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32</v>
      </c>
    </row>
    <row r="497" spans="1:4" x14ac:dyDescent="0.45">
      <c r="A497">
        <v>55</v>
      </c>
      <c r="B497">
        <f t="shared" ca="1" si="7"/>
        <v>77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7" t="str">
        <f ca="1">IF(dict_zuord_Transfers_Storages[[#This Row],[kval_active]],dict_zuord_Transfers_Storages[[#This Row],[ID_Storages]],"")</f>
        <v/>
      </c>
    </row>
    <row r="498" spans="1:4" x14ac:dyDescent="0.45">
      <c r="A498">
        <v>55</v>
      </c>
      <c r="B498">
        <f t="shared" ca="1" si="7"/>
        <v>100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8" t="str">
        <f ca="1">IF(dict_zuord_Transfers_Storages[[#This Row],[kval_active]],dict_zuord_Transfers_Storages[[#This Row],[ID_Storages]],"")</f>
        <v/>
      </c>
    </row>
    <row r="499" spans="1:4" x14ac:dyDescent="0.45">
      <c r="A499">
        <v>55</v>
      </c>
      <c r="B499">
        <f t="shared" ca="1" si="7"/>
        <v>57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9" t="str">
        <f ca="1">IF(dict_zuord_Transfers_Storages[[#This Row],[kval_active]],dict_zuord_Transfers_Storages[[#This Row],[ID_Storages]],"")</f>
        <v/>
      </c>
    </row>
    <row r="500" spans="1:4" x14ac:dyDescent="0.45">
      <c r="A500">
        <v>55</v>
      </c>
      <c r="B500">
        <f t="shared" ca="1" si="7"/>
        <v>85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0" t="str">
        <f ca="1">IF(dict_zuord_Transfers_Storages[[#This Row],[kval_active]],dict_zuord_Transfers_Storages[[#This Row],[ID_Storages]],"")</f>
        <v/>
      </c>
    </row>
    <row r="501" spans="1:4" x14ac:dyDescent="0.45">
      <c r="A501">
        <v>55</v>
      </c>
      <c r="B501">
        <f t="shared" ca="1" si="7"/>
        <v>38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1" t="str">
        <f ca="1">IF(dict_zuord_Transfers_Storages[[#This Row],[kval_active]],dict_zuord_Transfers_Storages[[#This Row],[ID_Storages]],"")</f>
        <v/>
      </c>
    </row>
    <row r="502" spans="1:4" x14ac:dyDescent="0.45">
      <c r="A502">
        <v>55</v>
      </c>
      <c r="B502">
        <f t="shared" ca="1" si="7"/>
        <v>17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2" t="str">
        <f ca="1">IF(dict_zuord_Transfers_Storages[[#This Row],[kval_active]],dict_zuord_Transfers_Storages[[#This Row],[ID_Storages]],"")</f>
        <v/>
      </c>
    </row>
    <row r="503" spans="1:4" x14ac:dyDescent="0.45">
      <c r="A503">
        <v>55</v>
      </c>
      <c r="B503">
        <f t="shared" ca="1" si="7"/>
        <v>74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3" t="str">
        <f ca="1">IF(dict_zuord_Transfers_Storages[[#This Row],[kval_active]],dict_zuord_Transfers_Storages[[#This Row],[ID_Storages]],"")</f>
        <v/>
      </c>
    </row>
    <row r="504" spans="1:4" x14ac:dyDescent="0.45">
      <c r="A504">
        <v>55</v>
      </c>
      <c r="B504">
        <f t="shared" ca="1" si="7"/>
        <v>64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4" t="str">
        <f ca="1">IF(dict_zuord_Transfers_Storages[[#This Row],[kval_active]],dict_zuord_Transfers_Storages[[#This Row],[ID_Storages]],"")</f>
        <v/>
      </c>
    </row>
    <row r="505" spans="1:4" x14ac:dyDescent="0.45">
      <c r="A505">
        <v>55</v>
      </c>
      <c r="B505">
        <f t="shared" ca="1" si="7"/>
        <v>62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5" t="str">
        <f ca="1">IF(dict_zuord_Transfers_Storages[[#This Row],[kval_active]],dict_zuord_Transfers_Storages[[#This Row],[ID_Storages]],"")</f>
        <v/>
      </c>
    </row>
    <row r="506" spans="1:4" x14ac:dyDescent="0.45">
      <c r="A506">
        <v>56</v>
      </c>
      <c r="B506">
        <f t="shared" ca="1" si="7"/>
        <v>5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6" t="str">
        <f ca="1">IF(dict_zuord_Transfers_Storages[[#This Row],[kval_active]],dict_zuord_Transfers_Storages[[#This Row],[ID_Storages]],"")</f>
        <v/>
      </c>
    </row>
    <row r="507" spans="1:4" x14ac:dyDescent="0.45">
      <c r="A507">
        <v>56</v>
      </c>
      <c r="B507">
        <f t="shared" ca="1" si="7"/>
        <v>99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7" t="str">
        <f ca="1">IF(dict_zuord_Transfers_Storages[[#This Row],[kval_active]],dict_zuord_Transfers_Storages[[#This Row],[ID_Storages]],"")</f>
        <v/>
      </c>
    </row>
    <row r="508" spans="1:4" x14ac:dyDescent="0.45">
      <c r="A508">
        <v>56</v>
      </c>
      <c r="B508">
        <f t="shared" ca="1" si="7"/>
        <v>46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8" t="str">
        <f ca="1">IF(dict_zuord_Transfers_Storages[[#This Row],[kval_active]],dict_zuord_Transfers_Storages[[#This Row],[ID_Storages]],"")</f>
        <v/>
      </c>
    </row>
    <row r="509" spans="1:4" x14ac:dyDescent="0.45">
      <c r="A509">
        <v>56</v>
      </c>
      <c r="B509">
        <f t="shared" ca="1" si="7"/>
        <v>82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9" t="str">
        <f ca="1">IF(dict_zuord_Transfers_Storages[[#This Row],[kval_active]],dict_zuord_Transfers_Storages[[#This Row],[ID_Storages]],"")</f>
        <v/>
      </c>
    </row>
    <row r="510" spans="1:4" x14ac:dyDescent="0.45">
      <c r="A510">
        <v>56</v>
      </c>
      <c r="B510">
        <f t="shared" ca="1" si="7"/>
        <v>70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0" t="str">
        <f ca="1">IF(dict_zuord_Transfers_Storages[[#This Row],[kval_active]],dict_zuord_Transfers_Storages[[#This Row],[ID_Storages]],"")</f>
        <v/>
      </c>
    </row>
    <row r="511" spans="1:4" x14ac:dyDescent="0.45">
      <c r="A511">
        <v>56</v>
      </c>
      <c r="B511">
        <f t="shared" ca="1" si="7"/>
        <v>61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1" t="str">
        <f ca="1">IF(dict_zuord_Transfers_Storages[[#This Row],[kval_active]],dict_zuord_Transfers_Storages[[#This Row],[ID_Storages]],"")</f>
        <v/>
      </c>
    </row>
    <row r="512" spans="1:4" x14ac:dyDescent="0.45">
      <c r="A512">
        <v>56</v>
      </c>
      <c r="B512">
        <f t="shared" ca="1" si="7"/>
        <v>64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2" t="str">
        <f ca="1">IF(dict_zuord_Transfers_Storages[[#This Row],[kval_active]],dict_zuord_Transfers_Storages[[#This Row],[ID_Storages]],"")</f>
        <v/>
      </c>
    </row>
    <row r="513" spans="1:4" x14ac:dyDescent="0.45">
      <c r="A513">
        <v>56</v>
      </c>
      <c r="B513">
        <f t="shared" ca="1" si="7"/>
        <v>98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3" t="str">
        <f ca="1">IF(dict_zuord_Transfers_Storages[[#This Row],[kval_active]],dict_zuord_Transfers_Storages[[#This Row],[ID_Storages]],"")</f>
        <v/>
      </c>
    </row>
    <row r="514" spans="1:4" x14ac:dyDescent="0.45">
      <c r="A514">
        <v>56</v>
      </c>
      <c r="B514">
        <f t="shared" ref="B514:B577" ca="1" si="8">RANDBETWEEN(0,100)</f>
        <v>90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4" t="str">
        <f ca="1">IF(dict_zuord_Transfers_Storages[[#This Row],[kval_active]],dict_zuord_Transfers_Storages[[#This Row],[ID_Storages]],"")</f>
        <v/>
      </c>
    </row>
    <row r="515" spans="1:4" x14ac:dyDescent="0.45">
      <c r="A515">
        <v>57</v>
      </c>
      <c r="B515">
        <f t="shared" ca="1" si="8"/>
        <v>8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8</v>
      </c>
    </row>
    <row r="516" spans="1:4" x14ac:dyDescent="0.45">
      <c r="A516">
        <v>57</v>
      </c>
      <c r="B516">
        <f t="shared" ca="1" si="8"/>
        <v>63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63</v>
      </c>
    </row>
    <row r="517" spans="1:4" x14ac:dyDescent="0.45">
      <c r="A517">
        <v>57</v>
      </c>
      <c r="B517">
        <f t="shared" ca="1" si="8"/>
        <v>25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25</v>
      </c>
    </row>
    <row r="518" spans="1:4" x14ac:dyDescent="0.45">
      <c r="A518">
        <v>57</v>
      </c>
      <c r="B518">
        <f t="shared" ca="1" si="8"/>
        <v>48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48</v>
      </c>
    </row>
    <row r="519" spans="1:4" x14ac:dyDescent="0.45">
      <c r="A519">
        <v>57</v>
      </c>
      <c r="B519">
        <f t="shared" ca="1" si="8"/>
        <v>0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0</v>
      </c>
    </row>
    <row r="520" spans="1:4" x14ac:dyDescent="0.45">
      <c r="A520">
        <v>57</v>
      </c>
      <c r="B520">
        <f t="shared" ca="1" si="8"/>
        <v>61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61</v>
      </c>
    </row>
    <row r="521" spans="1:4" x14ac:dyDescent="0.45">
      <c r="A521">
        <v>57</v>
      </c>
      <c r="B521">
        <f t="shared" ca="1" si="8"/>
        <v>47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47</v>
      </c>
    </row>
    <row r="522" spans="1:4" x14ac:dyDescent="0.45">
      <c r="A522">
        <v>57</v>
      </c>
      <c r="B522">
        <f t="shared" ca="1" si="8"/>
        <v>32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32</v>
      </c>
    </row>
    <row r="523" spans="1:4" x14ac:dyDescent="0.45">
      <c r="A523">
        <v>57</v>
      </c>
      <c r="B523">
        <f t="shared" ca="1" si="8"/>
        <v>27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27</v>
      </c>
    </row>
    <row r="524" spans="1:4" x14ac:dyDescent="0.45">
      <c r="A524">
        <v>58</v>
      </c>
      <c r="B524">
        <f t="shared" ca="1" si="8"/>
        <v>20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4" t="str">
        <f ca="1">IF(dict_zuord_Transfers_Storages[[#This Row],[kval_active]],dict_zuord_Transfers_Storages[[#This Row],[ID_Storages]],"")</f>
        <v/>
      </c>
    </row>
    <row r="525" spans="1:4" x14ac:dyDescent="0.45">
      <c r="A525">
        <v>58</v>
      </c>
      <c r="B525">
        <f t="shared" ca="1" si="8"/>
        <v>51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5" t="str">
        <f ca="1">IF(dict_zuord_Transfers_Storages[[#This Row],[kval_active]],dict_zuord_Transfers_Storages[[#This Row],[ID_Storages]],"")</f>
        <v/>
      </c>
    </row>
    <row r="526" spans="1:4" x14ac:dyDescent="0.45">
      <c r="A526">
        <v>58</v>
      </c>
      <c r="B526">
        <f t="shared" ca="1" si="8"/>
        <v>36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6" t="str">
        <f ca="1">IF(dict_zuord_Transfers_Storages[[#This Row],[kval_active]],dict_zuord_Transfers_Storages[[#This Row],[ID_Storages]],"")</f>
        <v/>
      </c>
    </row>
    <row r="527" spans="1:4" x14ac:dyDescent="0.45">
      <c r="A527">
        <v>58</v>
      </c>
      <c r="B527">
        <f t="shared" ca="1" si="8"/>
        <v>76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7" t="str">
        <f ca="1">IF(dict_zuord_Transfers_Storages[[#This Row],[kval_active]],dict_zuord_Transfers_Storages[[#This Row],[ID_Storages]],"")</f>
        <v/>
      </c>
    </row>
    <row r="528" spans="1:4" x14ac:dyDescent="0.45">
      <c r="A528">
        <v>58</v>
      </c>
      <c r="B528">
        <f t="shared" ca="1" si="8"/>
        <v>66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8" t="str">
        <f ca="1">IF(dict_zuord_Transfers_Storages[[#This Row],[kval_active]],dict_zuord_Transfers_Storages[[#This Row],[ID_Storages]],"")</f>
        <v/>
      </c>
    </row>
    <row r="529" spans="1:4" x14ac:dyDescent="0.45">
      <c r="A529">
        <v>58</v>
      </c>
      <c r="B529">
        <f t="shared" ca="1" si="8"/>
        <v>59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9" t="str">
        <f ca="1">IF(dict_zuord_Transfers_Storages[[#This Row],[kval_active]],dict_zuord_Transfers_Storages[[#This Row],[ID_Storages]],"")</f>
        <v/>
      </c>
    </row>
    <row r="530" spans="1:4" x14ac:dyDescent="0.45">
      <c r="A530">
        <v>58</v>
      </c>
      <c r="B530">
        <f t="shared" ca="1" si="8"/>
        <v>82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0" t="str">
        <f ca="1">IF(dict_zuord_Transfers_Storages[[#This Row],[kval_active]],dict_zuord_Transfers_Storages[[#This Row],[ID_Storages]],"")</f>
        <v/>
      </c>
    </row>
    <row r="531" spans="1:4" x14ac:dyDescent="0.45">
      <c r="A531">
        <v>58</v>
      </c>
      <c r="B531">
        <f t="shared" ca="1" si="8"/>
        <v>91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1" t="str">
        <f ca="1">IF(dict_zuord_Transfers_Storages[[#This Row],[kval_active]],dict_zuord_Transfers_Storages[[#This Row],[ID_Storages]],"")</f>
        <v/>
      </c>
    </row>
    <row r="532" spans="1:4" x14ac:dyDescent="0.45">
      <c r="A532">
        <v>58</v>
      </c>
      <c r="B532">
        <f t="shared" ca="1" si="8"/>
        <v>29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2" t="str">
        <f ca="1">IF(dict_zuord_Transfers_Storages[[#This Row],[kval_active]],dict_zuord_Transfers_Storages[[#This Row],[ID_Storages]],"")</f>
        <v/>
      </c>
    </row>
    <row r="533" spans="1:4" x14ac:dyDescent="0.45">
      <c r="A533">
        <v>59</v>
      </c>
      <c r="B533">
        <f t="shared" ca="1" si="8"/>
        <v>67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3" t="str">
        <f ca="1">IF(dict_zuord_Transfers_Storages[[#This Row],[kval_active]],dict_zuord_Transfers_Storages[[#This Row],[ID_Storages]],"")</f>
        <v/>
      </c>
    </row>
    <row r="534" spans="1:4" x14ac:dyDescent="0.45">
      <c r="A534">
        <v>59</v>
      </c>
      <c r="B534">
        <f t="shared" ca="1" si="8"/>
        <v>4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4" t="str">
        <f ca="1">IF(dict_zuord_Transfers_Storages[[#This Row],[kval_active]],dict_zuord_Transfers_Storages[[#This Row],[ID_Storages]],"")</f>
        <v/>
      </c>
    </row>
    <row r="535" spans="1:4" x14ac:dyDescent="0.45">
      <c r="A535">
        <v>59</v>
      </c>
      <c r="B535">
        <f t="shared" ca="1" si="8"/>
        <v>74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5" t="str">
        <f ca="1">IF(dict_zuord_Transfers_Storages[[#This Row],[kval_active]],dict_zuord_Transfers_Storages[[#This Row],[ID_Storages]],"")</f>
        <v/>
      </c>
    </row>
    <row r="536" spans="1:4" x14ac:dyDescent="0.45">
      <c r="A536">
        <v>59</v>
      </c>
      <c r="B536">
        <f t="shared" ca="1" si="8"/>
        <v>69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6" t="str">
        <f ca="1">IF(dict_zuord_Transfers_Storages[[#This Row],[kval_active]],dict_zuord_Transfers_Storages[[#This Row],[ID_Storages]],"")</f>
        <v/>
      </c>
    </row>
    <row r="537" spans="1:4" x14ac:dyDescent="0.45">
      <c r="A537">
        <v>59</v>
      </c>
      <c r="B537">
        <f t="shared" ca="1" si="8"/>
        <v>46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7" t="str">
        <f ca="1">IF(dict_zuord_Transfers_Storages[[#This Row],[kval_active]],dict_zuord_Transfers_Storages[[#This Row],[ID_Storages]],"")</f>
        <v/>
      </c>
    </row>
    <row r="538" spans="1:4" x14ac:dyDescent="0.45">
      <c r="A538">
        <v>59</v>
      </c>
      <c r="B538">
        <f t="shared" ca="1" si="8"/>
        <v>45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8" t="str">
        <f ca="1">IF(dict_zuord_Transfers_Storages[[#This Row],[kval_active]],dict_zuord_Transfers_Storages[[#This Row],[ID_Storages]],"")</f>
        <v/>
      </c>
    </row>
    <row r="539" spans="1:4" x14ac:dyDescent="0.45">
      <c r="A539">
        <v>59</v>
      </c>
      <c r="B539">
        <f t="shared" ca="1" si="8"/>
        <v>83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9" t="str">
        <f ca="1">IF(dict_zuord_Transfers_Storages[[#This Row],[kval_active]],dict_zuord_Transfers_Storages[[#This Row],[ID_Storages]],"")</f>
        <v/>
      </c>
    </row>
    <row r="540" spans="1:4" x14ac:dyDescent="0.45">
      <c r="A540">
        <v>59</v>
      </c>
      <c r="B540">
        <f t="shared" ca="1" si="8"/>
        <v>23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0" t="str">
        <f ca="1">IF(dict_zuord_Transfers_Storages[[#This Row],[kval_active]],dict_zuord_Transfers_Storages[[#This Row],[ID_Storages]],"")</f>
        <v/>
      </c>
    </row>
    <row r="541" spans="1:4" x14ac:dyDescent="0.45">
      <c r="A541">
        <v>59</v>
      </c>
      <c r="B541">
        <f t="shared" ca="1" si="8"/>
        <v>82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1" t="str">
        <f ca="1">IF(dict_zuord_Transfers_Storages[[#This Row],[kval_active]],dict_zuord_Transfers_Storages[[#This Row],[ID_Storages]],"")</f>
        <v/>
      </c>
    </row>
    <row r="542" spans="1:4" x14ac:dyDescent="0.45">
      <c r="A542">
        <v>60</v>
      </c>
      <c r="B542">
        <f t="shared" ca="1" si="8"/>
        <v>66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2">
        <f ca="1">IF(dict_zuord_Transfers_Storages[[#This Row],[kval_active]],dict_zuord_Transfers_Storages[[#This Row],[ID_Storages]],"")</f>
        <v>66</v>
      </c>
    </row>
    <row r="543" spans="1:4" x14ac:dyDescent="0.45">
      <c r="A543">
        <v>60</v>
      </c>
      <c r="B543">
        <f t="shared" ca="1" si="8"/>
        <v>42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3">
        <f ca="1">IF(dict_zuord_Transfers_Storages[[#This Row],[kval_active]],dict_zuord_Transfers_Storages[[#This Row],[ID_Storages]],"")</f>
        <v>42</v>
      </c>
    </row>
    <row r="544" spans="1:4" x14ac:dyDescent="0.45">
      <c r="A544">
        <v>60</v>
      </c>
      <c r="B544">
        <f t="shared" ca="1" si="8"/>
        <v>58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4">
        <f ca="1">IF(dict_zuord_Transfers_Storages[[#This Row],[kval_active]],dict_zuord_Transfers_Storages[[#This Row],[ID_Storages]],"")</f>
        <v>58</v>
      </c>
    </row>
    <row r="545" spans="1:4" x14ac:dyDescent="0.45">
      <c r="A545">
        <v>60</v>
      </c>
      <c r="B545">
        <f t="shared" ca="1" si="8"/>
        <v>85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5">
        <f ca="1">IF(dict_zuord_Transfers_Storages[[#This Row],[kval_active]],dict_zuord_Transfers_Storages[[#This Row],[ID_Storages]],"")</f>
        <v>85</v>
      </c>
    </row>
    <row r="546" spans="1:4" x14ac:dyDescent="0.45">
      <c r="A546">
        <v>60</v>
      </c>
      <c r="B546">
        <f t="shared" ca="1" si="8"/>
        <v>36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6">
        <f ca="1">IF(dict_zuord_Transfers_Storages[[#This Row],[kval_active]],dict_zuord_Transfers_Storages[[#This Row],[ID_Storages]],"")</f>
        <v>36</v>
      </c>
    </row>
    <row r="547" spans="1:4" x14ac:dyDescent="0.45">
      <c r="A547">
        <v>60</v>
      </c>
      <c r="B547">
        <f t="shared" ca="1" si="8"/>
        <v>72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7">
        <f ca="1">IF(dict_zuord_Transfers_Storages[[#This Row],[kval_active]],dict_zuord_Transfers_Storages[[#This Row],[ID_Storages]],"")</f>
        <v>72</v>
      </c>
    </row>
    <row r="548" spans="1:4" x14ac:dyDescent="0.45">
      <c r="A548">
        <v>60</v>
      </c>
      <c r="B548">
        <f t="shared" ca="1" si="8"/>
        <v>92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8">
        <f ca="1">IF(dict_zuord_Transfers_Storages[[#This Row],[kval_active]],dict_zuord_Transfers_Storages[[#This Row],[ID_Storages]],"")</f>
        <v>92</v>
      </c>
    </row>
    <row r="549" spans="1:4" x14ac:dyDescent="0.45">
      <c r="A549">
        <v>60</v>
      </c>
      <c r="B549">
        <f t="shared" ca="1" si="8"/>
        <v>52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9">
        <f ca="1">IF(dict_zuord_Transfers_Storages[[#This Row],[kval_active]],dict_zuord_Transfers_Storages[[#This Row],[ID_Storages]],"")</f>
        <v>52</v>
      </c>
    </row>
    <row r="550" spans="1:4" x14ac:dyDescent="0.45">
      <c r="A550">
        <v>60</v>
      </c>
      <c r="B550">
        <f t="shared" ca="1" si="8"/>
        <v>18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0">
        <f ca="1">IF(dict_zuord_Transfers_Storages[[#This Row],[kval_active]],dict_zuord_Transfers_Storages[[#This Row],[ID_Storages]],"")</f>
        <v>18</v>
      </c>
    </row>
    <row r="551" spans="1:4" x14ac:dyDescent="0.45">
      <c r="A551">
        <v>61</v>
      </c>
      <c r="B551">
        <f t="shared" ca="1" si="8"/>
        <v>28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1" t="str">
        <f ca="1">IF(dict_zuord_Transfers_Storages[[#This Row],[kval_active]],dict_zuord_Transfers_Storages[[#This Row],[ID_Storages]],"")</f>
        <v/>
      </c>
    </row>
    <row r="552" spans="1:4" x14ac:dyDescent="0.45">
      <c r="A552">
        <v>61</v>
      </c>
      <c r="B552">
        <f t="shared" ca="1" si="8"/>
        <v>19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2" t="str">
        <f ca="1">IF(dict_zuord_Transfers_Storages[[#This Row],[kval_active]],dict_zuord_Transfers_Storages[[#This Row],[ID_Storages]],"")</f>
        <v/>
      </c>
    </row>
    <row r="553" spans="1:4" x14ac:dyDescent="0.45">
      <c r="A553">
        <v>61</v>
      </c>
      <c r="B553">
        <f t="shared" ca="1" si="8"/>
        <v>8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3" t="str">
        <f ca="1">IF(dict_zuord_Transfers_Storages[[#This Row],[kval_active]],dict_zuord_Transfers_Storages[[#This Row],[ID_Storages]],"")</f>
        <v/>
      </c>
    </row>
    <row r="554" spans="1:4" x14ac:dyDescent="0.45">
      <c r="A554">
        <v>61</v>
      </c>
      <c r="B554">
        <f t="shared" ca="1" si="8"/>
        <v>3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4" t="str">
        <f ca="1">IF(dict_zuord_Transfers_Storages[[#This Row],[kval_active]],dict_zuord_Transfers_Storages[[#This Row],[ID_Storages]],"")</f>
        <v/>
      </c>
    </row>
    <row r="555" spans="1:4" x14ac:dyDescent="0.45">
      <c r="A555">
        <v>61</v>
      </c>
      <c r="B555">
        <f t="shared" ca="1" si="8"/>
        <v>20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5" t="str">
        <f ca="1">IF(dict_zuord_Transfers_Storages[[#This Row],[kval_active]],dict_zuord_Transfers_Storages[[#This Row],[ID_Storages]],"")</f>
        <v/>
      </c>
    </row>
    <row r="556" spans="1:4" x14ac:dyDescent="0.45">
      <c r="A556">
        <v>61</v>
      </c>
      <c r="B556">
        <f t="shared" ca="1" si="8"/>
        <v>0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6" t="str">
        <f ca="1">IF(dict_zuord_Transfers_Storages[[#This Row],[kval_active]],dict_zuord_Transfers_Storages[[#This Row],[ID_Storages]],"")</f>
        <v/>
      </c>
    </row>
    <row r="557" spans="1:4" x14ac:dyDescent="0.45">
      <c r="A557">
        <v>61</v>
      </c>
      <c r="B557">
        <f t="shared" ca="1" si="8"/>
        <v>35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7" t="str">
        <f ca="1">IF(dict_zuord_Transfers_Storages[[#This Row],[kval_active]],dict_zuord_Transfers_Storages[[#This Row],[ID_Storages]],"")</f>
        <v/>
      </c>
    </row>
    <row r="558" spans="1:4" x14ac:dyDescent="0.45">
      <c r="A558">
        <v>61</v>
      </c>
      <c r="B558">
        <f t="shared" ca="1" si="8"/>
        <v>59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8" t="str">
        <f ca="1">IF(dict_zuord_Transfers_Storages[[#This Row],[kval_active]],dict_zuord_Transfers_Storages[[#This Row],[ID_Storages]],"")</f>
        <v/>
      </c>
    </row>
    <row r="559" spans="1:4" x14ac:dyDescent="0.45">
      <c r="A559">
        <v>61</v>
      </c>
      <c r="B559">
        <f t="shared" ca="1" si="8"/>
        <v>87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9" t="str">
        <f ca="1">IF(dict_zuord_Transfers_Storages[[#This Row],[kval_active]],dict_zuord_Transfers_Storages[[#This Row],[ID_Storages]],"")</f>
        <v/>
      </c>
    </row>
    <row r="560" spans="1:4" x14ac:dyDescent="0.45">
      <c r="A560">
        <v>62</v>
      </c>
      <c r="B560">
        <f t="shared" ca="1" si="8"/>
        <v>7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0" t="str">
        <f ca="1">IF(dict_zuord_Transfers_Storages[[#This Row],[kval_active]],dict_zuord_Transfers_Storages[[#This Row],[ID_Storages]],"")</f>
        <v/>
      </c>
    </row>
    <row r="561" spans="1:4" x14ac:dyDescent="0.45">
      <c r="A561">
        <v>62</v>
      </c>
      <c r="B561">
        <f t="shared" ca="1" si="8"/>
        <v>95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1" t="str">
        <f ca="1">IF(dict_zuord_Transfers_Storages[[#This Row],[kval_active]],dict_zuord_Transfers_Storages[[#This Row],[ID_Storages]],"")</f>
        <v/>
      </c>
    </row>
    <row r="562" spans="1:4" x14ac:dyDescent="0.45">
      <c r="A562">
        <v>62</v>
      </c>
      <c r="B562">
        <f t="shared" ca="1" si="8"/>
        <v>89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2" t="str">
        <f ca="1">IF(dict_zuord_Transfers_Storages[[#This Row],[kval_active]],dict_zuord_Transfers_Storages[[#This Row],[ID_Storages]],"")</f>
        <v/>
      </c>
    </row>
    <row r="563" spans="1:4" x14ac:dyDescent="0.45">
      <c r="A563">
        <v>62</v>
      </c>
      <c r="B563">
        <f t="shared" ca="1" si="8"/>
        <v>18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3" t="str">
        <f ca="1">IF(dict_zuord_Transfers_Storages[[#This Row],[kval_active]],dict_zuord_Transfers_Storages[[#This Row],[ID_Storages]],"")</f>
        <v/>
      </c>
    </row>
    <row r="564" spans="1:4" x14ac:dyDescent="0.45">
      <c r="A564">
        <v>62</v>
      </c>
      <c r="B564">
        <f t="shared" ca="1" si="8"/>
        <v>15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4" t="str">
        <f ca="1">IF(dict_zuord_Transfers_Storages[[#This Row],[kval_active]],dict_zuord_Transfers_Storages[[#This Row],[ID_Storages]],"")</f>
        <v/>
      </c>
    </row>
    <row r="565" spans="1:4" x14ac:dyDescent="0.45">
      <c r="A565">
        <v>62</v>
      </c>
      <c r="B565">
        <f t="shared" ca="1" si="8"/>
        <v>2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5" t="str">
        <f ca="1">IF(dict_zuord_Transfers_Storages[[#This Row],[kval_active]],dict_zuord_Transfers_Storages[[#This Row],[ID_Storages]],"")</f>
        <v/>
      </c>
    </row>
    <row r="566" spans="1:4" x14ac:dyDescent="0.45">
      <c r="A566">
        <v>62</v>
      </c>
      <c r="B566">
        <f t="shared" ca="1" si="8"/>
        <v>72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6" t="str">
        <f ca="1">IF(dict_zuord_Transfers_Storages[[#This Row],[kval_active]],dict_zuord_Transfers_Storages[[#This Row],[ID_Storages]],"")</f>
        <v/>
      </c>
    </row>
    <row r="567" spans="1:4" x14ac:dyDescent="0.45">
      <c r="A567">
        <v>62</v>
      </c>
      <c r="B567">
        <f t="shared" ca="1" si="8"/>
        <v>29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7" t="str">
        <f ca="1">IF(dict_zuord_Transfers_Storages[[#This Row],[kval_active]],dict_zuord_Transfers_Storages[[#This Row],[ID_Storages]],"")</f>
        <v/>
      </c>
    </row>
    <row r="568" spans="1:4" x14ac:dyDescent="0.45">
      <c r="A568">
        <v>62</v>
      </c>
      <c r="B568">
        <f t="shared" ca="1" si="8"/>
        <v>27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8" t="str">
        <f ca="1">IF(dict_zuord_Transfers_Storages[[#This Row],[kval_active]],dict_zuord_Transfers_Storages[[#This Row],[ID_Storages]],"")</f>
        <v/>
      </c>
    </row>
    <row r="569" spans="1:4" x14ac:dyDescent="0.45">
      <c r="A569">
        <v>63</v>
      </c>
      <c r="B569">
        <f t="shared" ca="1" si="8"/>
        <v>8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9" t="str">
        <f ca="1">IF(dict_zuord_Transfers_Storages[[#This Row],[kval_active]],dict_zuord_Transfers_Storages[[#This Row],[ID_Storages]],"")</f>
        <v/>
      </c>
    </row>
    <row r="570" spans="1:4" x14ac:dyDescent="0.45">
      <c r="A570">
        <v>63</v>
      </c>
      <c r="B570">
        <f t="shared" ca="1" si="8"/>
        <v>35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0" t="str">
        <f ca="1">IF(dict_zuord_Transfers_Storages[[#This Row],[kval_active]],dict_zuord_Transfers_Storages[[#This Row],[ID_Storages]],"")</f>
        <v/>
      </c>
    </row>
    <row r="571" spans="1:4" x14ac:dyDescent="0.45">
      <c r="A571">
        <v>63</v>
      </c>
      <c r="B571">
        <f t="shared" ca="1" si="8"/>
        <v>54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1" t="str">
        <f ca="1">IF(dict_zuord_Transfers_Storages[[#This Row],[kval_active]],dict_zuord_Transfers_Storages[[#This Row],[ID_Storages]],"")</f>
        <v/>
      </c>
    </row>
    <row r="572" spans="1:4" x14ac:dyDescent="0.45">
      <c r="A572">
        <v>63</v>
      </c>
      <c r="B572">
        <f t="shared" ca="1" si="8"/>
        <v>12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2" t="str">
        <f ca="1">IF(dict_zuord_Transfers_Storages[[#This Row],[kval_active]],dict_zuord_Transfers_Storages[[#This Row],[ID_Storages]],"")</f>
        <v/>
      </c>
    </row>
    <row r="573" spans="1:4" x14ac:dyDescent="0.45">
      <c r="A573">
        <v>63</v>
      </c>
      <c r="B573">
        <f t="shared" ca="1" si="8"/>
        <v>59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3" t="str">
        <f ca="1">IF(dict_zuord_Transfers_Storages[[#This Row],[kval_active]],dict_zuord_Transfers_Storages[[#This Row],[ID_Storages]],"")</f>
        <v/>
      </c>
    </row>
    <row r="574" spans="1:4" x14ac:dyDescent="0.45">
      <c r="A574">
        <v>63</v>
      </c>
      <c r="B574">
        <f t="shared" ca="1" si="8"/>
        <v>29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4" t="str">
        <f ca="1">IF(dict_zuord_Transfers_Storages[[#This Row],[kval_active]],dict_zuord_Transfers_Storages[[#This Row],[ID_Storages]],"")</f>
        <v/>
      </c>
    </row>
    <row r="575" spans="1:4" x14ac:dyDescent="0.45">
      <c r="A575">
        <v>63</v>
      </c>
      <c r="B575">
        <f t="shared" ca="1" si="8"/>
        <v>28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5" t="str">
        <f ca="1">IF(dict_zuord_Transfers_Storages[[#This Row],[kval_active]],dict_zuord_Transfers_Storages[[#This Row],[ID_Storages]],"")</f>
        <v/>
      </c>
    </row>
    <row r="576" spans="1:4" x14ac:dyDescent="0.45">
      <c r="A576">
        <v>63</v>
      </c>
      <c r="B576">
        <f t="shared" ca="1" si="8"/>
        <v>62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6" t="str">
        <f ca="1">IF(dict_zuord_Transfers_Storages[[#This Row],[kval_active]],dict_zuord_Transfers_Storages[[#This Row],[ID_Storages]],"")</f>
        <v/>
      </c>
    </row>
    <row r="577" spans="1:4" x14ac:dyDescent="0.45">
      <c r="A577">
        <v>63</v>
      </c>
      <c r="B577">
        <f t="shared" ca="1" si="8"/>
        <v>48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7" t="str">
        <f ca="1">IF(dict_zuord_Transfers_Storages[[#This Row],[kval_active]],dict_zuord_Transfers_Storages[[#This Row],[ID_Storages]],"")</f>
        <v/>
      </c>
    </row>
    <row r="578" spans="1:4" x14ac:dyDescent="0.45">
      <c r="A578">
        <v>64</v>
      </c>
      <c r="B578">
        <f t="shared" ref="B578:B641" ca="1" si="9">RANDBETWEEN(0,100)</f>
        <v>48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8" t="str">
        <f ca="1">IF(dict_zuord_Transfers_Storages[[#This Row],[kval_active]],dict_zuord_Transfers_Storages[[#This Row],[ID_Storages]],"")</f>
        <v/>
      </c>
    </row>
    <row r="579" spans="1:4" x14ac:dyDescent="0.45">
      <c r="A579">
        <v>64</v>
      </c>
      <c r="B579">
        <f t="shared" ca="1" si="9"/>
        <v>66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9" t="str">
        <f ca="1">IF(dict_zuord_Transfers_Storages[[#This Row],[kval_active]],dict_zuord_Transfers_Storages[[#This Row],[ID_Storages]],"")</f>
        <v/>
      </c>
    </row>
    <row r="580" spans="1:4" x14ac:dyDescent="0.45">
      <c r="A580">
        <v>64</v>
      </c>
      <c r="B580">
        <f t="shared" ca="1" si="9"/>
        <v>81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0" t="str">
        <f ca="1">IF(dict_zuord_Transfers_Storages[[#This Row],[kval_active]],dict_zuord_Transfers_Storages[[#This Row],[ID_Storages]],"")</f>
        <v/>
      </c>
    </row>
    <row r="581" spans="1:4" x14ac:dyDescent="0.45">
      <c r="A581">
        <v>64</v>
      </c>
      <c r="B581">
        <f t="shared" ca="1" si="9"/>
        <v>33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1" t="str">
        <f ca="1">IF(dict_zuord_Transfers_Storages[[#This Row],[kval_active]],dict_zuord_Transfers_Storages[[#This Row],[ID_Storages]],"")</f>
        <v/>
      </c>
    </row>
    <row r="582" spans="1:4" x14ac:dyDescent="0.45">
      <c r="A582">
        <v>64</v>
      </c>
      <c r="B582">
        <f t="shared" ca="1" si="9"/>
        <v>72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2" t="str">
        <f ca="1">IF(dict_zuord_Transfers_Storages[[#This Row],[kval_active]],dict_zuord_Transfers_Storages[[#This Row],[ID_Storages]],"")</f>
        <v/>
      </c>
    </row>
    <row r="583" spans="1:4" x14ac:dyDescent="0.45">
      <c r="A583">
        <v>64</v>
      </c>
      <c r="B583">
        <f t="shared" ca="1" si="9"/>
        <v>4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3" t="str">
        <f ca="1">IF(dict_zuord_Transfers_Storages[[#This Row],[kval_active]],dict_zuord_Transfers_Storages[[#This Row],[ID_Storages]],"")</f>
        <v/>
      </c>
    </row>
    <row r="584" spans="1:4" x14ac:dyDescent="0.45">
      <c r="A584">
        <v>64</v>
      </c>
      <c r="B584">
        <f t="shared" ca="1" si="9"/>
        <v>54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4" t="str">
        <f ca="1">IF(dict_zuord_Transfers_Storages[[#This Row],[kval_active]],dict_zuord_Transfers_Storages[[#This Row],[ID_Storages]],"")</f>
        <v/>
      </c>
    </row>
    <row r="585" spans="1:4" x14ac:dyDescent="0.45">
      <c r="A585">
        <v>64</v>
      </c>
      <c r="B585">
        <f t="shared" ca="1" si="9"/>
        <v>6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5" t="str">
        <f ca="1">IF(dict_zuord_Transfers_Storages[[#This Row],[kval_active]],dict_zuord_Transfers_Storages[[#This Row],[ID_Storages]],"")</f>
        <v/>
      </c>
    </row>
    <row r="586" spans="1:4" x14ac:dyDescent="0.45">
      <c r="A586">
        <v>64</v>
      </c>
      <c r="B586">
        <f t="shared" ca="1" si="9"/>
        <v>21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6" t="str">
        <f ca="1">IF(dict_zuord_Transfers_Storages[[#This Row],[kval_active]],dict_zuord_Transfers_Storages[[#This Row],[ID_Storages]],"")</f>
        <v/>
      </c>
    </row>
    <row r="587" spans="1:4" x14ac:dyDescent="0.45">
      <c r="A587">
        <v>65</v>
      </c>
      <c r="B587">
        <f t="shared" ca="1" si="9"/>
        <v>38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7" t="str">
        <f ca="1">IF(dict_zuord_Transfers_Storages[[#This Row],[kval_active]],dict_zuord_Transfers_Storages[[#This Row],[ID_Storages]],"")</f>
        <v/>
      </c>
    </row>
    <row r="588" spans="1:4" x14ac:dyDescent="0.45">
      <c r="A588">
        <v>65</v>
      </c>
      <c r="B588">
        <f t="shared" ca="1" si="9"/>
        <v>87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8" t="str">
        <f ca="1">IF(dict_zuord_Transfers_Storages[[#This Row],[kval_active]],dict_zuord_Transfers_Storages[[#This Row],[ID_Storages]],"")</f>
        <v/>
      </c>
    </row>
    <row r="589" spans="1:4" x14ac:dyDescent="0.45">
      <c r="A589">
        <v>65</v>
      </c>
      <c r="B589">
        <f t="shared" ca="1" si="9"/>
        <v>67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9" t="str">
        <f ca="1">IF(dict_zuord_Transfers_Storages[[#This Row],[kval_active]],dict_zuord_Transfers_Storages[[#This Row],[ID_Storages]],"")</f>
        <v/>
      </c>
    </row>
    <row r="590" spans="1:4" x14ac:dyDescent="0.45">
      <c r="A590">
        <v>65</v>
      </c>
      <c r="B590">
        <f t="shared" ca="1" si="9"/>
        <v>72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0" t="str">
        <f ca="1">IF(dict_zuord_Transfers_Storages[[#This Row],[kval_active]],dict_zuord_Transfers_Storages[[#This Row],[ID_Storages]],"")</f>
        <v/>
      </c>
    </row>
    <row r="591" spans="1:4" x14ac:dyDescent="0.45">
      <c r="A591">
        <v>65</v>
      </c>
      <c r="B591">
        <f t="shared" ca="1" si="9"/>
        <v>20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1" t="str">
        <f ca="1">IF(dict_zuord_Transfers_Storages[[#This Row],[kval_active]],dict_zuord_Transfers_Storages[[#This Row],[ID_Storages]],"")</f>
        <v/>
      </c>
    </row>
    <row r="592" spans="1:4" x14ac:dyDescent="0.45">
      <c r="A592">
        <v>65</v>
      </c>
      <c r="B592">
        <f t="shared" ca="1" si="9"/>
        <v>47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2" t="str">
        <f ca="1">IF(dict_zuord_Transfers_Storages[[#This Row],[kval_active]],dict_zuord_Transfers_Storages[[#This Row],[ID_Storages]],"")</f>
        <v/>
      </c>
    </row>
    <row r="593" spans="1:4" x14ac:dyDescent="0.45">
      <c r="A593">
        <v>65</v>
      </c>
      <c r="B593">
        <f t="shared" ca="1" si="9"/>
        <v>92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3" t="str">
        <f ca="1">IF(dict_zuord_Transfers_Storages[[#This Row],[kval_active]],dict_zuord_Transfers_Storages[[#This Row],[ID_Storages]],"")</f>
        <v/>
      </c>
    </row>
    <row r="594" spans="1:4" x14ac:dyDescent="0.45">
      <c r="A594">
        <v>65</v>
      </c>
      <c r="B594">
        <f t="shared" ca="1" si="9"/>
        <v>34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4" t="str">
        <f ca="1">IF(dict_zuord_Transfers_Storages[[#This Row],[kval_active]],dict_zuord_Transfers_Storages[[#This Row],[ID_Storages]],"")</f>
        <v/>
      </c>
    </row>
    <row r="595" spans="1:4" x14ac:dyDescent="0.45">
      <c r="A595">
        <v>65</v>
      </c>
      <c r="B595">
        <f t="shared" ca="1" si="9"/>
        <v>82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5" t="str">
        <f ca="1">IF(dict_zuord_Transfers_Storages[[#This Row],[kval_active]],dict_zuord_Transfers_Storages[[#This Row],[ID_Storages]],"")</f>
        <v/>
      </c>
    </row>
    <row r="596" spans="1:4" x14ac:dyDescent="0.45">
      <c r="A596">
        <v>66</v>
      </c>
      <c r="B596">
        <f t="shared" ca="1" si="9"/>
        <v>42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6" t="str">
        <f ca="1">IF(dict_zuord_Transfers_Storages[[#This Row],[kval_active]],dict_zuord_Transfers_Storages[[#This Row],[ID_Storages]],"")</f>
        <v/>
      </c>
    </row>
    <row r="597" spans="1:4" x14ac:dyDescent="0.45">
      <c r="A597">
        <v>66</v>
      </c>
      <c r="B597">
        <f t="shared" ca="1" si="9"/>
        <v>42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7" t="str">
        <f ca="1">IF(dict_zuord_Transfers_Storages[[#This Row],[kval_active]],dict_zuord_Transfers_Storages[[#This Row],[ID_Storages]],"")</f>
        <v/>
      </c>
    </row>
    <row r="598" spans="1:4" x14ac:dyDescent="0.45">
      <c r="A598">
        <v>66</v>
      </c>
      <c r="B598">
        <f t="shared" ca="1" si="9"/>
        <v>28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8" t="str">
        <f ca="1">IF(dict_zuord_Transfers_Storages[[#This Row],[kval_active]],dict_zuord_Transfers_Storages[[#This Row],[ID_Storages]],"")</f>
        <v/>
      </c>
    </row>
    <row r="599" spans="1:4" x14ac:dyDescent="0.45">
      <c r="A599">
        <v>66</v>
      </c>
      <c r="B599">
        <f t="shared" ca="1" si="9"/>
        <v>80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9" t="str">
        <f ca="1">IF(dict_zuord_Transfers_Storages[[#This Row],[kval_active]],dict_zuord_Transfers_Storages[[#This Row],[ID_Storages]],"")</f>
        <v/>
      </c>
    </row>
    <row r="600" spans="1:4" x14ac:dyDescent="0.45">
      <c r="A600">
        <v>66</v>
      </c>
      <c r="B600">
        <f t="shared" ca="1" si="9"/>
        <v>84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0" t="str">
        <f ca="1">IF(dict_zuord_Transfers_Storages[[#This Row],[kval_active]],dict_zuord_Transfers_Storages[[#This Row],[ID_Storages]],"")</f>
        <v/>
      </c>
    </row>
    <row r="601" spans="1:4" x14ac:dyDescent="0.45">
      <c r="A601">
        <v>66</v>
      </c>
      <c r="B601">
        <f t="shared" ca="1" si="9"/>
        <v>88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1" t="str">
        <f ca="1">IF(dict_zuord_Transfers_Storages[[#This Row],[kval_active]],dict_zuord_Transfers_Storages[[#This Row],[ID_Storages]],"")</f>
        <v/>
      </c>
    </row>
    <row r="602" spans="1:4" x14ac:dyDescent="0.45">
      <c r="A602">
        <v>66</v>
      </c>
      <c r="B602">
        <f t="shared" ca="1" si="9"/>
        <v>65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2" t="str">
        <f ca="1">IF(dict_zuord_Transfers_Storages[[#This Row],[kval_active]],dict_zuord_Transfers_Storages[[#This Row],[ID_Storages]],"")</f>
        <v/>
      </c>
    </row>
    <row r="603" spans="1:4" x14ac:dyDescent="0.45">
      <c r="A603">
        <v>66</v>
      </c>
      <c r="B603">
        <f t="shared" ca="1" si="9"/>
        <v>36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3" t="str">
        <f ca="1">IF(dict_zuord_Transfers_Storages[[#This Row],[kval_active]],dict_zuord_Transfers_Storages[[#This Row],[ID_Storages]],"")</f>
        <v/>
      </c>
    </row>
    <row r="604" spans="1:4" x14ac:dyDescent="0.45">
      <c r="A604">
        <v>66</v>
      </c>
      <c r="B604">
        <f t="shared" ca="1" si="9"/>
        <v>73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4" t="str">
        <f ca="1">IF(dict_zuord_Transfers_Storages[[#This Row],[kval_active]],dict_zuord_Transfers_Storages[[#This Row],[ID_Storages]],"")</f>
        <v/>
      </c>
    </row>
    <row r="605" spans="1:4" x14ac:dyDescent="0.45">
      <c r="A605">
        <v>67</v>
      </c>
      <c r="B605">
        <f t="shared" ca="1" si="9"/>
        <v>59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5" t="str">
        <f ca="1">IF(dict_zuord_Transfers_Storages[[#This Row],[kval_active]],dict_zuord_Transfers_Storages[[#This Row],[ID_Storages]],"")</f>
        <v/>
      </c>
    </row>
    <row r="606" spans="1:4" x14ac:dyDescent="0.45">
      <c r="A606">
        <v>67</v>
      </c>
      <c r="B606">
        <f t="shared" ca="1" si="9"/>
        <v>19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6" t="str">
        <f ca="1">IF(dict_zuord_Transfers_Storages[[#This Row],[kval_active]],dict_zuord_Transfers_Storages[[#This Row],[ID_Storages]],"")</f>
        <v/>
      </c>
    </row>
    <row r="607" spans="1:4" x14ac:dyDescent="0.45">
      <c r="A607">
        <v>67</v>
      </c>
      <c r="B607">
        <f t="shared" ca="1" si="9"/>
        <v>16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7" t="str">
        <f ca="1">IF(dict_zuord_Transfers_Storages[[#This Row],[kval_active]],dict_zuord_Transfers_Storages[[#This Row],[ID_Storages]],"")</f>
        <v/>
      </c>
    </row>
    <row r="608" spans="1:4" x14ac:dyDescent="0.45">
      <c r="A608">
        <v>67</v>
      </c>
      <c r="B608">
        <f t="shared" ca="1" si="9"/>
        <v>85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8" t="str">
        <f ca="1">IF(dict_zuord_Transfers_Storages[[#This Row],[kval_active]],dict_zuord_Transfers_Storages[[#This Row],[ID_Storages]],"")</f>
        <v/>
      </c>
    </row>
    <row r="609" spans="1:4" x14ac:dyDescent="0.45">
      <c r="A609">
        <v>67</v>
      </c>
      <c r="B609">
        <f t="shared" ca="1" si="9"/>
        <v>82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9" t="str">
        <f ca="1">IF(dict_zuord_Transfers_Storages[[#This Row],[kval_active]],dict_zuord_Transfers_Storages[[#This Row],[ID_Storages]],"")</f>
        <v/>
      </c>
    </row>
    <row r="610" spans="1:4" x14ac:dyDescent="0.45">
      <c r="A610">
        <v>67</v>
      </c>
      <c r="B610">
        <f t="shared" ca="1" si="9"/>
        <v>88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0" t="str">
        <f ca="1">IF(dict_zuord_Transfers_Storages[[#This Row],[kval_active]],dict_zuord_Transfers_Storages[[#This Row],[ID_Storages]],"")</f>
        <v/>
      </c>
    </row>
    <row r="611" spans="1:4" x14ac:dyDescent="0.45">
      <c r="A611">
        <v>67</v>
      </c>
      <c r="B611">
        <f t="shared" ca="1" si="9"/>
        <v>60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1" t="str">
        <f ca="1">IF(dict_zuord_Transfers_Storages[[#This Row],[kval_active]],dict_zuord_Transfers_Storages[[#This Row],[ID_Storages]],"")</f>
        <v/>
      </c>
    </row>
    <row r="612" spans="1:4" x14ac:dyDescent="0.45">
      <c r="A612">
        <v>67</v>
      </c>
      <c r="B612">
        <f t="shared" ca="1" si="9"/>
        <v>56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2" t="str">
        <f ca="1">IF(dict_zuord_Transfers_Storages[[#This Row],[kval_active]],dict_zuord_Transfers_Storages[[#This Row],[ID_Storages]],"")</f>
        <v/>
      </c>
    </row>
    <row r="613" spans="1:4" x14ac:dyDescent="0.45">
      <c r="A613">
        <v>67</v>
      </c>
      <c r="B613">
        <f t="shared" ca="1" si="9"/>
        <v>28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3" t="str">
        <f ca="1">IF(dict_zuord_Transfers_Storages[[#This Row],[kval_active]],dict_zuord_Transfers_Storages[[#This Row],[ID_Storages]],"")</f>
        <v/>
      </c>
    </row>
    <row r="614" spans="1:4" x14ac:dyDescent="0.45">
      <c r="A614">
        <v>68</v>
      </c>
      <c r="B614">
        <f t="shared" ca="1" si="9"/>
        <v>15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4" t="str">
        <f ca="1">IF(dict_zuord_Transfers_Storages[[#This Row],[kval_active]],dict_zuord_Transfers_Storages[[#This Row],[ID_Storages]],"")</f>
        <v/>
      </c>
    </row>
    <row r="615" spans="1:4" x14ac:dyDescent="0.45">
      <c r="A615">
        <v>68</v>
      </c>
      <c r="B615">
        <f t="shared" ca="1" si="9"/>
        <v>27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5" t="str">
        <f ca="1">IF(dict_zuord_Transfers_Storages[[#This Row],[kval_active]],dict_zuord_Transfers_Storages[[#This Row],[ID_Storages]],"")</f>
        <v/>
      </c>
    </row>
    <row r="616" spans="1:4" x14ac:dyDescent="0.45">
      <c r="A616">
        <v>68</v>
      </c>
      <c r="B616">
        <f t="shared" ca="1" si="9"/>
        <v>66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6" t="str">
        <f ca="1">IF(dict_zuord_Transfers_Storages[[#This Row],[kval_active]],dict_zuord_Transfers_Storages[[#This Row],[ID_Storages]],"")</f>
        <v/>
      </c>
    </row>
    <row r="617" spans="1:4" x14ac:dyDescent="0.45">
      <c r="A617">
        <v>68</v>
      </c>
      <c r="B617">
        <f t="shared" ca="1" si="9"/>
        <v>16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7" t="str">
        <f ca="1">IF(dict_zuord_Transfers_Storages[[#This Row],[kval_active]],dict_zuord_Transfers_Storages[[#This Row],[ID_Storages]],"")</f>
        <v/>
      </c>
    </row>
    <row r="618" spans="1:4" x14ac:dyDescent="0.45">
      <c r="A618">
        <v>68</v>
      </c>
      <c r="B618">
        <f t="shared" ca="1" si="9"/>
        <v>85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8" t="str">
        <f ca="1">IF(dict_zuord_Transfers_Storages[[#This Row],[kval_active]],dict_zuord_Transfers_Storages[[#This Row],[ID_Storages]],"")</f>
        <v/>
      </c>
    </row>
    <row r="619" spans="1:4" x14ac:dyDescent="0.45">
      <c r="A619">
        <v>68</v>
      </c>
      <c r="B619">
        <f t="shared" ca="1" si="9"/>
        <v>99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9" t="str">
        <f ca="1">IF(dict_zuord_Transfers_Storages[[#This Row],[kval_active]],dict_zuord_Transfers_Storages[[#This Row],[ID_Storages]],"")</f>
        <v/>
      </c>
    </row>
    <row r="620" spans="1:4" x14ac:dyDescent="0.45">
      <c r="A620">
        <v>68</v>
      </c>
      <c r="B620">
        <f t="shared" ca="1" si="9"/>
        <v>41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0" t="str">
        <f ca="1">IF(dict_zuord_Transfers_Storages[[#This Row],[kval_active]],dict_zuord_Transfers_Storages[[#This Row],[ID_Storages]],"")</f>
        <v/>
      </c>
    </row>
    <row r="621" spans="1:4" x14ac:dyDescent="0.45">
      <c r="A621">
        <v>68</v>
      </c>
      <c r="B621">
        <f t="shared" ca="1" si="9"/>
        <v>63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1" t="str">
        <f ca="1">IF(dict_zuord_Transfers_Storages[[#This Row],[kval_active]],dict_zuord_Transfers_Storages[[#This Row],[ID_Storages]],"")</f>
        <v/>
      </c>
    </row>
    <row r="622" spans="1:4" x14ac:dyDescent="0.45">
      <c r="A622">
        <v>68</v>
      </c>
      <c r="B622">
        <f t="shared" ca="1" si="9"/>
        <v>46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2" t="str">
        <f ca="1">IF(dict_zuord_Transfers_Storages[[#This Row],[kval_active]],dict_zuord_Transfers_Storages[[#This Row],[ID_Storages]],"")</f>
        <v/>
      </c>
    </row>
    <row r="623" spans="1:4" x14ac:dyDescent="0.45">
      <c r="A623">
        <v>69</v>
      </c>
      <c r="B623">
        <f t="shared" ca="1" si="9"/>
        <v>32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3" t="str">
        <f ca="1">IF(dict_zuord_Transfers_Storages[[#This Row],[kval_active]],dict_zuord_Transfers_Storages[[#This Row],[ID_Storages]],"")</f>
        <v/>
      </c>
    </row>
    <row r="624" spans="1:4" x14ac:dyDescent="0.45">
      <c r="A624">
        <v>69</v>
      </c>
      <c r="B624">
        <f t="shared" ca="1" si="9"/>
        <v>94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4" t="str">
        <f ca="1">IF(dict_zuord_Transfers_Storages[[#This Row],[kval_active]],dict_zuord_Transfers_Storages[[#This Row],[ID_Storages]],"")</f>
        <v/>
      </c>
    </row>
    <row r="625" spans="1:4" x14ac:dyDescent="0.45">
      <c r="A625">
        <v>69</v>
      </c>
      <c r="B625">
        <f t="shared" ca="1" si="9"/>
        <v>16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5" t="str">
        <f ca="1">IF(dict_zuord_Transfers_Storages[[#This Row],[kval_active]],dict_zuord_Transfers_Storages[[#This Row],[ID_Storages]],"")</f>
        <v/>
      </c>
    </row>
    <row r="626" spans="1:4" x14ac:dyDescent="0.45">
      <c r="A626">
        <v>69</v>
      </c>
      <c r="B626">
        <f t="shared" ca="1" si="9"/>
        <v>34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6" t="str">
        <f ca="1">IF(dict_zuord_Transfers_Storages[[#This Row],[kval_active]],dict_zuord_Transfers_Storages[[#This Row],[ID_Storages]],"")</f>
        <v/>
      </c>
    </row>
    <row r="627" spans="1:4" x14ac:dyDescent="0.45">
      <c r="A627">
        <v>69</v>
      </c>
      <c r="B627">
        <f t="shared" ca="1" si="9"/>
        <v>6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7" t="str">
        <f ca="1">IF(dict_zuord_Transfers_Storages[[#This Row],[kval_active]],dict_zuord_Transfers_Storages[[#This Row],[ID_Storages]],"")</f>
        <v/>
      </c>
    </row>
    <row r="628" spans="1:4" x14ac:dyDescent="0.45">
      <c r="A628">
        <v>69</v>
      </c>
      <c r="B628">
        <f t="shared" ca="1" si="9"/>
        <v>52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8" t="str">
        <f ca="1">IF(dict_zuord_Transfers_Storages[[#This Row],[kval_active]],dict_zuord_Transfers_Storages[[#This Row],[ID_Storages]],"")</f>
        <v/>
      </c>
    </row>
    <row r="629" spans="1:4" x14ac:dyDescent="0.45">
      <c r="A629">
        <v>69</v>
      </c>
      <c r="B629">
        <f t="shared" ca="1" si="9"/>
        <v>88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9" t="str">
        <f ca="1">IF(dict_zuord_Transfers_Storages[[#This Row],[kval_active]],dict_zuord_Transfers_Storages[[#This Row],[ID_Storages]],"")</f>
        <v/>
      </c>
    </row>
    <row r="630" spans="1:4" x14ac:dyDescent="0.45">
      <c r="A630">
        <v>69</v>
      </c>
      <c r="B630">
        <f t="shared" ca="1" si="9"/>
        <v>19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0" t="str">
        <f ca="1">IF(dict_zuord_Transfers_Storages[[#This Row],[kval_active]],dict_zuord_Transfers_Storages[[#This Row],[ID_Storages]],"")</f>
        <v/>
      </c>
    </row>
    <row r="631" spans="1:4" x14ac:dyDescent="0.45">
      <c r="A631">
        <v>69</v>
      </c>
      <c r="B631">
        <f t="shared" ca="1" si="9"/>
        <v>20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1" t="str">
        <f ca="1">IF(dict_zuord_Transfers_Storages[[#This Row],[kval_active]],dict_zuord_Transfers_Storages[[#This Row],[ID_Storages]],"")</f>
        <v/>
      </c>
    </row>
    <row r="632" spans="1:4" x14ac:dyDescent="0.45">
      <c r="A632">
        <v>70</v>
      </c>
      <c r="B632">
        <f t="shared" ca="1" si="9"/>
        <v>41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41</v>
      </c>
    </row>
    <row r="633" spans="1:4" x14ac:dyDescent="0.45">
      <c r="A633">
        <v>70</v>
      </c>
      <c r="B633">
        <f t="shared" ca="1" si="9"/>
        <v>37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37</v>
      </c>
    </row>
    <row r="634" spans="1:4" x14ac:dyDescent="0.45">
      <c r="A634">
        <v>70</v>
      </c>
      <c r="B634">
        <f t="shared" ca="1" si="9"/>
        <v>57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57</v>
      </c>
    </row>
    <row r="635" spans="1:4" x14ac:dyDescent="0.45">
      <c r="A635">
        <v>70</v>
      </c>
      <c r="B635">
        <f t="shared" ca="1" si="9"/>
        <v>15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15</v>
      </c>
    </row>
    <row r="636" spans="1:4" x14ac:dyDescent="0.45">
      <c r="A636">
        <v>70</v>
      </c>
      <c r="B636">
        <f t="shared" ca="1" si="9"/>
        <v>58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58</v>
      </c>
    </row>
    <row r="637" spans="1:4" x14ac:dyDescent="0.45">
      <c r="A637">
        <v>70</v>
      </c>
      <c r="B637">
        <f t="shared" ca="1" si="9"/>
        <v>70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70</v>
      </c>
    </row>
    <row r="638" spans="1:4" x14ac:dyDescent="0.45">
      <c r="A638">
        <v>70</v>
      </c>
      <c r="B638">
        <f t="shared" ca="1" si="9"/>
        <v>99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99</v>
      </c>
    </row>
    <row r="639" spans="1:4" x14ac:dyDescent="0.45">
      <c r="A639">
        <v>70</v>
      </c>
      <c r="B639">
        <f t="shared" ca="1" si="9"/>
        <v>8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8</v>
      </c>
    </row>
    <row r="640" spans="1:4" x14ac:dyDescent="0.45">
      <c r="A640">
        <v>70</v>
      </c>
      <c r="B640">
        <f t="shared" ca="1" si="9"/>
        <v>13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13</v>
      </c>
    </row>
    <row r="641" spans="1:4" x14ac:dyDescent="0.45">
      <c r="A641">
        <v>71</v>
      </c>
      <c r="B641">
        <f t="shared" ca="1" si="9"/>
        <v>74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74</v>
      </c>
    </row>
    <row r="642" spans="1:4" x14ac:dyDescent="0.45">
      <c r="A642">
        <v>71</v>
      </c>
      <c r="B642">
        <f t="shared" ref="B642:B705" ca="1" si="10">RANDBETWEEN(0,100)</f>
        <v>68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68</v>
      </c>
    </row>
    <row r="643" spans="1:4" x14ac:dyDescent="0.45">
      <c r="A643">
        <v>71</v>
      </c>
      <c r="B643">
        <f t="shared" ca="1" si="10"/>
        <v>40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40</v>
      </c>
    </row>
    <row r="644" spans="1:4" x14ac:dyDescent="0.45">
      <c r="A644">
        <v>71</v>
      </c>
      <c r="B644">
        <f t="shared" ca="1" si="10"/>
        <v>71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71</v>
      </c>
    </row>
    <row r="645" spans="1:4" x14ac:dyDescent="0.45">
      <c r="A645">
        <v>71</v>
      </c>
      <c r="B645">
        <f t="shared" ca="1" si="10"/>
        <v>25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25</v>
      </c>
    </row>
    <row r="646" spans="1:4" x14ac:dyDescent="0.45">
      <c r="A646">
        <v>71</v>
      </c>
      <c r="B646">
        <f t="shared" ca="1" si="10"/>
        <v>96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96</v>
      </c>
    </row>
    <row r="647" spans="1:4" x14ac:dyDescent="0.45">
      <c r="A647">
        <v>71</v>
      </c>
      <c r="B647">
        <f t="shared" ca="1" si="10"/>
        <v>48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48</v>
      </c>
    </row>
    <row r="648" spans="1:4" x14ac:dyDescent="0.45">
      <c r="A648">
        <v>71</v>
      </c>
      <c r="B648">
        <f t="shared" ca="1" si="10"/>
        <v>58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58</v>
      </c>
    </row>
    <row r="649" spans="1:4" x14ac:dyDescent="0.45">
      <c r="A649">
        <v>71</v>
      </c>
      <c r="B649">
        <f t="shared" ca="1" si="10"/>
        <v>28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28</v>
      </c>
    </row>
    <row r="650" spans="1:4" x14ac:dyDescent="0.45">
      <c r="A650">
        <v>72</v>
      </c>
      <c r="B650">
        <f t="shared" ca="1" si="10"/>
        <v>73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73</v>
      </c>
    </row>
    <row r="651" spans="1:4" x14ac:dyDescent="0.45">
      <c r="A651">
        <v>72</v>
      </c>
      <c r="B651">
        <f t="shared" ca="1" si="10"/>
        <v>98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98</v>
      </c>
    </row>
    <row r="652" spans="1:4" x14ac:dyDescent="0.45">
      <c r="A652">
        <v>72</v>
      </c>
      <c r="B652">
        <f t="shared" ca="1" si="10"/>
        <v>7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7</v>
      </c>
    </row>
    <row r="653" spans="1:4" x14ac:dyDescent="0.45">
      <c r="A653">
        <v>72</v>
      </c>
      <c r="B653">
        <f t="shared" ca="1" si="10"/>
        <v>41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41</v>
      </c>
    </row>
    <row r="654" spans="1:4" x14ac:dyDescent="0.45">
      <c r="A654">
        <v>72</v>
      </c>
      <c r="B654">
        <f t="shared" ca="1" si="10"/>
        <v>45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45</v>
      </c>
    </row>
    <row r="655" spans="1:4" x14ac:dyDescent="0.45">
      <c r="A655">
        <v>72</v>
      </c>
      <c r="B655">
        <f t="shared" ca="1" si="10"/>
        <v>28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28</v>
      </c>
    </row>
    <row r="656" spans="1:4" x14ac:dyDescent="0.45">
      <c r="A656">
        <v>72</v>
      </c>
      <c r="B656">
        <f t="shared" ca="1" si="10"/>
        <v>23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23</v>
      </c>
    </row>
    <row r="657" spans="1:4" x14ac:dyDescent="0.45">
      <c r="A657">
        <v>72</v>
      </c>
      <c r="B657">
        <f t="shared" ca="1" si="10"/>
        <v>98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98</v>
      </c>
    </row>
    <row r="658" spans="1:4" x14ac:dyDescent="0.45">
      <c r="A658">
        <v>72</v>
      </c>
      <c r="B658">
        <f t="shared" ca="1" si="10"/>
        <v>63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63</v>
      </c>
    </row>
    <row r="659" spans="1:4" x14ac:dyDescent="0.45">
      <c r="A659">
        <v>73</v>
      </c>
      <c r="B659">
        <f t="shared" ca="1" si="10"/>
        <v>94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9" t="str">
        <f ca="1">IF(dict_zuord_Transfers_Storages[[#This Row],[kval_active]],dict_zuord_Transfers_Storages[[#This Row],[ID_Storages]],"")</f>
        <v/>
      </c>
    </row>
    <row r="660" spans="1:4" x14ac:dyDescent="0.45">
      <c r="A660">
        <v>73</v>
      </c>
      <c r="B660">
        <f t="shared" ca="1" si="10"/>
        <v>42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0" t="str">
        <f ca="1">IF(dict_zuord_Transfers_Storages[[#This Row],[kval_active]],dict_zuord_Transfers_Storages[[#This Row],[ID_Storages]],"")</f>
        <v/>
      </c>
    </row>
    <row r="661" spans="1:4" x14ac:dyDescent="0.45">
      <c r="A661">
        <v>73</v>
      </c>
      <c r="B661">
        <f t="shared" ca="1" si="10"/>
        <v>34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1" t="str">
        <f ca="1">IF(dict_zuord_Transfers_Storages[[#This Row],[kval_active]],dict_zuord_Transfers_Storages[[#This Row],[ID_Storages]],"")</f>
        <v/>
      </c>
    </row>
    <row r="662" spans="1:4" x14ac:dyDescent="0.45">
      <c r="A662">
        <v>73</v>
      </c>
      <c r="B662">
        <f t="shared" ca="1" si="10"/>
        <v>60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2" t="str">
        <f ca="1">IF(dict_zuord_Transfers_Storages[[#This Row],[kval_active]],dict_zuord_Transfers_Storages[[#This Row],[ID_Storages]],"")</f>
        <v/>
      </c>
    </row>
    <row r="663" spans="1:4" x14ac:dyDescent="0.45">
      <c r="A663">
        <v>73</v>
      </c>
      <c r="B663">
        <f t="shared" ca="1" si="10"/>
        <v>99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3" t="str">
        <f ca="1">IF(dict_zuord_Transfers_Storages[[#This Row],[kval_active]],dict_zuord_Transfers_Storages[[#This Row],[ID_Storages]],"")</f>
        <v/>
      </c>
    </row>
    <row r="664" spans="1:4" x14ac:dyDescent="0.45">
      <c r="A664">
        <v>73</v>
      </c>
      <c r="B664">
        <f t="shared" ca="1" si="10"/>
        <v>5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4" t="str">
        <f ca="1">IF(dict_zuord_Transfers_Storages[[#This Row],[kval_active]],dict_zuord_Transfers_Storages[[#This Row],[ID_Storages]],"")</f>
        <v/>
      </c>
    </row>
    <row r="665" spans="1:4" x14ac:dyDescent="0.45">
      <c r="A665">
        <v>73</v>
      </c>
      <c r="B665">
        <f t="shared" ca="1" si="10"/>
        <v>51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5" t="str">
        <f ca="1">IF(dict_zuord_Transfers_Storages[[#This Row],[kval_active]],dict_zuord_Transfers_Storages[[#This Row],[ID_Storages]],"")</f>
        <v/>
      </c>
    </row>
    <row r="666" spans="1:4" x14ac:dyDescent="0.45">
      <c r="A666">
        <v>73</v>
      </c>
      <c r="B666">
        <f t="shared" ca="1" si="10"/>
        <v>41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6" t="str">
        <f ca="1">IF(dict_zuord_Transfers_Storages[[#This Row],[kval_active]],dict_zuord_Transfers_Storages[[#This Row],[ID_Storages]],"")</f>
        <v/>
      </c>
    </row>
    <row r="667" spans="1:4" x14ac:dyDescent="0.45">
      <c r="A667">
        <v>73</v>
      </c>
      <c r="B667">
        <f t="shared" ca="1" si="10"/>
        <v>87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7" t="str">
        <f ca="1">IF(dict_zuord_Transfers_Storages[[#This Row],[kval_active]],dict_zuord_Transfers_Storages[[#This Row],[ID_Storages]],"")</f>
        <v/>
      </c>
    </row>
    <row r="668" spans="1:4" x14ac:dyDescent="0.45">
      <c r="A668">
        <v>74</v>
      </c>
      <c r="B668">
        <f t="shared" ca="1" si="10"/>
        <v>48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8" t="str">
        <f ca="1">IF(dict_zuord_Transfers_Storages[[#This Row],[kval_active]],dict_zuord_Transfers_Storages[[#This Row],[ID_Storages]],"")</f>
        <v/>
      </c>
    </row>
    <row r="669" spans="1:4" x14ac:dyDescent="0.45">
      <c r="A669">
        <v>74</v>
      </c>
      <c r="B669">
        <f t="shared" ca="1" si="10"/>
        <v>38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9" t="str">
        <f ca="1">IF(dict_zuord_Transfers_Storages[[#This Row],[kval_active]],dict_zuord_Transfers_Storages[[#This Row],[ID_Storages]],"")</f>
        <v/>
      </c>
    </row>
    <row r="670" spans="1:4" x14ac:dyDescent="0.45">
      <c r="A670">
        <v>74</v>
      </c>
      <c r="B670">
        <f t="shared" ca="1" si="10"/>
        <v>23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0" t="str">
        <f ca="1">IF(dict_zuord_Transfers_Storages[[#This Row],[kval_active]],dict_zuord_Transfers_Storages[[#This Row],[ID_Storages]],"")</f>
        <v/>
      </c>
    </row>
    <row r="671" spans="1:4" x14ac:dyDescent="0.45">
      <c r="A671">
        <v>74</v>
      </c>
      <c r="B671">
        <f t="shared" ca="1" si="10"/>
        <v>40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1" t="str">
        <f ca="1">IF(dict_zuord_Transfers_Storages[[#This Row],[kval_active]],dict_zuord_Transfers_Storages[[#This Row],[ID_Storages]],"")</f>
        <v/>
      </c>
    </row>
    <row r="672" spans="1:4" x14ac:dyDescent="0.45">
      <c r="A672">
        <v>74</v>
      </c>
      <c r="B672">
        <f t="shared" ca="1" si="10"/>
        <v>29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2" t="str">
        <f ca="1">IF(dict_zuord_Transfers_Storages[[#This Row],[kval_active]],dict_zuord_Transfers_Storages[[#This Row],[ID_Storages]],"")</f>
        <v/>
      </c>
    </row>
    <row r="673" spans="1:4" x14ac:dyDescent="0.45">
      <c r="A673">
        <v>74</v>
      </c>
      <c r="B673">
        <f t="shared" ca="1" si="10"/>
        <v>65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3" t="str">
        <f ca="1">IF(dict_zuord_Transfers_Storages[[#This Row],[kval_active]],dict_zuord_Transfers_Storages[[#This Row],[ID_Storages]],"")</f>
        <v/>
      </c>
    </row>
    <row r="674" spans="1:4" x14ac:dyDescent="0.45">
      <c r="A674">
        <v>74</v>
      </c>
      <c r="B674">
        <f t="shared" ca="1" si="10"/>
        <v>46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4" t="str">
        <f ca="1">IF(dict_zuord_Transfers_Storages[[#This Row],[kval_active]],dict_zuord_Transfers_Storages[[#This Row],[ID_Storages]],"")</f>
        <v/>
      </c>
    </row>
    <row r="675" spans="1:4" x14ac:dyDescent="0.45">
      <c r="A675">
        <v>74</v>
      </c>
      <c r="B675">
        <f t="shared" ca="1" si="10"/>
        <v>59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5" t="str">
        <f ca="1">IF(dict_zuord_Transfers_Storages[[#This Row],[kval_active]],dict_zuord_Transfers_Storages[[#This Row],[ID_Storages]],"")</f>
        <v/>
      </c>
    </row>
    <row r="676" spans="1:4" x14ac:dyDescent="0.45">
      <c r="A676">
        <v>74</v>
      </c>
      <c r="B676">
        <f t="shared" ca="1" si="10"/>
        <v>36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6" t="str">
        <f ca="1">IF(dict_zuord_Transfers_Storages[[#This Row],[kval_active]],dict_zuord_Transfers_Storages[[#This Row],[ID_Storages]],"")</f>
        <v/>
      </c>
    </row>
    <row r="677" spans="1:4" x14ac:dyDescent="0.45">
      <c r="A677">
        <v>75</v>
      </c>
      <c r="B677">
        <f t="shared" ca="1" si="10"/>
        <v>59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7" t="str">
        <f ca="1">IF(dict_zuord_Transfers_Storages[[#This Row],[kval_active]],dict_zuord_Transfers_Storages[[#This Row],[ID_Storages]],"")</f>
        <v/>
      </c>
    </row>
    <row r="678" spans="1:4" x14ac:dyDescent="0.45">
      <c r="A678">
        <v>75</v>
      </c>
      <c r="B678">
        <f t="shared" ca="1" si="10"/>
        <v>23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8" t="str">
        <f ca="1">IF(dict_zuord_Transfers_Storages[[#This Row],[kval_active]],dict_zuord_Transfers_Storages[[#This Row],[ID_Storages]],"")</f>
        <v/>
      </c>
    </row>
    <row r="679" spans="1:4" x14ac:dyDescent="0.45">
      <c r="A679">
        <v>75</v>
      </c>
      <c r="B679">
        <f t="shared" ca="1" si="10"/>
        <v>85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9" t="str">
        <f ca="1">IF(dict_zuord_Transfers_Storages[[#This Row],[kval_active]],dict_zuord_Transfers_Storages[[#This Row],[ID_Storages]],"")</f>
        <v/>
      </c>
    </row>
    <row r="680" spans="1:4" x14ac:dyDescent="0.45">
      <c r="A680">
        <v>75</v>
      </c>
      <c r="B680">
        <f t="shared" ca="1" si="10"/>
        <v>76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0" t="str">
        <f ca="1">IF(dict_zuord_Transfers_Storages[[#This Row],[kval_active]],dict_zuord_Transfers_Storages[[#This Row],[ID_Storages]],"")</f>
        <v/>
      </c>
    </row>
    <row r="681" spans="1:4" x14ac:dyDescent="0.45">
      <c r="A681">
        <v>75</v>
      </c>
      <c r="B681">
        <f t="shared" ca="1" si="10"/>
        <v>59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1" t="str">
        <f ca="1">IF(dict_zuord_Transfers_Storages[[#This Row],[kval_active]],dict_zuord_Transfers_Storages[[#This Row],[ID_Storages]],"")</f>
        <v/>
      </c>
    </row>
    <row r="682" spans="1:4" x14ac:dyDescent="0.45">
      <c r="A682">
        <v>75</v>
      </c>
      <c r="B682">
        <f t="shared" ca="1" si="10"/>
        <v>61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2" t="str">
        <f ca="1">IF(dict_zuord_Transfers_Storages[[#This Row],[kval_active]],dict_zuord_Transfers_Storages[[#This Row],[ID_Storages]],"")</f>
        <v/>
      </c>
    </row>
    <row r="683" spans="1:4" x14ac:dyDescent="0.45">
      <c r="A683">
        <v>75</v>
      </c>
      <c r="B683">
        <f t="shared" ca="1" si="10"/>
        <v>42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3" t="str">
        <f ca="1">IF(dict_zuord_Transfers_Storages[[#This Row],[kval_active]],dict_zuord_Transfers_Storages[[#This Row],[ID_Storages]],"")</f>
        <v/>
      </c>
    </row>
    <row r="684" spans="1:4" x14ac:dyDescent="0.45">
      <c r="A684">
        <v>75</v>
      </c>
      <c r="B684">
        <f t="shared" ca="1" si="10"/>
        <v>28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4" t="str">
        <f ca="1">IF(dict_zuord_Transfers_Storages[[#This Row],[kval_active]],dict_zuord_Transfers_Storages[[#This Row],[ID_Storages]],"")</f>
        <v/>
      </c>
    </row>
    <row r="685" spans="1:4" x14ac:dyDescent="0.45">
      <c r="A685">
        <v>75</v>
      </c>
      <c r="B685">
        <f t="shared" ca="1" si="10"/>
        <v>99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5" t="str">
        <f ca="1">IF(dict_zuord_Transfers_Storages[[#This Row],[kval_active]],dict_zuord_Transfers_Storages[[#This Row],[ID_Storages]],"")</f>
        <v/>
      </c>
    </row>
    <row r="686" spans="1:4" x14ac:dyDescent="0.45">
      <c r="A686">
        <v>76</v>
      </c>
      <c r="B686">
        <f t="shared" ca="1" si="10"/>
        <v>50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6" t="str">
        <f ca="1">IF(dict_zuord_Transfers_Storages[[#This Row],[kval_active]],dict_zuord_Transfers_Storages[[#This Row],[ID_Storages]],"")</f>
        <v/>
      </c>
    </row>
    <row r="687" spans="1:4" x14ac:dyDescent="0.45">
      <c r="A687">
        <v>76</v>
      </c>
      <c r="B687">
        <f t="shared" ca="1" si="10"/>
        <v>88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7" t="str">
        <f ca="1">IF(dict_zuord_Transfers_Storages[[#This Row],[kval_active]],dict_zuord_Transfers_Storages[[#This Row],[ID_Storages]],"")</f>
        <v/>
      </c>
    </row>
    <row r="688" spans="1:4" x14ac:dyDescent="0.45">
      <c r="A688">
        <v>76</v>
      </c>
      <c r="B688">
        <f t="shared" ca="1" si="10"/>
        <v>22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8" t="str">
        <f ca="1">IF(dict_zuord_Transfers_Storages[[#This Row],[kval_active]],dict_zuord_Transfers_Storages[[#This Row],[ID_Storages]],"")</f>
        <v/>
      </c>
    </row>
    <row r="689" spans="1:4" x14ac:dyDescent="0.45">
      <c r="A689">
        <v>76</v>
      </c>
      <c r="B689">
        <f t="shared" ca="1" si="10"/>
        <v>21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9" t="str">
        <f ca="1">IF(dict_zuord_Transfers_Storages[[#This Row],[kval_active]],dict_zuord_Transfers_Storages[[#This Row],[ID_Storages]],"")</f>
        <v/>
      </c>
    </row>
    <row r="690" spans="1:4" x14ac:dyDescent="0.45">
      <c r="A690">
        <v>76</v>
      </c>
      <c r="B690">
        <f t="shared" ca="1" si="10"/>
        <v>7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0" t="str">
        <f ca="1">IF(dict_zuord_Transfers_Storages[[#This Row],[kval_active]],dict_zuord_Transfers_Storages[[#This Row],[ID_Storages]],"")</f>
        <v/>
      </c>
    </row>
    <row r="691" spans="1:4" x14ac:dyDescent="0.45">
      <c r="A691">
        <v>76</v>
      </c>
      <c r="B691">
        <f t="shared" ca="1" si="10"/>
        <v>65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1" t="str">
        <f ca="1">IF(dict_zuord_Transfers_Storages[[#This Row],[kval_active]],dict_zuord_Transfers_Storages[[#This Row],[ID_Storages]],"")</f>
        <v/>
      </c>
    </row>
    <row r="692" spans="1:4" x14ac:dyDescent="0.45">
      <c r="A692">
        <v>76</v>
      </c>
      <c r="B692">
        <f t="shared" ca="1" si="10"/>
        <v>89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2" t="str">
        <f ca="1">IF(dict_zuord_Transfers_Storages[[#This Row],[kval_active]],dict_zuord_Transfers_Storages[[#This Row],[ID_Storages]],"")</f>
        <v/>
      </c>
    </row>
    <row r="693" spans="1:4" x14ac:dyDescent="0.45">
      <c r="A693">
        <v>76</v>
      </c>
      <c r="B693">
        <f t="shared" ca="1" si="10"/>
        <v>73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3" t="str">
        <f ca="1">IF(dict_zuord_Transfers_Storages[[#This Row],[kval_active]],dict_zuord_Transfers_Storages[[#This Row],[ID_Storages]],"")</f>
        <v/>
      </c>
    </row>
    <row r="694" spans="1:4" x14ac:dyDescent="0.45">
      <c r="A694">
        <v>76</v>
      </c>
      <c r="B694">
        <f t="shared" ca="1" si="10"/>
        <v>68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4" t="str">
        <f ca="1">IF(dict_zuord_Transfers_Storages[[#This Row],[kval_active]],dict_zuord_Transfers_Storages[[#This Row],[ID_Storages]],"")</f>
        <v/>
      </c>
    </row>
    <row r="695" spans="1:4" x14ac:dyDescent="0.45">
      <c r="A695">
        <v>77</v>
      </c>
      <c r="B695">
        <f t="shared" ca="1" si="10"/>
        <v>56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5" t="str">
        <f ca="1">IF(dict_zuord_Transfers_Storages[[#This Row],[kval_active]],dict_zuord_Transfers_Storages[[#This Row],[ID_Storages]],"")</f>
        <v/>
      </c>
    </row>
    <row r="696" spans="1:4" x14ac:dyDescent="0.45">
      <c r="A696">
        <v>77</v>
      </c>
      <c r="B696">
        <f t="shared" ca="1" si="10"/>
        <v>29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6" t="str">
        <f ca="1">IF(dict_zuord_Transfers_Storages[[#This Row],[kval_active]],dict_zuord_Transfers_Storages[[#This Row],[ID_Storages]],"")</f>
        <v/>
      </c>
    </row>
    <row r="697" spans="1:4" x14ac:dyDescent="0.45">
      <c r="A697">
        <v>77</v>
      </c>
      <c r="B697">
        <f t="shared" ca="1" si="10"/>
        <v>12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7" t="str">
        <f ca="1">IF(dict_zuord_Transfers_Storages[[#This Row],[kval_active]],dict_zuord_Transfers_Storages[[#This Row],[ID_Storages]],"")</f>
        <v/>
      </c>
    </row>
    <row r="698" spans="1:4" x14ac:dyDescent="0.45">
      <c r="A698">
        <v>77</v>
      </c>
      <c r="B698">
        <f t="shared" ca="1" si="10"/>
        <v>68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8" t="str">
        <f ca="1">IF(dict_zuord_Transfers_Storages[[#This Row],[kval_active]],dict_zuord_Transfers_Storages[[#This Row],[ID_Storages]],"")</f>
        <v/>
      </c>
    </row>
    <row r="699" spans="1:4" x14ac:dyDescent="0.45">
      <c r="A699">
        <v>77</v>
      </c>
      <c r="B699">
        <f t="shared" ca="1" si="10"/>
        <v>0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9" t="str">
        <f ca="1">IF(dict_zuord_Transfers_Storages[[#This Row],[kval_active]],dict_zuord_Transfers_Storages[[#This Row],[ID_Storages]],"")</f>
        <v/>
      </c>
    </row>
    <row r="700" spans="1:4" x14ac:dyDescent="0.45">
      <c r="A700">
        <v>77</v>
      </c>
      <c r="B700">
        <f t="shared" ca="1" si="10"/>
        <v>52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0" t="str">
        <f ca="1">IF(dict_zuord_Transfers_Storages[[#This Row],[kval_active]],dict_zuord_Transfers_Storages[[#This Row],[ID_Storages]],"")</f>
        <v/>
      </c>
    </row>
    <row r="701" spans="1:4" x14ac:dyDescent="0.45">
      <c r="A701">
        <v>77</v>
      </c>
      <c r="B701">
        <f t="shared" ca="1" si="10"/>
        <v>54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1" t="str">
        <f ca="1">IF(dict_zuord_Transfers_Storages[[#This Row],[kval_active]],dict_zuord_Transfers_Storages[[#This Row],[ID_Storages]],"")</f>
        <v/>
      </c>
    </row>
    <row r="702" spans="1:4" x14ac:dyDescent="0.45">
      <c r="A702">
        <v>77</v>
      </c>
      <c r="B702">
        <f t="shared" ca="1" si="10"/>
        <v>47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2" t="str">
        <f ca="1">IF(dict_zuord_Transfers_Storages[[#This Row],[kval_active]],dict_zuord_Transfers_Storages[[#This Row],[ID_Storages]],"")</f>
        <v/>
      </c>
    </row>
    <row r="703" spans="1:4" x14ac:dyDescent="0.45">
      <c r="A703">
        <v>77</v>
      </c>
      <c r="B703">
        <f t="shared" ca="1" si="10"/>
        <v>8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3" t="str">
        <f ca="1">IF(dict_zuord_Transfers_Storages[[#This Row],[kval_active]],dict_zuord_Transfers_Storages[[#This Row],[ID_Storages]],"")</f>
        <v/>
      </c>
    </row>
    <row r="704" spans="1:4" x14ac:dyDescent="0.45">
      <c r="A704">
        <v>78</v>
      </c>
      <c r="B704">
        <f t="shared" ca="1" si="10"/>
        <v>100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4" t="str">
        <f ca="1">IF(dict_zuord_Transfers_Storages[[#This Row],[kval_active]],dict_zuord_Transfers_Storages[[#This Row],[ID_Storages]],"")</f>
        <v/>
      </c>
    </row>
    <row r="705" spans="1:4" x14ac:dyDescent="0.45">
      <c r="A705">
        <v>78</v>
      </c>
      <c r="B705">
        <f t="shared" ca="1" si="10"/>
        <v>24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5" t="str">
        <f ca="1">IF(dict_zuord_Transfers_Storages[[#This Row],[kval_active]],dict_zuord_Transfers_Storages[[#This Row],[ID_Storages]],"")</f>
        <v/>
      </c>
    </row>
    <row r="706" spans="1:4" x14ac:dyDescent="0.45">
      <c r="A706">
        <v>78</v>
      </c>
      <c r="B706">
        <f t="shared" ref="B706:B769" ca="1" si="11">RANDBETWEEN(0,100)</f>
        <v>53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6" t="str">
        <f ca="1">IF(dict_zuord_Transfers_Storages[[#This Row],[kval_active]],dict_zuord_Transfers_Storages[[#This Row],[ID_Storages]],"")</f>
        <v/>
      </c>
    </row>
    <row r="707" spans="1:4" x14ac:dyDescent="0.45">
      <c r="A707">
        <v>78</v>
      </c>
      <c r="B707">
        <f t="shared" ca="1" si="11"/>
        <v>53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7" t="str">
        <f ca="1">IF(dict_zuord_Transfers_Storages[[#This Row],[kval_active]],dict_zuord_Transfers_Storages[[#This Row],[ID_Storages]],"")</f>
        <v/>
      </c>
    </row>
    <row r="708" spans="1:4" x14ac:dyDescent="0.45">
      <c r="A708">
        <v>78</v>
      </c>
      <c r="B708">
        <f t="shared" ca="1" si="11"/>
        <v>30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8" t="str">
        <f ca="1">IF(dict_zuord_Transfers_Storages[[#This Row],[kval_active]],dict_zuord_Transfers_Storages[[#This Row],[ID_Storages]],"")</f>
        <v/>
      </c>
    </row>
    <row r="709" spans="1:4" x14ac:dyDescent="0.45">
      <c r="A709">
        <v>78</v>
      </c>
      <c r="B709">
        <f t="shared" ca="1" si="11"/>
        <v>82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9" t="str">
        <f ca="1">IF(dict_zuord_Transfers_Storages[[#This Row],[kval_active]],dict_zuord_Transfers_Storages[[#This Row],[ID_Storages]],"")</f>
        <v/>
      </c>
    </row>
    <row r="710" spans="1:4" x14ac:dyDescent="0.45">
      <c r="A710">
        <v>78</v>
      </c>
      <c r="B710">
        <f t="shared" ca="1" si="11"/>
        <v>55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0" t="str">
        <f ca="1">IF(dict_zuord_Transfers_Storages[[#This Row],[kval_active]],dict_zuord_Transfers_Storages[[#This Row],[ID_Storages]],"")</f>
        <v/>
      </c>
    </row>
    <row r="711" spans="1:4" x14ac:dyDescent="0.45">
      <c r="A711">
        <v>78</v>
      </c>
      <c r="B711">
        <f t="shared" ca="1" si="11"/>
        <v>74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1" t="str">
        <f ca="1">IF(dict_zuord_Transfers_Storages[[#This Row],[kval_active]],dict_zuord_Transfers_Storages[[#This Row],[ID_Storages]],"")</f>
        <v/>
      </c>
    </row>
    <row r="712" spans="1:4" x14ac:dyDescent="0.45">
      <c r="A712">
        <v>78</v>
      </c>
      <c r="B712">
        <f t="shared" ca="1" si="11"/>
        <v>90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2" t="str">
        <f ca="1">IF(dict_zuord_Transfers_Storages[[#This Row],[kval_active]],dict_zuord_Transfers_Storages[[#This Row],[ID_Storages]],"")</f>
        <v/>
      </c>
    </row>
    <row r="713" spans="1:4" x14ac:dyDescent="0.45">
      <c r="A713">
        <v>79</v>
      </c>
      <c r="B713">
        <f t="shared" ca="1" si="11"/>
        <v>27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3" t="str">
        <f ca="1">IF(dict_zuord_Transfers_Storages[[#This Row],[kval_active]],dict_zuord_Transfers_Storages[[#This Row],[ID_Storages]],"")</f>
        <v/>
      </c>
    </row>
    <row r="714" spans="1:4" x14ac:dyDescent="0.45">
      <c r="A714">
        <v>79</v>
      </c>
      <c r="B714">
        <f t="shared" ca="1" si="11"/>
        <v>82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4" t="str">
        <f ca="1">IF(dict_zuord_Transfers_Storages[[#This Row],[kval_active]],dict_zuord_Transfers_Storages[[#This Row],[ID_Storages]],"")</f>
        <v/>
      </c>
    </row>
    <row r="715" spans="1:4" x14ac:dyDescent="0.45">
      <c r="A715">
        <v>79</v>
      </c>
      <c r="B715">
        <f t="shared" ca="1" si="11"/>
        <v>82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5" t="str">
        <f ca="1">IF(dict_zuord_Transfers_Storages[[#This Row],[kval_active]],dict_zuord_Transfers_Storages[[#This Row],[ID_Storages]],"")</f>
        <v/>
      </c>
    </row>
    <row r="716" spans="1:4" x14ac:dyDescent="0.45">
      <c r="A716">
        <v>79</v>
      </c>
      <c r="B716">
        <f t="shared" ca="1" si="11"/>
        <v>26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6" t="str">
        <f ca="1">IF(dict_zuord_Transfers_Storages[[#This Row],[kval_active]],dict_zuord_Transfers_Storages[[#This Row],[ID_Storages]],"")</f>
        <v/>
      </c>
    </row>
    <row r="717" spans="1:4" x14ac:dyDescent="0.45">
      <c r="A717">
        <v>79</v>
      </c>
      <c r="B717">
        <f t="shared" ca="1" si="11"/>
        <v>17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7" t="str">
        <f ca="1">IF(dict_zuord_Transfers_Storages[[#This Row],[kval_active]],dict_zuord_Transfers_Storages[[#This Row],[ID_Storages]],"")</f>
        <v/>
      </c>
    </row>
    <row r="718" spans="1:4" x14ac:dyDescent="0.45">
      <c r="A718">
        <v>79</v>
      </c>
      <c r="B718">
        <f t="shared" ca="1" si="11"/>
        <v>65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8" t="str">
        <f ca="1">IF(dict_zuord_Transfers_Storages[[#This Row],[kval_active]],dict_zuord_Transfers_Storages[[#This Row],[ID_Storages]],"")</f>
        <v/>
      </c>
    </row>
    <row r="719" spans="1:4" x14ac:dyDescent="0.45">
      <c r="A719">
        <v>79</v>
      </c>
      <c r="B719">
        <f t="shared" ca="1" si="11"/>
        <v>90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9" t="str">
        <f ca="1">IF(dict_zuord_Transfers_Storages[[#This Row],[kval_active]],dict_zuord_Transfers_Storages[[#This Row],[ID_Storages]],"")</f>
        <v/>
      </c>
    </row>
    <row r="720" spans="1:4" x14ac:dyDescent="0.45">
      <c r="A720">
        <v>79</v>
      </c>
      <c r="B720">
        <f t="shared" ca="1" si="11"/>
        <v>37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0" t="str">
        <f ca="1">IF(dict_zuord_Transfers_Storages[[#This Row],[kval_active]],dict_zuord_Transfers_Storages[[#This Row],[ID_Storages]],"")</f>
        <v/>
      </c>
    </row>
    <row r="721" spans="1:4" x14ac:dyDescent="0.45">
      <c r="A721">
        <v>79</v>
      </c>
      <c r="B721">
        <f t="shared" ca="1" si="11"/>
        <v>17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1" t="str">
        <f ca="1">IF(dict_zuord_Transfers_Storages[[#This Row],[kval_active]],dict_zuord_Transfers_Storages[[#This Row],[ID_Storages]],"")</f>
        <v/>
      </c>
    </row>
    <row r="722" spans="1:4" x14ac:dyDescent="0.45">
      <c r="A722">
        <v>80</v>
      </c>
      <c r="B722">
        <f t="shared" ca="1" si="11"/>
        <v>13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2" t="str">
        <f ca="1">IF(dict_zuord_Transfers_Storages[[#This Row],[kval_active]],dict_zuord_Transfers_Storages[[#This Row],[ID_Storages]],"")</f>
        <v/>
      </c>
    </row>
    <row r="723" spans="1:4" x14ac:dyDescent="0.45">
      <c r="A723">
        <v>80</v>
      </c>
      <c r="B723">
        <f t="shared" ca="1" si="11"/>
        <v>35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3" t="str">
        <f ca="1">IF(dict_zuord_Transfers_Storages[[#This Row],[kval_active]],dict_zuord_Transfers_Storages[[#This Row],[ID_Storages]],"")</f>
        <v/>
      </c>
    </row>
    <row r="724" spans="1:4" x14ac:dyDescent="0.45">
      <c r="A724">
        <v>80</v>
      </c>
      <c r="B724">
        <f t="shared" ca="1" si="11"/>
        <v>17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4" t="str">
        <f ca="1">IF(dict_zuord_Transfers_Storages[[#This Row],[kval_active]],dict_zuord_Transfers_Storages[[#This Row],[ID_Storages]],"")</f>
        <v/>
      </c>
    </row>
    <row r="725" spans="1:4" x14ac:dyDescent="0.45">
      <c r="A725">
        <v>80</v>
      </c>
      <c r="B725">
        <f t="shared" ca="1" si="11"/>
        <v>20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5" t="str">
        <f ca="1">IF(dict_zuord_Transfers_Storages[[#This Row],[kval_active]],dict_zuord_Transfers_Storages[[#This Row],[ID_Storages]],"")</f>
        <v/>
      </c>
    </row>
    <row r="726" spans="1:4" x14ac:dyDescent="0.45">
      <c r="A726">
        <v>80</v>
      </c>
      <c r="B726">
        <f t="shared" ca="1" si="11"/>
        <v>85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6" t="str">
        <f ca="1">IF(dict_zuord_Transfers_Storages[[#This Row],[kval_active]],dict_zuord_Transfers_Storages[[#This Row],[ID_Storages]],"")</f>
        <v/>
      </c>
    </row>
    <row r="727" spans="1:4" x14ac:dyDescent="0.45">
      <c r="A727">
        <v>80</v>
      </c>
      <c r="B727">
        <f t="shared" ca="1" si="11"/>
        <v>21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7" t="str">
        <f ca="1">IF(dict_zuord_Transfers_Storages[[#This Row],[kval_active]],dict_zuord_Transfers_Storages[[#This Row],[ID_Storages]],"")</f>
        <v/>
      </c>
    </row>
    <row r="728" spans="1:4" x14ac:dyDescent="0.45">
      <c r="A728">
        <v>80</v>
      </c>
      <c r="B728">
        <f t="shared" ca="1" si="11"/>
        <v>4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8" t="str">
        <f ca="1">IF(dict_zuord_Transfers_Storages[[#This Row],[kval_active]],dict_zuord_Transfers_Storages[[#This Row],[ID_Storages]],"")</f>
        <v/>
      </c>
    </row>
    <row r="729" spans="1:4" x14ac:dyDescent="0.45">
      <c r="A729">
        <v>80</v>
      </c>
      <c r="B729">
        <f t="shared" ca="1" si="11"/>
        <v>0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9" t="str">
        <f ca="1">IF(dict_zuord_Transfers_Storages[[#This Row],[kval_active]],dict_zuord_Transfers_Storages[[#This Row],[ID_Storages]],"")</f>
        <v/>
      </c>
    </row>
    <row r="730" spans="1:4" x14ac:dyDescent="0.45">
      <c r="A730">
        <v>80</v>
      </c>
      <c r="B730">
        <f t="shared" ca="1" si="11"/>
        <v>60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0" t="str">
        <f ca="1">IF(dict_zuord_Transfers_Storages[[#This Row],[kval_active]],dict_zuord_Transfers_Storages[[#This Row],[ID_Storages]],"")</f>
        <v/>
      </c>
    </row>
    <row r="731" spans="1:4" x14ac:dyDescent="0.45">
      <c r="A731">
        <v>81</v>
      </c>
      <c r="B731">
        <f t="shared" ca="1" si="11"/>
        <v>88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88</v>
      </c>
    </row>
    <row r="732" spans="1:4" x14ac:dyDescent="0.45">
      <c r="A732">
        <v>81</v>
      </c>
      <c r="B732">
        <f t="shared" ca="1" si="11"/>
        <v>57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57</v>
      </c>
    </row>
    <row r="733" spans="1:4" x14ac:dyDescent="0.45">
      <c r="A733">
        <v>81</v>
      </c>
      <c r="B733">
        <f t="shared" ca="1" si="11"/>
        <v>76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76</v>
      </c>
    </row>
    <row r="734" spans="1:4" x14ac:dyDescent="0.45">
      <c r="A734">
        <v>81</v>
      </c>
      <c r="B734">
        <f t="shared" ca="1" si="11"/>
        <v>62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62</v>
      </c>
    </row>
    <row r="735" spans="1:4" x14ac:dyDescent="0.45">
      <c r="A735">
        <v>81</v>
      </c>
      <c r="B735">
        <f t="shared" ca="1" si="11"/>
        <v>81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81</v>
      </c>
    </row>
    <row r="736" spans="1:4" x14ac:dyDescent="0.45">
      <c r="A736">
        <v>81</v>
      </c>
      <c r="B736">
        <f t="shared" ca="1" si="11"/>
        <v>88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88</v>
      </c>
    </row>
    <row r="737" spans="1:4" x14ac:dyDescent="0.45">
      <c r="A737">
        <v>81</v>
      </c>
      <c r="B737">
        <f t="shared" ca="1" si="11"/>
        <v>22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22</v>
      </c>
    </row>
    <row r="738" spans="1:4" x14ac:dyDescent="0.45">
      <c r="A738">
        <v>81</v>
      </c>
      <c r="B738">
        <f t="shared" ca="1" si="11"/>
        <v>25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25</v>
      </c>
    </row>
    <row r="739" spans="1:4" x14ac:dyDescent="0.45">
      <c r="A739">
        <v>81</v>
      </c>
      <c r="B739">
        <f t="shared" ca="1" si="11"/>
        <v>42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42</v>
      </c>
    </row>
    <row r="740" spans="1:4" x14ac:dyDescent="0.45">
      <c r="A740">
        <v>82</v>
      </c>
      <c r="B740">
        <f t="shared" ca="1" si="11"/>
        <v>2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0" t="str">
        <f ca="1">IF(dict_zuord_Transfers_Storages[[#This Row],[kval_active]],dict_zuord_Transfers_Storages[[#This Row],[ID_Storages]],"")</f>
        <v/>
      </c>
    </row>
    <row r="741" spans="1:4" x14ac:dyDescent="0.45">
      <c r="A741">
        <v>82</v>
      </c>
      <c r="B741">
        <f t="shared" ca="1" si="11"/>
        <v>36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1" t="str">
        <f ca="1">IF(dict_zuord_Transfers_Storages[[#This Row],[kval_active]],dict_zuord_Transfers_Storages[[#This Row],[ID_Storages]],"")</f>
        <v/>
      </c>
    </row>
    <row r="742" spans="1:4" x14ac:dyDescent="0.45">
      <c r="A742">
        <v>82</v>
      </c>
      <c r="B742">
        <f t="shared" ca="1" si="11"/>
        <v>47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2" t="str">
        <f ca="1">IF(dict_zuord_Transfers_Storages[[#This Row],[kval_active]],dict_zuord_Transfers_Storages[[#This Row],[ID_Storages]],"")</f>
        <v/>
      </c>
    </row>
    <row r="743" spans="1:4" x14ac:dyDescent="0.45">
      <c r="A743">
        <v>82</v>
      </c>
      <c r="B743">
        <f t="shared" ca="1" si="11"/>
        <v>55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3" t="str">
        <f ca="1">IF(dict_zuord_Transfers_Storages[[#This Row],[kval_active]],dict_zuord_Transfers_Storages[[#This Row],[ID_Storages]],"")</f>
        <v/>
      </c>
    </row>
    <row r="744" spans="1:4" x14ac:dyDescent="0.45">
      <c r="A744">
        <v>82</v>
      </c>
      <c r="B744">
        <f t="shared" ca="1" si="11"/>
        <v>25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4" t="str">
        <f ca="1">IF(dict_zuord_Transfers_Storages[[#This Row],[kval_active]],dict_zuord_Transfers_Storages[[#This Row],[ID_Storages]],"")</f>
        <v/>
      </c>
    </row>
    <row r="745" spans="1:4" x14ac:dyDescent="0.45">
      <c r="A745">
        <v>82</v>
      </c>
      <c r="B745">
        <f t="shared" ca="1" si="11"/>
        <v>77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5" t="str">
        <f ca="1">IF(dict_zuord_Transfers_Storages[[#This Row],[kval_active]],dict_zuord_Transfers_Storages[[#This Row],[ID_Storages]],"")</f>
        <v/>
      </c>
    </row>
    <row r="746" spans="1:4" x14ac:dyDescent="0.45">
      <c r="A746">
        <v>82</v>
      </c>
      <c r="B746">
        <f t="shared" ca="1" si="11"/>
        <v>0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6" t="str">
        <f ca="1">IF(dict_zuord_Transfers_Storages[[#This Row],[kval_active]],dict_zuord_Transfers_Storages[[#This Row],[ID_Storages]],"")</f>
        <v/>
      </c>
    </row>
    <row r="747" spans="1:4" x14ac:dyDescent="0.45">
      <c r="A747">
        <v>82</v>
      </c>
      <c r="B747">
        <f t="shared" ca="1" si="11"/>
        <v>97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7" t="str">
        <f ca="1">IF(dict_zuord_Transfers_Storages[[#This Row],[kval_active]],dict_zuord_Transfers_Storages[[#This Row],[ID_Storages]],"")</f>
        <v/>
      </c>
    </row>
    <row r="748" spans="1:4" x14ac:dyDescent="0.45">
      <c r="A748">
        <v>82</v>
      </c>
      <c r="B748">
        <f t="shared" ca="1" si="11"/>
        <v>71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8" t="str">
        <f ca="1">IF(dict_zuord_Transfers_Storages[[#This Row],[kval_active]],dict_zuord_Transfers_Storages[[#This Row],[ID_Storages]],"")</f>
        <v/>
      </c>
    </row>
    <row r="749" spans="1:4" x14ac:dyDescent="0.45">
      <c r="A749">
        <v>83</v>
      </c>
      <c r="B749">
        <f t="shared" ca="1" si="11"/>
        <v>73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9" t="str">
        <f ca="1">IF(dict_zuord_Transfers_Storages[[#This Row],[kval_active]],dict_zuord_Transfers_Storages[[#This Row],[ID_Storages]],"")</f>
        <v/>
      </c>
    </row>
    <row r="750" spans="1:4" x14ac:dyDescent="0.45">
      <c r="A750">
        <v>83</v>
      </c>
      <c r="B750">
        <f t="shared" ca="1" si="11"/>
        <v>41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0" t="str">
        <f ca="1">IF(dict_zuord_Transfers_Storages[[#This Row],[kval_active]],dict_zuord_Transfers_Storages[[#This Row],[ID_Storages]],"")</f>
        <v/>
      </c>
    </row>
    <row r="751" spans="1:4" x14ac:dyDescent="0.45">
      <c r="A751">
        <v>83</v>
      </c>
      <c r="B751">
        <f t="shared" ca="1" si="11"/>
        <v>60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1" t="str">
        <f ca="1">IF(dict_zuord_Transfers_Storages[[#This Row],[kval_active]],dict_zuord_Transfers_Storages[[#This Row],[ID_Storages]],"")</f>
        <v/>
      </c>
    </row>
    <row r="752" spans="1:4" x14ac:dyDescent="0.45">
      <c r="A752">
        <v>83</v>
      </c>
      <c r="B752">
        <f t="shared" ca="1" si="11"/>
        <v>42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2" t="str">
        <f ca="1">IF(dict_zuord_Transfers_Storages[[#This Row],[kval_active]],dict_zuord_Transfers_Storages[[#This Row],[ID_Storages]],"")</f>
        <v/>
      </c>
    </row>
    <row r="753" spans="1:4" x14ac:dyDescent="0.45">
      <c r="A753">
        <v>83</v>
      </c>
      <c r="B753">
        <f t="shared" ca="1" si="11"/>
        <v>78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3" t="str">
        <f ca="1">IF(dict_zuord_Transfers_Storages[[#This Row],[kval_active]],dict_zuord_Transfers_Storages[[#This Row],[ID_Storages]],"")</f>
        <v/>
      </c>
    </row>
    <row r="754" spans="1:4" x14ac:dyDescent="0.45">
      <c r="A754">
        <v>83</v>
      </c>
      <c r="B754">
        <f t="shared" ca="1" si="11"/>
        <v>45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4" t="str">
        <f ca="1">IF(dict_zuord_Transfers_Storages[[#This Row],[kval_active]],dict_zuord_Transfers_Storages[[#This Row],[ID_Storages]],"")</f>
        <v/>
      </c>
    </row>
    <row r="755" spans="1:4" x14ac:dyDescent="0.45">
      <c r="A755">
        <v>83</v>
      </c>
      <c r="B755">
        <f t="shared" ca="1" si="11"/>
        <v>28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5" t="str">
        <f ca="1">IF(dict_zuord_Transfers_Storages[[#This Row],[kval_active]],dict_zuord_Transfers_Storages[[#This Row],[ID_Storages]],"")</f>
        <v/>
      </c>
    </row>
    <row r="756" spans="1:4" x14ac:dyDescent="0.45">
      <c r="A756">
        <v>83</v>
      </c>
      <c r="B756">
        <f t="shared" ca="1" si="11"/>
        <v>32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6" t="str">
        <f ca="1">IF(dict_zuord_Transfers_Storages[[#This Row],[kval_active]],dict_zuord_Transfers_Storages[[#This Row],[ID_Storages]],"")</f>
        <v/>
      </c>
    </row>
    <row r="757" spans="1:4" x14ac:dyDescent="0.45">
      <c r="A757">
        <v>83</v>
      </c>
      <c r="B757">
        <f t="shared" ca="1" si="11"/>
        <v>22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7" t="str">
        <f ca="1">IF(dict_zuord_Transfers_Storages[[#This Row],[kval_active]],dict_zuord_Transfers_Storages[[#This Row],[ID_Storages]],"")</f>
        <v/>
      </c>
    </row>
    <row r="758" spans="1:4" x14ac:dyDescent="0.45">
      <c r="A758">
        <v>84</v>
      </c>
      <c r="B758">
        <f t="shared" ca="1" si="11"/>
        <v>0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8" t="str">
        <f ca="1">IF(dict_zuord_Transfers_Storages[[#This Row],[kval_active]],dict_zuord_Transfers_Storages[[#This Row],[ID_Storages]],"")</f>
        <v/>
      </c>
    </row>
    <row r="759" spans="1:4" x14ac:dyDescent="0.45">
      <c r="A759">
        <v>84</v>
      </c>
      <c r="B759">
        <f t="shared" ca="1" si="11"/>
        <v>0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9" t="str">
        <f ca="1">IF(dict_zuord_Transfers_Storages[[#This Row],[kval_active]],dict_zuord_Transfers_Storages[[#This Row],[ID_Storages]],"")</f>
        <v/>
      </c>
    </row>
    <row r="760" spans="1:4" x14ac:dyDescent="0.45">
      <c r="A760">
        <v>84</v>
      </c>
      <c r="B760">
        <f t="shared" ca="1" si="11"/>
        <v>22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0" t="str">
        <f ca="1">IF(dict_zuord_Transfers_Storages[[#This Row],[kval_active]],dict_zuord_Transfers_Storages[[#This Row],[ID_Storages]],"")</f>
        <v/>
      </c>
    </row>
    <row r="761" spans="1:4" x14ac:dyDescent="0.45">
      <c r="A761">
        <v>84</v>
      </c>
      <c r="B761">
        <f t="shared" ca="1" si="11"/>
        <v>4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1" t="str">
        <f ca="1">IF(dict_zuord_Transfers_Storages[[#This Row],[kval_active]],dict_zuord_Transfers_Storages[[#This Row],[ID_Storages]],"")</f>
        <v/>
      </c>
    </row>
    <row r="762" spans="1:4" x14ac:dyDescent="0.45">
      <c r="A762">
        <v>84</v>
      </c>
      <c r="B762">
        <f t="shared" ca="1" si="11"/>
        <v>67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2" t="str">
        <f ca="1">IF(dict_zuord_Transfers_Storages[[#This Row],[kval_active]],dict_zuord_Transfers_Storages[[#This Row],[ID_Storages]],"")</f>
        <v/>
      </c>
    </row>
    <row r="763" spans="1:4" x14ac:dyDescent="0.45">
      <c r="A763">
        <v>84</v>
      </c>
      <c r="B763">
        <f t="shared" ca="1" si="11"/>
        <v>66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3" t="str">
        <f ca="1">IF(dict_zuord_Transfers_Storages[[#This Row],[kval_active]],dict_zuord_Transfers_Storages[[#This Row],[ID_Storages]],"")</f>
        <v/>
      </c>
    </row>
    <row r="764" spans="1:4" x14ac:dyDescent="0.45">
      <c r="A764">
        <v>84</v>
      </c>
      <c r="B764">
        <f t="shared" ca="1" si="11"/>
        <v>68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4" t="str">
        <f ca="1">IF(dict_zuord_Transfers_Storages[[#This Row],[kval_active]],dict_zuord_Transfers_Storages[[#This Row],[ID_Storages]],"")</f>
        <v/>
      </c>
    </row>
    <row r="765" spans="1:4" x14ac:dyDescent="0.45">
      <c r="A765">
        <v>84</v>
      </c>
      <c r="B765">
        <f t="shared" ca="1" si="11"/>
        <v>49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5" t="str">
        <f ca="1">IF(dict_zuord_Transfers_Storages[[#This Row],[kval_active]],dict_zuord_Transfers_Storages[[#This Row],[ID_Storages]],"")</f>
        <v/>
      </c>
    </row>
    <row r="766" spans="1:4" x14ac:dyDescent="0.45">
      <c r="A766">
        <v>84</v>
      </c>
      <c r="B766">
        <f t="shared" ca="1" si="11"/>
        <v>61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6" t="str">
        <f ca="1">IF(dict_zuord_Transfers_Storages[[#This Row],[kval_active]],dict_zuord_Transfers_Storages[[#This Row],[ID_Storages]],"")</f>
        <v/>
      </c>
    </row>
    <row r="767" spans="1:4" x14ac:dyDescent="0.45">
      <c r="A767">
        <v>85</v>
      </c>
      <c r="B767">
        <f t="shared" ca="1" si="11"/>
        <v>79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7" t="str">
        <f ca="1">IF(dict_zuord_Transfers_Storages[[#This Row],[kval_active]],dict_zuord_Transfers_Storages[[#This Row],[ID_Storages]],"")</f>
        <v/>
      </c>
    </row>
    <row r="768" spans="1:4" x14ac:dyDescent="0.45">
      <c r="A768">
        <v>85</v>
      </c>
      <c r="B768">
        <f t="shared" ca="1" si="11"/>
        <v>58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8" t="str">
        <f ca="1">IF(dict_zuord_Transfers_Storages[[#This Row],[kval_active]],dict_zuord_Transfers_Storages[[#This Row],[ID_Storages]],"")</f>
        <v/>
      </c>
    </row>
    <row r="769" spans="1:4" x14ac:dyDescent="0.45">
      <c r="A769">
        <v>85</v>
      </c>
      <c r="B769">
        <f t="shared" ca="1" si="11"/>
        <v>92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9" t="str">
        <f ca="1">IF(dict_zuord_Transfers_Storages[[#This Row],[kval_active]],dict_zuord_Transfers_Storages[[#This Row],[ID_Storages]],"")</f>
        <v/>
      </c>
    </row>
    <row r="770" spans="1:4" x14ac:dyDescent="0.45">
      <c r="A770">
        <v>85</v>
      </c>
      <c r="B770">
        <f t="shared" ref="B770:B833" ca="1" si="12">RANDBETWEEN(0,100)</f>
        <v>85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0" t="str">
        <f ca="1">IF(dict_zuord_Transfers_Storages[[#This Row],[kval_active]],dict_zuord_Transfers_Storages[[#This Row],[ID_Storages]],"")</f>
        <v/>
      </c>
    </row>
    <row r="771" spans="1:4" x14ac:dyDescent="0.45">
      <c r="A771">
        <v>85</v>
      </c>
      <c r="B771">
        <f t="shared" ca="1" si="12"/>
        <v>4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1" t="str">
        <f ca="1">IF(dict_zuord_Transfers_Storages[[#This Row],[kval_active]],dict_zuord_Transfers_Storages[[#This Row],[ID_Storages]],"")</f>
        <v/>
      </c>
    </row>
    <row r="772" spans="1:4" x14ac:dyDescent="0.45">
      <c r="A772">
        <v>85</v>
      </c>
      <c r="B772">
        <f t="shared" ca="1" si="12"/>
        <v>68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2" t="str">
        <f ca="1">IF(dict_zuord_Transfers_Storages[[#This Row],[kval_active]],dict_zuord_Transfers_Storages[[#This Row],[ID_Storages]],"")</f>
        <v/>
      </c>
    </row>
    <row r="773" spans="1:4" x14ac:dyDescent="0.45">
      <c r="A773">
        <v>85</v>
      </c>
      <c r="B773">
        <f t="shared" ca="1" si="12"/>
        <v>50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3" t="str">
        <f ca="1">IF(dict_zuord_Transfers_Storages[[#This Row],[kval_active]],dict_zuord_Transfers_Storages[[#This Row],[ID_Storages]],"")</f>
        <v/>
      </c>
    </row>
    <row r="774" spans="1:4" x14ac:dyDescent="0.45">
      <c r="A774">
        <v>85</v>
      </c>
      <c r="B774">
        <f t="shared" ca="1" si="12"/>
        <v>92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4" t="str">
        <f ca="1">IF(dict_zuord_Transfers_Storages[[#This Row],[kval_active]],dict_zuord_Transfers_Storages[[#This Row],[ID_Storages]],"")</f>
        <v/>
      </c>
    </row>
    <row r="775" spans="1:4" x14ac:dyDescent="0.45">
      <c r="A775">
        <v>85</v>
      </c>
      <c r="B775">
        <f t="shared" ca="1" si="12"/>
        <v>8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5" t="str">
        <f ca="1">IF(dict_zuord_Transfers_Storages[[#This Row],[kval_active]],dict_zuord_Transfers_Storages[[#This Row],[ID_Storages]],"")</f>
        <v/>
      </c>
    </row>
    <row r="776" spans="1:4" x14ac:dyDescent="0.45">
      <c r="A776">
        <v>86</v>
      </c>
      <c r="B776">
        <f t="shared" ca="1" si="12"/>
        <v>53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6" t="str">
        <f ca="1">IF(dict_zuord_Transfers_Storages[[#This Row],[kval_active]],dict_zuord_Transfers_Storages[[#This Row],[ID_Storages]],"")</f>
        <v/>
      </c>
    </row>
    <row r="777" spans="1:4" x14ac:dyDescent="0.45">
      <c r="A777">
        <v>86</v>
      </c>
      <c r="B777">
        <f t="shared" ca="1" si="12"/>
        <v>94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7" t="str">
        <f ca="1">IF(dict_zuord_Transfers_Storages[[#This Row],[kval_active]],dict_zuord_Transfers_Storages[[#This Row],[ID_Storages]],"")</f>
        <v/>
      </c>
    </row>
    <row r="778" spans="1:4" x14ac:dyDescent="0.45">
      <c r="A778">
        <v>86</v>
      </c>
      <c r="B778">
        <f t="shared" ca="1" si="12"/>
        <v>19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8" t="str">
        <f ca="1">IF(dict_zuord_Transfers_Storages[[#This Row],[kval_active]],dict_zuord_Transfers_Storages[[#This Row],[ID_Storages]],"")</f>
        <v/>
      </c>
    </row>
    <row r="779" spans="1:4" x14ac:dyDescent="0.45">
      <c r="A779">
        <v>86</v>
      </c>
      <c r="B779">
        <f t="shared" ca="1" si="12"/>
        <v>90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9" t="str">
        <f ca="1">IF(dict_zuord_Transfers_Storages[[#This Row],[kval_active]],dict_zuord_Transfers_Storages[[#This Row],[ID_Storages]],"")</f>
        <v/>
      </c>
    </row>
    <row r="780" spans="1:4" x14ac:dyDescent="0.45">
      <c r="A780">
        <v>86</v>
      </c>
      <c r="B780">
        <f t="shared" ca="1" si="12"/>
        <v>55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0" t="str">
        <f ca="1">IF(dict_zuord_Transfers_Storages[[#This Row],[kval_active]],dict_zuord_Transfers_Storages[[#This Row],[ID_Storages]],"")</f>
        <v/>
      </c>
    </row>
    <row r="781" spans="1:4" x14ac:dyDescent="0.45">
      <c r="A781">
        <v>86</v>
      </c>
      <c r="B781">
        <f t="shared" ca="1" si="12"/>
        <v>98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1" t="str">
        <f ca="1">IF(dict_zuord_Transfers_Storages[[#This Row],[kval_active]],dict_zuord_Transfers_Storages[[#This Row],[ID_Storages]],"")</f>
        <v/>
      </c>
    </row>
    <row r="782" spans="1:4" x14ac:dyDescent="0.45">
      <c r="A782">
        <v>86</v>
      </c>
      <c r="B782">
        <f t="shared" ca="1" si="12"/>
        <v>66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2" t="str">
        <f ca="1">IF(dict_zuord_Transfers_Storages[[#This Row],[kval_active]],dict_zuord_Transfers_Storages[[#This Row],[ID_Storages]],"")</f>
        <v/>
      </c>
    </row>
    <row r="783" spans="1:4" x14ac:dyDescent="0.45">
      <c r="A783">
        <v>86</v>
      </c>
      <c r="B783">
        <f t="shared" ca="1" si="12"/>
        <v>18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3" t="str">
        <f ca="1">IF(dict_zuord_Transfers_Storages[[#This Row],[kval_active]],dict_zuord_Transfers_Storages[[#This Row],[ID_Storages]],"")</f>
        <v/>
      </c>
    </row>
    <row r="784" spans="1:4" x14ac:dyDescent="0.45">
      <c r="A784">
        <v>86</v>
      </c>
      <c r="B784">
        <f t="shared" ca="1" si="12"/>
        <v>56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4" t="str">
        <f ca="1">IF(dict_zuord_Transfers_Storages[[#This Row],[kval_active]],dict_zuord_Transfers_Storages[[#This Row],[ID_Storages]],"")</f>
        <v/>
      </c>
    </row>
    <row r="785" spans="1:4" x14ac:dyDescent="0.45">
      <c r="A785">
        <v>87</v>
      </c>
      <c r="B785">
        <f t="shared" ca="1" si="12"/>
        <v>66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66</v>
      </c>
    </row>
    <row r="786" spans="1:4" x14ac:dyDescent="0.45">
      <c r="A786">
        <v>87</v>
      </c>
      <c r="B786">
        <f t="shared" ca="1" si="12"/>
        <v>38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38</v>
      </c>
    </row>
    <row r="787" spans="1:4" x14ac:dyDescent="0.45">
      <c r="A787">
        <v>87</v>
      </c>
      <c r="B787">
        <f t="shared" ca="1" si="12"/>
        <v>80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80</v>
      </c>
    </row>
    <row r="788" spans="1:4" x14ac:dyDescent="0.45">
      <c r="A788">
        <v>87</v>
      </c>
      <c r="B788">
        <f t="shared" ca="1" si="12"/>
        <v>6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6</v>
      </c>
    </row>
    <row r="789" spans="1:4" x14ac:dyDescent="0.45">
      <c r="A789">
        <v>87</v>
      </c>
      <c r="B789">
        <f t="shared" ca="1" si="12"/>
        <v>5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5</v>
      </c>
    </row>
    <row r="790" spans="1:4" x14ac:dyDescent="0.45">
      <c r="A790">
        <v>87</v>
      </c>
      <c r="B790">
        <f t="shared" ca="1" si="12"/>
        <v>38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38</v>
      </c>
    </row>
    <row r="791" spans="1:4" x14ac:dyDescent="0.45">
      <c r="A791">
        <v>87</v>
      </c>
      <c r="B791">
        <f t="shared" ca="1" si="12"/>
        <v>95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95</v>
      </c>
    </row>
    <row r="792" spans="1:4" x14ac:dyDescent="0.45">
      <c r="A792">
        <v>87</v>
      </c>
      <c r="B792">
        <f t="shared" ca="1" si="12"/>
        <v>94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94</v>
      </c>
    </row>
    <row r="793" spans="1:4" x14ac:dyDescent="0.45">
      <c r="A793">
        <v>87</v>
      </c>
      <c r="B793">
        <f t="shared" ca="1" si="12"/>
        <v>34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34</v>
      </c>
    </row>
    <row r="794" spans="1:4" x14ac:dyDescent="0.45">
      <c r="A794">
        <v>88</v>
      </c>
      <c r="B794">
        <f t="shared" ca="1" si="12"/>
        <v>13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4" t="str">
        <f ca="1">IF(dict_zuord_Transfers_Storages[[#This Row],[kval_active]],dict_zuord_Transfers_Storages[[#This Row],[ID_Storages]],"")</f>
        <v/>
      </c>
    </row>
    <row r="795" spans="1:4" x14ac:dyDescent="0.45">
      <c r="A795">
        <v>88</v>
      </c>
      <c r="B795">
        <f t="shared" ca="1" si="12"/>
        <v>7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5" t="str">
        <f ca="1">IF(dict_zuord_Transfers_Storages[[#This Row],[kval_active]],dict_zuord_Transfers_Storages[[#This Row],[ID_Storages]],"")</f>
        <v/>
      </c>
    </row>
    <row r="796" spans="1:4" x14ac:dyDescent="0.45">
      <c r="A796">
        <v>88</v>
      </c>
      <c r="B796">
        <f t="shared" ca="1" si="12"/>
        <v>77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6" t="str">
        <f ca="1">IF(dict_zuord_Transfers_Storages[[#This Row],[kval_active]],dict_zuord_Transfers_Storages[[#This Row],[ID_Storages]],"")</f>
        <v/>
      </c>
    </row>
    <row r="797" spans="1:4" x14ac:dyDescent="0.45">
      <c r="A797">
        <v>88</v>
      </c>
      <c r="B797">
        <f t="shared" ca="1" si="12"/>
        <v>69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7" t="str">
        <f ca="1">IF(dict_zuord_Transfers_Storages[[#This Row],[kval_active]],dict_zuord_Transfers_Storages[[#This Row],[ID_Storages]],"")</f>
        <v/>
      </c>
    </row>
    <row r="798" spans="1:4" x14ac:dyDescent="0.45">
      <c r="A798">
        <v>88</v>
      </c>
      <c r="B798">
        <f t="shared" ca="1" si="12"/>
        <v>34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8" t="str">
        <f ca="1">IF(dict_zuord_Transfers_Storages[[#This Row],[kval_active]],dict_zuord_Transfers_Storages[[#This Row],[ID_Storages]],"")</f>
        <v/>
      </c>
    </row>
    <row r="799" spans="1:4" x14ac:dyDescent="0.45">
      <c r="A799">
        <v>88</v>
      </c>
      <c r="B799">
        <f t="shared" ca="1" si="12"/>
        <v>89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9" t="str">
        <f ca="1">IF(dict_zuord_Transfers_Storages[[#This Row],[kval_active]],dict_zuord_Transfers_Storages[[#This Row],[ID_Storages]],"")</f>
        <v/>
      </c>
    </row>
    <row r="800" spans="1:4" x14ac:dyDescent="0.45">
      <c r="A800">
        <v>88</v>
      </c>
      <c r="B800">
        <f t="shared" ca="1" si="12"/>
        <v>17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0" t="str">
        <f ca="1">IF(dict_zuord_Transfers_Storages[[#This Row],[kval_active]],dict_zuord_Transfers_Storages[[#This Row],[ID_Storages]],"")</f>
        <v/>
      </c>
    </row>
    <row r="801" spans="1:4" x14ac:dyDescent="0.45">
      <c r="A801">
        <v>88</v>
      </c>
      <c r="B801">
        <f t="shared" ca="1" si="12"/>
        <v>20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1" t="str">
        <f ca="1">IF(dict_zuord_Transfers_Storages[[#This Row],[kval_active]],dict_zuord_Transfers_Storages[[#This Row],[ID_Storages]],"")</f>
        <v/>
      </c>
    </row>
    <row r="802" spans="1:4" x14ac:dyDescent="0.45">
      <c r="A802">
        <v>88</v>
      </c>
      <c r="B802">
        <f t="shared" ca="1" si="12"/>
        <v>30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2" t="str">
        <f ca="1">IF(dict_zuord_Transfers_Storages[[#This Row],[kval_active]],dict_zuord_Transfers_Storages[[#This Row],[ID_Storages]],"")</f>
        <v/>
      </c>
    </row>
    <row r="803" spans="1:4" x14ac:dyDescent="0.45">
      <c r="A803">
        <v>89</v>
      </c>
      <c r="B803">
        <f t="shared" ca="1" si="12"/>
        <v>89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89</v>
      </c>
    </row>
    <row r="804" spans="1:4" x14ac:dyDescent="0.45">
      <c r="A804">
        <v>89</v>
      </c>
      <c r="B804">
        <f t="shared" ca="1" si="12"/>
        <v>46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46</v>
      </c>
    </row>
    <row r="805" spans="1:4" x14ac:dyDescent="0.45">
      <c r="A805">
        <v>89</v>
      </c>
      <c r="B805">
        <f t="shared" ca="1" si="12"/>
        <v>51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51</v>
      </c>
    </row>
    <row r="806" spans="1:4" x14ac:dyDescent="0.45">
      <c r="A806">
        <v>89</v>
      </c>
      <c r="B806">
        <f t="shared" ca="1" si="12"/>
        <v>33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33</v>
      </c>
    </row>
    <row r="807" spans="1:4" x14ac:dyDescent="0.45">
      <c r="A807">
        <v>89</v>
      </c>
      <c r="B807">
        <f t="shared" ca="1" si="12"/>
        <v>66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66</v>
      </c>
    </row>
    <row r="808" spans="1:4" x14ac:dyDescent="0.45">
      <c r="A808">
        <v>89</v>
      </c>
      <c r="B808">
        <f t="shared" ca="1" si="12"/>
        <v>88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88</v>
      </c>
    </row>
    <row r="809" spans="1:4" x14ac:dyDescent="0.45">
      <c r="A809">
        <v>89</v>
      </c>
      <c r="B809">
        <f t="shared" ca="1" si="12"/>
        <v>64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64</v>
      </c>
    </row>
    <row r="810" spans="1:4" x14ac:dyDescent="0.45">
      <c r="A810">
        <v>89</v>
      </c>
      <c r="B810">
        <f t="shared" ca="1" si="12"/>
        <v>58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58</v>
      </c>
    </row>
    <row r="811" spans="1:4" x14ac:dyDescent="0.45">
      <c r="A811">
        <v>89</v>
      </c>
      <c r="B811">
        <f t="shared" ca="1" si="12"/>
        <v>42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42</v>
      </c>
    </row>
    <row r="812" spans="1:4" x14ac:dyDescent="0.45">
      <c r="A812">
        <v>90</v>
      </c>
      <c r="B812">
        <f t="shared" ca="1" si="12"/>
        <v>53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2" t="str">
        <f ca="1">IF(dict_zuord_Transfers_Storages[[#This Row],[kval_active]],dict_zuord_Transfers_Storages[[#This Row],[ID_Storages]],"")</f>
        <v/>
      </c>
    </row>
    <row r="813" spans="1:4" x14ac:dyDescent="0.45">
      <c r="A813">
        <v>90</v>
      </c>
      <c r="B813">
        <f t="shared" ca="1" si="12"/>
        <v>47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3" t="str">
        <f ca="1">IF(dict_zuord_Transfers_Storages[[#This Row],[kval_active]],dict_zuord_Transfers_Storages[[#This Row],[ID_Storages]],"")</f>
        <v/>
      </c>
    </row>
    <row r="814" spans="1:4" x14ac:dyDescent="0.45">
      <c r="A814">
        <v>90</v>
      </c>
      <c r="B814">
        <f t="shared" ca="1" si="12"/>
        <v>64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4" t="str">
        <f ca="1">IF(dict_zuord_Transfers_Storages[[#This Row],[kval_active]],dict_zuord_Transfers_Storages[[#This Row],[ID_Storages]],"")</f>
        <v/>
      </c>
    </row>
    <row r="815" spans="1:4" x14ac:dyDescent="0.45">
      <c r="A815">
        <v>90</v>
      </c>
      <c r="B815">
        <f t="shared" ca="1" si="12"/>
        <v>46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5" t="str">
        <f ca="1">IF(dict_zuord_Transfers_Storages[[#This Row],[kval_active]],dict_zuord_Transfers_Storages[[#This Row],[ID_Storages]],"")</f>
        <v/>
      </c>
    </row>
    <row r="816" spans="1:4" x14ac:dyDescent="0.45">
      <c r="A816">
        <v>90</v>
      </c>
      <c r="B816">
        <f t="shared" ca="1" si="12"/>
        <v>59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6" t="str">
        <f ca="1">IF(dict_zuord_Transfers_Storages[[#This Row],[kval_active]],dict_zuord_Transfers_Storages[[#This Row],[ID_Storages]],"")</f>
        <v/>
      </c>
    </row>
    <row r="817" spans="1:4" x14ac:dyDescent="0.45">
      <c r="A817">
        <v>90</v>
      </c>
      <c r="B817">
        <f t="shared" ca="1" si="12"/>
        <v>48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7" t="str">
        <f ca="1">IF(dict_zuord_Transfers_Storages[[#This Row],[kval_active]],dict_zuord_Transfers_Storages[[#This Row],[ID_Storages]],"")</f>
        <v/>
      </c>
    </row>
    <row r="818" spans="1:4" x14ac:dyDescent="0.45">
      <c r="A818">
        <v>90</v>
      </c>
      <c r="B818">
        <f t="shared" ca="1" si="12"/>
        <v>23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8" t="str">
        <f ca="1">IF(dict_zuord_Transfers_Storages[[#This Row],[kval_active]],dict_zuord_Transfers_Storages[[#This Row],[ID_Storages]],"")</f>
        <v/>
      </c>
    </row>
    <row r="819" spans="1:4" x14ac:dyDescent="0.45">
      <c r="A819">
        <v>90</v>
      </c>
      <c r="B819">
        <f t="shared" ca="1" si="12"/>
        <v>16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9" t="str">
        <f ca="1">IF(dict_zuord_Transfers_Storages[[#This Row],[kval_active]],dict_zuord_Transfers_Storages[[#This Row],[ID_Storages]],"")</f>
        <v/>
      </c>
    </row>
    <row r="820" spans="1:4" x14ac:dyDescent="0.45">
      <c r="A820">
        <v>90</v>
      </c>
      <c r="B820">
        <f t="shared" ca="1" si="12"/>
        <v>92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0" t="str">
        <f ca="1">IF(dict_zuord_Transfers_Storages[[#This Row],[kval_active]],dict_zuord_Transfers_Storages[[#This Row],[ID_Storages]],"")</f>
        <v/>
      </c>
    </row>
    <row r="821" spans="1:4" x14ac:dyDescent="0.45">
      <c r="A821">
        <v>91</v>
      </c>
      <c r="B821">
        <f t="shared" ca="1" si="12"/>
        <v>85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85</v>
      </c>
    </row>
    <row r="822" spans="1:4" x14ac:dyDescent="0.45">
      <c r="A822">
        <v>91</v>
      </c>
      <c r="B822">
        <f t="shared" ca="1" si="12"/>
        <v>16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16</v>
      </c>
    </row>
    <row r="823" spans="1:4" x14ac:dyDescent="0.45">
      <c r="A823">
        <v>91</v>
      </c>
      <c r="B823">
        <f t="shared" ca="1" si="12"/>
        <v>68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68</v>
      </c>
    </row>
    <row r="824" spans="1:4" x14ac:dyDescent="0.45">
      <c r="A824">
        <v>91</v>
      </c>
      <c r="B824">
        <f t="shared" ca="1" si="12"/>
        <v>82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82</v>
      </c>
    </row>
    <row r="825" spans="1:4" x14ac:dyDescent="0.45">
      <c r="A825">
        <v>91</v>
      </c>
      <c r="B825">
        <f t="shared" ca="1" si="12"/>
        <v>58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58</v>
      </c>
    </row>
    <row r="826" spans="1:4" x14ac:dyDescent="0.45">
      <c r="A826">
        <v>91</v>
      </c>
      <c r="B826">
        <f t="shared" ca="1" si="12"/>
        <v>69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69</v>
      </c>
    </row>
    <row r="827" spans="1:4" x14ac:dyDescent="0.45">
      <c r="A827">
        <v>91</v>
      </c>
      <c r="B827">
        <f t="shared" ca="1" si="12"/>
        <v>21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21</v>
      </c>
    </row>
    <row r="828" spans="1:4" x14ac:dyDescent="0.45">
      <c r="A828">
        <v>91</v>
      </c>
      <c r="B828">
        <f t="shared" ca="1" si="12"/>
        <v>71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71</v>
      </c>
    </row>
    <row r="829" spans="1:4" x14ac:dyDescent="0.45">
      <c r="A829">
        <v>91</v>
      </c>
      <c r="B829">
        <f t="shared" ca="1" si="12"/>
        <v>91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91</v>
      </c>
    </row>
    <row r="830" spans="1:4" x14ac:dyDescent="0.45">
      <c r="A830">
        <v>92</v>
      </c>
      <c r="B830">
        <f t="shared" ca="1" si="12"/>
        <v>72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72</v>
      </c>
    </row>
    <row r="831" spans="1:4" x14ac:dyDescent="0.45">
      <c r="A831">
        <v>92</v>
      </c>
      <c r="B831">
        <f t="shared" ca="1" si="12"/>
        <v>53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53</v>
      </c>
    </row>
    <row r="832" spans="1:4" x14ac:dyDescent="0.45">
      <c r="A832">
        <v>92</v>
      </c>
      <c r="B832">
        <f t="shared" ca="1" si="12"/>
        <v>92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92</v>
      </c>
    </row>
    <row r="833" spans="1:4" x14ac:dyDescent="0.45">
      <c r="A833">
        <v>92</v>
      </c>
      <c r="B833">
        <f t="shared" ca="1" si="12"/>
        <v>39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39</v>
      </c>
    </row>
    <row r="834" spans="1:4" x14ac:dyDescent="0.45">
      <c r="A834">
        <v>92</v>
      </c>
      <c r="B834">
        <f t="shared" ref="B834:B897" ca="1" si="13">RANDBETWEEN(0,100)</f>
        <v>91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91</v>
      </c>
    </row>
    <row r="835" spans="1:4" x14ac:dyDescent="0.45">
      <c r="A835">
        <v>92</v>
      </c>
      <c r="B835">
        <f t="shared" ca="1" si="13"/>
        <v>43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43</v>
      </c>
    </row>
    <row r="836" spans="1:4" x14ac:dyDescent="0.45">
      <c r="A836">
        <v>92</v>
      </c>
      <c r="B836">
        <f t="shared" ca="1" si="13"/>
        <v>67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67</v>
      </c>
    </row>
    <row r="837" spans="1:4" x14ac:dyDescent="0.45">
      <c r="A837">
        <v>92</v>
      </c>
      <c r="B837">
        <f t="shared" ca="1" si="13"/>
        <v>10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10</v>
      </c>
    </row>
    <row r="838" spans="1:4" x14ac:dyDescent="0.45">
      <c r="A838">
        <v>92</v>
      </c>
      <c r="B838">
        <f t="shared" ca="1" si="13"/>
        <v>50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50</v>
      </c>
    </row>
    <row r="839" spans="1:4" x14ac:dyDescent="0.45">
      <c r="A839">
        <v>93</v>
      </c>
      <c r="B839">
        <f t="shared" ca="1" si="13"/>
        <v>81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81</v>
      </c>
    </row>
    <row r="840" spans="1:4" x14ac:dyDescent="0.45">
      <c r="A840">
        <v>93</v>
      </c>
      <c r="B840">
        <f t="shared" ca="1" si="13"/>
        <v>98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98</v>
      </c>
    </row>
    <row r="841" spans="1:4" x14ac:dyDescent="0.45">
      <c r="A841">
        <v>93</v>
      </c>
      <c r="B841">
        <f t="shared" ca="1" si="13"/>
        <v>43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43</v>
      </c>
    </row>
    <row r="842" spans="1:4" x14ac:dyDescent="0.45">
      <c r="A842">
        <v>93</v>
      </c>
      <c r="B842">
        <f t="shared" ca="1" si="13"/>
        <v>82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82</v>
      </c>
    </row>
    <row r="843" spans="1:4" x14ac:dyDescent="0.45">
      <c r="A843">
        <v>93</v>
      </c>
      <c r="B843">
        <f t="shared" ca="1" si="13"/>
        <v>84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84</v>
      </c>
    </row>
    <row r="844" spans="1:4" x14ac:dyDescent="0.45">
      <c r="A844">
        <v>93</v>
      </c>
      <c r="B844">
        <f t="shared" ca="1" si="13"/>
        <v>81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81</v>
      </c>
    </row>
    <row r="845" spans="1:4" x14ac:dyDescent="0.45">
      <c r="A845">
        <v>93</v>
      </c>
      <c r="B845">
        <f t="shared" ca="1" si="13"/>
        <v>3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3</v>
      </c>
    </row>
    <row r="846" spans="1:4" x14ac:dyDescent="0.45">
      <c r="A846">
        <v>93</v>
      </c>
      <c r="B846">
        <f t="shared" ca="1" si="13"/>
        <v>32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32</v>
      </c>
    </row>
    <row r="847" spans="1:4" x14ac:dyDescent="0.45">
      <c r="A847">
        <v>93</v>
      </c>
      <c r="B847">
        <f t="shared" ca="1" si="13"/>
        <v>49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49</v>
      </c>
    </row>
    <row r="848" spans="1:4" x14ac:dyDescent="0.45">
      <c r="A848">
        <v>94</v>
      </c>
      <c r="B848">
        <f t="shared" ca="1" si="13"/>
        <v>68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8" t="str">
        <f ca="1">IF(dict_zuord_Transfers_Storages[[#This Row],[kval_active]],dict_zuord_Transfers_Storages[[#This Row],[ID_Storages]],"")</f>
        <v/>
      </c>
    </row>
    <row r="849" spans="1:4" x14ac:dyDescent="0.45">
      <c r="A849">
        <v>94</v>
      </c>
      <c r="B849">
        <f t="shared" ca="1" si="13"/>
        <v>52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9" t="str">
        <f ca="1">IF(dict_zuord_Transfers_Storages[[#This Row],[kval_active]],dict_zuord_Transfers_Storages[[#This Row],[ID_Storages]],"")</f>
        <v/>
      </c>
    </row>
    <row r="850" spans="1:4" x14ac:dyDescent="0.45">
      <c r="A850">
        <v>94</v>
      </c>
      <c r="B850">
        <f t="shared" ca="1" si="13"/>
        <v>63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0" t="str">
        <f ca="1">IF(dict_zuord_Transfers_Storages[[#This Row],[kval_active]],dict_zuord_Transfers_Storages[[#This Row],[ID_Storages]],"")</f>
        <v/>
      </c>
    </row>
    <row r="851" spans="1:4" x14ac:dyDescent="0.45">
      <c r="A851">
        <v>94</v>
      </c>
      <c r="B851">
        <f t="shared" ca="1" si="13"/>
        <v>59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1" t="str">
        <f ca="1">IF(dict_zuord_Transfers_Storages[[#This Row],[kval_active]],dict_zuord_Transfers_Storages[[#This Row],[ID_Storages]],"")</f>
        <v/>
      </c>
    </row>
    <row r="852" spans="1:4" x14ac:dyDescent="0.45">
      <c r="A852">
        <v>94</v>
      </c>
      <c r="B852">
        <f t="shared" ca="1" si="13"/>
        <v>48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2" t="str">
        <f ca="1">IF(dict_zuord_Transfers_Storages[[#This Row],[kval_active]],dict_zuord_Transfers_Storages[[#This Row],[ID_Storages]],"")</f>
        <v/>
      </c>
    </row>
    <row r="853" spans="1:4" x14ac:dyDescent="0.45">
      <c r="A853">
        <v>94</v>
      </c>
      <c r="B853">
        <f t="shared" ca="1" si="13"/>
        <v>36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3" t="str">
        <f ca="1">IF(dict_zuord_Transfers_Storages[[#This Row],[kval_active]],dict_zuord_Transfers_Storages[[#This Row],[ID_Storages]],"")</f>
        <v/>
      </c>
    </row>
    <row r="854" spans="1:4" x14ac:dyDescent="0.45">
      <c r="A854">
        <v>94</v>
      </c>
      <c r="B854">
        <f t="shared" ca="1" si="13"/>
        <v>94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4" t="str">
        <f ca="1">IF(dict_zuord_Transfers_Storages[[#This Row],[kval_active]],dict_zuord_Transfers_Storages[[#This Row],[ID_Storages]],"")</f>
        <v/>
      </c>
    </row>
    <row r="855" spans="1:4" x14ac:dyDescent="0.45">
      <c r="A855">
        <v>94</v>
      </c>
      <c r="B855">
        <f t="shared" ca="1" si="13"/>
        <v>73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5" t="str">
        <f ca="1">IF(dict_zuord_Transfers_Storages[[#This Row],[kval_active]],dict_zuord_Transfers_Storages[[#This Row],[ID_Storages]],"")</f>
        <v/>
      </c>
    </row>
    <row r="856" spans="1:4" x14ac:dyDescent="0.45">
      <c r="A856">
        <v>94</v>
      </c>
      <c r="B856">
        <f t="shared" ca="1" si="13"/>
        <v>79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6" t="str">
        <f ca="1">IF(dict_zuord_Transfers_Storages[[#This Row],[kval_active]],dict_zuord_Transfers_Storages[[#This Row],[ID_Storages]],"")</f>
        <v/>
      </c>
    </row>
    <row r="857" spans="1:4" x14ac:dyDescent="0.45">
      <c r="A857">
        <v>95</v>
      </c>
      <c r="B857">
        <f t="shared" ca="1" si="13"/>
        <v>87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7" t="str">
        <f ca="1">IF(dict_zuord_Transfers_Storages[[#This Row],[kval_active]],dict_zuord_Transfers_Storages[[#This Row],[ID_Storages]],"")</f>
        <v/>
      </c>
    </row>
    <row r="858" spans="1:4" x14ac:dyDescent="0.45">
      <c r="A858">
        <v>95</v>
      </c>
      <c r="B858">
        <f t="shared" ca="1" si="13"/>
        <v>29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8" t="str">
        <f ca="1">IF(dict_zuord_Transfers_Storages[[#This Row],[kval_active]],dict_zuord_Transfers_Storages[[#This Row],[ID_Storages]],"")</f>
        <v/>
      </c>
    </row>
    <row r="859" spans="1:4" x14ac:dyDescent="0.45">
      <c r="A859">
        <v>95</v>
      </c>
      <c r="B859">
        <f t="shared" ca="1" si="13"/>
        <v>41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9" t="str">
        <f ca="1">IF(dict_zuord_Transfers_Storages[[#This Row],[kval_active]],dict_zuord_Transfers_Storages[[#This Row],[ID_Storages]],"")</f>
        <v/>
      </c>
    </row>
    <row r="860" spans="1:4" x14ac:dyDescent="0.45">
      <c r="A860">
        <v>95</v>
      </c>
      <c r="B860">
        <f t="shared" ca="1" si="13"/>
        <v>7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0" t="str">
        <f ca="1">IF(dict_zuord_Transfers_Storages[[#This Row],[kval_active]],dict_zuord_Transfers_Storages[[#This Row],[ID_Storages]],"")</f>
        <v/>
      </c>
    </row>
    <row r="861" spans="1:4" x14ac:dyDescent="0.45">
      <c r="A861">
        <v>95</v>
      </c>
      <c r="B861">
        <f t="shared" ca="1" si="13"/>
        <v>96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1" t="str">
        <f ca="1">IF(dict_zuord_Transfers_Storages[[#This Row],[kval_active]],dict_zuord_Transfers_Storages[[#This Row],[ID_Storages]],"")</f>
        <v/>
      </c>
    </row>
    <row r="862" spans="1:4" x14ac:dyDescent="0.45">
      <c r="A862">
        <v>95</v>
      </c>
      <c r="B862">
        <f t="shared" ca="1" si="13"/>
        <v>19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2" t="str">
        <f ca="1">IF(dict_zuord_Transfers_Storages[[#This Row],[kval_active]],dict_zuord_Transfers_Storages[[#This Row],[ID_Storages]],"")</f>
        <v/>
      </c>
    </row>
    <row r="863" spans="1:4" x14ac:dyDescent="0.45">
      <c r="A863">
        <v>95</v>
      </c>
      <c r="B863">
        <f t="shared" ca="1" si="13"/>
        <v>23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3" t="str">
        <f ca="1">IF(dict_zuord_Transfers_Storages[[#This Row],[kval_active]],dict_zuord_Transfers_Storages[[#This Row],[ID_Storages]],"")</f>
        <v/>
      </c>
    </row>
    <row r="864" spans="1:4" x14ac:dyDescent="0.45">
      <c r="A864">
        <v>95</v>
      </c>
      <c r="B864">
        <f t="shared" ca="1" si="13"/>
        <v>69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4" t="str">
        <f ca="1">IF(dict_zuord_Transfers_Storages[[#This Row],[kval_active]],dict_zuord_Transfers_Storages[[#This Row],[ID_Storages]],"")</f>
        <v/>
      </c>
    </row>
    <row r="865" spans="1:4" x14ac:dyDescent="0.45">
      <c r="A865">
        <v>95</v>
      </c>
      <c r="B865">
        <f t="shared" ca="1" si="13"/>
        <v>75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5" t="str">
        <f ca="1">IF(dict_zuord_Transfers_Storages[[#This Row],[kval_active]],dict_zuord_Transfers_Storages[[#This Row],[ID_Storages]],"")</f>
        <v/>
      </c>
    </row>
    <row r="866" spans="1:4" x14ac:dyDescent="0.45">
      <c r="A866">
        <v>96</v>
      </c>
      <c r="B866">
        <f t="shared" ca="1" si="13"/>
        <v>68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6" t="str">
        <f ca="1">IF(dict_zuord_Transfers_Storages[[#This Row],[kval_active]],dict_zuord_Transfers_Storages[[#This Row],[ID_Storages]],"")</f>
        <v/>
      </c>
    </row>
    <row r="867" spans="1:4" x14ac:dyDescent="0.45">
      <c r="A867">
        <v>96</v>
      </c>
      <c r="B867">
        <f t="shared" ca="1" si="13"/>
        <v>41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7" t="str">
        <f ca="1">IF(dict_zuord_Transfers_Storages[[#This Row],[kval_active]],dict_zuord_Transfers_Storages[[#This Row],[ID_Storages]],"")</f>
        <v/>
      </c>
    </row>
    <row r="868" spans="1:4" x14ac:dyDescent="0.45">
      <c r="A868">
        <v>96</v>
      </c>
      <c r="B868">
        <f t="shared" ca="1" si="13"/>
        <v>51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8" t="str">
        <f ca="1">IF(dict_zuord_Transfers_Storages[[#This Row],[kval_active]],dict_zuord_Transfers_Storages[[#This Row],[ID_Storages]],"")</f>
        <v/>
      </c>
    </row>
    <row r="869" spans="1:4" x14ac:dyDescent="0.45">
      <c r="A869">
        <v>96</v>
      </c>
      <c r="B869">
        <f t="shared" ca="1" si="13"/>
        <v>41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9" t="str">
        <f ca="1">IF(dict_zuord_Transfers_Storages[[#This Row],[kval_active]],dict_zuord_Transfers_Storages[[#This Row],[ID_Storages]],"")</f>
        <v/>
      </c>
    </row>
    <row r="870" spans="1:4" x14ac:dyDescent="0.45">
      <c r="A870">
        <v>96</v>
      </c>
      <c r="B870">
        <f t="shared" ca="1" si="13"/>
        <v>37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0" t="str">
        <f ca="1">IF(dict_zuord_Transfers_Storages[[#This Row],[kval_active]],dict_zuord_Transfers_Storages[[#This Row],[ID_Storages]],"")</f>
        <v/>
      </c>
    </row>
    <row r="871" spans="1:4" x14ac:dyDescent="0.45">
      <c r="A871">
        <v>96</v>
      </c>
      <c r="B871">
        <f t="shared" ca="1" si="13"/>
        <v>55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1" t="str">
        <f ca="1">IF(dict_zuord_Transfers_Storages[[#This Row],[kval_active]],dict_zuord_Transfers_Storages[[#This Row],[ID_Storages]],"")</f>
        <v/>
      </c>
    </row>
    <row r="872" spans="1:4" x14ac:dyDescent="0.45">
      <c r="A872">
        <v>96</v>
      </c>
      <c r="B872">
        <f t="shared" ca="1" si="13"/>
        <v>95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2" t="str">
        <f ca="1">IF(dict_zuord_Transfers_Storages[[#This Row],[kval_active]],dict_zuord_Transfers_Storages[[#This Row],[ID_Storages]],"")</f>
        <v/>
      </c>
    </row>
    <row r="873" spans="1:4" x14ac:dyDescent="0.45">
      <c r="A873">
        <v>96</v>
      </c>
      <c r="B873">
        <f t="shared" ca="1" si="13"/>
        <v>43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3" t="str">
        <f ca="1">IF(dict_zuord_Transfers_Storages[[#This Row],[kval_active]],dict_zuord_Transfers_Storages[[#This Row],[ID_Storages]],"")</f>
        <v/>
      </c>
    </row>
    <row r="874" spans="1:4" x14ac:dyDescent="0.45">
      <c r="A874">
        <v>96</v>
      </c>
      <c r="B874">
        <f t="shared" ca="1" si="13"/>
        <v>67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4" t="str">
        <f ca="1">IF(dict_zuord_Transfers_Storages[[#This Row],[kval_active]],dict_zuord_Transfers_Storages[[#This Row],[ID_Storages]],"")</f>
        <v/>
      </c>
    </row>
    <row r="875" spans="1:4" x14ac:dyDescent="0.45">
      <c r="A875">
        <v>97</v>
      </c>
      <c r="B875">
        <f t="shared" ca="1" si="13"/>
        <v>11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11</v>
      </c>
    </row>
    <row r="876" spans="1:4" x14ac:dyDescent="0.45">
      <c r="A876">
        <v>97</v>
      </c>
      <c r="B876">
        <f t="shared" ca="1" si="13"/>
        <v>38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38</v>
      </c>
    </row>
    <row r="877" spans="1:4" x14ac:dyDescent="0.45">
      <c r="A877">
        <v>97</v>
      </c>
      <c r="B877">
        <f t="shared" ca="1" si="13"/>
        <v>23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23</v>
      </c>
    </row>
    <row r="878" spans="1:4" x14ac:dyDescent="0.45">
      <c r="A878">
        <v>97</v>
      </c>
      <c r="B878">
        <f t="shared" ca="1" si="13"/>
        <v>13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13</v>
      </c>
    </row>
    <row r="879" spans="1:4" x14ac:dyDescent="0.45">
      <c r="A879">
        <v>97</v>
      </c>
      <c r="B879">
        <f t="shared" ca="1" si="13"/>
        <v>62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62</v>
      </c>
    </row>
    <row r="880" spans="1:4" x14ac:dyDescent="0.45">
      <c r="A880">
        <v>97</v>
      </c>
      <c r="B880">
        <f t="shared" ca="1" si="13"/>
        <v>74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74</v>
      </c>
    </row>
    <row r="881" spans="1:4" x14ac:dyDescent="0.45">
      <c r="A881">
        <v>97</v>
      </c>
      <c r="B881">
        <f t="shared" ca="1" si="13"/>
        <v>17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17</v>
      </c>
    </row>
    <row r="882" spans="1:4" x14ac:dyDescent="0.45">
      <c r="A882">
        <v>97</v>
      </c>
      <c r="B882">
        <f t="shared" ca="1" si="13"/>
        <v>94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94</v>
      </c>
    </row>
    <row r="883" spans="1:4" x14ac:dyDescent="0.45">
      <c r="A883">
        <v>97</v>
      </c>
      <c r="B883">
        <f t="shared" ca="1" si="13"/>
        <v>44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44</v>
      </c>
    </row>
    <row r="884" spans="1:4" x14ac:dyDescent="0.45">
      <c r="A884">
        <v>98</v>
      </c>
      <c r="B884">
        <f t="shared" ca="1" si="13"/>
        <v>98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98</v>
      </c>
    </row>
    <row r="885" spans="1:4" x14ac:dyDescent="0.45">
      <c r="A885">
        <v>98</v>
      </c>
      <c r="B885">
        <f t="shared" ca="1" si="13"/>
        <v>12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12</v>
      </c>
    </row>
    <row r="886" spans="1:4" x14ac:dyDescent="0.45">
      <c r="A886">
        <v>98</v>
      </c>
      <c r="B886">
        <f t="shared" ca="1" si="13"/>
        <v>37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37</v>
      </c>
    </row>
    <row r="887" spans="1:4" x14ac:dyDescent="0.45">
      <c r="A887">
        <v>98</v>
      </c>
      <c r="B887">
        <f t="shared" ca="1" si="13"/>
        <v>96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96</v>
      </c>
    </row>
    <row r="888" spans="1:4" x14ac:dyDescent="0.45">
      <c r="A888">
        <v>98</v>
      </c>
      <c r="B888">
        <f t="shared" ca="1" si="13"/>
        <v>83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83</v>
      </c>
    </row>
    <row r="889" spans="1:4" x14ac:dyDescent="0.45">
      <c r="A889">
        <v>98</v>
      </c>
      <c r="B889">
        <f t="shared" ca="1" si="13"/>
        <v>76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76</v>
      </c>
    </row>
    <row r="890" spans="1:4" x14ac:dyDescent="0.45">
      <c r="A890">
        <v>98</v>
      </c>
      <c r="B890">
        <f t="shared" ca="1" si="13"/>
        <v>51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51</v>
      </c>
    </row>
    <row r="891" spans="1:4" x14ac:dyDescent="0.45">
      <c r="A891">
        <v>98</v>
      </c>
      <c r="B891">
        <f t="shared" ca="1" si="13"/>
        <v>50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50</v>
      </c>
    </row>
    <row r="892" spans="1:4" x14ac:dyDescent="0.45">
      <c r="A892">
        <v>98</v>
      </c>
      <c r="B892">
        <f t="shared" ca="1" si="13"/>
        <v>96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96</v>
      </c>
    </row>
    <row r="893" spans="1:4" x14ac:dyDescent="0.45">
      <c r="A893">
        <v>99</v>
      </c>
      <c r="B893">
        <f t="shared" ca="1" si="13"/>
        <v>51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3" t="str">
        <f ca="1">IF(dict_zuord_Transfers_Storages[[#This Row],[kval_active]],dict_zuord_Transfers_Storages[[#This Row],[ID_Storages]],"")</f>
        <v/>
      </c>
    </row>
    <row r="894" spans="1:4" x14ac:dyDescent="0.45">
      <c r="A894">
        <v>99</v>
      </c>
      <c r="B894">
        <f t="shared" ca="1" si="13"/>
        <v>81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4" t="str">
        <f ca="1">IF(dict_zuord_Transfers_Storages[[#This Row],[kval_active]],dict_zuord_Transfers_Storages[[#This Row],[ID_Storages]],"")</f>
        <v/>
      </c>
    </row>
    <row r="895" spans="1:4" x14ac:dyDescent="0.45">
      <c r="A895">
        <v>99</v>
      </c>
      <c r="B895">
        <f t="shared" ca="1" si="13"/>
        <v>8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5" t="str">
        <f ca="1">IF(dict_zuord_Transfers_Storages[[#This Row],[kval_active]],dict_zuord_Transfers_Storages[[#This Row],[ID_Storages]],"")</f>
        <v/>
      </c>
    </row>
    <row r="896" spans="1:4" x14ac:dyDescent="0.45">
      <c r="A896">
        <v>99</v>
      </c>
      <c r="B896">
        <f t="shared" ca="1" si="13"/>
        <v>44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6" t="str">
        <f ca="1">IF(dict_zuord_Transfers_Storages[[#This Row],[kval_active]],dict_zuord_Transfers_Storages[[#This Row],[ID_Storages]],"")</f>
        <v/>
      </c>
    </row>
    <row r="897" spans="1:4" x14ac:dyDescent="0.45">
      <c r="A897">
        <v>99</v>
      </c>
      <c r="B897">
        <f t="shared" ca="1" si="13"/>
        <v>59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7" t="str">
        <f ca="1">IF(dict_zuord_Transfers_Storages[[#This Row],[kval_active]],dict_zuord_Transfers_Storages[[#This Row],[ID_Storages]],"")</f>
        <v/>
      </c>
    </row>
    <row r="898" spans="1:4" x14ac:dyDescent="0.45">
      <c r="A898">
        <v>99</v>
      </c>
      <c r="B898">
        <f t="shared" ref="B898:B961" ca="1" si="14">RANDBETWEEN(0,100)</f>
        <v>85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8" t="str">
        <f ca="1">IF(dict_zuord_Transfers_Storages[[#This Row],[kval_active]],dict_zuord_Transfers_Storages[[#This Row],[ID_Storages]],"")</f>
        <v/>
      </c>
    </row>
    <row r="899" spans="1:4" x14ac:dyDescent="0.45">
      <c r="A899">
        <v>99</v>
      </c>
      <c r="B899">
        <f t="shared" ca="1" si="14"/>
        <v>44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9" t="str">
        <f ca="1">IF(dict_zuord_Transfers_Storages[[#This Row],[kval_active]],dict_zuord_Transfers_Storages[[#This Row],[ID_Storages]],"")</f>
        <v/>
      </c>
    </row>
    <row r="900" spans="1:4" x14ac:dyDescent="0.45">
      <c r="A900">
        <v>99</v>
      </c>
      <c r="B900">
        <f t="shared" ca="1" si="14"/>
        <v>74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0" t="str">
        <f ca="1">IF(dict_zuord_Transfers_Storages[[#This Row],[kval_active]],dict_zuord_Transfers_Storages[[#This Row],[ID_Storages]],"")</f>
        <v/>
      </c>
    </row>
    <row r="901" spans="1:4" x14ac:dyDescent="0.45">
      <c r="A901">
        <v>99</v>
      </c>
      <c r="B901">
        <f t="shared" ca="1" si="14"/>
        <v>48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1" t="str">
        <f ca="1">IF(dict_zuord_Transfers_Storages[[#This Row],[kval_active]],dict_zuord_Transfers_Storages[[#This Row],[ID_Storages]],"")</f>
        <v/>
      </c>
    </row>
    <row r="902" spans="1:4" x14ac:dyDescent="0.45">
      <c r="A902">
        <v>100</v>
      </c>
      <c r="B902">
        <f t="shared" ca="1" si="14"/>
        <v>58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2" t="str">
        <f ca="1">IF(dict_zuord_Transfers_Storages[[#This Row],[kval_active]],dict_zuord_Transfers_Storages[[#This Row],[ID_Storages]],"")</f>
        <v/>
      </c>
    </row>
    <row r="903" spans="1:4" x14ac:dyDescent="0.45">
      <c r="A903">
        <v>100</v>
      </c>
      <c r="B903">
        <f t="shared" ca="1" si="14"/>
        <v>90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3" t="str">
        <f ca="1">IF(dict_zuord_Transfers_Storages[[#This Row],[kval_active]],dict_zuord_Transfers_Storages[[#This Row],[ID_Storages]],"")</f>
        <v/>
      </c>
    </row>
    <row r="904" spans="1:4" x14ac:dyDescent="0.45">
      <c r="A904">
        <v>100</v>
      </c>
      <c r="B904">
        <f t="shared" ca="1" si="14"/>
        <v>38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4" t="str">
        <f ca="1">IF(dict_zuord_Transfers_Storages[[#This Row],[kval_active]],dict_zuord_Transfers_Storages[[#This Row],[ID_Storages]],"")</f>
        <v/>
      </c>
    </row>
    <row r="905" spans="1:4" x14ac:dyDescent="0.45">
      <c r="A905">
        <v>100</v>
      </c>
      <c r="B905">
        <f t="shared" ca="1" si="14"/>
        <v>46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5" t="str">
        <f ca="1">IF(dict_zuord_Transfers_Storages[[#This Row],[kval_active]],dict_zuord_Transfers_Storages[[#This Row],[ID_Storages]],"")</f>
        <v/>
      </c>
    </row>
    <row r="906" spans="1:4" x14ac:dyDescent="0.45">
      <c r="A906">
        <v>100</v>
      </c>
      <c r="B906">
        <f t="shared" ca="1" si="14"/>
        <v>60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6" t="str">
        <f ca="1">IF(dict_zuord_Transfers_Storages[[#This Row],[kval_active]],dict_zuord_Transfers_Storages[[#This Row],[ID_Storages]],"")</f>
        <v/>
      </c>
    </row>
    <row r="907" spans="1:4" x14ac:dyDescent="0.45">
      <c r="A907">
        <v>100</v>
      </c>
      <c r="B907">
        <f t="shared" ca="1" si="14"/>
        <v>22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7" t="str">
        <f ca="1">IF(dict_zuord_Transfers_Storages[[#This Row],[kval_active]],dict_zuord_Transfers_Storages[[#This Row],[ID_Storages]],"")</f>
        <v/>
      </c>
    </row>
    <row r="908" spans="1:4" x14ac:dyDescent="0.45">
      <c r="A908">
        <v>100</v>
      </c>
      <c r="B908">
        <f t="shared" ca="1" si="14"/>
        <v>98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8" t="str">
        <f ca="1">IF(dict_zuord_Transfers_Storages[[#This Row],[kval_active]],dict_zuord_Transfers_Storages[[#This Row],[ID_Storages]],"")</f>
        <v/>
      </c>
    </row>
    <row r="909" spans="1:4" x14ac:dyDescent="0.45">
      <c r="A909">
        <v>100</v>
      </c>
      <c r="B909">
        <f t="shared" ca="1" si="14"/>
        <v>44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9" t="str">
        <f ca="1">IF(dict_zuord_Transfers_Storages[[#This Row],[kval_active]],dict_zuord_Transfers_Storages[[#This Row],[ID_Storages]],"")</f>
        <v/>
      </c>
    </row>
    <row r="910" spans="1:4" x14ac:dyDescent="0.45">
      <c r="A910">
        <v>100</v>
      </c>
      <c r="B910">
        <f t="shared" ca="1" si="14"/>
        <v>66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0" t="str">
        <f ca="1">IF(dict_zuord_Transfers_Storages[[#This Row],[kval_active]],dict_zuord_Transfers_Storages[[#This Row],[ID_Storages]],"")</f>
        <v/>
      </c>
    </row>
    <row r="911" spans="1:4" x14ac:dyDescent="0.45">
      <c r="A911">
        <v>101</v>
      </c>
      <c r="B911">
        <f t="shared" ca="1" si="14"/>
        <v>94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1" t="str">
        <f ca="1">IF(dict_zuord_Transfers_Storages[[#This Row],[kval_active]],dict_zuord_Transfers_Storages[[#This Row],[ID_Storages]],"")</f>
        <v/>
      </c>
    </row>
    <row r="912" spans="1:4" x14ac:dyDescent="0.45">
      <c r="A912">
        <v>101</v>
      </c>
      <c r="B912">
        <f t="shared" ca="1" si="14"/>
        <v>21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2" t="str">
        <f ca="1">IF(dict_zuord_Transfers_Storages[[#This Row],[kval_active]],dict_zuord_Transfers_Storages[[#This Row],[ID_Storages]],"")</f>
        <v/>
      </c>
    </row>
    <row r="913" spans="1:4" x14ac:dyDescent="0.45">
      <c r="A913">
        <v>101</v>
      </c>
      <c r="B913">
        <f t="shared" ca="1" si="14"/>
        <v>46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3" t="str">
        <f ca="1">IF(dict_zuord_Transfers_Storages[[#This Row],[kval_active]],dict_zuord_Transfers_Storages[[#This Row],[ID_Storages]],"")</f>
        <v/>
      </c>
    </row>
    <row r="914" spans="1:4" x14ac:dyDescent="0.45">
      <c r="A914">
        <v>101</v>
      </c>
      <c r="B914">
        <f t="shared" ca="1" si="14"/>
        <v>96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4" t="str">
        <f ca="1">IF(dict_zuord_Transfers_Storages[[#This Row],[kval_active]],dict_zuord_Transfers_Storages[[#This Row],[ID_Storages]],"")</f>
        <v/>
      </c>
    </row>
    <row r="915" spans="1:4" x14ac:dyDescent="0.45">
      <c r="A915">
        <v>101</v>
      </c>
      <c r="B915">
        <f t="shared" ca="1" si="14"/>
        <v>55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5" t="str">
        <f ca="1">IF(dict_zuord_Transfers_Storages[[#This Row],[kval_active]],dict_zuord_Transfers_Storages[[#This Row],[ID_Storages]],"")</f>
        <v/>
      </c>
    </row>
    <row r="916" spans="1:4" x14ac:dyDescent="0.45">
      <c r="A916">
        <v>101</v>
      </c>
      <c r="B916">
        <f t="shared" ca="1" si="14"/>
        <v>52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6" t="str">
        <f ca="1">IF(dict_zuord_Transfers_Storages[[#This Row],[kval_active]],dict_zuord_Transfers_Storages[[#This Row],[ID_Storages]],"")</f>
        <v/>
      </c>
    </row>
    <row r="917" spans="1:4" x14ac:dyDescent="0.45">
      <c r="A917">
        <v>101</v>
      </c>
      <c r="B917">
        <f t="shared" ca="1" si="14"/>
        <v>87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7" t="str">
        <f ca="1">IF(dict_zuord_Transfers_Storages[[#This Row],[kval_active]],dict_zuord_Transfers_Storages[[#This Row],[ID_Storages]],"")</f>
        <v/>
      </c>
    </row>
    <row r="918" spans="1:4" x14ac:dyDescent="0.45">
      <c r="A918">
        <v>101</v>
      </c>
      <c r="B918">
        <f t="shared" ca="1" si="14"/>
        <v>82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8" t="str">
        <f ca="1">IF(dict_zuord_Transfers_Storages[[#This Row],[kval_active]],dict_zuord_Transfers_Storages[[#This Row],[ID_Storages]],"")</f>
        <v/>
      </c>
    </row>
    <row r="919" spans="1:4" x14ac:dyDescent="0.45">
      <c r="A919">
        <v>101</v>
      </c>
      <c r="B919">
        <f t="shared" ca="1" si="14"/>
        <v>26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9" t="str">
        <f ca="1">IF(dict_zuord_Transfers_Storages[[#This Row],[kval_active]],dict_zuord_Transfers_Storages[[#This Row],[ID_Storages]],"")</f>
        <v/>
      </c>
    </row>
    <row r="920" spans="1:4" x14ac:dyDescent="0.45">
      <c r="A920">
        <v>102</v>
      </c>
      <c r="B920">
        <f t="shared" ca="1" si="14"/>
        <v>80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0" t="str">
        <f ca="1">IF(dict_zuord_Transfers_Storages[[#This Row],[kval_active]],dict_zuord_Transfers_Storages[[#This Row],[ID_Storages]],"")</f>
        <v/>
      </c>
    </row>
    <row r="921" spans="1:4" x14ac:dyDescent="0.45">
      <c r="A921">
        <v>102</v>
      </c>
      <c r="B921">
        <f t="shared" ca="1" si="14"/>
        <v>87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1" t="str">
        <f ca="1">IF(dict_zuord_Transfers_Storages[[#This Row],[kval_active]],dict_zuord_Transfers_Storages[[#This Row],[ID_Storages]],"")</f>
        <v/>
      </c>
    </row>
    <row r="922" spans="1:4" x14ac:dyDescent="0.45">
      <c r="A922">
        <v>102</v>
      </c>
      <c r="B922">
        <f t="shared" ca="1" si="14"/>
        <v>41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2" t="str">
        <f ca="1">IF(dict_zuord_Transfers_Storages[[#This Row],[kval_active]],dict_zuord_Transfers_Storages[[#This Row],[ID_Storages]],"")</f>
        <v/>
      </c>
    </row>
    <row r="923" spans="1:4" x14ac:dyDescent="0.45">
      <c r="A923">
        <v>102</v>
      </c>
      <c r="B923">
        <f t="shared" ca="1" si="14"/>
        <v>98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3" t="str">
        <f ca="1">IF(dict_zuord_Transfers_Storages[[#This Row],[kval_active]],dict_zuord_Transfers_Storages[[#This Row],[ID_Storages]],"")</f>
        <v/>
      </c>
    </row>
    <row r="924" spans="1:4" x14ac:dyDescent="0.45">
      <c r="A924">
        <v>102</v>
      </c>
      <c r="B924">
        <f t="shared" ca="1" si="14"/>
        <v>56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4" t="str">
        <f ca="1">IF(dict_zuord_Transfers_Storages[[#This Row],[kval_active]],dict_zuord_Transfers_Storages[[#This Row],[ID_Storages]],"")</f>
        <v/>
      </c>
    </row>
    <row r="925" spans="1:4" x14ac:dyDescent="0.45">
      <c r="A925">
        <v>102</v>
      </c>
      <c r="B925">
        <f t="shared" ca="1" si="14"/>
        <v>86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5" t="str">
        <f ca="1">IF(dict_zuord_Transfers_Storages[[#This Row],[kval_active]],dict_zuord_Transfers_Storages[[#This Row],[ID_Storages]],"")</f>
        <v/>
      </c>
    </row>
    <row r="926" spans="1:4" x14ac:dyDescent="0.45">
      <c r="A926">
        <v>102</v>
      </c>
      <c r="B926">
        <f t="shared" ca="1" si="14"/>
        <v>31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6" t="str">
        <f ca="1">IF(dict_zuord_Transfers_Storages[[#This Row],[kval_active]],dict_zuord_Transfers_Storages[[#This Row],[ID_Storages]],"")</f>
        <v/>
      </c>
    </row>
    <row r="927" spans="1:4" x14ac:dyDescent="0.45">
      <c r="A927">
        <v>102</v>
      </c>
      <c r="B927">
        <f t="shared" ca="1" si="14"/>
        <v>20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7" t="str">
        <f ca="1">IF(dict_zuord_Transfers_Storages[[#This Row],[kval_active]],dict_zuord_Transfers_Storages[[#This Row],[ID_Storages]],"")</f>
        <v/>
      </c>
    </row>
    <row r="928" spans="1:4" x14ac:dyDescent="0.45">
      <c r="A928">
        <v>102</v>
      </c>
      <c r="B928">
        <f t="shared" ca="1" si="14"/>
        <v>44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8" t="str">
        <f ca="1">IF(dict_zuord_Transfers_Storages[[#This Row],[kval_active]],dict_zuord_Transfers_Storages[[#This Row],[ID_Storages]],"")</f>
        <v/>
      </c>
    </row>
    <row r="929" spans="1:4" x14ac:dyDescent="0.45">
      <c r="A929">
        <v>103</v>
      </c>
      <c r="B929">
        <f t="shared" ca="1" si="14"/>
        <v>64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9" t="str">
        <f ca="1">IF(dict_zuord_Transfers_Storages[[#This Row],[kval_active]],dict_zuord_Transfers_Storages[[#This Row],[ID_Storages]],"")</f>
        <v/>
      </c>
    </row>
    <row r="930" spans="1:4" x14ac:dyDescent="0.45">
      <c r="A930">
        <v>103</v>
      </c>
      <c r="B930">
        <f t="shared" ca="1" si="14"/>
        <v>83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0" t="str">
        <f ca="1">IF(dict_zuord_Transfers_Storages[[#This Row],[kval_active]],dict_zuord_Transfers_Storages[[#This Row],[ID_Storages]],"")</f>
        <v/>
      </c>
    </row>
    <row r="931" spans="1:4" x14ac:dyDescent="0.45">
      <c r="A931">
        <v>103</v>
      </c>
      <c r="B931">
        <f t="shared" ca="1" si="14"/>
        <v>51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1" t="str">
        <f ca="1">IF(dict_zuord_Transfers_Storages[[#This Row],[kval_active]],dict_zuord_Transfers_Storages[[#This Row],[ID_Storages]],"")</f>
        <v/>
      </c>
    </row>
    <row r="932" spans="1:4" x14ac:dyDescent="0.45">
      <c r="A932">
        <v>103</v>
      </c>
      <c r="B932">
        <f t="shared" ca="1" si="14"/>
        <v>35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2" t="str">
        <f ca="1">IF(dict_zuord_Transfers_Storages[[#This Row],[kval_active]],dict_zuord_Transfers_Storages[[#This Row],[ID_Storages]],"")</f>
        <v/>
      </c>
    </row>
    <row r="933" spans="1:4" x14ac:dyDescent="0.45">
      <c r="A933">
        <v>103</v>
      </c>
      <c r="B933">
        <f t="shared" ca="1" si="14"/>
        <v>33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3" t="str">
        <f ca="1">IF(dict_zuord_Transfers_Storages[[#This Row],[kval_active]],dict_zuord_Transfers_Storages[[#This Row],[ID_Storages]],"")</f>
        <v/>
      </c>
    </row>
    <row r="934" spans="1:4" x14ac:dyDescent="0.45">
      <c r="A934">
        <v>103</v>
      </c>
      <c r="B934">
        <f t="shared" ca="1" si="14"/>
        <v>87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4" t="str">
        <f ca="1">IF(dict_zuord_Transfers_Storages[[#This Row],[kval_active]],dict_zuord_Transfers_Storages[[#This Row],[ID_Storages]],"")</f>
        <v/>
      </c>
    </row>
    <row r="935" spans="1:4" x14ac:dyDescent="0.45">
      <c r="A935">
        <v>103</v>
      </c>
      <c r="B935">
        <f t="shared" ca="1" si="14"/>
        <v>44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5" t="str">
        <f ca="1">IF(dict_zuord_Transfers_Storages[[#This Row],[kval_active]],dict_zuord_Transfers_Storages[[#This Row],[ID_Storages]],"")</f>
        <v/>
      </c>
    </row>
    <row r="936" spans="1:4" x14ac:dyDescent="0.45">
      <c r="A936">
        <v>103</v>
      </c>
      <c r="B936">
        <f t="shared" ca="1" si="14"/>
        <v>13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6" t="str">
        <f ca="1">IF(dict_zuord_Transfers_Storages[[#This Row],[kval_active]],dict_zuord_Transfers_Storages[[#This Row],[ID_Storages]],"")</f>
        <v/>
      </c>
    </row>
    <row r="937" spans="1:4" x14ac:dyDescent="0.45">
      <c r="A937">
        <v>103</v>
      </c>
      <c r="B937">
        <f t="shared" ca="1" si="14"/>
        <v>28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7" t="str">
        <f ca="1">IF(dict_zuord_Transfers_Storages[[#This Row],[kval_active]],dict_zuord_Transfers_Storages[[#This Row],[ID_Storages]],"")</f>
        <v/>
      </c>
    </row>
    <row r="938" spans="1:4" x14ac:dyDescent="0.45">
      <c r="A938">
        <v>104</v>
      </c>
      <c r="B938">
        <f t="shared" ca="1" si="14"/>
        <v>94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8">
        <f ca="1">IF(dict_zuord_Transfers_Storages[[#This Row],[kval_active]],dict_zuord_Transfers_Storages[[#This Row],[ID_Storages]],"")</f>
        <v>94</v>
      </c>
    </row>
    <row r="939" spans="1:4" x14ac:dyDescent="0.45">
      <c r="A939">
        <v>104</v>
      </c>
      <c r="B939">
        <f t="shared" ca="1" si="14"/>
        <v>86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9">
        <f ca="1">IF(dict_zuord_Transfers_Storages[[#This Row],[kval_active]],dict_zuord_Transfers_Storages[[#This Row],[ID_Storages]],"")</f>
        <v>86</v>
      </c>
    </row>
    <row r="940" spans="1:4" x14ac:dyDescent="0.45">
      <c r="A940">
        <v>104</v>
      </c>
      <c r="B940">
        <f t="shared" ca="1" si="14"/>
        <v>1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0">
        <f ca="1">IF(dict_zuord_Transfers_Storages[[#This Row],[kval_active]],dict_zuord_Transfers_Storages[[#This Row],[ID_Storages]],"")</f>
        <v>1</v>
      </c>
    </row>
    <row r="941" spans="1:4" x14ac:dyDescent="0.45">
      <c r="A941">
        <v>104</v>
      </c>
      <c r="B941">
        <f t="shared" ca="1" si="14"/>
        <v>87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1">
        <f ca="1">IF(dict_zuord_Transfers_Storages[[#This Row],[kval_active]],dict_zuord_Transfers_Storages[[#This Row],[ID_Storages]],"")</f>
        <v>87</v>
      </c>
    </row>
    <row r="942" spans="1:4" x14ac:dyDescent="0.45">
      <c r="A942">
        <v>104</v>
      </c>
      <c r="B942">
        <f t="shared" ca="1" si="14"/>
        <v>38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2">
        <f ca="1">IF(dict_zuord_Transfers_Storages[[#This Row],[kval_active]],dict_zuord_Transfers_Storages[[#This Row],[ID_Storages]],"")</f>
        <v>38</v>
      </c>
    </row>
    <row r="943" spans="1:4" x14ac:dyDescent="0.45">
      <c r="A943">
        <v>104</v>
      </c>
      <c r="B943">
        <f t="shared" ca="1" si="14"/>
        <v>2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3">
        <f ca="1">IF(dict_zuord_Transfers_Storages[[#This Row],[kval_active]],dict_zuord_Transfers_Storages[[#This Row],[ID_Storages]],"")</f>
        <v>2</v>
      </c>
    </row>
    <row r="944" spans="1:4" x14ac:dyDescent="0.45">
      <c r="A944">
        <v>104</v>
      </c>
      <c r="B944">
        <f t="shared" ca="1" si="14"/>
        <v>64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4">
        <f ca="1">IF(dict_zuord_Transfers_Storages[[#This Row],[kval_active]],dict_zuord_Transfers_Storages[[#This Row],[ID_Storages]],"")</f>
        <v>64</v>
      </c>
    </row>
    <row r="945" spans="1:4" x14ac:dyDescent="0.45">
      <c r="A945">
        <v>104</v>
      </c>
      <c r="B945">
        <f t="shared" ca="1" si="14"/>
        <v>78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5">
        <f ca="1">IF(dict_zuord_Transfers_Storages[[#This Row],[kval_active]],dict_zuord_Transfers_Storages[[#This Row],[ID_Storages]],"")</f>
        <v>78</v>
      </c>
    </row>
    <row r="946" spans="1:4" x14ac:dyDescent="0.45">
      <c r="A946">
        <v>104</v>
      </c>
      <c r="B946">
        <f t="shared" ca="1" si="14"/>
        <v>69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6">
        <f ca="1">IF(dict_zuord_Transfers_Storages[[#This Row],[kval_active]],dict_zuord_Transfers_Storages[[#This Row],[ID_Storages]],"")</f>
        <v>69</v>
      </c>
    </row>
    <row r="947" spans="1:4" x14ac:dyDescent="0.45">
      <c r="A947">
        <v>105</v>
      </c>
      <c r="B947">
        <f t="shared" ca="1" si="14"/>
        <v>42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7" t="str">
        <f ca="1">IF(dict_zuord_Transfers_Storages[[#This Row],[kval_active]],dict_zuord_Transfers_Storages[[#This Row],[ID_Storages]],"")</f>
        <v/>
      </c>
    </row>
    <row r="948" spans="1:4" x14ac:dyDescent="0.45">
      <c r="A948">
        <v>105</v>
      </c>
      <c r="B948">
        <f t="shared" ca="1" si="14"/>
        <v>48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8" t="str">
        <f ca="1">IF(dict_zuord_Transfers_Storages[[#This Row],[kval_active]],dict_zuord_Transfers_Storages[[#This Row],[ID_Storages]],"")</f>
        <v/>
      </c>
    </row>
    <row r="949" spans="1:4" x14ac:dyDescent="0.45">
      <c r="A949">
        <v>105</v>
      </c>
      <c r="B949">
        <f t="shared" ca="1" si="14"/>
        <v>72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9" t="str">
        <f ca="1">IF(dict_zuord_Transfers_Storages[[#This Row],[kval_active]],dict_zuord_Transfers_Storages[[#This Row],[ID_Storages]],"")</f>
        <v/>
      </c>
    </row>
    <row r="950" spans="1:4" x14ac:dyDescent="0.45">
      <c r="A950">
        <v>105</v>
      </c>
      <c r="B950">
        <f t="shared" ca="1" si="14"/>
        <v>69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0" t="str">
        <f ca="1">IF(dict_zuord_Transfers_Storages[[#This Row],[kval_active]],dict_zuord_Transfers_Storages[[#This Row],[ID_Storages]],"")</f>
        <v/>
      </c>
    </row>
    <row r="951" spans="1:4" x14ac:dyDescent="0.45">
      <c r="A951">
        <v>105</v>
      </c>
      <c r="B951">
        <f t="shared" ca="1" si="14"/>
        <v>41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1" t="str">
        <f ca="1">IF(dict_zuord_Transfers_Storages[[#This Row],[kval_active]],dict_zuord_Transfers_Storages[[#This Row],[ID_Storages]],"")</f>
        <v/>
      </c>
    </row>
    <row r="952" spans="1:4" x14ac:dyDescent="0.45">
      <c r="A952">
        <v>105</v>
      </c>
      <c r="B952">
        <f t="shared" ca="1" si="14"/>
        <v>84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2" t="str">
        <f ca="1">IF(dict_zuord_Transfers_Storages[[#This Row],[kval_active]],dict_zuord_Transfers_Storages[[#This Row],[ID_Storages]],"")</f>
        <v/>
      </c>
    </row>
    <row r="953" spans="1:4" x14ac:dyDescent="0.45">
      <c r="A953">
        <v>105</v>
      </c>
      <c r="B953">
        <f t="shared" ca="1" si="14"/>
        <v>21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3" t="str">
        <f ca="1">IF(dict_zuord_Transfers_Storages[[#This Row],[kval_active]],dict_zuord_Transfers_Storages[[#This Row],[ID_Storages]],"")</f>
        <v/>
      </c>
    </row>
    <row r="954" spans="1:4" x14ac:dyDescent="0.45">
      <c r="A954">
        <v>105</v>
      </c>
      <c r="B954">
        <f t="shared" ca="1" si="14"/>
        <v>65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4" t="str">
        <f ca="1">IF(dict_zuord_Transfers_Storages[[#This Row],[kval_active]],dict_zuord_Transfers_Storages[[#This Row],[ID_Storages]],"")</f>
        <v/>
      </c>
    </row>
    <row r="955" spans="1:4" x14ac:dyDescent="0.45">
      <c r="A955">
        <v>105</v>
      </c>
      <c r="B955">
        <f t="shared" ca="1" si="14"/>
        <v>39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5" t="str">
        <f ca="1">IF(dict_zuord_Transfers_Storages[[#This Row],[kval_active]],dict_zuord_Transfers_Storages[[#This Row],[ID_Storages]],"")</f>
        <v/>
      </c>
    </row>
    <row r="956" spans="1:4" x14ac:dyDescent="0.45">
      <c r="A956">
        <v>106</v>
      </c>
      <c r="B956">
        <f t="shared" ca="1" si="14"/>
        <v>49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49</v>
      </c>
    </row>
    <row r="957" spans="1:4" x14ac:dyDescent="0.45">
      <c r="A957">
        <v>106</v>
      </c>
      <c r="B957">
        <f t="shared" ca="1" si="14"/>
        <v>68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68</v>
      </c>
    </row>
    <row r="958" spans="1:4" x14ac:dyDescent="0.45">
      <c r="A958">
        <v>106</v>
      </c>
      <c r="B958">
        <f t="shared" ca="1" si="14"/>
        <v>90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90</v>
      </c>
    </row>
    <row r="959" spans="1:4" x14ac:dyDescent="0.45">
      <c r="A959">
        <v>106</v>
      </c>
      <c r="B959">
        <f t="shared" ca="1" si="14"/>
        <v>7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7</v>
      </c>
    </row>
    <row r="960" spans="1:4" x14ac:dyDescent="0.45">
      <c r="A960">
        <v>106</v>
      </c>
      <c r="B960">
        <f t="shared" ca="1" si="14"/>
        <v>46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46</v>
      </c>
    </row>
    <row r="961" spans="1:4" x14ac:dyDescent="0.45">
      <c r="A961">
        <v>106</v>
      </c>
      <c r="B961">
        <f t="shared" ca="1" si="14"/>
        <v>69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69</v>
      </c>
    </row>
    <row r="962" spans="1:4" x14ac:dyDescent="0.45">
      <c r="A962">
        <v>106</v>
      </c>
      <c r="B962">
        <f t="shared" ref="B962:B1025" ca="1" si="15">RANDBETWEEN(0,100)</f>
        <v>50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50</v>
      </c>
    </row>
    <row r="963" spans="1:4" x14ac:dyDescent="0.45">
      <c r="A963">
        <v>106</v>
      </c>
      <c r="B963">
        <f t="shared" ca="1" si="15"/>
        <v>7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7</v>
      </c>
    </row>
    <row r="964" spans="1:4" x14ac:dyDescent="0.45">
      <c r="A964">
        <v>106</v>
      </c>
      <c r="B964">
        <f t="shared" ca="1" si="15"/>
        <v>82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82</v>
      </c>
    </row>
    <row r="965" spans="1:4" x14ac:dyDescent="0.45">
      <c r="A965">
        <v>107</v>
      </c>
      <c r="B965">
        <f t="shared" ca="1" si="15"/>
        <v>40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5" t="str">
        <f ca="1">IF(dict_zuord_Transfers_Storages[[#This Row],[kval_active]],dict_zuord_Transfers_Storages[[#This Row],[ID_Storages]],"")</f>
        <v/>
      </c>
    </row>
    <row r="966" spans="1:4" x14ac:dyDescent="0.45">
      <c r="A966">
        <v>107</v>
      </c>
      <c r="B966">
        <f t="shared" ca="1" si="15"/>
        <v>93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6" t="str">
        <f ca="1">IF(dict_zuord_Transfers_Storages[[#This Row],[kval_active]],dict_zuord_Transfers_Storages[[#This Row],[ID_Storages]],"")</f>
        <v/>
      </c>
    </row>
    <row r="967" spans="1:4" x14ac:dyDescent="0.45">
      <c r="A967">
        <v>107</v>
      </c>
      <c r="B967">
        <f t="shared" ca="1" si="15"/>
        <v>36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7" t="str">
        <f ca="1">IF(dict_zuord_Transfers_Storages[[#This Row],[kval_active]],dict_zuord_Transfers_Storages[[#This Row],[ID_Storages]],"")</f>
        <v/>
      </c>
    </row>
    <row r="968" spans="1:4" x14ac:dyDescent="0.45">
      <c r="A968">
        <v>107</v>
      </c>
      <c r="B968">
        <f t="shared" ca="1" si="15"/>
        <v>74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8" t="str">
        <f ca="1">IF(dict_zuord_Transfers_Storages[[#This Row],[kval_active]],dict_zuord_Transfers_Storages[[#This Row],[ID_Storages]],"")</f>
        <v/>
      </c>
    </row>
    <row r="969" spans="1:4" x14ac:dyDescent="0.45">
      <c r="A969">
        <v>107</v>
      </c>
      <c r="B969">
        <f t="shared" ca="1" si="15"/>
        <v>19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9" t="str">
        <f ca="1">IF(dict_zuord_Transfers_Storages[[#This Row],[kval_active]],dict_zuord_Transfers_Storages[[#This Row],[ID_Storages]],"")</f>
        <v/>
      </c>
    </row>
    <row r="970" spans="1:4" x14ac:dyDescent="0.45">
      <c r="A970">
        <v>107</v>
      </c>
      <c r="B970">
        <f t="shared" ca="1" si="15"/>
        <v>58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0" t="str">
        <f ca="1">IF(dict_zuord_Transfers_Storages[[#This Row],[kval_active]],dict_zuord_Transfers_Storages[[#This Row],[ID_Storages]],"")</f>
        <v/>
      </c>
    </row>
    <row r="971" spans="1:4" x14ac:dyDescent="0.45">
      <c r="A971">
        <v>107</v>
      </c>
      <c r="B971">
        <f t="shared" ca="1" si="15"/>
        <v>10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1" t="str">
        <f ca="1">IF(dict_zuord_Transfers_Storages[[#This Row],[kval_active]],dict_zuord_Transfers_Storages[[#This Row],[ID_Storages]],"")</f>
        <v/>
      </c>
    </row>
    <row r="972" spans="1:4" x14ac:dyDescent="0.45">
      <c r="A972">
        <v>107</v>
      </c>
      <c r="B972">
        <f t="shared" ca="1" si="15"/>
        <v>86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2" t="str">
        <f ca="1">IF(dict_zuord_Transfers_Storages[[#This Row],[kval_active]],dict_zuord_Transfers_Storages[[#This Row],[ID_Storages]],"")</f>
        <v/>
      </c>
    </row>
    <row r="973" spans="1:4" x14ac:dyDescent="0.45">
      <c r="A973">
        <v>107</v>
      </c>
      <c r="B973">
        <f t="shared" ca="1" si="15"/>
        <v>28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3" t="str">
        <f ca="1">IF(dict_zuord_Transfers_Storages[[#This Row],[kval_active]],dict_zuord_Transfers_Storages[[#This Row],[ID_Storages]],"")</f>
        <v/>
      </c>
    </row>
    <row r="974" spans="1:4" x14ac:dyDescent="0.45">
      <c r="A974">
        <v>108</v>
      </c>
      <c r="B974">
        <f t="shared" ca="1" si="15"/>
        <v>85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4" t="str">
        <f ca="1">IF(dict_zuord_Transfers_Storages[[#This Row],[kval_active]],dict_zuord_Transfers_Storages[[#This Row],[ID_Storages]],"")</f>
        <v/>
      </c>
    </row>
    <row r="975" spans="1:4" x14ac:dyDescent="0.45">
      <c r="A975">
        <v>108</v>
      </c>
      <c r="B975">
        <f t="shared" ca="1" si="15"/>
        <v>79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5" t="str">
        <f ca="1">IF(dict_zuord_Transfers_Storages[[#This Row],[kval_active]],dict_zuord_Transfers_Storages[[#This Row],[ID_Storages]],"")</f>
        <v/>
      </c>
    </row>
    <row r="976" spans="1:4" x14ac:dyDescent="0.45">
      <c r="A976">
        <v>108</v>
      </c>
      <c r="B976">
        <f t="shared" ca="1" si="15"/>
        <v>33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6" t="str">
        <f ca="1">IF(dict_zuord_Transfers_Storages[[#This Row],[kval_active]],dict_zuord_Transfers_Storages[[#This Row],[ID_Storages]],"")</f>
        <v/>
      </c>
    </row>
    <row r="977" spans="1:4" x14ac:dyDescent="0.45">
      <c r="A977">
        <v>108</v>
      </c>
      <c r="B977">
        <f t="shared" ca="1" si="15"/>
        <v>49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7" t="str">
        <f ca="1">IF(dict_zuord_Transfers_Storages[[#This Row],[kval_active]],dict_zuord_Transfers_Storages[[#This Row],[ID_Storages]],"")</f>
        <v/>
      </c>
    </row>
    <row r="978" spans="1:4" x14ac:dyDescent="0.45">
      <c r="A978">
        <v>108</v>
      </c>
      <c r="B978">
        <f t="shared" ca="1" si="15"/>
        <v>14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8" t="str">
        <f ca="1">IF(dict_zuord_Transfers_Storages[[#This Row],[kval_active]],dict_zuord_Transfers_Storages[[#This Row],[ID_Storages]],"")</f>
        <v/>
      </c>
    </row>
    <row r="979" spans="1:4" x14ac:dyDescent="0.45">
      <c r="A979">
        <v>108</v>
      </c>
      <c r="B979">
        <f t="shared" ca="1" si="15"/>
        <v>47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9" t="str">
        <f ca="1">IF(dict_zuord_Transfers_Storages[[#This Row],[kval_active]],dict_zuord_Transfers_Storages[[#This Row],[ID_Storages]],"")</f>
        <v/>
      </c>
    </row>
    <row r="980" spans="1:4" x14ac:dyDescent="0.45">
      <c r="A980">
        <v>108</v>
      </c>
      <c r="B980">
        <f t="shared" ca="1" si="15"/>
        <v>27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0" t="str">
        <f ca="1">IF(dict_zuord_Transfers_Storages[[#This Row],[kval_active]],dict_zuord_Transfers_Storages[[#This Row],[ID_Storages]],"")</f>
        <v/>
      </c>
    </row>
    <row r="981" spans="1:4" x14ac:dyDescent="0.45">
      <c r="A981">
        <v>108</v>
      </c>
      <c r="B981">
        <f t="shared" ca="1" si="15"/>
        <v>82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1" t="str">
        <f ca="1">IF(dict_zuord_Transfers_Storages[[#This Row],[kval_active]],dict_zuord_Transfers_Storages[[#This Row],[ID_Storages]],"")</f>
        <v/>
      </c>
    </row>
    <row r="982" spans="1:4" x14ac:dyDescent="0.45">
      <c r="A982">
        <v>108</v>
      </c>
      <c r="B982">
        <f t="shared" ca="1" si="15"/>
        <v>35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2" t="str">
        <f ca="1">IF(dict_zuord_Transfers_Storages[[#This Row],[kval_active]],dict_zuord_Transfers_Storages[[#This Row],[ID_Storages]],"")</f>
        <v/>
      </c>
    </row>
    <row r="983" spans="1:4" x14ac:dyDescent="0.45">
      <c r="A983">
        <v>109</v>
      </c>
      <c r="B983">
        <f t="shared" ca="1" si="15"/>
        <v>4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3" t="str">
        <f ca="1">IF(dict_zuord_Transfers_Storages[[#This Row],[kval_active]],dict_zuord_Transfers_Storages[[#This Row],[ID_Storages]],"")</f>
        <v/>
      </c>
    </row>
    <row r="984" spans="1:4" x14ac:dyDescent="0.45">
      <c r="A984">
        <v>109</v>
      </c>
      <c r="B984">
        <f t="shared" ca="1" si="15"/>
        <v>76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4" t="str">
        <f ca="1">IF(dict_zuord_Transfers_Storages[[#This Row],[kval_active]],dict_zuord_Transfers_Storages[[#This Row],[ID_Storages]],"")</f>
        <v/>
      </c>
    </row>
    <row r="985" spans="1:4" x14ac:dyDescent="0.45">
      <c r="A985">
        <v>109</v>
      </c>
      <c r="B985">
        <f t="shared" ca="1" si="15"/>
        <v>85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5" t="str">
        <f ca="1">IF(dict_zuord_Transfers_Storages[[#This Row],[kval_active]],dict_zuord_Transfers_Storages[[#This Row],[ID_Storages]],"")</f>
        <v/>
      </c>
    </row>
    <row r="986" spans="1:4" x14ac:dyDescent="0.45">
      <c r="A986">
        <v>109</v>
      </c>
      <c r="B986">
        <f t="shared" ca="1" si="15"/>
        <v>45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6" t="str">
        <f ca="1">IF(dict_zuord_Transfers_Storages[[#This Row],[kval_active]],dict_zuord_Transfers_Storages[[#This Row],[ID_Storages]],"")</f>
        <v/>
      </c>
    </row>
    <row r="987" spans="1:4" x14ac:dyDescent="0.45">
      <c r="A987">
        <v>109</v>
      </c>
      <c r="B987">
        <f t="shared" ca="1" si="15"/>
        <v>88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7" t="str">
        <f ca="1">IF(dict_zuord_Transfers_Storages[[#This Row],[kval_active]],dict_zuord_Transfers_Storages[[#This Row],[ID_Storages]],"")</f>
        <v/>
      </c>
    </row>
    <row r="988" spans="1:4" x14ac:dyDescent="0.45">
      <c r="A988">
        <v>109</v>
      </c>
      <c r="B988">
        <f t="shared" ca="1" si="15"/>
        <v>67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8" t="str">
        <f ca="1">IF(dict_zuord_Transfers_Storages[[#This Row],[kval_active]],dict_zuord_Transfers_Storages[[#This Row],[ID_Storages]],"")</f>
        <v/>
      </c>
    </row>
    <row r="989" spans="1:4" x14ac:dyDescent="0.45">
      <c r="A989">
        <v>109</v>
      </c>
      <c r="B989">
        <f t="shared" ca="1" si="15"/>
        <v>59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9" t="str">
        <f ca="1">IF(dict_zuord_Transfers_Storages[[#This Row],[kval_active]],dict_zuord_Transfers_Storages[[#This Row],[ID_Storages]],"")</f>
        <v/>
      </c>
    </row>
    <row r="990" spans="1:4" x14ac:dyDescent="0.45">
      <c r="A990">
        <v>109</v>
      </c>
      <c r="B990">
        <f t="shared" ca="1" si="15"/>
        <v>47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0" t="str">
        <f ca="1">IF(dict_zuord_Transfers_Storages[[#This Row],[kval_active]],dict_zuord_Transfers_Storages[[#This Row],[ID_Storages]],"")</f>
        <v/>
      </c>
    </row>
    <row r="991" spans="1:4" x14ac:dyDescent="0.45">
      <c r="A991">
        <v>109</v>
      </c>
      <c r="B991">
        <f t="shared" ca="1" si="15"/>
        <v>64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1" t="str">
        <f ca="1">IF(dict_zuord_Transfers_Storages[[#This Row],[kval_active]],dict_zuord_Transfers_Storages[[#This Row],[ID_Storages]],"")</f>
        <v/>
      </c>
    </row>
    <row r="992" spans="1:4" x14ac:dyDescent="0.45">
      <c r="A992">
        <v>110</v>
      </c>
      <c r="B992">
        <f t="shared" ca="1" si="15"/>
        <v>89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2" t="str">
        <f ca="1">IF(dict_zuord_Transfers_Storages[[#This Row],[kval_active]],dict_zuord_Transfers_Storages[[#This Row],[ID_Storages]],"")</f>
        <v/>
      </c>
    </row>
    <row r="993" spans="1:4" x14ac:dyDescent="0.45">
      <c r="A993">
        <v>110</v>
      </c>
      <c r="B993">
        <f t="shared" ca="1" si="15"/>
        <v>66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3" t="str">
        <f ca="1">IF(dict_zuord_Transfers_Storages[[#This Row],[kval_active]],dict_zuord_Transfers_Storages[[#This Row],[ID_Storages]],"")</f>
        <v/>
      </c>
    </row>
    <row r="994" spans="1:4" x14ac:dyDescent="0.45">
      <c r="A994">
        <v>110</v>
      </c>
      <c r="B994">
        <f t="shared" ca="1" si="15"/>
        <v>95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4" t="str">
        <f ca="1">IF(dict_zuord_Transfers_Storages[[#This Row],[kval_active]],dict_zuord_Transfers_Storages[[#This Row],[ID_Storages]],"")</f>
        <v/>
      </c>
    </row>
    <row r="995" spans="1:4" x14ac:dyDescent="0.45">
      <c r="A995">
        <v>110</v>
      </c>
      <c r="B995">
        <f t="shared" ca="1" si="15"/>
        <v>57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5" t="str">
        <f ca="1">IF(dict_zuord_Transfers_Storages[[#This Row],[kval_active]],dict_zuord_Transfers_Storages[[#This Row],[ID_Storages]],"")</f>
        <v/>
      </c>
    </row>
    <row r="996" spans="1:4" x14ac:dyDescent="0.45">
      <c r="A996">
        <v>110</v>
      </c>
      <c r="B996">
        <f t="shared" ca="1" si="15"/>
        <v>9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6" t="str">
        <f ca="1">IF(dict_zuord_Transfers_Storages[[#This Row],[kval_active]],dict_zuord_Transfers_Storages[[#This Row],[ID_Storages]],"")</f>
        <v/>
      </c>
    </row>
    <row r="997" spans="1:4" x14ac:dyDescent="0.45">
      <c r="A997">
        <v>110</v>
      </c>
      <c r="B997">
        <f t="shared" ca="1" si="15"/>
        <v>23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7" t="str">
        <f ca="1">IF(dict_zuord_Transfers_Storages[[#This Row],[kval_active]],dict_zuord_Transfers_Storages[[#This Row],[ID_Storages]],"")</f>
        <v/>
      </c>
    </row>
    <row r="998" spans="1:4" x14ac:dyDescent="0.45">
      <c r="A998">
        <v>110</v>
      </c>
      <c r="B998">
        <f t="shared" ca="1" si="15"/>
        <v>58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8" t="str">
        <f ca="1">IF(dict_zuord_Transfers_Storages[[#This Row],[kval_active]],dict_zuord_Transfers_Storages[[#This Row],[ID_Storages]],"")</f>
        <v/>
      </c>
    </row>
    <row r="999" spans="1:4" x14ac:dyDescent="0.45">
      <c r="A999">
        <v>110</v>
      </c>
      <c r="B999">
        <f t="shared" ca="1" si="15"/>
        <v>100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9" t="str">
        <f ca="1">IF(dict_zuord_Transfers_Storages[[#This Row],[kval_active]],dict_zuord_Transfers_Storages[[#This Row],[ID_Storages]],"")</f>
        <v/>
      </c>
    </row>
    <row r="1000" spans="1:4" x14ac:dyDescent="0.45">
      <c r="A1000">
        <v>110</v>
      </c>
      <c r="B1000">
        <f t="shared" ca="1" si="15"/>
        <v>82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0" t="str">
        <f ca="1">IF(dict_zuord_Transfers_Storages[[#This Row],[kval_active]],dict_zuord_Transfers_Storages[[#This Row],[ID_Storages]],"")</f>
        <v/>
      </c>
    </row>
    <row r="1001" spans="1:4" x14ac:dyDescent="0.45">
      <c r="A1001">
        <v>111</v>
      </c>
      <c r="B1001">
        <f t="shared" ca="1" si="15"/>
        <v>30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1" t="str">
        <f ca="1">IF(dict_zuord_Transfers_Storages[[#This Row],[kval_active]],dict_zuord_Transfers_Storages[[#This Row],[ID_Storages]],"")</f>
        <v/>
      </c>
    </row>
    <row r="1002" spans="1:4" x14ac:dyDescent="0.45">
      <c r="A1002">
        <v>111</v>
      </c>
      <c r="B1002">
        <f t="shared" ca="1" si="15"/>
        <v>32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2" t="str">
        <f ca="1">IF(dict_zuord_Transfers_Storages[[#This Row],[kval_active]],dict_zuord_Transfers_Storages[[#This Row],[ID_Storages]],"")</f>
        <v/>
      </c>
    </row>
    <row r="1003" spans="1:4" x14ac:dyDescent="0.45">
      <c r="A1003">
        <v>111</v>
      </c>
      <c r="B1003">
        <f t="shared" ca="1" si="15"/>
        <v>16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3" t="str">
        <f ca="1">IF(dict_zuord_Transfers_Storages[[#This Row],[kval_active]],dict_zuord_Transfers_Storages[[#This Row],[ID_Storages]],"")</f>
        <v/>
      </c>
    </row>
    <row r="1004" spans="1:4" x14ac:dyDescent="0.45">
      <c r="A1004">
        <v>111</v>
      </c>
      <c r="B1004">
        <f t="shared" ca="1" si="15"/>
        <v>50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4" t="str">
        <f ca="1">IF(dict_zuord_Transfers_Storages[[#This Row],[kval_active]],dict_zuord_Transfers_Storages[[#This Row],[ID_Storages]],"")</f>
        <v/>
      </c>
    </row>
    <row r="1005" spans="1:4" x14ac:dyDescent="0.45">
      <c r="A1005">
        <v>111</v>
      </c>
      <c r="B1005">
        <f t="shared" ca="1" si="15"/>
        <v>42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5" t="str">
        <f ca="1">IF(dict_zuord_Transfers_Storages[[#This Row],[kval_active]],dict_zuord_Transfers_Storages[[#This Row],[ID_Storages]],"")</f>
        <v/>
      </c>
    </row>
    <row r="1006" spans="1:4" x14ac:dyDescent="0.45">
      <c r="A1006">
        <v>111</v>
      </c>
      <c r="B1006">
        <f t="shared" ca="1" si="15"/>
        <v>100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6" t="str">
        <f ca="1">IF(dict_zuord_Transfers_Storages[[#This Row],[kval_active]],dict_zuord_Transfers_Storages[[#This Row],[ID_Storages]],"")</f>
        <v/>
      </c>
    </row>
    <row r="1007" spans="1:4" x14ac:dyDescent="0.45">
      <c r="A1007">
        <v>111</v>
      </c>
      <c r="B1007">
        <f t="shared" ca="1" si="15"/>
        <v>40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7" t="str">
        <f ca="1">IF(dict_zuord_Transfers_Storages[[#This Row],[kval_active]],dict_zuord_Transfers_Storages[[#This Row],[ID_Storages]],"")</f>
        <v/>
      </c>
    </row>
    <row r="1008" spans="1:4" x14ac:dyDescent="0.45">
      <c r="A1008">
        <v>111</v>
      </c>
      <c r="B1008">
        <f t="shared" ca="1" si="15"/>
        <v>7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8" t="str">
        <f ca="1">IF(dict_zuord_Transfers_Storages[[#This Row],[kval_active]],dict_zuord_Transfers_Storages[[#This Row],[ID_Storages]],"")</f>
        <v/>
      </c>
    </row>
    <row r="1009" spans="1:4" x14ac:dyDescent="0.45">
      <c r="A1009">
        <v>111</v>
      </c>
      <c r="B1009">
        <f t="shared" ca="1" si="15"/>
        <v>89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9" t="str">
        <f ca="1">IF(dict_zuord_Transfers_Storages[[#This Row],[kval_active]],dict_zuord_Transfers_Storages[[#This Row],[ID_Storages]],"")</f>
        <v/>
      </c>
    </row>
    <row r="1010" spans="1:4" x14ac:dyDescent="0.45">
      <c r="A1010">
        <v>112</v>
      </c>
      <c r="B1010">
        <f t="shared" ca="1" si="15"/>
        <v>50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0" t="str">
        <f ca="1">IF(dict_zuord_Transfers_Storages[[#This Row],[kval_active]],dict_zuord_Transfers_Storages[[#This Row],[ID_Storages]],"")</f>
        <v/>
      </c>
    </row>
    <row r="1011" spans="1:4" x14ac:dyDescent="0.45">
      <c r="A1011">
        <v>112</v>
      </c>
      <c r="B1011">
        <f t="shared" ca="1" si="15"/>
        <v>32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1" t="str">
        <f ca="1">IF(dict_zuord_Transfers_Storages[[#This Row],[kval_active]],dict_zuord_Transfers_Storages[[#This Row],[ID_Storages]],"")</f>
        <v/>
      </c>
    </row>
    <row r="1012" spans="1:4" x14ac:dyDescent="0.45">
      <c r="A1012">
        <v>112</v>
      </c>
      <c r="B1012">
        <f t="shared" ca="1" si="15"/>
        <v>79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2" t="str">
        <f ca="1">IF(dict_zuord_Transfers_Storages[[#This Row],[kval_active]],dict_zuord_Transfers_Storages[[#This Row],[ID_Storages]],"")</f>
        <v/>
      </c>
    </row>
    <row r="1013" spans="1:4" x14ac:dyDescent="0.45">
      <c r="A1013">
        <v>112</v>
      </c>
      <c r="B1013">
        <f t="shared" ca="1" si="15"/>
        <v>33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3" t="str">
        <f ca="1">IF(dict_zuord_Transfers_Storages[[#This Row],[kval_active]],dict_zuord_Transfers_Storages[[#This Row],[ID_Storages]],"")</f>
        <v/>
      </c>
    </row>
    <row r="1014" spans="1:4" x14ac:dyDescent="0.45">
      <c r="A1014">
        <v>112</v>
      </c>
      <c r="B1014">
        <f t="shared" ca="1" si="15"/>
        <v>16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4" t="str">
        <f ca="1">IF(dict_zuord_Transfers_Storages[[#This Row],[kval_active]],dict_zuord_Transfers_Storages[[#This Row],[ID_Storages]],"")</f>
        <v/>
      </c>
    </row>
    <row r="1015" spans="1:4" x14ac:dyDescent="0.45">
      <c r="A1015">
        <v>112</v>
      </c>
      <c r="B1015">
        <f t="shared" ca="1" si="15"/>
        <v>36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5" t="str">
        <f ca="1">IF(dict_zuord_Transfers_Storages[[#This Row],[kval_active]],dict_zuord_Transfers_Storages[[#This Row],[ID_Storages]],"")</f>
        <v/>
      </c>
    </row>
    <row r="1016" spans="1:4" x14ac:dyDescent="0.45">
      <c r="A1016">
        <v>112</v>
      </c>
      <c r="B1016">
        <f t="shared" ca="1" si="15"/>
        <v>24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6" t="str">
        <f ca="1">IF(dict_zuord_Transfers_Storages[[#This Row],[kval_active]],dict_zuord_Transfers_Storages[[#This Row],[ID_Storages]],"")</f>
        <v/>
      </c>
    </row>
    <row r="1017" spans="1:4" x14ac:dyDescent="0.45">
      <c r="A1017">
        <v>112</v>
      </c>
      <c r="B1017">
        <f t="shared" ca="1" si="15"/>
        <v>59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7" t="str">
        <f ca="1">IF(dict_zuord_Transfers_Storages[[#This Row],[kval_active]],dict_zuord_Transfers_Storages[[#This Row],[ID_Storages]],"")</f>
        <v/>
      </c>
    </row>
    <row r="1018" spans="1:4" x14ac:dyDescent="0.45">
      <c r="A1018">
        <v>112</v>
      </c>
      <c r="B1018">
        <f t="shared" ca="1" si="15"/>
        <v>7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8" t="str">
        <f ca="1">IF(dict_zuord_Transfers_Storages[[#This Row],[kval_active]],dict_zuord_Transfers_Storages[[#This Row],[ID_Storages]],"")</f>
        <v/>
      </c>
    </row>
    <row r="1019" spans="1:4" x14ac:dyDescent="0.45">
      <c r="A1019">
        <v>113</v>
      </c>
      <c r="B1019">
        <f t="shared" ca="1" si="15"/>
        <v>25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9" t="str">
        <f ca="1">IF(dict_zuord_Transfers_Storages[[#This Row],[kval_active]],dict_zuord_Transfers_Storages[[#This Row],[ID_Storages]],"")</f>
        <v/>
      </c>
    </row>
    <row r="1020" spans="1:4" x14ac:dyDescent="0.45">
      <c r="A1020">
        <v>113</v>
      </c>
      <c r="B1020">
        <f t="shared" ca="1" si="15"/>
        <v>0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0" t="str">
        <f ca="1">IF(dict_zuord_Transfers_Storages[[#This Row],[kval_active]],dict_zuord_Transfers_Storages[[#This Row],[ID_Storages]],"")</f>
        <v/>
      </c>
    </row>
    <row r="1021" spans="1:4" x14ac:dyDescent="0.45">
      <c r="A1021">
        <v>113</v>
      </c>
      <c r="B1021">
        <f t="shared" ca="1" si="15"/>
        <v>75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1" t="str">
        <f ca="1">IF(dict_zuord_Transfers_Storages[[#This Row],[kval_active]],dict_zuord_Transfers_Storages[[#This Row],[ID_Storages]],"")</f>
        <v/>
      </c>
    </row>
    <row r="1022" spans="1:4" x14ac:dyDescent="0.45">
      <c r="A1022">
        <v>113</v>
      </c>
      <c r="B1022">
        <f t="shared" ca="1" si="15"/>
        <v>63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2" t="str">
        <f ca="1">IF(dict_zuord_Transfers_Storages[[#This Row],[kval_active]],dict_zuord_Transfers_Storages[[#This Row],[ID_Storages]],"")</f>
        <v/>
      </c>
    </row>
    <row r="1023" spans="1:4" x14ac:dyDescent="0.45">
      <c r="A1023">
        <v>113</v>
      </c>
      <c r="B1023">
        <f t="shared" ca="1" si="15"/>
        <v>43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3" t="str">
        <f ca="1">IF(dict_zuord_Transfers_Storages[[#This Row],[kval_active]],dict_zuord_Transfers_Storages[[#This Row],[ID_Storages]],"")</f>
        <v/>
      </c>
    </row>
    <row r="1024" spans="1:4" x14ac:dyDescent="0.45">
      <c r="A1024">
        <v>113</v>
      </c>
      <c r="B1024">
        <f t="shared" ca="1" si="15"/>
        <v>15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4" t="str">
        <f ca="1">IF(dict_zuord_Transfers_Storages[[#This Row],[kval_active]],dict_zuord_Transfers_Storages[[#This Row],[ID_Storages]],"")</f>
        <v/>
      </c>
    </row>
    <row r="1025" spans="1:4" x14ac:dyDescent="0.45">
      <c r="A1025">
        <v>113</v>
      </c>
      <c r="B1025">
        <f t="shared" ca="1" si="15"/>
        <v>2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5" t="str">
        <f ca="1">IF(dict_zuord_Transfers_Storages[[#This Row],[kval_active]],dict_zuord_Transfers_Storages[[#This Row],[ID_Storages]],"")</f>
        <v/>
      </c>
    </row>
    <row r="1026" spans="1:4" x14ac:dyDescent="0.45">
      <c r="A1026">
        <v>113</v>
      </c>
      <c r="B1026">
        <f t="shared" ref="B1026:B1089" ca="1" si="16">RANDBETWEEN(0,100)</f>
        <v>95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6" t="str">
        <f ca="1">IF(dict_zuord_Transfers_Storages[[#This Row],[kval_active]],dict_zuord_Transfers_Storages[[#This Row],[ID_Storages]],"")</f>
        <v/>
      </c>
    </row>
    <row r="1027" spans="1:4" x14ac:dyDescent="0.45">
      <c r="A1027">
        <v>113</v>
      </c>
      <c r="B1027">
        <f t="shared" ca="1" si="16"/>
        <v>93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7" t="str">
        <f ca="1">IF(dict_zuord_Transfers_Storages[[#This Row],[kval_active]],dict_zuord_Transfers_Storages[[#This Row],[ID_Storages]],"")</f>
        <v/>
      </c>
    </row>
    <row r="1028" spans="1:4" x14ac:dyDescent="0.45">
      <c r="A1028">
        <v>114</v>
      </c>
      <c r="B1028">
        <f t="shared" ca="1" si="16"/>
        <v>66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66</v>
      </c>
    </row>
    <row r="1029" spans="1:4" x14ac:dyDescent="0.45">
      <c r="A1029">
        <v>114</v>
      </c>
      <c r="B1029">
        <f t="shared" ca="1" si="16"/>
        <v>70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70</v>
      </c>
    </row>
    <row r="1030" spans="1:4" x14ac:dyDescent="0.45">
      <c r="A1030">
        <v>114</v>
      </c>
      <c r="B1030">
        <f t="shared" ca="1" si="16"/>
        <v>10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10</v>
      </c>
    </row>
    <row r="1031" spans="1:4" x14ac:dyDescent="0.45">
      <c r="A1031">
        <v>114</v>
      </c>
      <c r="B1031">
        <f t="shared" ca="1" si="16"/>
        <v>19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19</v>
      </c>
    </row>
    <row r="1032" spans="1:4" x14ac:dyDescent="0.45">
      <c r="A1032">
        <v>114</v>
      </c>
      <c r="B1032">
        <f t="shared" ca="1" si="16"/>
        <v>34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34</v>
      </c>
    </row>
    <row r="1033" spans="1:4" x14ac:dyDescent="0.45">
      <c r="A1033">
        <v>114</v>
      </c>
      <c r="B1033">
        <f t="shared" ca="1" si="16"/>
        <v>31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31</v>
      </c>
    </row>
    <row r="1034" spans="1:4" x14ac:dyDescent="0.45">
      <c r="A1034">
        <v>114</v>
      </c>
      <c r="B1034">
        <f t="shared" ca="1" si="16"/>
        <v>14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14</v>
      </c>
    </row>
    <row r="1035" spans="1:4" x14ac:dyDescent="0.45">
      <c r="A1035">
        <v>114</v>
      </c>
      <c r="B1035">
        <f t="shared" ca="1" si="16"/>
        <v>46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46</v>
      </c>
    </row>
    <row r="1036" spans="1:4" x14ac:dyDescent="0.45">
      <c r="A1036">
        <v>114</v>
      </c>
      <c r="B1036">
        <f t="shared" ca="1" si="16"/>
        <v>74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74</v>
      </c>
    </row>
    <row r="1037" spans="1:4" x14ac:dyDescent="0.45">
      <c r="A1037">
        <v>115</v>
      </c>
      <c r="B1037">
        <f t="shared" ca="1" si="16"/>
        <v>72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7">
        <f ca="1">IF(dict_zuord_Transfers_Storages[[#This Row],[kval_active]],dict_zuord_Transfers_Storages[[#This Row],[ID_Storages]],"")</f>
        <v>72</v>
      </c>
    </row>
    <row r="1038" spans="1:4" x14ac:dyDescent="0.45">
      <c r="A1038">
        <v>115</v>
      </c>
      <c r="B1038">
        <f t="shared" ca="1" si="16"/>
        <v>85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8">
        <f ca="1">IF(dict_zuord_Transfers_Storages[[#This Row],[kval_active]],dict_zuord_Transfers_Storages[[#This Row],[ID_Storages]],"")</f>
        <v>85</v>
      </c>
    </row>
    <row r="1039" spans="1:4" x14ac:dyDescent="0.45">
      <c r="A1039">
        <v>115</v>
      </c>
      <c r="B1039">
        <f t="shared" ca="1" si="16"/>
        <v>38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9">
        <f ca="1">IF(dict_zuord_Transfers_Storages[[#This Row],[kval_active]],dict_zuord_Transfers_Storages[[#This Row],[ID_Storages]],"")</f>
        <v>38</v>
      </c>
    </row>
    <row r="1040" spans="1:4" x14ac:dyDescent="0.45">
      <c r="A1040">
        <v>115</v>
      </c>
      <c r="B1040">
        <f t="shared" ca="1" si="16"/>
        <v>90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0">
        <f ca="1">IF(dict_zuord_Transfers_Storages[[#This Row],[kval_active]],dict_zuord_Transfers_Storages[[#This Row],[ID_Storages]],"")</f>
        <v>90</v>
      </c>
    </row>
    <row r="1041" spans="1:4" x14ac:dyDescent="0.45">
      <c r="A1041">
        <v>115</v>
      </c>
      <c r="B1041">
        <f t="shared" ca="1" si="16"/>
        <v>67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1">
        <f ca="1">IF(dict_zuord_Transfers_Storages[[#This Row],[kval_active]],dict_zuord_Transfers_Storages[[#This Row],[ID_Storages]],"")</f>
        <v>67</v>
      </c>
    </row>
    <row r="1042" spans="1:4" x14ac:dyDescent="0.45">
      <c r="A1042">
        <v>115</v>
      </c>
      <c r="B1042">
        <f t="shared" ca="1" si="16"/>
        <v>16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2">
        <f ca="1">IF(dict_zuord_Transfers_Storages[[#This Row],[kval_active]],dict_zuord_Transfers_Storages[[#This Row],[ID_Storages]],"")</f>
        <v>16</v>
      </c>
    </row>
    <row r="1043" spans="1:4" x14ac:dyDescent="0.45">
      <c r="A1043">
        <v>115</v>
      </c>
      <c r="B1043">
        <f t="shared" ca="1" si="16"/>
        <v>20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3">
        <f ca="1">IF(dict_zuord_Transfers_Storages[[#This Row],[kval_active]],dict_zuord_Transfers_Storages[[#This Row],[ID_Storages]],"")</f>
        <v>20</v>
      </c>
    </row>
    <row r="1044" spans="1:4" x14ac:dyDescent="0.45">
      <c r="A1044">
        <v>115</v>
      </c>
      <c r="B1044">
        <f t="shared" ca="1" si="16"/>
        <v>0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4">
        <f ca="1">IF(dict_zuord_Transfers_Storages[[#This Row],[kval_active]],dict_zuord_Transfers_Storages[[#This Row],[ID_Storages]],"")</f>
        <v>0</v>
      </c>
    </row>
    <row r="1045" spans="1:4" x14ac:dyDescent="0.45">
      <c r="A1045">
        <v>115</v>
      </c>
      <c r="B1045">
        <f t="shared" ca="1" si="16"/>
        <v>36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5">
        <f ca="1">IF(dict_zuord_Transfers_Storages[[#This Row],[kval_active]],dict_zuord_Transfers_Storages[[#This Row],[ID_Storages]],"")</f>
        <v>36</v>
      </c>
    </row>
    <row r="1046" spans="1:4" x14ac:dyDescent="0.45">
      <c r="A1046">
        <v>116</v>
      </c>
      <c r="B1046">
        <f t="shared" ca="1" si="16"/>
        <v>51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51</v>
      </c>
    </row>
    <row r="1047" spans="1:4" x14ac:dyDescent="0.45">
      <c r="A1047">
        <v>116</v>
      </c>
      <c r="B1047">
        <f t="shared" ca="1" si="16"/>
        <v>28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28</v>
      </c>
    </row>
    <row r="1048" spans="1:4" x14ac:dyDescent="0.45">
      <c r="A1048">
        <v>116</v>
      </c>
      <c r="B1048">
        <f t="shared" ca="1" si="16"/>
        <v>65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65</v>
      </c>
    </row>
    <row r="1049" spans="1:4" x14ac:dyDescent="0.45">
      <c r="A1049">
        <v>116</v>
      </c>
      <c r="B1049">
        <f t="shared" ca="1" si="16"/>
        <v>51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51</v>
      </c>
    </row>
    <row r="1050" spans="1:4" x14ac:dyDescent="0.45">
      <c r="A1050">
        <v>116</v>
      </c>
      <c r="B1050">
        <f t="shared" ca="1" si="16"/>
        <v>60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60</v>
      </c>
    </row>
    <row r="1051" spans="1:4" x14ac:dyDescent="0.45">
      <c r="A1051">
        <v>116</v>
      </c>
      <c r="B1051">
        <f t="shared" ca="1" si="16"/>
        <v>94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94</v>
      </c>
    </row>
    <row r="1052" spans="1:4" x14ac:dyDescent="0.45">
      <c r="A1052">
        <v>116</v>
      </c>
      <c r="B1052">
        <f t="shared" ca="1" si="16"/>
        <v>30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30</v>
      </c>
    </row>
    <row r="1053" spans="1:4" x14ac:dyDescent="0.45">
      <c r="A1053">
        <v>116</v>
      </c>
      <c r="B1053">
        <f t="shared" ca="1" si="16"/>
        <v>19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19</v>
      </c>
    </row>
    <row r="1054" spans="1:4" x14ac:dyDescent="0.45">
      <c r="A1054">
        <v>116</v>
      </c>
      <c r="B1054">
        <f t="shared" ca="1" si="16"/>
        <v>9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9</v>
      </c>
    </row>
    <row r="1055" spans="1:4" x14ac:dyDescent="0.45">
      <c r="A1055">
        <v>117</v>
      </c>
      <c r="B1055">
        <f t="shared" ca="1" si="16"/>
        <v>92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5" t="str">
        <f ca="1">IF(dict_zuord_Transfers_Storages[[#This Row],[kval_active]],dict_zuord_Transfers_Storages[[#This Row],[ID_Storages]],"")</f>
        <v/>
      </c>
    </row>
    <row r="1056" spans="1:4" x14ac:dyDescent="0.45">
      <c r="A1056">
        <v>117</v>
      </c>
      <c r="B1056">
        <f t="shared" ca="1" si="16"/>
        <v>98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6" t="str">
        <f ca="1">IF(dict_zuord_Transfers_Storages[[#This Row],[kval_active]],dict_zuord_Transfers_Storages[[#This Row],[ID_Storages]],"")</f>
        <v/>
      </c>
    </row>
    <row r="1057" spans="1:4" x14ac:dyDescent="0.45">
      <c r="A1057">
        <v>117</v>
      </c>
      <c r="B1057">
        <f t="shared" ca="1" si="16"/>
        <v>70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7" t="str">
        <f ca="1">IF(dict_zuord_Transfers_Storages[[#This Row],[kval_active]],dict_zuord_Transfers_Storages[[#This Row],[ID_Storages]],"")</f>
        <v/>
      </c>
    </row>
    <row r="1058" spans="1:4" x14ac:dyDescent="0.45">
      <c r="A1058">
        <v>117</v>
      </c>
      <c r="B1058">
        <f t="shared" ca="1" si="16"/>
        <v>38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8" t="str">
        <f ca="1">IF(dict_zuord_Transfers_Storages[[#This Row],[kval_active]],dict_zuord_Transfers_Storages[[#This Row],[ID_Storages]],"")</f>
        <v/>
      </c>
    </row>
    <row r="1059" spans="1:4" x14ac:dyDescent="0.45">
      <c r="A1059">
        <v>117</v>
      </c>
      <c r="B1059">
        <f t="shared" ca="1" si="16"/>
        <v>40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9" t="str">
        <f ca="1">IF(dict_zuord_Transfers_Storages[[#This Row],[kval_active]],dict_zuord_Transfers_Storages[[#This Row],[ID_Storages]],"")</f>
        <v/>
      </c>
    </row>
    <row r="1060" spans="1:4" x14ac:dyDescent="0.45">
      <c r="A1060">
        <v>117</v>
      </c>
      <c r="B1060">
        <f t="shared" ca="1" si="16"/>
        <v>77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0" t="str">
        <f ca="1">IF(dict_zuord_Transfers_Storages[[#This Row],[kval_active]],dict_zuord_Transfers_Storages[[#This Row],[ID_Storages]],"")</f>
        <v/>
      </c>
    </row>
    <row r="1061" spans="1:4" x14ac:dyDescent="0.45">
      <c r="A1061">
        <v>117</v>
      </c>
      <c r="B1061">
        <f t="shared" ca="1" si="16"/>
        <v>77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1" t="str">
        <f ca="1">IF(dict_zuord_Transfers_Storages[[#This Row],[kval_active]],dict_zuord_Transfers_Storages[[#This Row],[ID_Storages]],"")</f>
        <v/>
      </c>
    </row>
    <row r="1062" spans="1:4" x14ac:dyDescent="0.45">
      <c r="A1062">
        <v>117</v>
      </c>
      <c r="B1062">
        <f t="shared" ca="1" si="16"/>
        <v>91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2" t="str">
        <f ca="1">IF(dict_zuord_Transfers_Storages[[#This Row],[kval_active]],dict_zuord_Transfers_Storages[[#This Row],[ID_Storages]],"")</f>
        <v/>
      </c>
    </row>
    <row r="1063" spans="1:4" x14ac:dyDescent="0.45">
      <c r="A1063">
        <v>117</v>
      </c>
      <c r="B1063">
        <f t="shared" ca="1" si="16"/>
        <v>20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3" t="str">
        <f ca="1">IF(dict_zuord_Transfers_Storages[[#This Row],[kval_active]],dict_zuord_Transfers_Storages[[#This Row],[ID_Storages]],"")</f>
        <v/>
      </c>
    </row>
    <row r="1064" spans="1:4" x14ac:dyDescent="0.45">
      <c r="A1064">
        <v>118</v>
      </c>
      <c r="B1064">
        <f t="shared" ca="1" si="16"/>
        <v>11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4" t="str">
        <f ca="1">IF(dict_zuord_Transfers_Storages[[#This Row],[kval_active]],dict_zuord_Transfers_Storages[[#This Row],[ID_Storages]],"")</f>
        <v/>
      </c>
    </row>
    <row r="1065" spans="1:4" x14ac:dyDescent="0.45">
      <c r="A1065">
        <v>118</v>
      </c>
      <c r="B1065">
        <f t="shared" ca="1" si="16"/>
        <v>57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5" t="str">
        <f ca="1">IF(dict_zuord_Transfers_Storages[[#This Row],[kval_active]],dict_zuord_Transfers_Storages[[#This Row],[ID_Storages]],"")</f>
        <v/>
      </c>
    </row>
    <row r="1066" spans="1:4" x14ac:dyDescent="0.45">
      <c r="A1066">
        <v>118</v>
      </c>
      <c r="B1066">
        <f t="shared" ca="1" si="16"/>
        <v>98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6" t="str">
        <f ca="1">IF(dict_zuord_Transfers_Storages[[#This Row],[kval_active]],dict_zuord_Transfers_Storages[[#This Row],[ID_Storages]],"")</f>
        <v/>
      </c>
    </row>
    <row r="1067" spans="1:4" x14ac:dyDescent="0.45">
      <c r="A1067">
        <v>118</v>
      </c>
      <c r="B1067">
        <f t="shared" ca="1" si="16"/>
        <v>27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7" t="str">
        <f ca="1">IF(dict_zuord_Transfers_Storages[[#This Row],[kval_active]],dict_zuord_Transfers_Storages[[#This Row],[ID_Storages]],"")</f>
        <v/>
      </c>
    </row>
    <row r="1068" spans="1:4" x14ac:dyDescent="0.45">
      <c r="A1068">
        <v>118</v>
      </c>
      <c r="B1068">
        <f t="shared" ca="1" si="16"/>
        <v>79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8" t="str">
        <f ca="1">IF(dict_zuord_Transfers_Storages[[#This Row],[kval_active]],dict_zuord_Transfers_Storages[[#This Row],[ID_Storages]],"")</f>
        <v/>
      </c>
    </row>
    <row r="1069" spans="1:4" x14ac:dyDescent="0.45">
      <c r="A1069">
        <v>118</v>
      </c>
      <c r="B1069">
        <f t="shared" ca="1" si="16"/>
        <v>16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9" t="str">
        <f ca="1">IF(dict_zuord_Transfers_Storages[[#This Row],[kval_active]],dict_zuord_Transfers_Storages[[#This Row],[ID_Storages]],"")</f>
        <v/>
      </c>
    </row>
    <row r="1070" spans="1:4" x14ac:dyDescent="0.45">
      <c r="A1070">
        <v>118</v>
      </c>
      <c r="B1070">
        <f t="shared" ca="1" si="16"/>
        <v>37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0" t="str">
        <f ca="1">IF(dict_zuord_Transfers_Storages[[#This Row],[kval_active]],dict_zuord_Transfers_Storages[[#This Row],[ID_Storages]],"")</f>
        <v/>
      </c>
    </row>
    <row r="1071" spans="1:4" x14ac:dyDescent="0.45">
      <c r="A1071">
        <v>118</v>
      </c>
      <c r="B1071">
        <f t="shared" ca="1" si="16"/>
        <v>92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1" t="str">
        <f ca="1">IF(dict_zuord_Transfers_Storages[[#This Row],[kval_active]],dict_zuord_Transfers_Storages[[#This Row],[ID_Storages]],"")</f>
        <v/>
      </c>
    </row>
    <row r="1072" spans="1:4" x14ac:dyDescent="0.45">
      <c r="A1072">
        <v>118</v>
      </c>
      <c r="B1072">
        <f t="shared" ca="1" si="16"/>
        <v>15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2" t="str">
        <f ca="1">IF(dict_zuord_Transfers_Storages[[#This Row],[kval_active]],dict_zuord_Transfers_Storages[[#This Row],[ID_Storages]],"")</f>
        <v/>
      </c>
    </row>
    <row r="1073" spans="1:4" x14ac:dyDescent="0.45">
      <c r="A1073">
        <v>119</v>
      </c>
      <c r="B1073">
        <f t="shared" ca="1" si="16"/>
        <v>16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3">
        <f ca="1">IF(dict_zuord_Transfers_Storages[[#This Row],[kval_active]],dict_zuord_Transfers_Storages[[#This Row],[ID_Storages]],"")</f>
        <v>16</v>
      </c>
    </row>
    <row r="1074" spans="1:4" x14ac:dyDescent="0.45">
      <c r="A1074">
        <v>119</v>
      </c>
      <c r="B1074">
        <f t="shared" ca="1" si="16"/>
        <v>53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4">
        <f ca="1">IF(dict_zuord_Transfers_Storages[[#This Row],[kval_active]],dict_zuord_Transfers_Storages[[#This Row],[ID_Storages]],"")</f>
        <v>53</v>
      </c>
    </row>
    <row r="1075" spans="1:4" x14ac:dyDescent="0.45">
      <c r="A1075">
        <v>119</v>
      </c>
      <c r="B1075">
        <f t="shared" ca="1" si="16"/>
        <v>90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5">
        <f ca="1">IF(dict_zuord_Transfers_Storages[[#This Row],[kval_active]],dict_zuord_Transfers_Storages[[#This Row],[ID_Storages]],"")</f>
        <v>90</v>
      </c>
    </row>
    <row r="1076" spans="1:4" x14ac:dyDescent="0.45">
      <c r="A1076">
        <v>119</v>
      </c>
      <c r="B1076">
        <f t="shared" ca="1" si="16"/>
        <v>57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6">
        <f ca="1">IF(dict_zuord_Transfers_Storages[[#This Row],[kval_active]],dict_zuord_Transfers_Storages[[#This Row],[ID_Storages]],"")</f>
        <v>57</v>
      </c>
    </row>
    <row r="1077" spans="1:4" x14ac:dyDescent="0.45">
      <c r="A1077">
        <v>119</v>
      </c>
      <c r="B1077">
        <f t="shared" ca="1" si="16"/>
        <v>31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7">
        <f ca="1">IF(dict_zuord_Transfers_Storages[[#This Row],[kval_active]],dict_zuord_Transfers_Storages[[#This Row],[ID_Storages]],"")</f>
        <v>31</v>
      </c>
    </row>
    <row r="1078" spans="1:4" x14ac:dyDescent="0.45">
      <c r="A1078">
        <v>119</v>
      </c>
      <c r="B1078">
        <f t="shared" ca="1" si="16"/>
        <v>12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8">
        <f ca="1">IF(dict_zuord_Transfers_Storages[[#This Row],[kval_active]],dict_zuord_Transfers_Storages[[#This Row],[ID_Storages]],"")</f>
        <v>12</v>
      </c>
    </row>
    <row r="1079" spans="1:4" x14ac:dyDescent="0.45">
      <c r="A1079">
        <v>119</v>
      </c>
      <c r="B1079">
        <f t="shared" ca="1" si="16"/>
        <v>85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9">
        <f ca="1">IF(dict_zuord_Transfers_Storages[[#This Row],[kval_active]],dict_zuord_Transfers_Storages[[#This Row],[ID_Storages]],"")</f>
        <v>85</v>
      </c>
    </row>
    <row r="1080" spans="1:4" x14ac:dyDescent="0.45">
      <c r="A1080">
        <v>119</v>
      </c>
      <c r="B1080">
        <f t="shared" ca="1" si="16"/>
        <v>13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0">
        <f ca="1">IF(dict_zuord_Transfers_Storages[[#This Row],[kval_active]],dict_zuord_Transfers_Storages[[#This Row],[ID_Storages]],"")</f>
        <v>13</v>
      </c>
    </row>
    <row r="1081" spans="1:4" x14ac:dyDescent="0.45">
      <c r="A1081">
        <v>119</v>
      </c>
      <c r="B1081">
        <f t="shared" ca="1" si="16"/>
        <v>71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1">
        <f ca="1">IF(dict_zuord_Transfers_Storages[[#This Row],[kval_active]],dict_zuord_Transfers_Storages[[#This Row],[ID_Storages]],"")</f>
        <v>71</v>
      </c>
    </row>
    <row r="1082" spans="1:4" x14ac:dyDescent="0.45">
      <c r="A1082">
        <v>120</v>
      </c>
      <c r="B1082">
        <f t="shared" ca="1" si="16"/>
        <v>0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2" t="str">
        <f ca="1">IF(dict_zuord_Transfers_Storages[[#This Row],[kval_active]],dict_zuord_Transfers_Storages[[#This Row],[ID_Storages]],"")</f>
        <v/>
      </c>
    </row>
    <row r="1083" spans="1:4" x14ac:dyDescent="0.45">
      <c r="A1083">
        <v>120</v>
      </c>
      <c r="B1083">
        <f t="shared" ca="1" si="16"/>
        <v>33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3" t="str">
        <f ca="1">IF(dict_zuord_Transfers_Storages[[#This Row],[kval_active]],dict_zuord_Transfers_Storages[[#This Row],[ID_Storages]],"")</f>
        <v/>
      </c>
    </row>
    <row r="1084" spans="1:4" x14ac:dyDescent="0.45">
      <c r="A1084">
        <v>120</v>
      </c>
      <c r="B1084">
        <f t="shared" ca="1" si="16"/>
        <v>64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4" t="str">
        <f ca="1">IF(dict_zuord_Transfers_Storages[[#This Row],[kval_active]],dict_zuord_Transfers_Storages[[#This Row],[ID_Storages]],"")</f>
        <v/>
      </c>
    </row>
    <row r="1085" spans="1:4" x14ac:dyDescent="0.45">
      <c r="A1085">
        <v>120</v>
      </c>
      <c r="B1085">
        <f t="shared" ca="1" si="16"/>
        <v>66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5" t="str">
        <f ca="1">IF(dict_zuord_Transfers_Storages[[#This Row],[kval_active]],dict_zuord_Transfers_Storages[[#This Row],[ID_Storages]],"")</f>
        <v/>
      </c>
    </row>
    <row r="1086" spans="1:4" x14ac:dyDescent="0.45">
      <c r="A1086">
        <v>120</v>
      </c>
      <c r="B1086">
        <f t="shared" ca="1" si="16"/>
        <v>49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6" t="str">
        <f ca="1">IF(dict_zuord_Transfers_Storages[[#This Row],[kval_active]],dict_zuord_Transfers_Storages[[#This Row],[ID_Storages]],"")</f>
        <v/>
      </c>
    </row>
    <row r="1087" spans="1:4" x14ac:dyDescent="0.45">
      <c r="A1087">
        <v>120</v>
      </c>
      <c r="B1087">
        <f t="shared" ca="1" si="16"/>
        <v>96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7" t="str">
        <f ca="1">IF(dict_zuord_Transfers_Storages[[#This Row],[kval_active]],dict_zuord_Transfers_Storages[[#This Row],[ID_Storages]],"")</f>
        <v/>
      </c>
    </row>
    <row r="1088" spans="1:4" x14ac:dyDescent="0.45">
      <c r="A1088">
        <v>120</v>
      </c>
      <c r="B1088">
        <f t="shared" ca="1" si="16"/>
        <v>98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8" t="str">
        <f ca="1">IF(dict_zuord_Transfers_Storages[[#This Row],[kval_active]],dict_zuord_Transfers_Storages[[#This Row],[ID_Storages]],"")</f>
        <v/>
      </c>
    </row>
    <row r="1089" spans="1:4" x14ac:dyDescent="0.45">
      <c r="A1089">
        <v>120</v>
      </c>
      <c r="B1089">
        <f t="shared" ca="1" si="16"/>
        <v>92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9" t="str">
        <f ca="1">IF(dict_zuord_Transfers_Storages[[#This Row],[kval_active]],dict_zuord_Transfers_Storages[[#This Row],[ID_Storages]],"")</f>
        <v/>
      </c>
    </row>
    <row r="1090" spans="1:4" x14ac:dyDescent="0.45">
      <c r="A1090">
        <v>120</v>
      </c>
      <c r="B1090">
        <f t="shared" ref="B1090:B1153" ca="1" si="17">RANDBETWEEN(0,100)</f>
        <v>67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0" t="str">
        <f ca="1">IF(dict_zuord_Transfers_Storages[[#This Row],[kval_active]],dict_zuord_Transfers_Storages[[#This Row],[ID_Storages]],"")</f>
        <v/>
      </c>
    </row>
    <row r="1091" spans="1:4" x14ac:dyDescent="0.45">
      <c r="A1091">
        <v>121</v>
      </c>
      <c r="B1091">
        <f t="shared" ca="1" si="17"/>
        <v>70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1">
        <f ca="1">IF(dict_zuord_Transfers_Storages[[#This Row],[kval_active]],dict_zuord_Transfers_Storages[[#This Row],[ID_Storages]],"")</f>
        <v>70</v>
      </c>
    </row>
    <row r="1092" spans="1:4" x14ac:dyDescent="0.45">
      <c r="A1092">
        <v>121</v>
      </c>
      <c r="B1092">
        <f t="shared" ca="1" si="17"/>
        <v>52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2">
        <f ca="1">IF(dict_zuord_Transfers_Storages[[#This Row],[kval_active]],dict_zuord_Transfers_Storages[[#This Row],[ID_Storages]],"")</f>
        <v>52</v>
      </c>
    </row>
    <row r="1093" spans="1:4" x14ac:dyDescent="0.45">
      <c r="A1093">
        <v>121</v>
      </c>
      <c r="B1093">
        <f t="shared" ca="1" si="17"/>
        <v>65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3">
        <f ca="1">IF(dict_zuord_Transfers_Storages[[#This Row],[kval_active]],dict_zuord_Transfers_Storages[[#This Row],[ID_Storages]],"")</f>
        <v>65</v>
      </c>
    </row>
    <row r="1094" spans="1:4" x14ac:dyDescent="0.45">
      <c r="A1094">
        <v>121</v>
      </c>
      <c r="B1094">
        <f t="shared" ca="1" si="17"/>
        <v>76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4">
        <f ca="1">IF(dict_zuord_Transfers_Storages[[#This Row],[kval_active]],dict_zuord_Transfers_Storages[[#This Row],[ID_Storages]],"")</f>
        <v>76</v>
      </c>
    </row>
    <row r="1095" spans="1:4" x14ac:dyDescent="0.45">
      <c r="A1095">
        <v>121</v>
      </c>
      <c r="B1095">
        <f t="shared" ca="1" si="17"/>
        <v>34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5">
        <f ca="1">IF(dict_zuord_Transfers_Storages[[#This Row],[kval_active]],dict_zuord_Transfers_Storages[[#This Row],[ID_Storages]],"")</f>
        <v>34</v>
      </c>
    </row>
    <row r="1096" spans="1:4" x14ac:dyDescent="0.45">
      <c r="A1096">
        <v>121</v>
      </c>
      <c r="B1096">
        <f t="shared" ca="1" si="17"/>
        <v>46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6">
        <f ca="1">IF(dict_zuord_Transfers_Storages[[#This Row],[kval_active]],dict_zuord_Transfers_Storages[[#This Row],[ID_Storages]],"")</f>
        <v>46</v>
      </c>
    </row>
    <row r="1097" spans="1:4" x14ac:dyDescent="0.45">
      <c r="A1097">
        <v>121</v>
      </c>
      <c r="B1097">
        <f t="shared" ca="1" si="17"/>
        <v>63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7">
        <f ca="1">IF(dict_zuord_Transfers_Storages[[#This Row],[kval_active]],dict_zuord_Transfers_Storages[[#This Row],[ID_Storages]],"")</f>
        <v>63</v>
      </c>
    </row>
    <row r="1098" spans="1:4" x14ac:dyDescent="0.45">
      <c r="A1098">
        <v>121</v>
      </c>
      <c r="B1098">
        <f t="shared" ca="1" si="17"/>
        <v>20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8">
        <f ca="1">IF(dict_zuord_Transfers_Storages[[#This Row],[kval_active]],dict_zuord_Transfers_Storages[[#This Row],[ID_Storages]],"")</f>
        <v>20</v>
      </c>
    </row>
    <row r="1099" spans="1:4" x14ac:dyDescent="0.45">
      <c r="A1099">
        <v>121</v>
      </c>
      <c r="B1099">
        <f t="shared" ca="1" si="17"/>
        <v>67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9">
        <f ca="1">IF(dict_zuord_Transfers_Storages[[#This Row],[kval_active]],dict_zuord_Transfers_Storages[[#This Row],[ID_Storages]],"")</f>
        <v>67</v>
      </c>
    </row>
    <row r="1100" spans="1:4" x14ac:dyDescent="0.45">
      <c r="A1100">
        <v>122</v>
      </c>
      <c r="B1100">
        <f t="shared" ca="1" si="17"/>
        <v>95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0" t="str">
        <f ca="1">IF(dict_zuord_Transfers_Storages[[#This Row],[kval_active]],dict_zuord_Transfers_Storages[[#This Row],[ID_Storages]],"")</f>
        <v/>
      </c>
    </row>
    <row r="1101" spans="1:4" x14ac:dyDescent="0.45">
      <c r="A1101">
        <v>122</v>
      </c>
      <c r="B1101">
        <f t="shared" ca="1" si="17"/>
        <v>10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1" t="str">
        <f ca="1">IF(dict_zuord_Transfers_Storages[[#This Row],[kval_active]],dict_zuord_Transfers_Storages[[#This Row],[ID_Storages]],"")</f>
        <v/>
      </c>
    </row>
    <row r="1102" spans="1:4" x14ac:dyDescent="0.45">
      <c r="A1102">
        <v>122</v>
      </c>
      <c r="B1102">
        <f t="shared" ca="1" si="17"/>
        <v>13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2" t="str">
        <f ca="1">IF(dict_zuord_Transfers_Storages[[#This Row],[kval_active]],dict_zuord_Transfers_Storages[[#This Row],[ID_Storages]],"")</f>
        <v/>
      </c>
    </row>
    <row r="1103" spans="1:4" x14ac:dyDescent="0.45">
      <c r="A1103">
        <v>122</v>
      </c>
      <c r="B1103">
        <f t="shared" ca="1" si="17"/>
        <v>35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3" t="str">
        <f ca="1">IF(dict_zuord_Transfers_Storages[[#This Row],[kval_active]],dict_zuord_Transfers_Storages[[#This Row],[ID_Storages]],"")</f>
        <v/>
      </c>
    </row>
    <row r="1104" spans="1:4" x14ac:dyDescent="0.45">
      <c r="A1104">
        <v>122</v>
      </c>
      <c r="B1104">
        <f t="shared" ca="1" si="17"/>
        <v>66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4" t="str">
        <f ca="1">IF(dict_zuord_Transfers_Storages[[#This Row],[kval_active]],dict_zuord_Transfers_Storages[[#This Row],[ID_Storages]],"")</f>
        <v/>
      </c>
    </row>
    <row r="1105" spans="1:4" x14ac:dyDescent="0.45">
      <c r="A1105">
        <v>122</v>
      </c>
      <c r="B1105">
        <f t="shared" ca="1" si="17"/>
        <v>17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5" t="str">
        <f ca="1">IF(dict_zuord_Transfers_Storages[[#This Row],[kval_active]],dict_zuord_Transfers_Storages[[#This Row],[ID_Storages]],"")</f>
        <v/>
      </c>
    </row>
    <row r="1106" spans="1:4" x14ac:dyDescent="0.45">
      <c r="A1106">
        <v>122</v>
      </c>
      <c r="B1106">
        <f t="shared" ca="1" si="17"/>
        <v>11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6" t="str">
        <f ca="1">IF(dict_zuord_Transfers_Storages[[#This Row],[kval_active]],dict_zuord_Transfers_Storages[[#This Row],[ID_Storages]],"")</f>
        <v/>
      </c>
    </row>
    <row r="1107" spans="1:4" x14ac:dyDescent="0.45">
      <c r="A1107">
        <v>122</v>
      </c>
      <c r="B1107">
        <f t="shared" ca="1" si="17"/>
        <v>60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7" t="str">
        <f ca="1">IF(dict_zuord_Transfers_Storages[[#This Row],[kval_active]],dict_zuord_Transfers_Storages[[#This Row],[ID_Storages]],"")</f>
        <v/>
      </c>
    </row>
    <row r="1108" spans="1:4" x14ac:dyDescent="0.45">
      <c r="A1108">
        <v>122</v>
      </c>
      <c r="B1108">
        <f t="shared" ca="1" si="17"/>
        <v>36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8" t="str">
        <f ca="1">IF(dict_zuord_Transfers_Storages[[#This Row],[kval_active]],dict_zuord_Transfers_Storages[[#This Row],[ID_Storages]],"")</f>
        <v/>
      </c>
    </row>
    <row r="1109" spans="1:4" x14ac:dyDescent="0.45">
      <c r="A1109">
        <v>123</v>
      </c>
      <c r="B1109">
        <f t="shared" ca="1" si="17"/>
        <v>57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9" t="str">
        <f ca="1">IF(dict_zuord_Transfers_Storages[[#This Row],[kval_active]],dict_zuord_Transfers_Storages[[#This Row],[ID_Storages]],"")</f>
        <v/>
      </c>
    </row>
    <row r="1110" spans="1:4" x14ac:dyDescent="0.45">
      <c r="A1110">
        <v>123</v>
      </c>
      <c r="B1110">
        <f t="shared" ca="1" si="17"/>
        <v>44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0" t="str">
        <f ca="1">IF(dict_zuord_Transfers_Storages[[#This Row],[kval_active]],dict_zuord_Transfers_Storages[[#This Row],[ID_Storages]],"")</f>
        <v/>
      </c>
    </row>
    <row r="1111" spans="1:4" x14ac:dyDescent="0.45">
      <c r="A1111">
        <v>123</v>
      </c>
      <c r="B1111">
        <f t="shared" ca="1" si="17"/>
        <v>89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1" t="str">
        <f ca="1">IF(dict_zuord_Transfers_Storages[[#This Row],[kval_active]],dict_zuord_Transfers_Storages[[#This Row],[ID_Storages]],"")</f>
        <v/>
      </c>
    </row>
    <row r="1112" spans="1:4" x14ac:dyDescent="0.45">
      <c r="A1112">
        <v>123</v>
      </c>
      <c r="B1112">
        <f t="shared" ca="1" si="17"/>
        <v>87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2" t="str">
        <f ca="1">IF(dict_zuord_Transfers_Storages[[#This Row],[kval_active]],dict_zuord_Transfers_Storages[[#This Row],[ID_Storages]],"")</f>
        <v/>
      </c>
    </row>
    <row r="1113" spans="1:4" x14ac:dyDescent="0.45">
      <c r="A1113">
        <v>123</v>
      </c>
      <c r="B1113">
        <f t="shared" ca="1" si="17"/>
        <v>19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3" t="str">
        <f ca="1">IF(dict_zuord_Transfers_Storages[[#This Row],[kval_active]],dict_zuord_Transfers_Storages[[#This Row],[ID_Storages]],"")</f>
        <v/>
      </c>
    </row>
    <row r="1114" spans="1:4" x14ac:dyDescent="0.45">
      <c r="A1114">
        <v>123</v>
      </c>
      <c r="B1114">
        <f t="shared" ca="1" si="17"/>
        <v>61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4" t="str">
        <f ca="1">IF(dict_zuord_Transfers_Storages[[#This Row],[kval_active]],dict_zuord_Transfers_Storages[[#This Row],[ID_Storages]],"")</f>
        <v/>
      </c>
    </row>
    <row r="1115" spans="1:4" x14ac:dyDescent="0.45">
      <c r="A1115">
        <v>123</v>
      </c>
      <c r="B1115">
        <f t="shared" ca="1" si="17"/>
        <v>81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5" t="str">
        <f ca="1">IF(dict_zuord_Transfers_Storages[[#This Row],[kval_active]],dict_zuord_Transfers_Storages[[#This Row],[ID_Storages]],"")</f>
        <v/>
      </c>
    </row>
    <row r="1116" spans="1:4" x14ac:dyDescent="0.45">
      <c r="A1116">
        <v>123</v>
      </c>
      <c r="B1116">
        <f t="shared" ca="1" si="17"/>
        <v>74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6" t="str">
        <f ca="1">IF(dict_zuord_Transfers_Storages[[#This Row],[kval_active]],dict_zuord_Transfers_Storages[[#This Row],[ID_Storages]],"")</f>
        <v/>
      </c>
    </row>
    <row r="1117" spans="1:4" x14ac:dyDescent="0.45">
      <c r="A1117">
        <v>123</v>
      </c>
      <c r="B1117">
        <f t="shared" ca="1" si="17"/>
        <v>86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7" t="str">
        <f ca="1">IF(dict_zuord_Transfers_Storages[[#This Row],[kval_active]],dict_zuord_Transfers_Storages[[#This Row],[ID_Storages]],"")</f>
        <v/>
      </c>
    </row>
    <row r="1118" spans="1:4" x14ac:dyDescent="0.45">
      <c r="A1118">
        <v>124</v>
      </c>
      <c r="B1118">
        <f t="shared" ca="1" si="17"/>
        <v>25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25</v>
      </c>
    </row>
    <row r="1119" spans="1:4" x14ac:dyDescent="0.45">
      <c r="A1119">
        <v>124</v>
      </c>
      <c r="B1119">
        <f t="shared" ca="1" si="17"/>
        <v>64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64</v>
      </c>
    </row>
    <row r="1120" spans="1:4" x14ac:dyDescent="0.45">
      <c r="A1120">
        <v>124</v>
      </c>
      <c r="B1120">
        <f t="shared" ca="1" si="17"/>
        <v>32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32</v>
      </c>
    </row>
    <row r="1121" spans="1:4" x14ac:dyDescent="0.45">
      <c r="A1121">
        <v>124</v>
      </c>
      <c r="B1121">
        <f t="shared" ca="1" si="17"/>
        <v>68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68</v>
      </c>
    </row>
    <row r="1122" spans="1:4" x14ac:dyDescent="0.45">
      <c r="A1122">
        <v>124</v>
      </c>
      <c r="B1122">
        <f t="shared" ca="1" si="17"/>
        <v>40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40</v>
      </c>
    </row>
    <row r="1123" spans="1:4" x14ac:dyDescent="0.45">
      <c r="A1123">
        <v>124</v>
      </c>
      <c r="B1123">
        <f t="shared" ca="1" si="17"/>
        <v>57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57</v>
      </c>
    </row>
    <row r="1124" spans="1:4" x14ac:dyDescent="0.45">
      <c r="A1124">
        <v>124</v>
      </c>
      <c r="B1124">
        <f t="shared" ca="1" si="17"/>
        <v>83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83</v>
      </c>
    </row>
    <row r="1125" spans="1:4" x14ac:dyDescent="0.45">
      <c r="A1125">
        <v>124</v>
      </c>
      <c r="B1125">
        <f t="shared" ca="1" si="17"/>
        <v>19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19</v>
      </c>
    </row>
    <row r="1126" spans="1:4" x14ac:dyDescent="0.45">
      <c r="A1126">
        <v>124</v>
      </c>
      <c r="B1126">
        <f t="shared" ca="1" si="17"/>
        <v>29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29</v>
      </c>
    </row>
    <row r="1127" spans="1:4" x14ac:dyDescent="0.45">
      <c r="A1127">
        <v>125</v>
      </c>
      <c r="B1127">
        <f t="shared" ca="1" si="17"/>
        <v>1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1</v>
      </c>
    </row>
    <row r="1128" spans="1:4" x14ac:dyDescent="0.45">
      <c r="A1128">
        <v>125</v>
      </c>
      <c r="B1128">
        <f t="shared" ca="1" si="17"/>
        <v>56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56</v>
      </c>
    </row>
    <row r="1129" spans="1:4" x14ac:dyDescent="0.45">
      <c r="A1129">
        <v>125</v>
      </c>
      <c r="B1129">
        <f t="shared" ca="1" si="17"/>
        <v>87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87</v>
      </c>
    </row>
    <row r="1130" spans="1:4" x14ac:dyDescent="0.45">
      <c r="A1130">
        <v>125</v>
      </c>
      <c r="B1130">
        <f t="shared" ca="1" si="17"/>
        <v>100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100</v>
      </c>
    </row>
    <row r="1131" spans="1:4" x14ac:dyDescent="0.45">
      <c r="A1131">
        <v>125</v>
      </c>
      <c r="B1131">
        <f t="shared" ca="1" si="17"/>
        <v>0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0</v>
      </c>
    </row>
    <row r="1132" spans="1:4" x14ac:dyDescent="0.45">
      <c r="A1132">
        <v>125</v>
      </c>
      <c r="B1132">
        <f t="shared" ca="1" si="17"/>
        <v>3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3</v>
      </c>
    </row>
    <row r="1133" spans="1:4" x14ac:dyDescent="0.45">
      <c r="A1133">
        <v>125</v>
      </c>
      <c r="B1133">
        <f t="shared" ca="1" si="17"/>
        <v>78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78</v>
      </c>
    </row>
    <row r="1134" spans="1:4" x14ac:dyDescent="0.45">
      <c r="A1134">
        <v>125</v>
      </c>
      <c r="B1134">
        <f t="shared" ca="1" si="17"/>
        <v>12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12</v>
      </c>
    </row>
    <row r="1135" spans="1:4" x14ac:dyDescent="0.45">
      <c r="A1135">
        <v>125</v>
      </c>
      <c r="B1135">
        <f t="shared" ca="1" si="17"/>
        <v>41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41</v>
      </c>
    </row>
    <row r="1136" spans="1:4" x14ac:dyDescent="0.45">
      <c r="A1136">
        <v>126</v>
      </c>
      <c r="B1136">
        <f t="shared" ca="1" si="17"/>
        <v>1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6" t="str">
        <f ca="1">IF(dict_zuord_Transfers_Storages[[#This Row],[kval_active]],dict_zuord_Transfers_Storages[[#This Row],[ID_Storages]],"")</f>
        <v/>
      </c>
    </row>
    <row r="1137" spans="1:4" x14ac:dyDescent="0.45">
      <c r="A1137">
        <v>126</v>
      </c>
      <c r="B1137">
        <f t="shared" ca="1" si="17"/>
        <v>63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7" t="str">
        <f ca="1">IF(dict_zuord_Transfers_Storages[[#This Row],[kval_active]],dict_zuord_Transfers_Storages[[#This Row],[ID_Storages]],"")</f>
        <v/>
      </c>
    </row>
    <row r="1138" spans="1:4" x14ac:dyDescent="0.45">
      <c r="A1138">
        <v>126</v>
      </c>
      <c r="B1138">
        <f t="shared" ca="1" si="17"/>
        <v>99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8" t="str">
        <f ca="1">IF(dict_zuord_Transfers_Storages[[#This Row],[kval_active]],dict_zuord_Transfers_Storages[[#This Row],[ID_Storages]],"")</f>
        <v/>
      </c>
    </row>
    <row r="1139" spans="1:4" x14ac:dyDescent="0.45">
      <c r="A1139">
        <v>126</v>
      </c>
      <c r="B1139">
        <f t="shared" ca="1" si="17"/>
        <v>53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9" t="str">
        <f ca="1">IF(dict_zuord_Transfers_Storages[[#This Row],[kval_active]],dict_zuord_Transfers_Storages[[#This Row],[ID_Storages]],"")</f>
        <v/>
      </c>
    </row>
    <row r="1140" spans="1:4" x14ac:dyDescent="0.45">
      <c r="A1140">
        <v>126</v>
      </c>
      <c r="B1140">
        <f t="shared" ca="1" si="17"/>
        <v>77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0" t="str">
        <f ca="1">IF(dict_zuord_Transfers_Storages[[#This Row],[kval_active]],dict_zuord_Transfers_Storages[[#This Row],[ID_Storages]],"")</f>
        <v/>
      </c>
    </row>
    <row r="1141" spans="1:4" x14ac:dyDescent="0.45">
      <c r="A1141">
        <v>126</v>
      </c>
      <c r="B1141">
        <f t="shared" ca="1" si="17"/>
        <v>32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1" t="str">
        <f ca="1">IF(dict_zuord_Transfers_Storages[[#This Row],[kval_active]],dict_zuord_Transfers_Storages[[#This Row],[ID_Storages]],"")</f>
        <v/>
      </c>
    </row>
    <row r="1142" spans="1:4" x14ac:dyDescent="0.45">
      <c r="A1142">
        <v>126</v>
      </c>
      <c r="B1142">
        <f t="shared" ca="1" si="17"/>
        <v>7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2" t="str">
        <f ca="1">IF(dict_zuord_Transfers_Storages[[#This Row],[kval_active]],dict_zuord_Transfers_Storages[[#This Row],[ID_Storages]],"")</f>
        <v/>
      </c>
    </row>
    <row r="1143" spans="1:4" x14ac:dyDescent="0.45">
      <c r="A1143">
        <v>126</v>
      </c>
      <c r="B1143">
        <f t="shared" ca="1" si="17"/>
        <v>27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3" t="str">
        <f ca="1">IF(dict_zuord_Transfers_Storages[[#This Row],[kval_active]],dict_zuord_Transfers_Storages[[#This Row],[ID_Storages]],"")</f>
        <v/>
      </c>
    </row>
    <row r="1144" spans="1:4" x14ac:dyDescent="0.45">
      <c r="A1144">
        <v>126</v>
      </c>
      <c r="B1144">
        <f t="shared" ca="1" si="17"/>
        <v>87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4" t="str">
        <f ca="1">IF(dict_zuord_Transfers_Storages[[#This Row],[kval_active]],dict_zuord_Transfers_Storages[[#This Row],[ID_Storages]],"")</f>
        <v/>
      </c>
    </row>
    <row r="1145" spans="1:4" x14ac:dyDescent="0.45">
      <c r="A1145">
        <v>127</v>
      </c>
      <c r="B1145">
        <f t="shared" ca="1" si="17"/>
        <v>51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51</v>
      </c>
    </row>
    <row r="1146" spans="1:4" x14ac:dyDescent="0.45">
      <c r="A1146">
        <v>127</v>
      </c>
      <c r="B1146">
        <f t="shared" ca="1" si="17"/>
        <v>84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84</v>
      </c>
    </row>
    <row r="1147" spans="1:4" x14ac:dyDescent="0.45">
      <c r="A1147">
        <v>127</v>
      </c>
      <c r="B1147">
        <f t="shared" ca="1" si="17"/>
        <v>33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33</v>
      </c>
    </row>
    <row r="1148" spans="1:4" x14ac:dyDescent="0.45">
      <c r="A1148">
        <v>127</v>
      </c>
      <c r="B1148">
        <f t="shared" ca="1" si="17"/>
        <v>2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2</v>
      </c>
    </row>
    <row r="1149" spans="1:4" x14ac:dyDescent="0.45">
      <c r="A1149">
        <v>127</v>
      </c>
      <c r="B1149">
        <f t="shared" ca="1" si="17"/>
        <v>17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17</v>
      </c>
    </row>
    <row r="1150" spans="1:4" x14ac:dyDescent="0.45">
      <c r="A1150">
        <v>127</v>
      </c>
      <c r="B1150">
        <f t="shared" ca="1" si="17"/>
        <v>45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45</v>
      </c>
    </row>
    <row r="1151" spans="1:4" x14ac:dyDescent="0.45">
      <c r="A1151">
        <v>127</v>
      </c>
      <c r="B1151">
        <f t="shared" ca="1" si="17"/>
        <v>72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72</v>
      </c>
    </row>
    <row r="1152" spans="1:4" x14ac:dyDescent="0.45">
      <c r="A1152">
        <v>127</v>
      </c>
      <c r="B1152">
        <f t="shared" ca="1" si="17"/>
        <v>52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52</v>
      </c>
    </row>
    <row r="1153" spans="1:4" x14ac:dyDescent="0.45">
      <c r="A1153">
        <v>127</v>
      </c>
      <c r="B1153">
        <f t="shared" ca="1" si="17"/>
        <v>64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64</v>
      </c>
    </row>
    <row r="1154" spans="1:4" x14ac:dyDescent="0.45">
      <c r="A1154">
        <v>128</v>
      </c>
      <c r="B1154">
        <f t="shared" ref="B1154:B1217" ca="1" si="18">RANDBETWEEN(0,100)</f>
        <v>41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41</v>
      </c>
    </row>
    <row r="1155" spans="1:4" x14ac:dyDescent="0.45">
      <c r="A1155">
        <v>128</v>
      </c>
      <c r="B1155">
        <f t="shared" ca="1" si="18"/>
        <v>21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21</v>
      </c>
    </row>
    <row r="1156" spans="1:4" x14ac:dyDescent="0.45">
      <c r="A1156">
        <v>128</v>
      </c>
      <c r="B1156">
        <f t="shared" ca="1" si="18"/>
        <v>34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34</v>
      </c>
    </row>
    <row r="1157" spans="1:4" x14ac:dyDescent="0.45">
      <c r="A1157">
        <v>128</v>
      </c>
      <c r="B1157">
        <f t="shared" ca="1" si="18"/>
        <v>29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29</v>
      </c>
    </row>
    <row r="1158" spans="1:4" x14ac:dyDescent="0.45">
      <c r="A1158">
        <v>128</v>
      </c>
      <c r="B1158">
        <f t="shared" ca="1" si="18"/>
        <v>78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78</v>
      </c>
    </row>
    <row r="1159" spans="1:4" x14ac:dyDescent="0.45">
      <c r="A1159">
        <v>128</v>
      </c>
      <c r="B1159">
        <f t="shared" ca="1" si="18"/>
        <v>69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69</v>
      </c>
    </row>
    <row r="1160" spans="1:4" x14ac:dyDescent="0.45">
      <c r="A1160">
        <v>128</v>
      </c>
      <c r="B1160">
        <f t="shared" ca="1" si="18"/>
        <v>23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23</v>
      </c>
    </row>
    <row r="1161" spans="1:4" x14ac:dyDescent="0.45">
      <c r="A1161">
        <v>128</v>
      </c>
      <c r="B1161">
        <f t="shared" ca="1" si="18"/>
        <v>92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92</v>
      </c>
    </row>
    <row r="1162" spans="1:4" x14ac:dyDescent="0.45">
      <c r="A1162">
        <v>128</v>
      </c>
      <c r="B1162">
        <f t="shared" ca="1" si="18"/>
        <v>84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84</v>
      </c>
    </row>
    <row r="1163" spans="1:4" x14ac:dyDescent="0.45">
      <c r="A1163">
        <v>129</v>
      </c>
      <c r="B1163">
        <f t="shared" ca="1" si="18"/>
        <v>7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3" t="str">
        <f ca="1">IF(dict_zuord_Transfers_Storages[[#This Row],[kval_active]],dict_zuord_Transfers_Storages[[#This Row],[ID_Storages]],"")</f>
        <v/>
      </c>
    </row>
    <row r="1164" spans="1:4" x14ac:dyDescent="0.45">
      <c r="A1164">
        <v>129</v>
      </c>
      <c r="B1164">
        <f t="shared" ca="1" si="18"/>
        <v>43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4" t="str">
        <f ca="1">IF(dict_zuord_Transfers_Storages[[#This Row],[kval_active]],dict_zuord_Transfers_Storages[[#This Row],[ID_Storages]],"")</f>
        <v/>
      </c>
    </row>
    <row r="1165" spans="1:4" x14ac:dyDescent="0.45">
      <c r="A1165">
        <v>129</v>
      </c>
      <c r="B1165">
        <f t="shared" ca="1" si="18"/>
        <v>57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5" t="str">
        <f ca="1">IF(dict_zuord_Transfers_Storages[[#This Row],[kval_active]],dict_zuord_Transfers_Storages[[#This Row],[ID_Storages]],"")</f>
        <v/>
      </c>
    </row>
    <row r="1166" spans="1:4" x14ac:dyDescent="0.45">
      <c r="A1166">
        <v>129</v>
      </c>
      <c r="B1166">
        <f t="shared" ca="1" si="18"/>
        <v>70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6" t="str">
        <f ca="1">IF(dict_zuord_Transfers_Storages[[#This Row],[kval_active]],dict_zuord_Transfers_Storages[[#This Row],[ID_Storages]],"")</f>
        <v/>
      </c>
    </row>
    <row r="1167" spans="1:4" x14ac:dyDescent="0.45">
      <c r="A1167">
        <v>129</v>
      </c>
      <c r="B1167">
        <f t="shared" ca="1" si="18"/>
        <v>16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7" t="str">
        <f ca="1">IF(dict_zuord_Transfers_Storages[[#This Row],[kval_active]],dict_zuord_Transfers_Storages[[#This Row],[ID_Storages]],"")</f>
        <v/>
      </c>
    </row>
    <row r="1168" spans="1:4" x14ac:dyDescent="0.45">
      <c r="A1168">
        <v>129</v>
      </c>
      <c r="B1168">
        <f t="shared" ca="1" si="18"/>
        <v>42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8" t="str">
        <f ca="1">IF(dict_zuord_Transfers_Storages[[#This Row],[kval_active]],dict_zuord_Transfers_Storages[[#This Row],[ID_Storages]],"")</f>
        <v/>
      </c>
    </row>
    <row r="1169" spans="1:4" x14ac:dyDescent="0.45">
      <c r="A1169">
        <v>129</v>
      </c>
      <c r="B1169">
        <f t="shared" ca="1" si="18"/>
        <v>63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9" t="str">
        <f ca="1">IF(dict_zuord_Transfers_Storages[[#This Row],[kval_active]],dict_zuord_Transfers_Storages[[#This Row],[ID_Storages]],"")</f>
        <v/>
      </c>
    </row>
    <row r="1170" spans="1:4" x14ac:dyDescent="0.45">
      <c r="A1170">
        <v>129</v>
      </c>
      <c r="B1170">
        <f t="shared" ca="1" si="18"/>
        <v>66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0" t="str">
        <f ca="1">IF(dict_zuord_Transfers_Storages[[#This Row],[kval_active]],dict_zuord_Transfers_Storages[[#This Row],[ID_Storages]],"")</f>
        <v/>
      </c>
    </row>
    <row r="1171" spans="1:4" x14ac:dyDescent="0.45">
      <c r="A1171">
        <v>129</v>
      </c>
      <c r="B1171">
        <f t="shared" ca="1" si="18"/>
        <v>84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1" t="str">
        <f ca="1">IF(dict_zuord_Transfers_Storages[[#This Row],[kval_active]],dict_zuord_Transfers_Storages[[#This Row],[ID_Storages]],"")</f>
        <v/>
      </c>
    </row>
    <row r="1172" spans="1:4" x14ac:dyDescent="0.45">
      <c r="A1172">
        <v>130</v>
      </c>
      <c r="B1172">
        <f t="shared" ca="1" si="18"/>
        <v>55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2" t="str">
        <f ca="1">IF(dict_zuord_Transfers_Storages[[#This Row],[kval_active]],dict_zuord_Transfers_Storages[[#This Row],[ID_Storages]],"")</f>
        <v/>
      </c>
    </row>
    <row r="1173" spans="1:4" x14ac:dyDescent="0.45">
      <c r="A1173">
        <v>130</v>
      </c>
      <c r="B1173">
        <f t="shared" ca="1" si="18"/>
        <v>18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3" t="str">
        <f ca="1">IF(dict_zuord_Transfers_Storages[[#This Row],[kval_active]],dict_zuord_Transfers_Storages[[#This Row],[ID_Storages]],"")</f>
        <v/>
      </c>
    </row>
    <row r="1174" spans="1:4" x14ac:dyDescent="0.45">
      <c r="A1174">
        <v>130</v>
      </c>
      <c r="B1174">
        <f t="shared" ca="1" si="18"/>
        <v>68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4" t="str">
        <f ca="1">IF(dict_zuord_Transfers_Storages[[#This Row],[kval_active]],dict_zuord_Transfers_Storages[[#This Row],[ID_Storages]],"")</f>
        <v/>
      </c>
    </row>
    <row r="1175" spans="1:4" x14ac:dyDescent="0.45">
      <c r="A1175">
        <v>130</v>
      </c>
      <c r="B1175">
        <f t="shared" ca="1" si="18"/>
        <v>38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5" t="str">
        <f ca="1">IF(dict_zuord_Transfers_Storages[[#This Row],[kval_active]],dict_zuord_Transfers_Storages[[#This Row],[ID_Storages]],"")</f>
        <v/>
      </c>
    </row>
    <row r="1176" spans="1:4" x14ac:dyDescent="0.45">
      <c r="A1176">
        <v>130</v>
      </c>
      <c r="B1176">
        <f t="shared" ca="1" si="18"/>
        <v>71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6" t="str">
        <f ca="1">IF(dict_zuord_Transfers_Storages[[#This Row],[kval_active]],dict_zuord_Transfers_Storages[[#This Row],[ID_Storages]],"")</f>
        <v/>
      </c>
    </row>
    <row r="1177" spans="1:4" x14ac:dyDescent="0.45">
      <c r="A1177">
        <v>130</v>
      </c>
      <c r="B1177">
        <f t="shared" ca="1" si="18"/>
        <v>7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7" t="str">
        <f ca="1">IF(dict_zuord_Transfers_Storages[[#This Row],[kval_active]],dict_zuord_Transfers_Storages[[#This Row],[ID_Storages]],"")</f>
        <v/>
      </c>
    </row>
    <row r="1178" spans="1:4" x14ac:dyDescent="0.45">
      <c r="A1178">
        <v>130</v>
      </c>
      <c r="B1178">
        <f t="shared" ca="1" si="18"/>
        <v>96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8" t="str">
        <f ca="1">IF(dict_zuord_Transfers_Storages[[#This Row],[kval_active]],dict_zuord_Transfers_Storages[[#This Row],[ID_Storages]],"")</f>
        <v/>
      </c>
    </row>
    <row r="1179" spans="1:4" x14ac:dyDescent="0.45">
      <c r="A1179">
        <v>130</v>
      </c>
      <c r="B1179">
        <f t="shared" ca="1" si="18"/>
        <v>43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9" t="str">
        <f ca="1">IF(dict_zuord_Transfers_Storages[[#This Row],[kval_active]],dict_zuord_Transfers_Storages[[#This Row],[ID_Storages]],"")</f>
        <v/>
      </c>
    </row>
    <row r="1180" spans="1:4" x14ac:dyDescent="0.45">
      <c r="A1180">
        <v>130</v>
      </c>
      <c r="B1180">
        <f t="shared" ca="1" si="18"/>
        <v>46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0" t="str">
        <f ca="1">IF(dict_zuord_Transfers_Storages[[#This Row],[kval_active]],dict_zuord_Transfers_Storages[[#This Row],[ID_Storages]],"")</f>
        <v/>
      </c>
    </row>
    <row r="1181" spans="1:4" x14ac:dyDescent="0.45">
      <c r="A1181">
        <v>131</v>
      </c>
      <c r="B1181">
        <f t="shared" ca="1" si="18"/>
        <v>96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96</v>
      </c>
    </row>
    <row r="1182" spans="1:4" x14ac:dyDescent="0.45">
      <c r="A1182">
        <v>131</v>
      </c>
      <c r="B1182">
        <f t="shared" ca="1" si="18"/>
        <v>40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40</v>
      </c>
    </row>
    <row r="1183" spans="1:4" x14ac:dyDescent="0.45">
      <c r="A1183">
        <v>131</v>
      </c>
      <c r="B1183">
        <f t="shared" ca="1" si="18"/>
        <v>61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61</v>
      </c>
    </row>
    <row r="1184" spans="1:4" x14ac:dyDescent="0.45">
      <c r="A1184">
        <v>131</v>
      </c>
      <c r="B1184">
        <f t="shared" ca="1" si="18"/>
        <v>58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58</v>
      </c>
    </row>
    <row r="1185" spans="1:4" x14ac:dyDescent="0.45">
      <c r="A1185">
        <v>131</v>
      </c>
      <c r="B1185">
        <f t="shared" ca="1" si="18"/>
        <v>25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25</v>
      </c>
    </row>
    <row r="1186" spans="1:4" x14ac:dyDescent="0.45">
      <c r="A1186">
        <v>131</v>
      </c>
      <c r="B1186">
        <f t="shared" ca="1" si="18"/>
        <v>97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97</v>
      </c>
    </row>
    <row r="1187" spans="1:4" x14ac:dyDescent="0.45">
      <c r="A1187">
        <v>131</v>
      </c>
      <c r="B1187">
        <f t="shared" ca="1" si="18"/>
        <v>63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63</v>
      </c>
    </row>
    <row r="1188" spans="1:4" x14ac:dyDescent="0.45">
      <c r="A1188">
        <v>131</v>
      </c>
      <c r="B1188">
        <f t="shared" ca="1" si="18"/>
        <v>92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92</v>
      </c>
    </row>
    <row r="1189" spans="1:4" x14ac:dyDescent="0.45">
      <c r="A1189">
        <v>131</v>
      </c>
      <c r="B1189">
        <f t="shared" ca="1" si="18"/>
        <v>11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11</v>
      </c>
    </row>
    <row r="1190" spans="1:4" x14ac:dyDescent="0.45">
      <c r="A1190">
        <v>132</v>
      </c>
      <c r="B1190">
        <f t="shared" ca="1" si="18"/>
        <v>16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0" t="str">
        <f ca="1">IF(dict_zuord_Transfers_Storages[[#This Row],[kval_active]],dict_zuord_Transfers_Storages[[#This Row],[ID_Storages]],"")</f>
        <v/>
      </c>
    </row>
    <row r="1191" spans="1:4" x14ac:dyDescent="0.45">
      <c r="A1191">
        <v>132</v>
      </c>
      <c r="B1191">
        <f t="shared" ca="1" si="18"/>
        <v>73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1" t="str">
        <f ca="1">IF(dict_zuord_Transfers_Storages[[#This Row],[kval_active]],dict_zuord_Transfers_Storages[[#This Row],[ID_Storages]],"")</f>
        <v/>
      </c>
    </row>
    <row r="1192" spans="1:4" x14ac:dyDescent="0.45">
      <c r="A1192">
        <v>132</v>
      </c>
      <c r="B1192">
        <f t="shared" ca="1" si="18"/>
        <v>58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2" t="str">
        <f ca="1">IF(dict_zuord_Transfers_Storages[[#This Row],[kval_active]],dict_zuord_Transfers_Storages[[#This Row],[ID_Storages]],"")</f>
        <v/>
      </c>
    </row>
    <row r="1193" spans="1:4" x14ac:dyDescent="0.45">
      <c r="A1193">
        <v>132</v>
      </c>
      <c r="B1193">
        <f t="shared" ca="1" si="18"/>
        <v>14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3" t="str">
        <f ca="1">IF(dict_zuord_Transfers_Storages[[#This Row],[kval_active]],dict_zuord_Transfers_Storages[[#This Row],[ID_Storages]],"")</f>
        <v/>
      </c>
    </row>
    <row r="1194" spans="1:4" x14ac:dyDescent="0.45">
      <c r="A1194">
        <v>132</v>
      </c>
      <c r="B1194">
        <f t="shared" ca="1" si="18"/>
        <v>51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4" t="str">
        <f ca="1">IF(dict_zuord_Transfers_Storages[[#This Row],[kval_active]],dict_zuord_Transfers_Storages[[#This Row],[ID_Storages]],"")</f>
        <v/>
      </c>
    </row>
    <row r="1195" spans="1:4" x14ac:dyDescent="0.45">
      <c r="A1195">
        <v>132</v>
      </c>
      <c r="B1195">
        <f t="shared" ca="1" si="18"/>
        <v>47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5" t="str">
        <f ca="1">IF(dict_zuord_Transfers_Storages[[#This Row],[kval_active]],dict_zuord_Transfers_Storages[[#This Row],[ID_Storages]],"")</f>
        <v/>
      </c>
    </row>
    <row r="1196" spans="1:4" x14ac:dyDescent="0.45">
      <c r="A1196">
        <v>132</v>
      </c>
      <c r="B1196">
        <f t="shared" ca="1" si="18"/>
        <v>81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6" t="str">
        <f ca="1">IF(dict_zuord_Transfers_Storages[[#This Row],[kval_active]],dict_zuord_Transfers_Storages[[#This Row],[ID_Storages]],"")</f>
        <v/>
      </c>
    </row>
    <row r="1197" spans="1:4" x14ac:dyDescent="0.45">
      <c r="A1197">
        <v>132</v>
      </c>
      <c r="B1197">
        <f t="shared" ca="1" si="18"/>
        <v>29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7" t="str">
        <f ca="1">IF(dict_zuord_Transfers_Storages[[#This Row],[kval_active]],dict_zuord_Transfers_Storages[[#This Row],[ID_Storages]],"")</f>
        <v/>
      </c>
    </row>
    <row r="1198" spans="1:4" x14ac:dyDescent="0.45">
      <c r="A1198">
        <v>132</v>
      </c>
      <c r="B1198">
        <f t="shared" ca="1" si="18"/>
        <v>14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8" t="str">
        <f ca="1">IF(dict_zuord_Transfers_Storages[[#This Row],[kval_active]],dict_zuord_Transfers_Storages[[#This Row],[ID_Storages]],"")</f>
        <v/>
      </c>
    </row>
    <row r="1199" spans="1:4" x14ac:dyDescent="0.45">
      <c r="A1199">
        <v>133</v>
      </c>
      <c r="B1199">
        <f t="shared" ca="1" si="18"/>
        <v>35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9" t="str">
        <f ca="1">IF(dict_zuord_Transfers_Storages[[#This Row],[kval_active]],dict_zuord_Transfers_Storages[[#This Row],[ID_Storages]],"")</f>
        <v/>
      </c>
    </row>
    <row r="1200" spans="1:4" x14ac:dyDescent="0.45">
      <c r="A1200">
        <v>133</v>
      </c>
      <c r="B1200">
        <f t="shared" ca="1" si="18"/>
        <v>22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0" t="str">
        <f ca="1">IF(dict_zuord_Transfers_Storages[[#This Row],[kval_active]],dict_zuord_Transfers_Storages[[#This Row],[ID_Storages]],"")</f>
        <v/>
      </c>
    </row>
    <row r="1201" spans="1:4" x14ac:dyDescent="0.45">
      <c r="A1201">
        <v>133</v>
      </c>
      <c r="B1201">
        <f t="shared" ca="1" si="18"/>
        <v>68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1" t="str">
        <f ca="1">IF(dict_zuord_Transfers_Storages[[#This Row],[kval_active]],dict_zuord_Transfers_Storages[[#This Row],[ID_Storages]],"")</f>
        <v/>
      </c>
    </row>
    <row r="1202" spans="1:4" x14ac:dyDescent="0.45">
      <c r="A1202">
        <v>133</v>
      </c>
      <c r="B1202">
        <f t="shared" ca="1" si="18"/>
        <v>1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2" t="str">
        <f ca="1">IF(dict_zuord_Transfers_Storages[[#This Row],[kval_active]],dict_zuord_Transfers_Storages[[#This Row],[ID_Storages]],"")</f>
        <v/>
      </c>
    </row>
    <row r="1203" spans="1:4" x14ac:dyDescent="0.45">
      <c r="A1203">
        <v>133</v>
      </c>
      <c r="B1203">
        <f t="shared" ca="1" si="18"/>
        <v>72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3" t="str">
        <f ca="1">IF(dict_zuord_Transfers_Storages[[#This Row],[kval_active]],dict_zuord_Transfers_Storages[[#This Row],[ID_Storages]],"")</f>
        <v/>
      </c>
    </row>
    <row r="1204" spans="1:4" x14ac:dyDescent="0.45">
      <c r="A1204">
        <v>133</v>
      </c>
      <c r="B1204">
        <f t="shared" ca="1" si="18"/>
        <v>4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4" t="str">
        <f ca="1">IF(dict_zuord_Transfers_Storages[[#This Row],[kval_active]],dict_zuord_Transfers_Storages[[#This Row],[ID_Storages]],"")</f>
        <v/>
      </c>
    </row>
    <row r="1205" spans="1:4" x14ac:dyDescent="0.45">
      <c r="A1205">
        <v>133</v>
      </c>
      <c r="B1205">
        <f t="shared" ca="1" si="18"/>
        <v>24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5" t="str">
        <f ca="1">IF(dict_zuord_Transfers_Storages[[#This Row],[kval_active]],dict_zuord_Transfers_Storages[[#This Row],[ID_Storages]],"")</f>
        <v/>
      </c>
    </row>
    <row r="1206" spans="1:4" x14ac:dyDescent="0.45">
      <c r="A1206">
        <v>133</v>
      </c>
      <c r="B1206">
        <f t="shared" ca="1" si="18"/>
        <v>32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6" t="str">
        <f ca="1">IF(dict_zuord_Transfers_Storages[[#This Row],[kval_active]],dict_zuord_Transfers_Storages[[#This Row],[ID_Storages]],"")</f>
        <v/>
      </c>
    </row>
    <row r="1207" spans="1:4" x14ac:dyDescent="0.45">
      <c r="A1207">
        <v>133</v>
      </c>
      <c r="B1207">
        <f t="shared" ca="1" si="18"/>
        <v>26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7" t="str">
        <f ca="1">IF(dict_zuord_Transfers_Storages[[#This Row],[kval_active]],dict_zuord_Transfers_Storages[[#This Row],[ID_Storages]],"")</f>
        <v/>
      </c>
    </row>
    <row r="1208" spans="1:4" x14ac:dyDescent="0.45">
      <c r="A1208">
        <v>134</v>
      </c>
      <c r="B1208">
        <f t="shared" ca="1" si="18"/>
        <v>97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97</v>
      </c>
    </row>
    <row r="1209" spans="1:4" x14ac:dyDescent="0.45">
      <c r="A1209">
        <v>134</v>
      </c>
      <c r="B1209">
        <f t="shared" ca="1" si="18"/>
        <v>15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15</v>
      </c>
    </row>
    <row r="1210" spans="1:4" x14ac:dyDescent="0.45">
      <c r="A1210">
        <v>134</v>
      </c>
      <c r="B1210">
        <f t="shared" ca="1" si="18"/>
        <v>32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32</v>
      </c>
    </row>
    <row r="1211" spans="1:4" x14ac:dyDescent="0.45">
      <c r="A1211">
        <v>134</v>
      </c>
      <c r="B1211">
        <f t="shared" ca="1" si="18"/>
        <v>76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76</v>
      </c>
    </row>
    <row r="1212" spans="1:4" x14ac:dyDescent="0.45">
      <c r="A1212">
        <v>134</v>
      </c>
      <c r="B1212">
        <f t="shared" ca="1" si="18"/>
        <v>64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64</v>
      </c>
    </row>
    <row r="1213" spans="1:4" x14ac:dyDescent="0.45">
      <c r="A1213">
        <v>134</v>
      </c>
      <c r="B1213">
        <f t="shared" ca="1" si="18"/>
        <v>39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39</v>
      </c>
    </row>
    <row r="1214" spans="1:4" x14ac:dyDescent="0.45">
      <c r="A1214">
        <v>134</v>
      </c>
      <c r="B1214">
        <f t="shared" ca="1" si="18"/>
        <v>38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38</v>
      </c>
    </row>
    <row r="1215" spans="1:4" x14ac:dyDescent="0.45">
      <c r="A1215">
        <v>134</v>
      </c>
      <c r="B1215">
        <f t="shared" ca="1" si="18"/>
        <v>100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100</v>
      </c>
    </row>
    <row r="1216" spans="1:4" x14ac:dyDescent="0.45">
      <c r="A1216">
        <v>134</v>
      </c>
      <c r="B1216">
        <f t="shared" ca="1" si="18"/>
        <v>76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76</v>
      </c>
    </row>
    <row r="1217" spans="1:4" x14ac:dyDescent="0.45">
      <c r="A1217">
        <v>135</v>
      </c>
      <c r="B1217">
        <f t="shared" ca="1" si="18"/>
        <v>29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29</v>
      </c>
    </row>
    <row r="1218" spans="1:4" x14ac:dyDescent="0.45">
      <c r="A1218">
        <v>135</v>
      </c>
      <c r="B1218">
        <f t="shared" ref="B1218:B1281" ca="1" si="19">RANDBETWEEN(0,100)</f>
        <v>54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54</v>
      </c>
    </row>
    <row r="1219" spans="1:4" x14ac:dyDescent="0.45">
      <c r="A1219">
        <v>135</v>
      </c>
      <c r="B1219">
        <f t="shared" ca="1" si="19"/>
        <v>83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83</v>
      </c>
    </row>
    <row r="1220" spans="1:4" x14ac:dyDescent="0.45">
      <c r="A1220">
        <v>135</v>
      </c>
      <c r="B1220">
        <f t="shared" ca="1" si="19"/>
        <v>100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100</v>
      </c>
    </row>
    <row r="1221" spans="1:4" x14ac:dyDescent="0.45">
      <c r="A1221">
        <v>135</v>
      </c>
      <c r="B1221">
        <f t="shared" ca="1" si="19"/>
        <v>12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12</v>
      </c>
    </row>
    <row r="1222" spans="1:4" x14ac:dyDescent="0.45">
      <c r="A1222">
        <v>135</v>
      </c>
      <c r="B1222">
        <f t="shared" ca="1" si="19"/>
        <v>79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79</v>
      </c>
    </row>
    <row r="1223" spans="1:4" x14ac:dyDescent="0.45">
      <c r="A1223">
        <v>135</v>
      </c>
      <c r="B1223">
        <f t="shared" ca="1" si="19"/>
        <v>35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35</v>
      </c>
    </row>
    <row r="1224" spans="1:4" x14ac:dyDescent="0.45">
      <c r="A1224">
        <v>135</v>
      </c>
      <c r="B1224">
        <f t="shared" ca="1" si="19"/>
        <v>50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50</v>
      </c>
    </row>
    <row r="1225" spans="1:4" x14ac:dyDescent="0.45">
      <c r="A1225">
        <v>135</v>
      </c>
      <c r="B1225">
        <f t="shared" ca="1" si="19"/>
        <v>14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14</v>
      </c>
    </row>
    <row r="1226" spans="1:4" x14ac:dyDescent="0.45">
      <c r="A1226">
        <v>136</v>
      </c>
      <c r="B1226">
        <f t="shared" ca="1" si="19"/>
        <v>3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6" t="str">
        <f ca="1">IF(dict_zuord_Transfers_Storages[[#This Row],[kval_active]],dict_zuord_Transfers_Storages[[#This Row],[ID_Storages]],"")</f>
        <v/>
      </c>
    </row>
    <row r="1227" spans="1:4" x14ac:dyDescent="0.45">
      <c r="A1227">
        <v>136</v>
      </c>
      <c r="B1227">
        <f t="shared" ca="1" si="19"/>
        <v>5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7" t="str">
        <f ca="1">IF(dict_zuord_Transfers_Storages[[#This Row],[kval_active]],dict_zuord_Transfers_Storages[[#This Row],[ID_Storages]],"")</f>
        <v/>
      </c>
    </row>
    <row r="1228" spans="1:4" x14ac:dyDescent="0.45">
      <c r="A1228">
        <v>136</v>
      </c>
      <c r="B1228">
        <f t="shared" ca="1" si="19"/>
        <v>44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8" t="str">
        <f ca="1">IF(dict_zuord_Transfers_Storages[[#This Row],[kval_active]],dict_zuord_Transfers_Storages[[#This Row],[ID_Storages]],"")</f>
        <v/>
      </c>
    </row>
    <row r="1229" spans="1:4" x14ac:dyDescent="0.45">
      <c r="A1229">
        <v>136</v>
      </c>
      <c r="B1229">
        <f t="shared" ca="1" si="19"/>
        <v>30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9" t="str">
        <f ca="1">IF(dict_zuord_Transfers_Storages[[#This Row],[kval_active]],dict_zuord_Transfers_Storages[[#This Row],[ID_Storages]],"")</f>
        <v/>
      </c>
    </row>
    <row r="1230" spans="1:4" x14ac:dyDescent="0.45">
      <c r="A1230">
        <v>136</v>
      </c>
      <c r="B1230">
        <f t="shared" ca="1" si="19"/>
        <v>72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0" t="str">
        <f ca="1">IF(dict_zuord_Transfers_Storages[[#This Row],[kval_active]],dict_zuord_Transfers_Storages[[#This Row],[ID_Storages]],"")</f>
        <v/>
      </c>
    </row>
    <row r="1231" spans="1:4" x14ac:dyDescent="0.45">
      <c r="A1231">
        <v>136</v>
      </c>
      <c r="B1231">
        <f t="shared" ca="1" si="19"/>
        <v>54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1" t="str">
        <f ca="1">IF(dict_zuord_Transfers_Storages[[#This Row],[kval_active]],dict_zuord_Transfers_Storages[[#This Row],[ID_Storages]],"")</f>
        <v/>
      </c>
    </row>
    <row r="1232" spans="1:4" x14ac:dyDescent="0.45">
      <c r="A1232">
        <v>136</v>
      </c>
      <c r="B1232">
        <f t="shared" ca="1" si="19"/>
        <v>30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2" t="str">
        <f ca="1">IF(dict_zuord_Transfers_Storages[[#This Row],[kval_active]],dict_zuord_Transfers_Storages[[#This Row],[ID_Storages]],"")</f>
        <v/>
      </c>
    </row>
    <row r="1233" spans="1:4" x14ac:dyDescent="0.45">
      <c r="A1233">
        <v>136</v>
      </c>
      <c r="B1233">
        <f t="shared" ca="1" si="19"/>
        <v>89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3" t="str">
        <f ca="1">IF(dict_zuord_Transfers_Storages[[#This Row],[kval_active]],dict_zuord_Transfers_Storages[[#This Row],[ID_Storages]],"")</f>
        <v/>
      </c>
    </row>
    <row r="1234" spans="1:4" x14ac:dyDescent="0.45">
      <c r="A1234">
        <v>136</v>
      </c>
      <c r="B1234">
        <f t="shared" ca="1" si="19"/>
        <v>62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4" t="str">
        <f ca="1">IF(dict_zuord_Transfers_Storages[[#This Row],[kval_active]],dict_zuord_Transfers_Storages[[#This Row],[ID_Storages]],"")</f>
        <v/>
      </c>
    </row>
    <row r="1235" spans="1:4" x14ac:dyDescent="0.45">
      <c r="A1235">
        <v>137</v>
      </c>
      <c r="B1235">
        <f t="shared" ca="1" si="19"/>
        <v>33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5" t="str">
        <f ca="1">IF(dict_zuord_Transfers_Storages[[#This Row],[kval_active]],dict_zuord_Transfers_Storages[[#This Row],[ID_Storages]],"")</f>
        <v/>
      </c>
    </row>
    <row r="1236" spans="1:4" x14ac:dyDescent="0.45">
      <c r="A1236">
        <v>137</v>
      </c>
      <c r="B1236">
        <f t="shared" ca="1" si="19"/>
        <v>1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6" t="str">
        <f ca="1">IF(dict_zuord_Transfers_Storages[[#This Row],[kval_active]],dict_zuord_Transfers_Storages[[#This Row],[ID_Storages]],"")</f>
        <v/>
      </c>
    </row>
    <row r="1237" spans="1:4" x14ac:dyDescent="0.45">
      <c r="A1237">
        <v>137</v>
      </c>
      <c r="B1237">
        <f t="shared" ca="1" si="19"/>
        <v>28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7" t="str">
        <f ca="1">IF(dict_zuord_Transfers_Storages[[#This Row],[kval_active]],dict_zuord_Transfers_Storages[[#This Row],[ID_Storages]],"")</f>
        <v/>
      </c>
    </row>
    <row r="1238" spans="1:4" x14ac:dyDescent="0.45">
      <c r="A1238">
        <v>137</v>
      </c>
      <c r="B1238">
        <f t="shared" ca="1" si="19"/>
        <v>37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8" t="str">
        <f ca="1">IF(dict_zuord_Transfers_Storages[[#This Row],[kval_active]],dict_zuord_Transfers_Storages[[#This Row],[ID_Storages]],"")</f>
        <v/>
      </c>
    </row>
    <row r="1239" spans="1:4" x14ac:dyDescent="0.45">
      <c r="A1239">
        <v>137</v>
      </c>
      <c r="B1239">
        <f t="shared" ca="1" si="19"/>
        <v>75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9" t="str">
        <f ca="1">IF(dict_zuord_Transfers_Storages[[#This Row],[kval_active]],dict_zuord_Transfers_Storages[[#This Row],[ID_Storages]],"")</f>
        <v/>
      </c>
    </row>
    <row r="1240" spans="1:4" x14ac:dyDescent="0.45">
      <c r="A1240">
        <v>137</v>
      </c>
      <c r="B1240">
        <f t="shared" ca="1" si="19"/>
        <v>4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0" t="str">
        <f ca="1">IF(dict_zuord_Transfers_Storages[[#This Row],[kval_active]],dict_zuord_Transfers_Storages[[#This Row],[ID_Storages]],"")</f>
        <v/>
      </c>
    </row>
    <row r="1241" spans="1:4" x14ac:dyDescent="0.45">
      <c r="A1241">
        <v>137</v>
      </c>
      <c r="B1241">
        <f t="shared" ca="1" si="19"/>
        <v>61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1" t="str">
        <f ca="1">IF(dict_zuord_Transfers_Storages[[#This Row],[kval_active]],dict_zuord_Transfers_Storages[[#This Row],[ID_Storages]],"")</f>
        <v/>
      </c>
    </row>
    <row r="1242" spans="1:4" x14ac:dyDescent="0.45">
      <c r="A1242">
        <v>137</v>
      </c>
      <c r="B1242">
        <f t="shared" ca="1" si="19"/>
        <v>50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2" t="str">
        <f ca="1">IF(dict_zuord_Transfers_Storages[[#This Row],[kval_active]],dict_zuord_Transfers_Storages[[#This Row],[ID_Storages]],"")</f>
        <v/>
      </c>
    </row>
    <row r="1243" spans="1:4" x14ac:dyDescent="0.45">
      <c r="A1243">
        <v>137</v>
      </c>
      <c r="B1243">
        <f t="shared" ca="1" si="19"/>
        <v>5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3" t="str">
        <f ca="1">IF(dict_zuord_Transfers_Storages[[#This Row],[kval_active]],dict_zuord_Transfers_Storages[[#This Row],[ID_Storages]],"")</f>
        <v/>
      </c>
    </row>
    <row r="1244" spans="1:4" x14ac:dyDescent="0.45">
      <c r="A1244">
        <v>138</v>
      </c>
      <c r="B1244">
        <f t="shared" ca="1" si="19"/>
        <v>0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4" t="str">
        <f ca="1">IF(dict_zuord_Transfers_Storages[[#This Row],[kval_active]],dict_zuord_Transfers_Storages[[#This Row],[ID_Storages]],"")</f>
        <v/>
      </c>
    </row>
    <row r="1245" spans="1:4" x14ac:dyDescent="0.45">
      <c r="A1245">
        <v>138</v>
      </c>
      <c r="B1245">
        <f t="shared" ca="1" si="19"/>
        <v>93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5" t="str">
        <f ca="1">IF(dict_zuord_Transfers_Storages[[#This Row],[kval_active]],dict_zuord_Transfers_Storages[[#This Row],[ID_Storages]],"")</f>
        <v/>
      </c>
    </row>
    <row r="1246" spans="1:4" x14ac:dyDescent="0.45">
      <c r="A1246">
        <v>138</v>
      </c>
      <c r="B1246">
        <f t="shared" ca="1" si="19"/>
        <v>41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6" t="str">
        <f ca="1">IF(dict_zuord_Transfers_Storages[[#This Row],[kval_active]],dict_zuord_Transfers_Storages[[#This Row],[ID_Storages]],"")</f>
        <v/>
      </c>
    </row>
    <row r="1247" spans="1:4" x14ac:dyDescent="0.45">
      <c r="A1247">
        <v>138</v>
      </c>
      <c r="B1247">
        <f t="shared" ca="1" si="19"/>
        <v>47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7" t="str">
        <f ca="1">IF(dict_zuord_Transfers_Storages[[#This Row],[kval_active]],dict_zuord_Transfers_Storages[[#This Row],[ID_Storages]],"")</f>
        <v/>
      </c>
    </row>
    <row r="1248" spans="1:4" x14ac:dyDescent="0.45">
      <c r="A1248">
        <v>138</v>
      </c>
      <c r="B1248">
        <f t="shared" ca="1" si="19"/>
        <v>58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8" t="str">
        <f ca="1">IF(dict_zuord_Transfers_Storages[[#This Row],[kval_active]],dict_zuord_Transfers_Storages[[#This Row],[ID_Storages]],"")</f>
        <v/>
      </c>
    </row>
    <row r="1249" spans="1:4" x14ac:dyDescent="0.45">
      <c r="A1249">
        <v>138</v>
      </c>
      <c r="B1249">
        <f t="shared" ca="1" si="19"/>
        <v>78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9" t="str">
        <f ca="1">IF(dict_zuord_Transfers_Storages[[#This Row],[kval_active]],dict_zuord_Transfers_Storages[[#This Row],[ID_Storages]],"")</f>
        <v/>
      </c>
    </row>
    <row r="1250" spans="1:4" x14ac:dyDescent="0.45">
      <c r="A1250">
        <v>138</v>
      </c>
      <c r="B1250">
        <f t="shared" ca="1" si="19"/>
        <v>56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0" t="str">
        <f ca="1">IF(dict_zuord_Transfers_Storages[[#This Row],[kval_active]],dict_zuord_Transfers_Storages[[#This Row],[ID_Storages]],"")</f>
        <v/>
      </c>
    </row>
    <row r="1251" spans="1:4" x14ac:dyDescent="0.45">
      <c r="A1251">
        <v>138</v>
      </c>
      <c r="B1251">
        <f t="shared" ca="1" si="19"/>
        <v>55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1" t="str">
        <f ca="1">IF(dict_zuord_Transfers_Storages[[#This Row],[kval_active]],dict_zuord_Transfers_Storages[[#This Row],[ID_Storages]],"")</f>
        <v/>
      </c>
    </row>
    <row r="1252" spans="1:4" x14ac:dyDescent="0.45">
      <c r="A1252">
        <v>138</v>
      </c>
      <c r="B1252">
        <f t="shared" ca="1" si="19"/>
        <v>2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2" t="str">
        <f ca="1">IF(dict_zuord_Transfers_Storages[[#This Row],[kval_active]],dict_zuord_Transfers_Storages[[#This Row],[ID_Storages]],"")</f>
        <v/>
      </c>
    </row>
    <row r="1253" spans="1:4" x14ac:dyDescent="0.45">
      <c r="A1253">
        <v>139</v>
      </c>
      <c r="B1253">
        <f t="shared" ca="1" si="19"/>
        <v>7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7</v>
      </c>
    </row>
    <row r="1254" spans="1:4" x14ac:dyDescent="0.45">
      <c r="A1254">
        <v>139</v>
      </c>
      <c r="B1254">
        <f t="shared" ca="1" si="19"/>
        <v>74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74</v>
      </c>
    </row>
    <row r="1255" spans="1:4" x14ac:dyDescent="0.45">
      <c r="A1255">
        <v>139</v>
      </c>
      <c r="B1255">
        <f t="shared" ca="1" si="19"/>
        <v>71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71</v>
      </c>
    </row>
    <row r="1256" spans="1:4" x14ac:dyDescent="0.45">
      <c r="A1256">
        <v>139</v>
      </c>
      <c r="B1256">
        <f t="shared" ca="1" si="19"/>
        <v>77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77</v>
      </c>
    </row>
    <row r="1257" spans="1:4" x14ac:dyDescent="0.45">
      <c r="A1257">
        <v>139</v>
      </c>
      <c r="B1257">
        <f t="shared" ca="1" si="19"/>
        <v>53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53</v>
      </c>
    </row>
    <row r="1258" spans="1:4" x14ac:dyDescent="0.45">
      <c r="A1258">
        <v>139</v>
      </c>
      <c r="B1258">
        <f t="shared" ca="1" si="19"/>
        <v>24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24</v>
      </c>
    </row>
    <row r="1259" spans="1:4" x14ac:dyDescent="0.45">
      <c r="A1259">
        <v>139</v>
      </c>
      <c r="B1259">
        <f t="shared" ca="1" si="19"/>
        <v>90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90</v>
      </c>
    </row>
    <row r="1260" spans="1:4" x14ac:dyDescent="0.45">
      <c r="A1260">
        <v>139</v>
      </c>
      <c r="B1260">
        <f t="shared" ca="1" si="19"/>
        <v>34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34</v>
      </c>
    </row>
    <row r="1261" spans="1:4" x14ac:dyDescent="0.45">
      <c r="A1261">
        <v>139</v>
      </c>
      <c r="B1261">
        <f t="shared" ca="1" si="19"/>
        <v>83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83</v>
      </c>
    </row>
    <row r="1262" spans="1:4" x14ac:dyDescent="0.45">
      <c r="A1262">
        <v>140</v>
      </c>
      <c r="B1262">
        <f t="shared" ca="1" si="19"/>
        <v>85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2" t="str">
        <f ca="1">IF(dict_zuord_Transfers_Storages[[#This Row],[kval_active]],dict_zuord_Transfers_Storages[[#This Row],[ID_Storages]],"")</f>
        <v/>
      </c>
    </row>
    <row r="1263" spans="1:4" x14ac:dyDescent="0.45">
      <c r="A1263">
        <v>140</v>
      </c>
      <c r="B1263">
        <f t="shared" ca="1" si="19"/>
        <v>77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3" t="str">
        <f ca="1">IF(dict_zuord_Transfers_Storages[[#This Row],[kval_active]],dict_zuord_Transfers_Storages[[#This Row],[ID_Storages]],"")</f>
        <v/>
      </c>
    </row>
    <row r="1264" spans="1:4" x14ac:dyDescent="0.45">
      <c r="A1264">
        <v>140</v>
      </c>
      <c r="B1264">
        <f t="shared" ca="1" si="19"/>
        <v>1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4" t="str">
        <f ca="1">IF(dict_zuord_Transfers_Storages[[#This Row],[kval_active]],dict_zuord_Transfers_Storages[[#This Row],[ID_Storages]],"")</f>
        <v/>
      </c>
    </row>
    <row r="1265" spans="1:4" x14ac:dyDescent="0.45">
      <c r="A1265">
        <v>140</v>
      </c>
      <c r="B1265">
        <f t="shared" ca="1" si="19"/>
        <v>77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5" t="str">
        <f ca="1">IF(dict_zuord_Transfers_Storages[[#This Row],[kval_active]],dict_zuord_Transfers_Storages[[#This Row],[ID_Storages]],"")</f>
        <v/>
      </c>
    </row>
    <row r="1266" spans="1:4" x14ac:dyDescent="0.45">
      <c r="A1266">
        <v>140</v>
      </c>
      <c r="B1266">
        <f t="shared" ca="1" si="19"/>
        <v>15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6" t="str">
        <f ca="1">IF(dict_zuord_Transfers_Storages[[#This Row],[kval_active]],dict_zuord_Transfers_Storages[[#This Row],[ID_Storages]],"")</f>
        <v/>
      </c>
    </row>
    <row r="1267" spans="1:4" x14ac:dyDescent="0.45">
      <c r="A1267">
        <v>140</v>
      </c>
      <c r="B1267">
        <f t="shared" ca="1" si="19"/>
        <v>4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7" t="str">
        <f ca="1">IF(dict_zuord_Transfers_Storages[[#This Row],[kval_active]],dict_zuord_Transfers_Storages[[#This Row],[ID_Storages]],"")</f>
        <v/>
      </c>
    </row>
    <row r="1268" spans="1:4" x14ac:dyDescent="0.45">
      <c r="A1268">
        <v>140</v>
      </c>
      <c r="B1268">
        <f t="shared" ca="1" si="19"/>
        <v>3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8" t="str">
        <f ca="1">IF(dict_zuord_Transfers_Storages[[#This Row],[kval_active]],dict_zuord_Transfers_Storages[[#This Row],[ID_Storages]],"")</f>
        <v/>
      </c>
    </row>
    <row r="1269" spans="1:4" x14ac:dyDescent="0.45">
      <c r="A1269">
        <v>140</v>
      </c>
      <c r="B1269">
        <f t="shared" ca="1" si="19"/>
        <v>6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9" t="str">
        <f ca="1">IF(dict_zuord_Transfers_Storages[[#This Row],[kval_active]],dict_zuord_Transfers_Storages[[#This Row],[ID_Storages]],"")</f>
        <v/>
      </c>
    </row>
    <row r="1270" spans="1:4" x14ac:dyDescent="0.45">
      <c r="A1270">
        <v>140</v>
      </c>
      <c r="B1270">
        <f t="shared" ca="1" si="19"/>
        <v>49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0" t="str">
        <f ca="1">IF(dict_zuord_Transfers_Storages[[#This Row],[kval_active]],dict_zuord_Transfers_Storages[[#This Row],[ID_Storages]],"")</f>
        <v/>
      </c>
    </row>
    <row r="1271" spans="1:4" x14ac:dyDescent="0.45">
      <c r="A1271">
        <v>141</v>
      </c>
      <c r="B1271">
        <f t="shared" ca="1" si="19"/>
        <v>92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92</v>
      </c>
    </row>
    <row r="1272" spans="1:4" x14ac:dyDescent="0.45">
      <c r="A1272">
        <v>141</v>
      </c>
      <c r="B1272">
        <f t="shared" ca="1" si="19"/>
        <v>68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68</v>
      </c>
    </row>
    <row r="1273" spans="1:4" x14ac:dyDescent="0.45">
      <c r="A1273">
        <v>141</v>
      </c>
      <c r="B1273">
        <f t="shared" ca="1" si="19"/>
        <v>11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11</v>
      </c>
    </row>
    <row r="1274" spans="1:4" x14ac:dyDescent="0.45">
      <c r="A1274">
        <v>141</v>
      </c>
      <c r="B1274">
        <f t="shared" ca="1" si="19"/>
        <v>26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26</v>
      </c>
    </row>
    <row r="1275" spans="1:4" x14ac:dyDescent="0.45">
      <c r="A1275">
        <v>141</v>
      </c>
      <c r="B1275">
        <f t="shared" ca="1" si="19"/>
        <v>33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33</v>
      </c>
    </row>
    <row r="1276" spans="1:4" x14ac:dyDescent="0.45">
      <c r="A1276">
        <v>141</v>
      </c>
      <c r="B1276">
        <f t="shared" ca="1" si="19"/>
        <v>39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39</v>
      </c>
    </row>
    <row r="1277" spans="1:4" x14ac:dyDescent="0.45">
      <c r="A1277">
        <v>141</v>
      </c>
      <c r="B1277">
        <f t="shared" ca="1" si="19"/>
        <v>67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67</v>
      </c>
    </row>
    <row r="1278" spans="1:4" x14ac:dyDescent="0.45">
      <c r="A1278">
        <v>141</v>
      </c>
      <c r="B1278">
        <f t="shared" ca="1" si="19"/>
        <v>97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97</v>
      </c>
    </row>
    <row r="1279" spans="1:4" x14ac:dyDescent="0.45">
      <c r="A1279">
        <v>141</v>
      </c>
      <c r="B1279">
        <f t="shared" ca="1" si="19"/>
        <v>63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63</v>
      </c>
    </row>
    <row r="1280" spans="1:4" x14ac:dyDescent="0.45">
      <c r="A1280">
        <v>142</v>
      </c>
      <c r="B1280">
        <f t="shared" ca="1" si="19"/>
        <v>32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0" t="str">
        <f ca="1">IF(dict_zuord_Transfers_Storages[[#This Row],[kval_active]],dict_zuord_Transfers_Storages[[#This Row],[ID_Storages]],"")</f>
        <v/>
      </c>
    </row>
    <row r="1281" spans="1:4" x14ac:dyDescent="0.45">
      <c r="A1281">
        <v>142</v>
      </c>
      <c r="B1281">
        <f t="shared" ca="1" si="19"/>
        <v>27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1" t="str">
        <f ca="1">IF(dict_zuord_Transfers_Storages[[#This Row],[kval_active]],dict_zuord_Transfers_Storages[[#This Row],[ID_Storages]],"")</f>
        <v/>
      </c>
    </row>
    <row r="1282" spans="1:4" x14ac:dyDescent="0.45">
      <c r="A1282">
        <v>142</v>
      </c>
      <c r="B1282">
        <f t="shared" ref="B1282:B1345" ca="1" si="20">RANDBETWEEN(0,100)</f>
        <v>86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2" t="str">
        <f ca="1">IF(dict_zuord_Transfers_Storages[[#This Row],[kval_active]],dict_zuord_Transfers_Storages[[#This Row],[ID_Storages]],"")</f>
        <v/>
      </c>
    </row>
    <row r="1283" spans="1:4" x14ac:dyDescent="0.45">
      <c r="A1283">
        <v>142</v>
      </c>
      <c r="B1283">
        <f t="shared" ca="1" si="20"/>
        <v>4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3" t="str">
        <f ca="1">IF(dict_zuord_Transfers_Storages[[#This Row],[kval_active]],dict_zuord_Transfers_Storages[[#This Row],[ID_Storages]],"")</f>
        <v/>
      </c>
    </row>
    <row r="1284" spans="1:4" x14ac:dyDescent="0.45">
      <c r="A1284">
        <v>142</v>
      </c>
      <c r="B1284">
        <f t="shared" ca="1" si="20"/>
        <v>78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4" t="str">
        <f ca="1">IF(dict_zuord_Transfers_Storages[[#This Row],[kval_active]],dict_zuord_Transfers_Storages[[#This Row],[ID_Storages]],"")</f>
        <v/>
      </c>
    </row>
    <row r="1285" spans="1:4" x14ac:dyDescent="0.45">
      <c r="A1285">
        <v>142</v>
      </c>
      <c r="B1285">
        <f t="shared" ca="1" si="20"/>
        <v>40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5" t="str">
        <f ca="1">IF(dict_zuord_Transfers_Storages[[#This Row],[kval_active]],dict_zuord_Transfers_Storages[[#This Row],[ID_Storages]],"")</f>
        <v/>
      </c>
    </row>
    <row r="1286" spans="1:4" x14ac:dyDescent="0.45">
      <c r="A1286">
        <v>142</v>
      </c>
      <c r="B1286">
        <f t="shared" ca="1" si="20"/>
        <v>43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6" t="str">
        <f ca="1">IF(dict_zuord_Transfers_Storages[[#This Row],[kval_active]],dict_zuord_Transfers_Storages[[#This Row],[ID_Storages]],"")</f>
        <v/>
      </c>
    </row>
    <row r="1287" spans="1:4" x14ac:dyDescent="0.45">
      <c r="A1287">
        <v>142</v>
      </c>
      <c r="B1287">
        <f t="shared" ca="1" si="20"/>
        <v>84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7" t="str">
        <f ca="1">IF(dict_zuord_Transfers_Storages[[#This Row],[kval_active]],dict_zuord_Transfers_Storages[[#This Row],[ID_Storages]],"")</f>
        <v/>
      </c>
    </row>
    <row r="1288" spans="1:4" x14ac:dyDescent="0.45">
      <c r="A1288">
        <v>142</v>
      </c>
      <c r="B1288">
        <f t="shared" ca="1" si="20"/>
        <v>74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8" t="str">
        <f ca="1">IF(dict_zuord_Transfers_Storages[[#This Row],[kval_active]],dict_zuord_Transfers_Storages[[#This Row],[ID_Storages]],"")</f>
        <v/>
      </c>
    </row>
    <row r="1289" spans="1:4" x14ac:dyDescent="0.45">
      <c r="A1289">
        <v>143</v>
      </c>
      <c r="B1289">
        <f t="shared" ca="1" si="20"/>
        <v>94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94</v>
      </c>
    </row>
    <row r="1290" spans="1:4" x14ac:dyDescent="0.45">
      <c r="A1290">
        <v>143</v>
      </c>
      <c r="B1290">
        <f t="shared" ca="1" si="20"/>
        <v>19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19</v>
      </c>
    </row>
    <row r="1291" spans="1:4" x14ac:dyDescent="0.45">
      <c r="A1291">
        <v>143</v>
      </c>
      <c r="B1291">
        <f t="shared" ca="1" si="20"/>
        <v>43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43</v>
      </c>
    </row>
    <row r="1292" spans="1:4" x14ac:dyDescent="0.45">
      <c r="A1292">
        <v>143</v>
      </c>
      <c r="B1292">
        <f t="shared" ca="1" si="20"/>
        <v>56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56</v>
      </c>
    </row>
    <row r="1293" spans="1:4" x14ac:dyDescent="0.45">
      <c r="A1293">
        <v>143</v>
      </c>
      <c r="B1293">
        <f t="shared" ca="1" si="20"/>
        <v>50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50</v>
      </c>
    </row>
    <row r="1294" spans="1:4" x14ac:dyDescent="0.45">
      <c r="A1294">
        <v>143</v>
      </c>
      <c r="B1294">
        <f t="shared" ca="1" si="20"/>
        <v>22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22</v>
      </c>
    </row>
    <row r="1295" spans="1:4" x14ac:dyDescent="0.45">
      <c r="A1295">
        <v>143</v>
      </c>
      <c r="B1295">
        <f t="shared" ca="1" si="20"/>
        <v>40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40</v>
      </c>
    </row>
    <row r="1296" spans="1:4" x14ac:dyDescent="0.45">
      <c r="A1296">
        <v>143</v>
      </c>
      <c r="B1296">
        <f t="shared" ca="1" si="20"/>
        <v>57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57</v>
      </c>
    </row>
    <row r="1297" spans="1:4" x14ac:dyDescent="0.45">
      <c r="A1297">
        <v>143</v>
      </c>
      <c r="B1297">
        <f t="shared" ca="1" si="20"/>
        <v>10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10</v>
      </c>
    </row>
    <row r="1298" spans="1:4" x14ac:dyDescent="0.45">
      <c r="A1298">
        <v>144</v>
      </c>
      <c r="B1298">
        <f t="shared" ca="1" si="20"/>
        <v>90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8" t="str">
        <f ca="1">IF(dict_zuord_Transfers_Storages[[#This Row],[kval_active]],dict_zuord_Transfers_Storages[[#This Row],[ID_Storages]],"")</f>
        <v/>
      </c>
    </row>
    <row r="1299" spans="1:4" x14ac:dyDescent="0.45">
      <c r="A1299">
        <v>144</v>
      </c>
      <c r="B1299">
        <f t="shared" ca="1" si="20"/>
        <v>59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9" t="str">
        <f ca="1">IF(dict_zuord_Transfers_Storages[[#This Row],[kval_active]],dict_zuord_Transfers_Storages[[#This Row],[ID_Storages]],"")</f>
        <v/>
      </c>
    </row>
    <row r="1300" spans="1:4" x14ac:dyDescent="0.45">
      <c r="A1300">
        <v>144</v>
      </c>
      <c r="B1300">
        <f t="shared" ca="1" si="20"/>
        <v>17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0" t="str">
        <f ca="1">IF(dict_zuord_Transfers_Storages[[#This Row],[kval_active]],dict_zuord_Transfers_Storages[[#This Row],[ID_Storages]],"")</f>
        <v/>
      </c>
    </row>
    <row r="1301" spans="1:4" x14ac:dyDescent="0.45">
      <c r="A1301">
        <v>144</v>
      </c>
      <c r="B1301">
        <f t="shared" ca="1" si="20"/>
        <v>61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1" t="str">
        <f ca="1">IF(dict_zuord_Transfers_Storages[[#This Row],[kval_active]],dict_zuord_Transfers_Storages[[#This Row],[ID_Storages]],"")</f>
        <v/>
      </c>
    </row>
    <row r="1302" spans="1:4" x14ac:dyDescent="0.45">
      <c r="A1302">
        <v>144</v>
      </c>
      <c r="B1302">
        <f t="shared" ca="1" si="20"/>
        <v>93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2" t="str">
        <f ca="1">IF(dict_zuord_Transfers_Storages[[#This Row],[kval_active]],dict_zuord_Transfers_Storages[[#This Row],[ID_Storages]],"")</f>
        <v/>
      </c>
    </row>
    <row r="1303" spans="1:4" x14ac:dyDescent="0.45">
      <c r="A1303">
        <v>144</v>
      </c>
      <c r="B1303">
        <f t="shared" ca="1" si="20"/>
        <v>94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3" t="str">
        <f ca="1">IF(dict_zuord_Transfers_Storages[[#This Row],[kval_active]],dict_zuord_Transfers_Storages[[#This Row],[ID_Storages]],"")</f>
        <v/>
      </c>
    </row>
    <row r="1304" spans="1:4" x14ac:dyDescent="0.45">
      <c r="A1304">
        <v>144</v>
      </c>
      <c r="B1304">
        <f t="shared" ca="1" si="20"/>
        <v>58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4" t="str">
        <f ca="1">IF(dict_zuord_Transfers_Storages[[#This Row],[kval_active]],dict_zuord_Transfers_Storages[[#This Row],[ID_Storages]],"")</f>
        <v/>
      </c>
    </row>
    <row r="1305" spans="1:4" x14ac:dyDescent="0.45">
      <c r="A1305">
        <v>144</v>
      </c>
      <c r="B1305">
        <f t="shared" ca="1" si="20"/>
        <v>83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5" t="str">
        <f ca="1">IF(dict_zuord_Transfers_Storages[[#This Row],[kval_active]],dict_zuord_Transfers_Storages[[#This Row],[ID_Storages]],"")</f>
        <v/>
      </c>
    </row>
    <row r="1306" spans="1:4" x14ac:dyDescent="0.45">
      <c r="A1306">
        <v>144</v>
      </c>
      <c r="B1306">
        <f t="shared" ca="1" si="20"/>
        <v>76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6" t="str">
        <f ca="1">IF(dict_zuord_Transfers_Storages[[#This Row],[kval_active]],dict_zuord_Transfers_Storages[[#This Row],[ID_Storages]],"")</f>
        <v/>
      </c>
    </row>
    <row r="1307" spans="1:4" x14ac:dyDescent="0.45">
      <c r="A1307">
        <v>145</v>
      </c>
      <c r="B1307">
        <f t="shared" ca="1" si="20"/>
        <v>84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7" t="str">
        <f ca="1">IF(dict_zuord_Transfers_Storages[[#This Row],[kval_active]],dict_zuord_Transfers_Storages[[#This Row],[ID_Storages]],"")</f>
        <v/>
      </c>
    </row>
    <row r="1308" spans="1:4" x14ac:dyDescent="0.45">
      <c r="A1308">
        <v>145</v>
      </c>
      <c r="B1308">
        <f t="shared" ca="1" si="20"/>
        <v>91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8" t="str">
        <f ca="1">IF(dict_zuord_Transfers_Storages[[#This Row],[kval_active]],dict_zuord_Transfers_Storages[[#This Row],[ID_Storages]],"")</f>
        <v/>
      </c>
    </row>
    <row r="1309" spans="1:4" x14ac:dyDescent="0.45">
      <c r="A1309">
        <v>145</v>
      </c>
      <c r="B1309">
        <f t="shared" ca="1" si="20"/>
        <v>12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9" t="str">
        <f ca="1">IF(dict_zuord_Transfers_Storages[[#This Row],[kval_active]],dict_zuord_Transfers_Storages[[#This Row],[ID_Storages]],"")</f>
        <v/>
      </c>
    </row>
    <row r="1310" spans="1:4" x14ac:dyDescent="0.45">
      <c r="A1310">
        <v>145</v>
      </c>
      <c r="B1310">
        <f t="shared" ca="1" si="20"/>
        <v>62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0" t="str">
        <f ca="1">IF(dict_zuord_Transfers_Storages[[#This Row],[kval_active]],dict_zuord_Transfers_Storages[[#This Row],[ID_Storages]],"")</f>
        <v/>
      </c>
    </row>
    <row r="1311" spans="1:4" x14ac:dyDescent="0.45">
      <c r="A1311">
        <v>145</v>
      </c>
      <c r="B1311">
        <f t="shared" ca="1" si="20"/>
        <v>79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1" t="str">
        <f ca="1">IF(dict_zuord_Transfers_Storages[[#This Row],[kval_active]],dict_zuord_Transfers_Storages[[#This Row],[ID_Storages]],"")</f>
        <v/>
      </c>
    </row>
    <row r="1312" spans="1:4" x14ac:dyDescent="0.45">
      <c r="A1312">
        <v>145</v>
      </c>
      <c r="B1312">
        <f t="shared" ca="1" si="20"/>
        <v>10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2" t="str">
        <f ca="1">IF(dict_zuord_Transfers_Storages[[#This Row],[kval_active]],dict_zuord_Transfers_Storages[[#This Row],[ID_Storages]],"")</f>
        <v/>
      </c>
    </row>
    <row r="1313" spans="1:4" x14ac:dyDescent="0.45">
      <c r="A1313">
        <v>145</v>
      </c>
      <c r="B1313">
        <f t="shared" ca="1" si="20"/>
        <v>60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3" t="str">
        <f ca="1">IF(dict_zuord_Transfers_Storages[[#This Row],[kval_active]],dict_zuord_Transfers_Storages[[#This Row],[ID_Storages]],"")</f>
        <v/>
      </c>
    </row>
    <row r="1314" spans="1:4" x14ac:dyDescent="0.45">
      <c r="A1314">
        <v>145</v>
      </c>
      <c r="B1314">
        <f t="shared" ca="1" si="20"/>
        <v>48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4" t="str">
        <f ca="1">IF(dict_zuord_Transfers_Storages[[#This Row],[kval_active]],dict_zuord_Transfers_Storages[[#This Row],[ID_Storages]],"")</f>
        <v/>
      </c>
    </row>
    <row r="1315" spans="1:4" x14ac:dyDescent="0.45">
      <c r="A1315">
        <v>145</v>
      </c>
      <c r="B1315">
        <f t="shared" ca="1" si="20"/>
        <v>24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5" t="str">
        <f ca="1">IF(dict_zuord_Transfers_Storages[[#This Row],[kval_active]],dict_zuord_Transfers_Storages[[#This Row],[ID_Storages]],"")</f>
        <v/>
      </c>
    </row>
    <row r="1316" spans="1:4" x14ac:dyDescent="0.45">
      <c r="A1316">
        <v>146</v>
      </c>
      <c r="B1316">
        <f t="shared" ca="1" si="20"/>
        <v>81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6" t="str">
        <f ca="1">IF(dict_zuord_Transfers_Storages[[#This Row],[kval_active]],dict_zuord_Transfers_Storages[[#This Row],[ID_Storages]],"")</f>
        <v/>
      </c>
    </row>
    <row r="1317" spans="1:4" x14ac:dyDescent="0.45">
      <c r="A1317">
        <v>146</v>
      </c>
      <c r="B1317">
        <f t="shared" ca="1" si="20"/>
        <v>84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7" t="str">
        <f ca="1">IF(dict_zuord_Transfers_Storages[[#This Row],[kval_active]],dict_zuord_Transfers_Storages[[#This Row],[ID_Storages]],"")</f>
        <v/>
      </c>
    </row>
    <row r="1318" spans="1:4" x14ac:dyDescent="0.45">
      <c r="A1318">
        <v>146</v>
      </c>
      <c r="B1318">
        <f t="shared" ca="1" si="20"/>
        <v>47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8" t="str">
        <f ca="1">IF(dict_zuord_Transfers_Storages[[#This Row],[kval_active]],dict_zuord_Transfers_Storages[[#This Row],[ID_Storages]],"")</f>
        <v/>
      </c>
    </row>
    <row r="1319" spans="1:4" x14ac:dyDescent="0.45">
      <c r="A1319">
        <v>146</v>
      </c>
      <c r="B1319">
        <f t="shared" ca="1" si="20"/>
        <v>13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9" t="str">
        <f ca="1">IF(dict_zuord_Transfers_Storages[[#This Row],[kval_active]],dict_zuord_Transfers_Storages[[#This Row],[ID_Storages]],"")</f>
        <v/>
      </c>
    </row>
    <row r="1320" spans="1:4" x14ac:dyDescent="0.45">
      <c r="A1320">
        <v>146</v>
      </c>
      <c r="B1320">
        <f t="shared" ca="1" si="20"/>
        <v>38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0" t="str">
        <f ca="1">IF(dict_zuord_Transfers_Storages[[#This Row],[kval_active]],dict_zuord_Transfers_Storages[[#This Row],[ID_Storages]],"")</f>
        <v/>
      </c>
    </row>
    <row r="1321" spans="1:4" x14ac:dyDescent="0.45">
      <c r="A1321">
        <v>146</v>
      </c>
      <c r="B1321">
        <f t="shared" ca="1" si="20"/>
        <v>24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1" t="str">
        <f ca="1">IF(dict_zuord_Transfers_Storages[[#This Row],[kval_active]],dict_zuord_Transfers_Storages[[#This Row],[ID_Storages]],"")</f>
        <v/>
      </c>
    </row>
    <row r="1322" spans="1:4" x14ac:dyDescent="0.45">
      <c r="A1322">
        <v>146</v>
      </c>
      <c r="B1322">
        <f t="shared" ca="1" si="20"/>
        <v>51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2" t="str">
        <f ca="1">IF(dict_zuord_Transfers_Storages[[#This Row],[kval_active]],dict_zuord_Transfers_Storages[[#This Row],[ID_Storages]],"")</f>
        <v/>
      </c>
    </row>
    <row r="1323" spans="1:4" x14ac:dyDescent="0.45">
      <c r="A1323">
        <v>146</v>
      </c>
      <c r="B1323">
        <f t="shared" ca="1" si="20"/>
        <v>3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3" t="str">
        <f ca="1">IF(dict_zuord_Transfers_Storages[[#This Row],[kval_active]],dict_zuord_Transfers_Storages[[#This Row],[ID_Storages]],"")</f>
        <v/>
      </c>
    </row>
    <row r="1324" spans="1:4" x14ac:dyDescent="0.45">
      <c r="A1324">
        <v>146</v>
      </c>
      <c r="B1324">
        <f t="shared" ca="1" si="20"/>
        <v>87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4" t="str">
        <f ca="1">IF(dict_zuord_Transfers_Storages[[#This Row],[kval_active]],dict_zuord_Transfers_Storages[[#This Row],[ID_Storages]],"")</f>
        <v/>
      </c>
    </row>
    <row r="1325" spans="1:4" x14ac:dyDescent="0.45">
      <c r="A1325">
        <v>147</v>
      </c>
      <c r="B1325">
        <f t="shared" ca="1" si="20"/>
        <v>66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5" t="str">
        <f ca="1">IF(dict_zuord_Transfers_Storages[[#This Row],[kval_active]],dict_zuord_Transfers_Storages[[#This Row],[ID_Storages]],"")</f>
        <v/>
      </c>
    </row>
    <row r="1326" spans="1:4" x14ac:dyDescent="0.45">
      <c r="A1326">
        <v>147</v>
      </c>
      <c r="B1326">
        <f t="shared" ca="1" si="20"/>
        <v>71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6" t="str">
        <f ca="1">IF(dict_zuord_Transfers_Storages[[#This Row],[kval_active]],dict_zuord_Transfers_Storages[[#This Row],[ID_Storages]],"")</f>
        <v/>
      </c>
    </row>
    <row r="1327" spans="1:4" x14ac:dyDescent="0.45">
      <c r="A1327">
        <v>147</v>
      </c>
      <c r="B1327">
        <f t="shared" ca="1" si="20"/>
        <v>72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7" t="str">
        <f ca="1">IF(dict_zuord_Transfers_Storages[[#This Row],[kval_active]],dict_zuord_Transfers_Storages[[#This Row],[ID_Storages]],"")</f>
        <v/>
      </c>
    </row>
    <row r="1328" spans="1:4" x14ac:dyDescent="0.45">
      <c r="A1328">
        <v>147</v>
      </c>
      <c r="B1328">
        <f t="shared" ca="1" si="20"/>
        <v>35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8" t="str">
        <f ca="1">IF(dict_zuord_Transfers_Storages[[#This Row],[kval_active]],dict_zuord_Transfers_Storages[[#This Row],[ID_Storages]],"")</f>
        <v/>
      </c>
    </row>
    <row r="1329" spans="1:4" x14ac:dyDescent="0.45">
      <c r="A1329">
        <v>147</v>
      </c>
      <c r="B1329">
        <f t="shared" ca="1" si="20"/>
        <v>74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9" t="str">
        <f ca="1">IF(dict_zuord_Transfers_Storages[[#This Row],[kval_active]],dict_zuord_Transfers_Storages[[#This Row],[ID_Storages]],"")</f>
        <v/>
      </c>
    </row>
    <row r="1330" spans="1:4" x14ac:dyDescent="0.45">
      <c r="A1330">
        <v>147</v>
      </c>
      <c r="B1330">
        <f t="shared" ca="1" si="20"/>
        <v>90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0" t="str">
        <f ca="1">IF(dict_zuord_Transfers_Storages[[#This Row],[kval_active]],dict_zuord_Transfers_Storages[[#This Row],[ID_Storages]],"")</f>
        <v/>
      </c>
    </row>
    <row r="1331" spans="1:4" x14ac:dyDescent="0.45">
      <c r="A1331">
        <v>147</v>
      </c>
      <c r="B1331">
        <f t="shared" ca="1" si="20"/>
        <v>47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1" t="str">
        <f ca="1">IF(dict_zuord_Transfers_Storages[[#This Row],[kval_active]],dict_zuord_Transfers_Storages[[#This Row],[ID_Storages]],"")</f>
        <v/>
      </c>
    </row>
    <row r="1332" spans="1:4" x14ac:dyDescent="0.45">
      <c r="A1332">
        <v>147</v>
      </c>
      <c r="B1332">
        <f t="shared" ca="1" si="20"/>
        <v>48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2" t="str">
        <f ca="1">IF(dict_zuord_Transfers_Storages[[#This Row],[kval_active]],dict_zuord_Transfers_Storages[[#This Row],[ID_Storages]],"")</f>
        <v/>
      </c>
    </row>
    <row r="1333" spans="1:4" x14ac:dyDescent="0.45">
      <c r="A1333">
        <v>147</v>
      </c>
      <c r="B1333">
        <f t="shared" ca="1" si="20"/>
        <v>57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3" t="str">
        <f ca="1">IF(dict_zuord_Transfers_Storages[[#This Row],[kval_active]],dict_zuord_Transfers_Storages[[#This Row],[ID_Storages]],"")</f>
        <v/>
      </c>
    </row>
    <row r="1334" spans="1:4" x14ac:dyDescent="0.45">
      <c r="A1334">
        <v>148</v>
      </c>
      <c r="B1334">
        <f t="shared" ca="1" si="20"/>
        <v>51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4" t="str">
        <f ca="1">IF(dict_zuord_Transfers_Storages[[#This Row],[kval_active]],dict_zuord_Transfers_Storages[[#This Row],[ID_Storages]],"")</f>
        <v/>
      </c>
    </row>
    <row r="1335" spans="1:4" x14ac:dyDescent="0.45">
      <c r="A1335">
        <v>148</v>
      </c>
      <c r="B1335">
        <f t="shared" ca="1" si="20"/>
        <v>39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5" t="str">
        <f ca="1">IF(dict_zuord_Transfers_Storages[[#This Row],[kval_active]],dict_zuord_Transfers_Storages[[#This Row],[ID_Storages]],"")</f>
        <v/>
      </c>
    </row>
    <row r="1336" spans="1:4" x14ac:dyDescent="0.45">
      <c r="A1336">
        <v>148</v>
      </c>
      <c r="B1336">
        <f t="shared" ca="1" si="20"/>
        <v>14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6" t="str">
        <f ca="1">IF(dict_zuord_Transfers_Storages[[#This Row],[kval_active]],dict_zuord_Transfers_Storages[[#This Row],[ID_Storages]],"")</f>
        <v/>
      </c>
    </row>
    <row r="1337" spans="1:4" x14ac:dyDescent="0.45">
      <c r="A1337">
        <v>148</v>
      </c>
      <c r="B1337">
        <f t="shared" ca="1" si="20"/>
        <v>38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7" t="str">
        <f ca="1">IF(dict_zuord_Transfers_Storages[[#This Row],[kval_active]],dict_zuord_Transfers_Storages[[#This Row],[ID_Storages]],"")</f>
        <v/>
      </c>
    </row>
    <row r="1338" spans="1:4" x14ac:dyDescent="0.45">
      <c r="A1338">
        <v>148</v>
      </c>
      <c r="B1338">
        <f t="shared" ca="1" si="20"/>
        <v>31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8" t="str">
        <f ca="1">IF(dict_zuord_Transfers_Storages[[#This Row],[kval_active]],dict_zuord_Transfers_Storages[[#This Row],[ID_Storages]],"")</f>
        <v/>
      </c>
    </row>
    <row r="1339" spans="1:4" x14ac:dyDescent="0.45">
      <c r="A1339">
        <v>148</v>
      </c>
      <c r="B1339">
        <f t="shared" ca="1" si="20"/>
        <v>21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9" t="str">
        <f ca="1">IF(dict_zuord_Transfers_Storages[[#This Row],[kval_active]],dict_zuord_Transfers_Storages[[#This Row],[ID_Storages]],"")</f>
        <v/>
      </c>
    </row>
    <row r="1340" spans="1:4" x14ac:dyDescent="0.45">
      <c r="A1340">
        <v>148</v>
      </c>
      <c r="B1340">
        <f t="shared" ca="1" si="20"/>
        <v>80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0" t="str">
        <f ca="1">IF(dict_zuord_Transfers_Storages[[#This Row],[kval_active]],dict_zuord_Transfers_Storages[[#This Row],[ID_Storages]],"")</f>
        <v/>
      </c>
    </row>
    <row r="1341" spans="1:4" x14ac:dyDescent="0.45">
      <c r="A1341">
        <v>148</v>
      </c>
      <c r="B1341">
        <f t="shared" ca="1" si="20"/>
        <v>48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1" t="str">
        <f ca="1">IF(dict_zuord_Transfers_Storages[[#This Row],[kval_active]],dict_zuord_Transfers_Storages[[#This Row],[ID_Storages]],"")</f>
        <v/>
      </c>
    </row>
    <row r="1342" spans="1:4" x14ac:dyDescent="0.45">
      <c r="A1342">
        <v>148</v>
      </c>
      <c r="B1342">
        <f t="shared" ca="1" si="20"/>
        <v>13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2" t="str">
        <f ca="1">IF(dict_zuord_Transfers_Storages[[#This Row],[kval_active]],dict_zuord_Transfers_Storages[[#This Row],[ID_Storages]],"")</f>
        <v/>
      </c>
    </row>
    <row r="1343" spans="1:4" x14ac:dyDescent="0.45">
      <c r="A1343">
        <v>149</v>
      </c>
      <c r="B1343">
        <f t="shared" ca="1" si="20"/>
        <v>40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3" t="str">
        <f ca="1">IF(dict_zuord_Transfers_Storages[[#This Row],[kval_active]],dict_zuord_Transfers_Storages[[#This Row],[ID_Storages]],"")</f>
        <v/>
      </c>
    </row>
    <row r="1344" spans="1:4" x14ac:dyDescent="0.45">
      <c r="A1344">
        <v>149</v>
      </c>
      <c r="B1344">
        <f t="shared" ca="1" si="20"/>
        <v>2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4" t="str">
        <f ca="1">IF(dict_zuord_Transfers_Storages[[#This Row],[kval_active]],dict_zuord_Transfers_Storages[[#This Row],[ID_Storages]],"")</f>
        <v/>
      </c>
    </row>
    <row r="1345" spans="1:4" x14ac:dyDescent="0.45">
      <c r="A1345">
        <v>149</v>
      </c>
      <c r="B1345">
        <f t="shared" ca="1" si="20"/>
        <v>96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5" t="str">
        <f ca="1">IF(dict_zuord_Transfers_Storages[[#This Row],[kval_active]],dict_zuord_Transfers_Storages[[#This Row],[ID_Storages]],"")</f>
        <v/>
      </c>
    </row>
    <row r="1346" spans="1:4" x14ac:dyDescent="0.45">
      <c r="A1346">
        <v>149</v>
      </c>
      <c r="B1346">
        <f t="shared" ref="B1346:B1409" ca="1" si="21">RANDBETWEEN(0,100)</f>
        <v>6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6" t="str">
        <f ca="1">IF(dict_zuord_Transfers_Storages[[#This Row],[kval_active]],dict_zuord_Transfers_Storages[[#This Row],[ID_Storages]],"")</f>
        <v/>
      </c>
    </row>
    <row r="1347" spans="1:4" x14ac:dyDescent="0.45">
      <c r="A1347">
        <v>149</v>
      </c>
      <c r="B1347">
        <f t="shared" ca="1" si="21"/>
        <v>14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7" t="str">
        <f ca="1">IF(dict_zuord_Transfers_Storages[[#This Row],[kval_active]],dict_zuord_Transfers_Storages[[#This Row],[ID_Storages]],"")</f>
        <v/>
      </c>
    </row>
    <row r="1348" spans="1:4" x14ac:dyDescent="0.45">
      <c r="A1348">
        <v>149</v>
      </c>
      <c r="B1348">
        <f t="shared" ca="1" si="21"/>
        <v>69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8" t="str">
        <f ca="1">IF(dict_zuord_Transfers_Storages[[#This Row],[kval_active]],dict_zuord_Transfers_Storages[[#This Row],[ID_Storages]],"")</f>
        <v/>
      </c>
    </row>
    <row r="1349" spans="1:4" x14ac:dyDescent="0.45">
      <c r="A1349">
        <v>149</v>
      </c>
      <c r="B1349">
        <f t="shared" ca="1" si="21"/>
        <v>83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9" t="str">
        <f ca="1">IF(dict_zuord_Transfers_Storages[[#This Row],[kval_active]],dict_zuord_Transfers_Storages[[#This Row],[ID_Storages]],"")</f>
        <v/>
      </c>
    </row>
    <row r="1350" spans="1:4" x14ac:dyDescent="0.45">
      <c r="A1350">
        <v>149</v>
      </c>
      <c r="B1350">
        <f t="shared" ca="1" si="21"/>
        <v>66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0" t="str">
        <f ca="1">IF(dict_zuord_Transfers_Storages[[#This Row],[kval_active]],dict_zuord_Transfers_Storages[[#This Row],[ID_Storages]],"")</f>
        <v/>
      </c>
    </row>
    <row r="1351" spans="1:4" x14ac:dyDescent="0.45">
      <c r="A1351">
        <v>149</v>
      </c>
      <c r="B1351">
        <f t="shared" ca="1" si="21"/>
        <v>80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1" t="str">
        <f ca="1">IF(dict_zuord_Transfers_Storages[[#This Row],[kval_active]],dict_zuord_Transfers_Storages[[#This Row],[ID_Storages]],"")</f>
        <v/>
      </c>
    </row>
    <row r="1352" spans="1:4" x14ac:dyDescent="0.45">
      <c r="A1352">
        <v>150</v>
      </c>
      <c r="B1352">
        <f t="shared" ca="1" si="21"/>
        <v>61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2" t="str">
        <f ca="1">IF(dict_zuord_Transfers_Storages[[#This Row],[kval_active]],dict_zuord_Transfers_Storages[[#This Row],[ID_Storages]],"")</f>
        <v/>
      </c>
    </row>
    <row r="1353" spans="1:4" x14ac:dyDescent="0.45">
      <c r="A1353">
        <v>150</v>
      </c>
      <c r="B1353">
        <f t="shared" ca="1" si="21"/>
        <v>93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3" t="str">
        <f ca="1">IF(dict_zuord_Transfers_Storages[[#This Row],[kval_active]],dict_zuord_Transfers_Storages[[#This Row],[ID_Storages]],"")</f>
        <v/>
      </c>
    </row>
    <row r="1354" spans="1:4" x14ac:dyDescent="0.45">
      <c r="A1354">
        <v>150</v>
      </c>
      <c r="B1354">
        <f t="shared" ca="1" si="21"/>
        <v>50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4" t="str">
        <f ca="1">IF(dict_zuord_Transfers_Storages[[#This Row],[kval_active]],dict_zuord_Transfers_Storages[[#This Row],[ID_Storages]],"")</f>
        <v/>
      </c>
    </row>
    <row r="1355" spans="1:4" x14ac:dyDescent="0.45">
      <c r="A1355">
        <v>150</v>
      </c>
      <c r="B1355">
        <f t="shared" ca="1" si="21"/>
        <v>16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5" t="str">
        <f ca="1">IF(dict_zuord_Transfers_Storages[[#This Row],[kval_active]],dict_zuord_Transfers_Storages[[#This Row],[ID_Storages]],"")</f>
        <v/>
      </c>
    </row>
    <row r="1356" spans="1:4" x14ac:dyDescent="0.45">
      <c r="A1356">
        <v>150</v>
      </c>
      <c r="B1356">
        <f t="shared" ca="1" si="21"/>
        <v>98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6" t="str">
        <f ca="1">IF(dict_zuord_Transfers_Storages[[#This Row],[kval_active]],dict_zuord_Transfers_Storages[[#This Row],[ID_Storages]],"")</f>
        <v/>
      </c>
    </row>
    <row r="1357" spans="1:4" x14ac:dyDescent="0.45">
      <c r="A1357">
        <v>150</v>
      </c>
      <c r="B1357">
        <f t="shared" ca="1" si="21"/>
        <v>1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7" t="str">
        <f ca="1">IF(dict_zuord_Transfers_Storages[[#This Row],[kval_active]],dict_zuord_Transfers_Storages[[#This Row],[ID_Storages]],"")</f>
        <v/>
      </c>
    </row>
    <row r="1358" spans="1:4" x14ac:dyDescent="0.45">
      <c r="A1358">
        <v>150</v>
      </c>
      <c r="B1358">
        <f t="shared" ca="1" si="21"/>
        <v>10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8" t="str">
        <f ca="1">IF(dict_zuord_Transfers_Storages[[#This Row],[kval_active]],dict_zuord_Transfers_Storages[[#This Row],[ID_Storages]],"")</f>
        <v/>
      </c>
    </row>
    <row r="1359" spans="1:4" x14ac:dyDescent="0.45">
      <c r="A1359">
        <v>150</v>
      </c>
      <c r="B1359">
        <f t="shared" ca="1" si="21"/>
        <v>83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9" t="str">
        <f ca="1">IF(dict_zuord_Transfers_Storages[[#This Row],[kval_active]],dict_zuord_Transfers_Storages[[#This Row],[ID_Storages]],"")</f>
        <v/>
      </c>
    </row>
    <row r="1360" spans="1:4" x14ac:dyDescent="0.45">
      <c r="A1360">
        <v>150</v>
      </c>
      <c r="B1360">
        <f t="shared" ca="1" si="21"/>
        <v>19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0" t="str">
        <f ca="1">IF(dict_zuord_Transfers_Storages[[#This Row],[kval_active]],dict_zuord_Transfers_Storages[[#This Row],[ID_Storages]],"")</f>
        <v/>
      </c>
    </row>
    <row r="1361" spans="1:4" x14ac:dyDescent="0.45">
      <c r="A1361">
        <v>151</v>
      </c>
      <c r="B1361">
        <f t="shared" ca="1" si="21"/>
        <v>52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1" t="str">
        <f ca="1">IF(dict_zuord_Transfers_Storages[[#This Row],[kval_active]],dict_zuord_Transfers_Storages[[#This Row],[ID_Storages]],"")</f>
        <v/>
      </c>
    </row>
    <row r="1362" spans="1:4" x14ac:dyDescent="0.45">
      <c r="A1362">
        <v>151</v>
      </c>
      <c r="B1362">
        <f t="shared" ca="1" si="21"/>
        <v>31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2" t="str">
        <f ca="1">IF(dict_zuord_Transfers_Storages[[#This Row],[kval_active]],dict_zuord_Transfers_Storages[[#This Row],[ID_Storages]],"")</f>
        <v/>
      </c>
    </row>
    <row r="1363" spans="1:4" x14ac:dyDescent="0.45">
      <c r="A1363">
        <v>151</v>
      </c>
      <c r="B1363">
        <f t="shared" ca="1" si="21"/>
        <v>76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3" t="str">
        <f ca="1">IF(dict_zuord_Transfers_Storages[[#This Row],[kval_active]],dict_zuord_Transfers_Storages[[#This Row],[ID_Storages]],"")</f>
        <v/>
      </c>
    </row>
    <row r="1364" spans="1:4" x14ac:dyDescent="0.45">
      <c r="A1364">
        <v>151</v>
      </c>
      <c r="B1364">
        <f t="shared" ca="1" si="21"/>
        <v>1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4" t="str">
        <f ca="1">IF(dict_zuord_Transfers_Storages[[#This Row],[kval_active]],dict_zuord_Transfers_Storages[[#This Row],[ID_Storages]],"")</f>
        <v/>
      </c>
    </row>
    <row r="1365" spans="1:4" x14ac:dyDescent="0.45">
      <c r="A1365">
        <v>151</v>
      </c>
      <c r="B1365">
        <f t="shared" ca="1" si="21"/>
        <v>80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5" t="str">
        <f ca="1">IF(dict_zuord_Transfers_Storages[[#This Row],[kval_active]],dict_zuord_Transfers_Storages[[#This Row],[ID_Storages]],"")</f>
        <v/>
      </c>
    </row>
    <row r="1366" spans="1:4" x14ac:dyDescent="0.45">
      <c r="A1366">
        <v>151</v>
      </c>
      <c r="B1366">
        <f t="shared" ca="1" si="21"/>
        <v>64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6" t="str">
        <f ca="1">IF(dict_zuord_Transfers_Storages[[#This Row],[kval_active]],dict_zuord_Transfers_Storages[[#This Row],[ID_Storages]],"")</f>
        <v/>
      </c>
    </row>
    <row r="1367" spans="1:4" x14ac:dyDescent="0.45">
      <c r="A1367">
        <v>151</v>
      </c>
      <c r="B1367">
        <f t="shared" ca="1" si="21"/>
        <v>12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7" t="str">
        <f ca="1">IF(dict_zuord_Transfers_Storages[[#This Row],[kval_active]],dict_zuord_Transfers_Storages[[#This Row],[ID_Storages]],"")</f>
        <v/>
      </c>
    </row>
    <row r="1368" spans="1:4" x14ac:dyDescent="0.45">
      <c r="A1368">
        <v>151</v>
      </c>
      <c r="B1368">
        <f t="shared" ca="1" si="21"/>
        <v>33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8" t="str">
        <f ca="1">IF(dict_zuord_Transfers_Storages[[#This Row],[kval_active]],dict_zuord_Transfers_Storages[[#This Row],[ID_Storages]],"")</f>
        <v/>
      </c>
    </row>
    <row r="1369" spans="1:4" x14ac:dyDescent="0.45">
      <c r="A1369">
        <v>151</v>
      </c>
      <c r="B1369">
        <f t="shared" ca="1" si="21"/>
        <v>86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9" t="str">
        <f ca="1">IF(dict_zuord_Transfers_Storages[[#This Row],[kval_active]],dict_zuord_Transfers_Storages[[#This Row],[ID_Storages]],"")</f>
        <v/>
      </c>
    </row>
    <row r="1370" spans="1:4" x14ac:dyDescent="0.45">
      <c r="A1370">
        <v>152</v>
      </c>
      <c r="B1370">
        <f t="shared" ca="1" si="21"/>
        <v>64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64</v>
      </c>
    </row>
    <row r="1371" spans="1:4" x14ac:dyDescent="0.45">
      <c r="A1371">
        <v>152</v>
      </c>
      <c r="B1371">
        <f t="shared" ca="1" si="21"/>
        <v>59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59</v>
      </c>
    </row>
    <row r="1372" spans="1:4" x14ac:dyDescent="0.45">
      <c r="A1372">
        <v>152</v>
      </c>
      <c r="B1372">
        <f t="shared" ca="1" si="21"/>
        <v>99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99</v>
      </c>
    </row>
    <row r="1373" spans="1:4" x14ac:dyDescent="0.45">
      <c r="A1373">
        <v>152</v>
      </c>
      <c r="B1373">
        <f t="shared" ca="1" si="21"/>
        <v>58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58</v>
      </c>
    </row>
    <row r="1374" spans="1:4" x14ac:dyDescent="0.45">
      <c r="A1374">
        <v>152</v>
      </c>
      <c r="B1374">
        <f t="shared" ca="1" si="21"/>
        <v>85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85</v>
      </c>
    </row>
    <row r="1375" spans="1:4" x14ac:dyDescent="0.45">
      <c r="A1375">
        <v>152</v>
      </c>
      <c r="B1375">
        <f t="shared" ca="1" si="21"/>
        <v>58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58</v>
      </c>
    </row>
    <row r="1376" spans="1:4" x14ac:dyDescent="0.45">
      <c r="A1376">
        <v>152</v>
      </c>
      <c r="B1376">
        <f t="shared" ca="1" si="21"/>
        <v>71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71</v>
      </c>
    </row>
    <row r="1377" spans="1:4" x14ac:dyDescent="0.45">
      <c r="A1377">
        <v>152</v>
      </c>
      <c r="B1377">
        <f t="shared" ca="1" si="21"/>
        <v>14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14</v>
      </c>
    </row>
    <row r="1378" spans="1:4" x14ac:dyDescent="0.45">
      <c r="A1378">
        <v>152</v>
      </c>
      <c r="B1378">
        <f t="shared" ca="1" si="21"/>
        <v>65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65</v>
      </c>
    </row>
    <row r="1379" spans="1:4" x14ac:dyDescent="0.45">
      <c r="A1379">
        <v>153</v>
      </c>
      <c r="B1379">
        <f t="shared" ca="1" si="21"/>
        <v>59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59</v>
      </c>
    </row>
    <row r="1380" spans="1:4" x14ac:dyDescent="0.45">
      <c r="A1380">
        <v>153</v>
      </c>
      <c r="B1380">
        <f t="shared" ca="1" si="21"/>
        <v>70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70</v>
      </c>
    </row>
    <row r="1381" spans="1:4" x14ac:dyDescent="0.45">
      <c r="A1381">
        <v>153</v>
      </c>
      <c r="B1381">
        <f t="shared" ca="1" si="21"/>
        <v>54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54</v>
      </c>
    </row>
    <row r="1382" spans="1:4" x14ac:dyDescent="0.45">
      <c r="A1382">
        <v>153</v>
      </c>
      <c r="B1382">
        <f t="shared" ca="1" si="21"/>
        <v>61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61</v>
      </c>
    </row>
    <row r="1383" spans="1:4" x14ac:dyDescent="0.45">
      <c r="A1383">
        <v>153</v>
      </c>
      <c r="B1383">
        <f t="shared" ca="1" si="21"/>
        <v>94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94</v>
      </c>
    </row>
    <row r="1384" spans="1:4" x14ac:dyDescent="0.45">
      <c r="A1384">
        <v>153</v>
      </c>
      <c r="B1384">
        <f t="shared" ca="1" si="21"/>
        <v>92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92</v>
      </c>
    </row>
    <row r="1385" spans="1:4" x14ac:dyDescent="0.45">
      <c r="A1385">
        <v>153</v>
      </c>
      <c r="B1385">
        <f t="shared" ca="1" si="21"/>
        <v>24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24</v>
      </c>
    </row>
    <row r="1386" spans="1:4" x14ac:dyDescent="0.45">
      <c r="A1386">
        <v>153</v>
      </c>
      <c r="B1386">
        <f t="shared" ca="1" si="21"/>
        <v>79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79</v>
      </c>
    </row>
    <row r="1387" spans="1:4" x14ac:dyDescent="0.45">
      <c r="A1387">
        <v>153</v>
      </c>
      <c r="B1387">
        <f t="shared" ca="1" si="21"/>
        <v>10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10</v>
      </c>
    </row>
    <row r="1388" spans="1:4" x14ac:dyDescent="0.45">
      <c r="A1388">
        <v>154</v>
      </c>
      <c r="B1388">
        <f t="shared" ca="1" si="21"/>
        <v>72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8" t="str">
        <f ca="1">IF(dict_zuord_Transfers_Storages[[#This Row],[kval_active]],dict_zuord_Transfers_Storages[[#This Row],[ID_Storages]],"")</f>
        <v/>
      </c>
    </row>
    <row r="1389" spans="1:4" x14ac:dyDescent="0.45">
      <c r="A1389">
        <v>154</v>
      </c>
      <c r="B1389">
        <f t="shared" ca="1" si="21"/>
        <v>55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9" t="str">
        <f ca="1">IF(dict_zuord_Transfers_Storages[[#This Row],[kval_active]],dict_zuord_Transfers_Storages[[#This Row],[ID_Storages]],"")</f>
        <v/>
      </c>
    </row>
    <row r="1390" spans="1:4" x14ac:dyDescent="0.45">
      <c r="A1390">
        <v>154</v>
      </c>
      <c r="B1390">
        <f t="shared" ca="1" si="21"/>
        <v>15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0" t="str">
        <f ca="1">IF(dict_zuord_Transfers_Storages[[#This Row],[kval_active]],dict_zuord_Transfers_Storages[[#This Row],[ID_Storages]],"")</f>
        <v/>
      </c>
    </row>
    <row r="1391" spans="1:4" x14ac:dyDescent="0.45">
      <c r="A1391">
        <v>154</v>
      </c>
      <c r="B1391">
        <f t="shared" ca="1" si="21"/>
        <v>100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1" t="str">
        <f ca="1">IF(dict_zuord_Transfers_Storages[[#This Row],[kval_active]],dict_zuord_Transfers_Storages[[#This Row],[ID_Storages]],"")</f>
        <v/>
      </c>
    </row>
    <row r="1392" spans="1:4" x14ac:dyDescent="0.45">
      <c r="A1392">
        <v>154</v>
      </c>
      <c r="B1392">
        <f t="shared" ca="1" si="21"/>
        <v>80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2" t="str">
        <f ca="1">IF(dict_zuord_Transfers_Storages[[#This Row],[kval_active]],dict_zuord_Transfers_Storages[[#This Row],[ID_Storages]],"")</f>
        <v/>
      </c>
    </row>
    <row r="1393" spans="1:4" x14ac:dyDescent="0.45">
      <c r="A1393">
        <v>154</v>
      </c>
      <c r="B1393">
        <f t="shared" ca="1" si="21"/>
        <v>93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3" t="str">
        <f ca="1">IF(dict_zuord_Transfers_Storages[[#This Row],[kval_active]],dict_zuord_Transfers_Storages[[#This Row],[ID_Storages]],"")</f>
        <v/>
      </c>
    </row>
    <row r="1394" spans="1:4" x14ac:dyDescent="0.45">
      <c r="A1394">
        <v>154</v>
      </c>
      <c r="B1394">
        <f t="shared" ca="1" si="21"/>
        <v>0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4" t="str">
        <f ca="1">IF(dict_zuord_Transfers_Storages[[#This Row],[kval_active]],dict_zuord_Transfers_Storages[[#This Row],[ID_Storages]],"")</f>
        <v/>
      </c>
    </row>
    <row r="1395" spans="1:4" x14ac:dyDescent="0.45">
      <c r="A1395">
        <v>154</v>
      </c>
      <c r="B1395">
        <f t="shared" ca="1" si="21"/>
        <v>68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5" t="str">
        <f ca="1">IF(dict_zuord_Transfers_Storages[[#This Row],[kval_active]],dict_zuord_Transfers_Storages[[#This Row],[ID_Storages]],"")</f>
        <v/>
      </c>
    </row>
    <row r="1396" spans="1:4" x14ac:dyDescent="0.45">
      <c r="A1396">
        <v>154</v>
      </c>
      <c r="B1396">
        <f t="shared" ca="1" si="21"/>
        <v>58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6" t="str">
        <f ca="1">IF(dict_zuord_Transfers_Storages[[#This Row],[kval_active]],dict_zuord_Transfers_Storages[[#This Row],[ID_Storages]],"")</f>
        <v/>
      </c>
    </row>
    <row r="1397" spans="1:4" x14ac:dyDescent="0.45">
      <c r="A1397">
        <v>155</v>
      </c>
      <c r="B1397">
        <f t="shared" ca="1" si="21"/>
        <v>91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7" t="str">
        <f ca="1">IF(dict_zuord_Transfers_Storages[[#This Row],[kval_active]],dict_zuord_Transfers_Storages[[#This Row],[ID_Storages]],"")</f>
        <v/>
      </c>
    </row>
    <row r="1398" spans="1:4" x14ac:dyDescent="0.45">
      <c r="A1398">
        <v>155</v>
      </c>
      <c r="B1398">
        <f t="shared" ca="1" si="21"/>
        <v>22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8" t="str">
        <f ca="1">IF(dict_zuord_Transfers_Storages[[#This Row],[kval_active]],dict_zuord_Transfers_Storages[[#This Row],[ID_Storages]],"")</f>
        <v/>
      </c>
    </row>
    <row r="1399" spans="1:4" x14ac:dyDescent="0.45">
      <c r="A1399">
        <v>155</v>
      </c>
      <c r="B1399">
        <f t="shared" ca="1" si="21"/>
        <v>15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9" t="str">
        <f ca="1">IF(dict_zuord_Transfers_Storages[[#This Row],[kval_active]],dict_zuord_Transfers_Storages[[#This Row],[ID_Storages]],"")</f>
        <v/>
      </c>
    </row>
    <row r="1400" spans="1:4" x14ac:dyDescent="0.45">
      <c r="A1400">
        <v>155</v>
      </c>
      <c r="B1400">
        <f t="shared" ca="1" si="21"/>
        <v>24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0" t="str">
        <f ca="1">IF(dict_zuord_Transfers_Storages[[#This Row],[kval_active]],dict_zuord_Transfers_Storages[[#This Row],[ID_Storages]],"")</f>
        <v/>
      </c>
    </row>
    <row r="1401" spans="1:4" x14ac:dyDescent="0.45">
      <c r="A1401">
        <v>155</v>
      </c>
      <c r="B1401">
        <f t="shared" ca="1" si="21"/>
        <v>75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1" t="str">
        <f ca="1">IF(dict_zuord_Transfers_Storages[[#This Row],[kval_active]],dict_zuord_Transfers_Storages[[#This Row],[ID_Storages]],"")</f>
        <v/>
      </c>
    </row>
    <row r="1402" spans="1:4" x14ac:dyDescent="0.45">
      <c r="A1402">
        <v>155</v>
      </c>
      <c r="B1402">
        <f t="shared" ca="1" si="21"/>
        <v>5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2" t="str">
        <f ca="1">IF(dict_zuord_Transfers_Storages[[#This Row],[kval_active]],dict_zuord_Transfers_Storages[[#This Row],[ID_Storages]],"")</f>
        <v/>
      </c>
    </row>
    <row r="1403" spans="1:4" x14ac:dyDescent="0.45">
      <c r="A1403">
        <v>155</v>
      </c>
      <c r="B1403">
        <f t="shared" ca="1" si="21"/>
        <v>70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3" t="str">
        <f ca="1">IF(dict_zuord_Transfers_Storages[[#This Row],[kval_active]],dict_zuord_Transfers_Storages[[#This Row],[ID_Storages]],"")</f>
        <v/>
      </c>
    </row>
    <row r="1404" spans="1:4" x14ac:dyDescent="0.45">
      <c r="A1404">
        <v>155</v>
      </c>
      <c r="B1404">
        <f t="shared" ca="1" si="21"/>
        <v>11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4" t="str">
        <f ca="1">IF(dict_zuord_Transfers_Storages[[#This Row],[kval_active]],dict_zuord_Transfers_Storages[[#This Row],[ID_Storages]],"")</f>
        <v/>
      </c>
    </row>
    <row r="1405" spans="1:4" x14ac:dyDescent="0.45">
      <c r="A1405">
        <v>155</v>
      </c>
      <c r="B1405">
        <f t="shared" ca="1" si="21"/>
        <v>32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5" t="str">
        <f ca="1">IF(dict_zuord_Transfers_Storages[[#This Row],[kval_active]],dict_zuord_Transfers_Storages[[#This Row],[ID_Storages]],"")</f>
        <v/>
      </c>
    </row>
    <row r="1406" spans="1:4" x14ac:dyDescent="0.45">
      <c r="A1406">
        <v>156</v>
      </c>
      <c r="B1406">
        <f t="shared" ca="1" si="21"/>
        <v>84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6" t="str">
        <f ca="1">IF(dict_zuord_Transfers_Storages[[#This Row],[kval_active]],dict_zuord_Transfers_Storages[[#This Row],[ID_Storages]],"")</f>
        <v/>
      </c>
    </row>
    <row r="1407" spans="1:4" x14ac:dyDescent="0.45">
      <c r="A1407">
        <v>156</v>
      </c>
      <c r="B1407">
        <f t="shared" ca="1" si="21"/>
        <v>98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7" t="str">
        <f ca="1">IF(dict_zuord_Transfers_Storages[[#This Row],[kval_active]],dict_zuord_Transfers_Storages[[#This Row],[ID_Storages]],"")</f>
        <v/>
      </c>
    </row>
    <row r="1408" spans="1:4" x14ac:dyDescent="0.45">
      <c r="A1408">
        <v>156</v>
      </c>
      <c r="B1408">
        <f t="shared" ca="1" si="21"/>
        <v>31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8" t="str">
        <f ca="1">IF(dict_zuord_Transfers_Storages[[#This Row],[kval_active]],dict_zuord_Transfers_Storages[[#This Row],[ID_Storages]],"")</f>
        <v/>
      </c>
    </row>
    <row r="1409" spans="1:4" x14ac:dyDescent="0.45">
      <c r="A1409">
        <v>156</v>
      </c>
      <c r="B1409">
        <f t="shared" ca="1" si="21"/>
        <v>54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9" t="str">
        <f ca="1">IF(dict_zuord_Transfers_Storages[[#This Row],[kval_active]],dict_zuord_Transfers_Storages[[#This Row],[ID_Storages]],"")</f>
        <v/>
      </c>
    </row>
    <row r="1410" spans="1:4" x14ac:dyDescent="0.45">
      <c r="A1410">
        <v>156</v>
      </c>
      <c r="B1410">
        <f t="shared" ref="B1410:B1473" ca="1" si="22">RANDBETWEEN(0,100)</f>
        <v>24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0" t="str">
        <f ca="1">IF(dict_zuord_Transfers_Storages[[#This Row],[kval_active]],dict_zuord_Transfers_Storages[[#This Row],[ID_Storages]],"")</f>
        <v/>
      </c>
    </row>
    <row r="1411" spans="1:4" x14ac:dyDescent="0.45">
      <c r="A1411">
        <v>156</v>
      </c>
      <c r="B1411">
        <f t="shared" ca="1" si="22"/>
        <v>19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1" t="str">
        <f ca="1">IF(dict_zuord_Transfers_Storages[[#This Row],[kval_active]],dict_zuord_Transfers_Storages[[#This Row],[ID_Storages]],"")</f>
        <v/>
      </c>
    </row>
    <row r="1412" spans="1:4" x14ac:dyDescent="0.45">
      <c r="A1412">
        <v>156</v>
      </c>
      <c r="B1412">
        <f t="shared" ca="1" si="22"/>
        <v>2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2" t="str">
        <f ca="1">IF(dict_zuord_Transfers_Storages[[#This Row],[kval_active]],dict_zuord_Transfers_Storages[[#This Row],[ID_Storages]],"")</f>
        <v/>
      </c>
    </row>
    <row r="1413" spans="1:4" x14ac:dyDescent="0.45">
      <c r="A1413">
        <v>156</v>
      </c>
      <c r="B1413">
        <f t="shared" ca="1" si="22"/>
        <v>27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3" t="str">
        <f ca="1">IF(dict_zuord_Transfers_Storages[[#This Row],[kval_active]],dict_zuord_Transfers_Storages[[#This Row],[ID_Storages]],"")</f>
        <v/>
      </c>
    </row>
    <row r="1414" spans="1:4" x14ac:dyDescent="0.45">
      <c r="A1414">
        <v>156</v>
      </c>
      <c r="B1414">
        <f t="shared" ca="1" si="22"/>
        <v>18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4" t="str">
        <f ca="1">IF(dict_zuord_Transfers_Storages[[#This Row],[kval_active]],dict_zuord_Transfers_Storages[[#This Row],[ID_Storages]],"")</f>
        <v/>
      </c>
    </row>
    <row r="1415" spans="1:4" x14ac:dyDescent="0.45">
      <c r="A1415">
        <v>157</v>
      </c>
      <c r="B1415">
        <f t="shared" ca="1" si="22"/>
        <v>47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5">
        <f ca="1">IF(dict_zuord_Transfers_Storages[[#This Row],[kval_active]],dict_zuord_Transfers_Storages[[#This Row],[ID_Storages]],"")</f>
        <v>47</v>
      </c>
    </row>
    <row r="1416" spans="1:4" x14ac:dyDescent="0.45">
      <c r="A1416">
        <v>157</v>
      </c>
      <c r="B1416">
        <f t="shared" ca="1" si="22"/>
        <v>41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6">
        <f ca="1">IF(dict_zuord_Transfers_Storages[[#This Row],[kval_active]],dict_zuord_Transfers_Storages[[#This Row],[ID_Storages]],"")</f>
        <v>41</v>
      </c>
    </row>
    <row r="1417" spans="1:4" x14ac:dyDescent="0.45">
      <c r="A1417">
        <v>157</v>
      </c>
      <c r="B1417">
        <f t="shared" ca="1" si="22"/>
        <v>22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7">
        <f ca="1">IF(dict_zuord_Transfers_Storages[[#This Row],[kval_active]],dict_zuord_Transfers_Storages[[#This Row],[ID_Storages]],"")</f>
        <v>22</v>
      </c>
    </row>
    <row r="1418" spans="1:4" x14ac:dyDescent="0.45">
      <c r="A1418">
        <v>157</v>
      </c>
      <c r="B1418">
        <f t="shared" ca="1" si="22"/>
        <v>9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8">
        <f ca="1">IF(dict_zuord_Transfers_Storages[[#This Row],[kval_active]],dict_zuord_Transfers_Storages[[#This Row],[ID_Storages]],"")</f>
        <v>9</v>
      </c>
    </row>
    <row r="1419" spans="1:4" x14ac:dyDescent="0.45">
      <c r="A1419">
        <v>157</v>
      </c>
      <c r="B1419">
        <f t="shared" ca="1" si="22"/>
        <v>82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9">
        <f ca="1">IF(dict_zuord_Transfers_Storages[[#This Row],[kval_active]],dict_zuord_Transfers_Storages[[#This Row],[ID_Storages]],"")</f>
        <v>82</v>
      </c>
    </row>
    <row r="1420" spans="1:4" x14ac:dyDescent="0.45">
      <c r="A1420">
        <v>157</v>
      </c>
      <c r="B1420">
        <f t="shared" ca="1" si="22"/>
        <v>66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0">
        <f ca="1">IF(dict_zuord_Transfers_Storages[[#This Row],[kval_active]],dict_zuord_Transfers_Storages[[#This Row],[ID_Storages]],"")</f>
        <v>66</v>
      </c>
    </row>
    <row r="1421" spans="1:4" x14ac:dyDescent="0.45">
      <c r="A1421">
        <v>157</v>
      </c>
      <c r="B1421">
        <f t="shared" ca="1" si="22"/>
        <v>34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1">
        <f ca="1">IF(dict_zuord_Transfers_Storages[[#This Row],[kval_active]],dict_zuord_Transfers_Storages[[#This Row],[ID_Storages]],"")</f>
        <v>34</v>
      </c>
    </row>
    <row r="1422" spans="1:4" x14ac:dyDescent="0.45">
      <c r="A1422">
        <v>157</v>
      </c>
      <c r="B1422">
        <f t="shared" ca="1" si="22"/>
        <v>62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2">
        <f ca="1">IF(dict_zuord_Transfers_Storages[[#This Row],[kval_active]],dict_zuord_Transfers_Storages[[#This Row],[ID_Storages]],"")</f>
        <v>62</v>
      </c>
    </row>
    <row r="1423" spans="1:4" x14ac:dyDescent="0.45">
      <c r="A1423">
        <v>157</v>
      </c>
      <c r="B1423">
        <f t="shared" ca="1" si="22"/>
        <v>9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3">
        <f ca="1">IF(dict_zuord_Transfers_Storages[[#This Row],[kval_active]],dict_zuord_Transfers_Storages[[#This Row],[ID_Storages]],"")</f>
        <v>9</v>
      </c>
    </row>
    <row r="1424" spans="1:4" x14ac:dyDescent="0.45">
      <c r="A1424">
        <v>158</v>
      </c>
      <c r="B1424">
        <f t="shared" ca="1" si="22"/>
        <v>53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53</v>
      </c>
    </row>
    <row r="1425" spans="1:4" x14ac:dyDescent="0.45">
      <c r="A1425">
        <v>158</v>
      </c>
      <c r="B1425">
        <f t="shared" ca="1" si="22"/>
        <v>60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60</v>
      </c>
    </row>
    <row r="1426" spans="1:4" x14ac:dyDescent="0.45">
      <c r="A1426">
        <v>158</v>
      </c>
      <c r="B1426">
        <f t="shared" ca="1" si="22"/>
        <v>95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95</v>
      </c>
    </row>
    <row r="1427" spans="1:4" x14ac:dyDescent="0.45">
      <c r="A1427">
        <v>158</v>
      </c>
      <c r="B1427">
        <f t="shared" ca="1" si="22"/>
        <v>0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0</v>
      </c>
    </row>
    <row r="1428" spans="1:4" x14ac:dyDescent="0.45">
      <c r="A1428">
        <v>158</v>
      </c>
      <c r="B1428">
        <f t="shared" ca="1" si="22"/>
        <v>51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51</v>
      </c>
    </row>
    <row r="1429" spans="1:4" x14ac:dyDescent="0.45">
      <c r="A1429">
        <v>158</v>
      </c>
      <c r="B1429">
        <f t="shared" ca="1" si="22"/>
        <v>3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3</v>
      </c>
    </row>
    <row r="1430" spans="1:4" x14ac:dyDescent="0.45">
      <c r="A1430">
        <v>158</v>
      </c>
      <c r="B1430">
        <f t="shared" ca="1" si="22"/>
        <v>57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57</v>
      </c>
    </row>
    <row r="1431" spans="1:4" x14ac:dyDescent="0.45">
      <c r="A1431">
        <v>158</v>
      </c>
      <c r="B1431">
        <f t="shared" ca="1" si="22"/>
        <v>41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41</v>
      </c>
    </row>
    <row r="1432" spans="1:4" x14ac:dyDescent="0.45">
      <c r="A1432">
        <v>158</v>
      </c>
      <c r="B1432">
        <f t="shared" ca="1" si="22"/>
        <v>95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95</v>
      </c>
    </row>
    <row r="1433" spans="1:4" x14ac:dyDescent="0.45">
      <c r="A1433">
        <v>159</v>
      </c>
      <c r="B1433">
        <f t="shared" ca="1" si="22"/>
        <v>33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3" t="str">
        <f ca="1">IF(dict_zuord_Transfers_Storages[[#This Row],[kval_active]],dict_zuord_Transfers_Storages[[#This Row],[ID_Storages]],"")</f>
        <v/>
      </c>
    </row>
    <row r="1434" spans="1:4" x14ac:dyDescent="0.45">
      <c r="A1434">
        <v>159</v>
      </c>
      <c r="B1434">
        <f t="shared" ca="1" si="22"/>
        <v>79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4" t="str">
        <f ca="1">IF(dict_zuord_Transfers_Storages[[#This Row],[kval_active]],dict_zuord_Transfers_Storages[[#This Row],[ID_Storages]],"")</f>
        <v/>
      </c>
    </row>
    <row r="1435" spans="1:4" x14ac:dyDescent="0.45">
      <c r="A1435">
        <v>159</v>
      </c>
      <c r="B1435">
        <f t="shared" ca="1" si="22"/>
        <v>10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5" t="str">
        <f ca="1">IF(dict_zuord_Transfers_Storages[[#This Row],[kval_active]],dict_zuord_Transfers_Storages[[#This Row],[ID_Storages]],"")</f>
        <v/>
      </c>
    </row>
    <row r="1436" spans="1:4" x14ac:dyDescent="0.45">
      <c r="A1436">
        <v>159</v>
      </c>
      <c r="B1436">
        <f t="shared" ca="1" si="22"/>
        <v>42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6" t="str">
        <f ca="1">IF(dict_zuord_Transfers_Storages[[#This Row],[kval_active]],dict_zuord_Transfers_Storages[[#This Row],[ID_Storages]],"")</f>
        <v/>
      </c>
    </row>
    <row r="1437" spans="1:4" x14ac:dyDescent="0.45">
      <c r="A1437">
        <v>159</v>
      </c>
      <c r="B1437">
        <f t="shared" ca="1" si="22"/>
        <v>96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7" t="str">
        <f ca="1">IF(dict_zuord_Transfers_Storages[[#This Row],[kval_active]],dict_zuord_Transfers_Storages[[#This Row],[ID_Storages]],"")</f>
        <v/>
      </c>
    </row>
    <row r="1438" spans="1:4" x14ac:dyDescent="0.45">
      <c r="A1438">
        <v>159</v>
      </c>
      <c r="B1438">
        <f t="shared" ca="1" si="22"/>
        <v>61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8" t="str">
        <f ca="1">IF(dict_zuord_Transfers_Storages[[#This Row],[kval_active]],dict_zuord_Transfers_Storages[[#This Row],[ID_Storages]],"")</f>
        <v/>
      </c>
    </row>
    <row r="1439" spans="1:4" x14ac:dyDescent="0.45">
      <c r="A1439">
        <v>159</v>
      </c>
      <c r="B1439">
        <f t="shared" ca="1" si="22"/>
        <v>19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9" t="str">
        <f ca="1">IF(dict_zuord_Transfers_Storages[[#This Row],[kval_active]],dict_zuord_Transfers_Storages[[#This Row],[ID_Storages]],"")</f>
        <v/>
      </c>
    </row>
    <row r="1440" spans="1:4" x14ac:dyDescent="0.45">
      <c r="A1440">
        <v>159</v>
      </c>
      <c r="B1440">
        <f t="shared" ca="1" si="22"/>
        <v>99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0" t="str">
        <f ca="1">IF(dict_zuord_Transfers_Storages[[#This Row],[kval_active]],dict_zuord_Transfers_Storages[[#This Row],[ID_Storages]],"")</f>
        <v/>
      </c>
    </row>
    <row r="1441" spans="1:4" x14ac:dyDescent="0.45">
      <c r="A1441">
        <v>159</v>
      </c>
      <c r="B1441">
        <f t="shared" ca="1" si="22"/>
        <v>39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1" t="str">
        <f ca="1">IF(dict_zuord_Transfers_Storages[[#This Row],[kval_active]],dict_zuord_Transfers_Storages[[#This Row],[ID_Storages]],"")</f>
        <v/>
      </c>
    </row>
    <row r="1442" spans="1:4" x14ac:dyDescent="0.45">
      <c r="A1442">
        <v>160</v>
      </c>
      <c r="B1442">
        <f t="shared" ca="1" si="22"/>
        <v>3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2" t="str">
        <f ca="1">IF(dict_zuord_Transfers_Storages[[#This Row],[kval_active]],dict_zuord_Transfers_Storages[[#This Row],[ID_Storages]],"")</f>
        <v/>
      </c>
    </row>
    <row r="1443" spans="1:4" x14ac:dyDescent="0.45">
      <c r="A1443">
        <v>160</v>
      </c>
      <c r="B1443">
        <f t="shared" ca="1" si="22"/>
        <v>12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3" t="str">
        <f ca="1">IF(dict_zuord_Transfers_Storages[[#This Row],[kval_active]],dict_zuord_Transfers_Storages[[#This Row],[ID_Storages]],"")</f>
        <v/>
      </c>
    </row>
    <row r="1444" spans="1:4" x14ac:dyDescent="0.45">
      <c r="A1444">
        <v>160</v>
      </c>
      <c r="B1444">
        <f t="shared" ca="1" si="22"/>
        <v>56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4" t="str">
        <f ca="1">IF(dict_zuord_Transfers_Storages[[#This Row],[kval_active]],dict_zuord_Transfers_Storages[[#This Row],[ID_Storages]],"")</f>
        <v/>
      </c>
    </row>
    <row r="1445" spans="1:4" x14ac:dyDescent="0.45">
      <c r="A1445">
        <v>160</v>
      </c>
      <c r="B1445">
        <f t="shared" ca="1" si="22"/>
        <v>53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5" t="str">
        <f ca="1">IF(dict_zuord_Transfers_Storages[[#This Row],[kval_active]],dict_zuord_Transfers_Storages[[#This Row],[ID_Storages]],"")</f>
        <v/>
      </c>
    </row>
    <row r="1446" spans="1:4" x14ac:dyDescent="0.45">
      <c r="A1446">
        <v>160</v>
      </c>
      <c r="B1446">
        <f t="shared" ca="1" si="22"/>
        <v>95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6" t="str">
        <f ca="1">IF(dict_zuord_Transfers_Storages[[#This Row],[kval_active]],dict_zuord_Transfers_Storages[[#This Row],[ID_Storages]],"")</f>
        <v/>
      </c>
    </row>
    <row r="1447" spans="1:4" x14ac:dyDescent="0.45">
      <c r="A1447">
        <v>160</v>
      </c>
      <c r="B1447">
        <f t="shared" ca="1" si="22"/>
        <v>56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7" t="str">
        <f ca="1">IF(dict_zuord_Transfers_Storages[[#This Row],[kval_active]],dict_zuord_Transfers_Storages[[#This Row],[ID_Storages]],"")</f>
        <v/>
      </c>
    </row>
    <row r="1448" spans="1:4" x14ac:dyDescent="0.45">
      <c r="A1448">
        <v>160</v>
      </c>
      <c r="B1448">
        <f t="shared" ca="1" si="22"/>
        <v>4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8" t="str">
        <f ca="1">IF(dict_zuord_Transfers_Storages[[#This Row],[kval_active]],dict_zuord_Transfers_Storages[[#This Row],[ID_Storages]],"")</f>
        <v/>
      </c>
    </row>
    <row r="1449" spans="1:4" x14ac:dyDescent="0.45">
      <c r="A1449">
        <v>160</v>
      </c>
      <c r="B1449">
        <f t="shared" ca="1" si="22"/>
        <v>36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9" t="str">
        <f ca="1">IF(dict_zuord_Transfers_Storages[[#This Row],[kval_active]],dict_zuord_Transfers_Storages[[#This Row],[ID_Storages]],"")</f>
        <v/>
      </c>
    </row>
    <row r="1450" spans="1:4" x14ac:dyDescent="0.45">
      <c r="A1450">
        <v>160</v>
      </c>
      <c r="B1450">
        <f t="shared" ca="1" si="22"/>
        <v>48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0" t="str">
        <f ca="1">IF(dict_zuord_Transfers_Storages[[#This Row],[kval_active]],dict_zuord_Transfers_Storages[[#This Row],[ID_Storages]],"")</f>
        <v/>
      </c>
    </row>
    <row r="1451" spans="1:4" x14ac:dyDescent="0.45">
      <c r="A1451">
        <v>161</v>
      </c>
      <c r="B1451">
        <f t="shared" ca="1" si="22"/>
        <v>5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1">
        <f ca="1">IF(dict_zuord_Transfers_Storages[[#This Row],[kval_active]],dict_zuord_Transfers_Storages[[#This Row],[ID_Storages]],"")</f>
        <v>5</v>
      </c>
    </row>
    <row r="1452" spans="1:4" x14ac:dyDescent="0.45">
      <c r="A1452">
        <v>161</v>
      </c>
      <c r="B1452">
        <f t="shared" ca="1" si="22"/>
        <v>74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2">
        <f ca="1">IF(dict_zuord_Transfers_Storages[[#This Row],[kval_active]],dict_zuord_Transfers_Storages[[#This Row],[ID_Storages]],"")</f>
        <v>74</v>
      </c>
    </row>
    <row r="1453" spans="1:4" x14ac:dyDescent="0.45">
      <c r="A1453">
        <v>161</v>
      </c>
      <c r="B1453">
        <f t="shared" ca="1" si="22"/>
        <v>7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3">
        <f ca="1">IF(dict_zuord_Transfers_Storages[[#This Row],[kval_active]],dict_zuord_Transfers_Storages[[#This Row],[ID_Storages]],"")</f>
        <v>7</v>
      </c>
    </row>
    <row r="1454" spans="1:4" x14ac:dyDescent="0.45">
      <c r="A1454">
        <v>161</v>
      </c>
      <c r="B1454">
        <f t="shared" ca="1" si="22"/>
        <v>70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4">
        <f ca="1">IF(dict_zuord_Transfers_Storages[[#This Row],[kval_active]],dict_zuord_Transfers_Storages[[#This Row],[ID_Storages]],"")</f>
        <v>70</v>
      </c>
    </row>
    <row r="1455" spans="1:4" x14ac:dyDescent="0.45">
      <c r="A1455">
        <v>161</v>
      </c>
      <c r="B1455">
        <f t="shared" ca="1" si="22"/>
        <v>39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5">
        <f ca="1">IF(dict_zuord_Transfers_Storages[[#This Row],[kval_active]],dict_zuord_Transfers_Storages[[#This Row],[ID_Storages]],"")</f>
        <v>39</v>
      </c>
    </row>
    <row r="1456" spans="1:4" x14ac:dyDescent="0.45">
      <c r="A1456">
        <v>161</v>
      </c>
      <c r="B1456">
        <f t="shared" ca="1" si="22"/>
        <v>4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6">
        <f ca="1">IF(dict_zuord_Transfers_Storages[[#This Row],[kval_active]],dict_zuord_Transfers_Storages[[#This Row],[ID_Storages]],"")</f>
        <v>4</v>
      </c>
    </row>
    <row r="1457" spans="1:4" x14ac:dyDescent="0.45">
      <c r="A1457">
        <v>161</v>
      </c>
      <c r="B1457">
        <f t="shared" ca="1" si="22"/>
        <v>0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7">
        <f ca="1">IF(dict_zuord_Transfers_Storages[[#This Row],[kval_active]],dict_zuord_Transfers_Storages[[#This Row],[ID_Storages]],"")</f>
        <v>0</v>
      </c>
    </row>
    <row r="1458" spans="1:4" x14ac:dyDescent="0.45">
      <c r="A1458">
        <v>161</v>
      </c>
      <c r="B1458">
        <f t="shared" ca="1" si="22"/>
        <v>6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8">
        <f ca="1">IF(dict_zuord_Transfers_Storages[[#This Row],[kval_active]],dict_zuord_Transfers_Storages[[#This Row],[ID_Storages]],"")</f>
        <v>6</v>
      </c>
    </row>
    <row r="1459" spans="1:4" x14ac:dyDescent="0.45">
      <c r="A1459">
        <v>161</v>
      </c>
      <c r="B1459">
        <f t="shared" ca="1" si="22"/>
        <v>39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9">
        <f ca="1">IF(dict_zuord_Transfers_Storages[[#This Row],[kval_active]],dict_zuord_Transfers_Storages[[#This Row],[ID_Storages]],"")</f>
        <v>39</v>
      </c>
    </row>
    <row r="1460" spans="1:4" x14ac:dyDescent="0.45">
      <c r="A1460">
        <v>162</v>
      </c>
      <c r="B1460">
        <f t="shared" ca="1" si="22"/>
        <v>23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0" t="str">
        <f ca="1">IF(dict_zuord_Transfers_Storages[[#This Row],[kval_active]],dict_zuord_Transfers_Storages[[#This Row],[ID_Storages]],"")</f>
        <v/>
      </c>
    </row>
    <row r="1461" spans="1:4" x14ac:dyDescent="0.45">
      <c r="A1461">
        <v>162</v>
      </c>
      <c r="B1461">
        <f t="shared" ca="1" si="22"/>
        <v>55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1" t="str">
        <f ca="1">IF(dict_zuord_Transfers_Storages[[#This Row],[kval_active]],dict_zuord_Transfers_Storages[[#This Row],[ID_Storages]],"")</f>
        <v/>
      </c>
    </row>
    <row r="1462" spans="1:4" x14ac:dyDescent="0.45">
      <c r="A1462">
        <v>162</v>
      </c>
      <c r="B1462">
        <f t="shared" ca="1" si="22"/>
        <v>95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2" t="str">
        <f ca="1">IF(dict_zuord_Transfers_Storages[[#This Row],[kval_active]],dict_zuord_Transfers_Storages[[#This Row],[ID_Storages]],"")</f>
        <v/>
      </c>
    </row>
    <row r="1463" spans="1:4" x14ac:dyDescent="0.45">
      <c r="A1463">
        <v>162</v>
      </c>
      <c r="B1463">
        <f t="shared" ca="1" si="22"/>
        <v>66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3" t="str">
        <f ca="1">IF(dict_zuord_Transfers_Storages[[#This Row],[kval_active]],dict_zuord_Transfers_Storages[[#This Row],[ID_Storages]],"")</f>
        <v/>
      </c>
    </row>
    <row r="1464" spans="1:4" x14ac:dyDescent="0.45">
      <c r="A1464">
        <v>162</v>
      </c>
      <c r="B1464">
        <f t="shared" ca="1" si="22"/>
        <v>8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4" t="str">
        <f ca="1">IF(dict_zuord_Transfers_Storages[[#This Row],[kval_active]],dict_zuord_Transfers_Storages[[#This Row],[ID_Storages]],"")</f>
        <v/>
      </c>
    </row>
    <row r="1465" spans="1:4" x14ac:dyDescent="0.45">
      <c r="A1465">
        <v>162</v>
      </c>
      <c r="B1465">
        <f t="shared" ca="1" si="22"/>
        <v>4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5" t="str">
        <f ca="1">IF(dict_zuord_Transfers_Storages[[#This Row],[kval_active]],dict_zuord_Transfers_Storages[[#This Row],[ID_Storages]],"")</f>
        <v/>
      </c>
    </row>
    <row r="1466" spans="1:4" x14ac:dyDescent="0.45">
      <c r="A1466">
        <v>162</v>
      </c>
      <c r="B1466">
        <f t="shared" ca="1" si="22"/>
        <v>36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6" t="str">
        <f ca="1">IF(dict_zuord_Transfers_Storages[[#This Row],[kval_active]],dict_zuord_Transfers_Storages[[#This Row],[ID_Storages]],"")</f>
        <v/>
      </c>
    </row>
    <row r="1467" spans="1:4" x14ac:dyDescent="0.45">
      <c r="A1467">
        <v>162</v>
      </c>
      <c r="B1467">
        <f t="shared" ca="1" si="22"/>
        <v>10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7" t="str">
        <f ca="1">IF(dict_zuord_Transfers_Storages[[#This Row],[kval_active]],dict_zuord_Transfers_Storages[[#This Row],[ID_Storages]],"")</f>
        <v/>
      </c>
    </row>
    <row r="1468" spans="1:4" x14ac:dyDescent="0.45">
      <c r="A1468">
        <v>162</v>
      </c>
      <c r="B1468">
        <f t="shared" ca="1" si="22"/>
        <v>96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8" t="str">
        <f ca="1">IF(dict_zuord_Transfers_Storages[[#This Row],[kval_active]],dict_zuord_Transfers_Storages[[#This Row],[ID_Storages]],"")</f>
        <v/>
      </c>
    </row>
    <row r="1469" spans="1:4" x14ac:dyDescent="0.45">
      <c r="A1469">
        <v>163</v>
      </c>
      <c r="B1469">
        <f t="shared" ca="1" si="22"/>
        <v>63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9" t="str">
        <f ca="1">IF(dict_zuord_Transfers_Storages[[#This Row],[kval_active]],dict_zuord_Transfers_Storages[[#This Row],[ID_Storages]],"")</f>
        <v/>
      </c>
    </row>
    <row r="1470" spans="1:4" x14ac:dyDescent="0.45">
      <c r="A1470">
        <v>163</v>
      </c>
      <c r="B1470">
        <f t="shared" ca="1" si="22"/>
        <v>12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0" t="str">
        <f ca="1">IF(dict_zuord_Transfers_Storages[[#This Row],[kval_active]],dict_zuord_Transfers_Storages[[#This Row],[ID_Storages]],"")</f>
        <v/>
      </c>
    </row>
    <row r="1471" spans="1:4" x14ac:dyDescent="0.45">
      <c r="A1471">
        <v>163</v>
      </c>
      <c r="B1471">
        <f t="shared" ca="1" si="22"/>
        <v>67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1" t="str">
        <f ca="1">IF(dict_zuord_Transfers_Storages[[#This Row],[kval_active]],dict_zuord_Transfers_Storages[[#This Row],[ID_Storages]],"")</f>
        <v/>
      </c>
    </row>
    <row r="1472" spans="1:4" x14ac:dyDescent="0.45">
      <c r="A1472">
        <v>163</v>
      </c>
      <c r="B1472">
        <f t="shared" ca="1" si="22"/>
        <v>20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2" t="str">
        <f ca="1">IF(dict_zuord_Transfers_Storages[[#This Row],[kval_active]],dict_zuord_Transfers_Storages[[#This Row],[ID_Storages]],"")</f>
        <v/>
      </c>
    </row>
    <row r="1473" spans="1:4" x14ac:dyDescent="0.45">
      <c r="A1473">
        <v>163</v>
      </c>
      <c r="B1473">
        <f t="shared" ca="1" si="22"/>
        <v>70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3" t="str">
        <f ca="1">IF(dict_zuord_Transfers_Storages[[#This Row],[kval_active]],dict_zuord_Transfers_Storages[[#This Row],[ID_Storages]],"")</f>
        <v/>
      </c>
    </row>
    <row r="1474" spans="1:4" x14ac:dyDescent="0.45">
      <c r="A1474">
        <v>163</v>
      </c>
      <c r="B1474">
        <f t="shared" ref="B1474:B1537" ca="1" si="23">RANDBETWEEN(0,100)</f>
        <v>96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4" t="str">
        <f ca="1">IF(dict_zuord_Transfers_Storages[[#This Row],[kval_active]],dict_zuord_Transfers_Storages[[#This Row],[ID_Storages]],"")</f>
        <v/>
      </c>
    </row>
    <row r="1475" spans="1:4" x14ac:dyDescent="0.45">
      <c r="A1475">
        <v>163</v>
      </c>
      <c r="B1475">
        <f t="shared" ca="1" si="23"/>
        <v>38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5" t="str">
        <f ca="1">IF(dict_zuord_Transfers_Storages[[#This Row],[kval_active]],dict_zuord_Transfers_Storages[[#This Row],[ID_Storages]],"")</f>
        <v/>
      </c>
    </row>
    <row r="1476" spans="1:4" x14ac:dyDescent="0.45">
      <c r="A1476">
        <v>163</v>
      </c>
      <c r="B1476">
        <f t="shared" ca="1" si="23"/>
        <v>61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6" t="str">
        <f ca="1">IF(dict_zuord_Transfers_Storages[[#This Row],[kval_active]],dict_zuord_Transfers_Storages[[#This Row],[ID_Storages]],"")</f>
        <v/>
      </c>
    </row>
    <row r="1477" spans="1:4" x14ac:dyDescent="0.45">
      <c r="A1477">
        <v>163</v>
      </c>
      <c r="B1477">
        <f t="shared" ca="1" si="23"/>
        <v>12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7" t="str">
        <f ca="1">IF(dict_zuord_Transfers_Storages[[#This Row],[kval_active]],dict_zuord_Transfers_Storages[[#This Row],[ID_Storages]],"")</f>
        <v/>
      </c>
    </row>
    <row r="1478" spans="1:4" x14ac:dyDescent="0.45">
      <c r="A1478">
        <v>164</v>
      </c>
      <c r="B1478">
        <f t="shared" ca="1" si="23"/>
        <v>5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8" t="str">
        <f ca="1">IF(dict_zuord_Transfers_Storages[[#This Row],[kval_active]],dict_zuord_Transfers_Storages[[#This Row],[ID_Storages]],"")</f>
        <v/>
      </c>
    </row>
    <row r="1479" spans="1:4" x14ac:dyDescent="0.45">
      <c r="A1479">
        <v>164</v>
      </c>
      <c r="B1479">
        <f t="shared" ca="1" si="23"/>
        <v>98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9" t="str">
        <f ca="1">IF(dict_zuord_Transfers_Storages[[#This Row],[kval_active]],dict_zuord_Transfers_Storages[[#This Row],[ID_Storages]],"")</f>
        <v/>
      </c>
    </row>
    <row r="1480" spans="1:4" x14ac:dyDescent="0.45">
      <c r="A1480">
        <v>164</v>
      </c>
      <c r="B1480">
        <f t="shared" ca="1" si="23"/>
        <v>89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0" t="str">
        <f ca="1">IF(dict_zuord_Transfers_Storages[[#This Row],[kval_active]],dict_zuord_Transfers_Storages[[#This Row],[ID_Storages]],"")</f>
        <v/>
      </c>
    </row>
    <row r="1481" spans="1:4" x14ac:dyDescent="0.45">
      <c r="A1481">
        <v>164</v>
      </c>
      <c r="B1481">
        <f t="shared" ca="1" si="23"/>
        <v>22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1" t="str">
        <f ca="1">IF(dict_zuord_Transfers_Storages[[#This Row],[kval_active]],dict_zuord_Transfers_Storages[[#This Row],[ID_Storages]],"")</f>
        <v/>
      </c>
    </row>
    <row r="1482" spans="1:4" x14ac:dyDescent="0.45">
      <c r="A1482">
        <v>164</v>
      </c>
      <c r="B1482">
        <f t="shared" ca="1" si="23"/>
        <v>5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2" t="str">
        <f ca="1">IF(dict_zuord_Transfers_Storages[[#This Row],[kval_active]],dict_zuord_Transfers_Storages[[#This Row],[ID_Storages]],"")</f>
        <v/>
      </c>
    </row>
    <row r="1483" spans="1:4" x14ac:dyDescent="0.45">
      <c r="A1483">
        <v>164</v>
      </c>
      <c r="B1483">
        <f t="shared" ca="1" si="23"/>
        <v>38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3" t="str">
        <f ca="1">IF(dict_zuord_Transfers_Storages[[#This Row],[kval_active]],dict_zuord_Transfers_Storages[[#This Row],[ID_Storages]],"")</f>
        <v/>
      </c>
    </row>
    <row r="1484" spans="1:4" x14ac:dyDescent="0.45">
      <c r="A1484">
        <v>164</v>
      </c>
      <c r="B1484">
        <f t="shared" ca="1" si="23"/>
        <v>55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4" t="str">
        <f ca="1">IF(dict_zuord_Transfers_Storages[[#This Row],[kval_active]],dict_zuord_Transfers_Storages[[#This Row],[ID_Storages]],"")</f>
        <v/>
      </c>
    </row>
    <row r="1485" spans="1:4" x14ac:dyDescent="0.45">
      <c r="A1485">
        <v>164</v>
      </c>
      <c r="B1485">
        <f t="shared" ca="1" si="23"/>
        <v>42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5" t="str">
        <f ca="1">IF(dict_zuord_Transfers_Storages[[#This Row],[kval_active]],dict_zuord_Transfers_Storages[[#This Row],[ID_Storages]],"")</f>
        <v/>
      </c>
    </row>
    <row r="1486" spans="1:4" x14ac:dyDescent="0.45">
      <c r="A1486">
        <v>164</v>
      </c>
      <c r="B1486">
        <f t="shared" ca="1" si="23"/>
        <v>1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6" t="str">
        <f ca="1">IF(dict_zuord_Transfers_Storages[[#This Row],[kval_active]],dict_zuord_Transfers_Storages[[#This Row],[ID_Storages]],"")</f>
        <v/>
      </c>
    </row>
    <row r="1487" spans="1:4" x14ac:dyDescent="0.45">
      <c r="A1487">
        <v>165</v>
      </c>
      <c r="B1487">
        <f t="shared" ca="1" si="23"/>
        <v>54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7" t="str">
        <f ca="1">IF(dict_zuord_Transfers_Storages[[#This Row],[kval_active]],dict_zuord_Transfers_Storages[[#This Row],[ID_Storages]],"")</f>
        <v/>
      </c>
    </row>
    <row r="1488" spans="1:4" x14ac:dyDescent="0.45">
      <c r="A1488">
        <v>165</v>
      </c>
      <c r="B1488">
        <f t="shared" ca="1" si="23"/>
        <v>18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8" t="str">
        <f ca="1">IF(dict_zuord_Transfers_Storages[[#This Row],[kval_active]],dict_zuord_Transfers_Storages[[#This Row],[ID_Storages]],"")</f>
        <v/>
      </c>
    </row>
    <row r="1489" spans="1:4" x14ac:dyDescent="0.45">
      <c r="A1489">
        <v>165</v>
      </c>
      <c r="B1489">
        <f t="shared" ca="1" si="23"/>
        <v>85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9" t="str">
        <f ca="1">IF(dict_zuord_Transfers_Storages[[#This Row],[kval_active]],dict_zuord_Transfers_Storages[[#This Row],[ID_Storages]],"")</f>
        <v/>
      </c>
    </row>
    <row r="1490" spans="1:4" x14ac:dyDescent="0.45">
      <c r="A1490">
        <v>165</v>
      </c>
      <c r="B1490">
        <f t="shared" ca="1" si="23"/>
        <v>87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0" t="str">
        <f ca="1">IF(dict_zuord_Transfers_Storages[[#This Row],[kval_active]],dict_zuord_Transfers_Storages[[#This Row],[ID_Storages]],"")</f>
        <v/>
      </c>
    </row>
    <row r="1491" spans="1:4" x14ac:dyDescent="0.45">
      <c r="A1491">
        <v>165</v>
      </c>
      <c r="B1491">
        <f t="shared" ca="1" si="23"/>
        <v>26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1" t="str">
        <f ca="1">IF(dict_zuord_Transfers_Storages[[#This Row],[kval_active]],dict_zuord_Transfers_Storages[[#This Row],[ID_Storages]],"")</f>
        <v/>
      </c>
    </row>
    <row r="1492" spans="1:4" x14ac:dyDescent="0.45">
      <c r="A1492">
        <v>165</v>
      </c>
      <c r="B1492">
        <f t="shared" ca="1" si="23"/>
        <v>82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2" t="str">
        <f ca="1">IF(dict_zuord_Transfers_Storages[[#This Row],[kval_active]],dict_zuord_Transfers_Storages[[#This Row],[ID_Storages]],"")</f>
        <v/>
      </c>
    </row>
    <row r="1493" spans="1:4" x14ac:dyDescent="0.45">
      <c r="A1493">
        <v>165</v>
      </c>
      <c r="B1493">
        <f t="shared" ca="1" si="23"/>
        <v>56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3" t="str">
        <f ca="1">IF(dict_zuord_Transfers_Storages[[#This Row],[kval_active]],dict_zuord_Transfers_Storages[[#This Row],[ID_Storages]],"")</f>
        <v/>
      </c>
    </row>
    <row r="1494" spans="1:4" x14ac:dyDescent="0.45">
      <c r="A1494">
        <v>165</v>
      </c>
      <c r="B1494">
        <f t="shared" ca="1" si="23"/>
        <v>41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4" t="str">
        <f ca="1">IF(dict_zuord_Transfers_Storages[[#This Row],[kval_active]],dict_zuord_Transfers_Storages[[#This Row],[ID_Storages]],"")</f>
        <v/>
      </c>
    </row>
    <row r="1495" spans="1:4" x14ac:dyDescent="0.45">
      <c r="A1495">
        <v>165</v>
      </c>
      <c r="B1495">
        <f t="shared" ca="1" si="23"/>
        <v>0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5" t="str">
        <f ca="1">IF(dict_zuord_Transfers_Storages[[#This Row],[kval_active]],dict_zuord_Transfers_Storages[[#This Row],[ID_Storages]],"")</f>
        <v/>
      </c>
    </row>
    <row r="1496" spans="1:4" x14ac:dyDescent="0.45">
      <c r="A1496">
        <v>166</v>
      </c>
      <c r="B1496">
        <f t="shared" ca="1" si="23"/>
        <v>76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6" t="str">
        <f ca="1">IF(dict_zuord_Transfers_Storages[[#This Row],[kval_active]],dict_zuord_Transfers_Storages[[#This Row],[ID_Storages]],"")</f>
        <v/>
      </c>
    </row>
    <row r="1497" spans="1:4" x14ac:dyDescent="0.45">
      <c r="A1497">
        <v>166</v>
      </c>
      <c r="B1497">
        <f t="shared" ca="1" si="23"/>
        <v>33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7" t="str">
        <f ca="1">IF(dict_zuord_Transfers_Storages[[#This Row],[kval_active]],dict_zuord_Transfers_Storages[[#This Row],[ID_Storages]],"")</f>
        <v/>
      </c>
    </row>
    <row r="1498" spans="1:4" x14ac:dyDescent="0.45">
      <c r="A1498">
        <v>166</v>
      </c>
      <c r="B1498">
        <f t="shared" ca="1" si="23"/>
        <v>99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8" t="str">
        <f ca="1">IF(dict_zuord_Transfers_Storages[[#This Row],[kval_active]],dict_zuord_Transfers_Storages[[#This Row],[ID_Storages]],"")</f>
        <v/>
      </c>
    </row>
    <row r="1499" spans="1:4" x14ac:dyDescent="0.45">
      <c r="A1499">
        <v>166</v>
      </c>
      <c r="B1499">
        <f t="shared" ca="1" si="23"/>
        <v>16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9" t="str">
        <f ca="1">IF(dict_zuord_Transfers_Storages[[#This Row],[kval_active]],dict_zuord_Transfers_Storages[[#This Row],[ID_Storages]],"")</f>
        <v/>
      </c>
    </row>
    <row r="1500" spans="1:4" x14ac:dyDescent="0.45">
      <c r="A1500">
        <v>166</v>
      </c>
      <c r="B1500">
        <f t="shared" ca="1" si="23"/>
        <v>42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0" t="str">
        <f ca="1">IF(dict_zuord_Transfers_Storages[[#This Row],[kval_active]],dict_zuord_Transfers_Storages[[#This Row],[ID_Storages]],"")</f>
        <v/>
      </c>
    </row>
    <row r="1501" spans="1:4" x14ac:dyDescent="0.45">
      <c r="A1501">
        <v>166</v>
      </c>
      <c r="B1501">
        <f t="shared" ca="1" si="23"/>
        <v>98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1" t="str">
        <f ca="1">IF(dict_zuord_Transfers_Storages[[#This Row],[kval_active]],dict_zuord_Transfers_Storages[[#This Row],[ID_Storages]],"")</f>
        <v/>
      </c>
    </row>
    <row r="1502" spans="1:4" x14ac:dyDescent="0.45">
      <c r="A1502">
        <v>166</v>
      </c>
      <c r="B1502">
        <f t="shared" ca="1" si="23"/>
        <v>94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2" t="str">
        <f ca="1">IF(dict_zuord_Transfers_Storages[[#This Row],[kval_active]],dict_zuord_Transfers_Storages[[#This Row],[ID_Storages]],"")</f>
        <v/>
      </c>
    </row>
    <row r="1503" spans="1:4" x14ac:dyDescent="0.45">
      <c r="A1503">
        <v>166</v>
      </c>
      <c r="B1503">
        <f t="shared" ca="1" si="23"/>
        <v>39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3" t="str">
        <f ca="1">IF(dict_zuord_Transfers_Storages[[#This Row],[kval_active]],dict_zuord_Transfers_Storages[[#This Row],[ID_Storages]],"")</f>
        <v/>
      </c>
    </row>
    <row r="1504" spans="1:4" x14ac:dyDescent="0.45">
      <c r="A1504">
        <v>166</v>
      </c>
      <c r="B1504">
        <f t="shared" ca="1" si="23"/>
        <v>87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4" t="str">
        <f ca="1">IF(dict_zuord_Transfers_Storages[[#This Row],[kval_active]],dict_zuord_Transfers_Storages[[#This Row],[ID_Storages]],"")</f>
        <v/>
      </c>
    </row>
    <row r="1505" spans="1:4" x14ac:dyDescent="0.45">
      <c r="A1505">
        <v>167</v>
      </c>
      <c r="B1505">
        <f t="shared" ca="1" si="23"/>
        <v>88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5" t="str">
        <f ca="1">IF(dict_zuord_Transfers_Storages[[#This Row],[kval_active]],dict_zuord_Transfers_Storages[[#This Row],[ID_Storages]],"")</f>
        <v/>
      </c>
    </row>
    <row r="1506" spans="1:4" x14ac:dyDescent="0.45">
      <c r="A1506">
        <v>167</v>
      </c>
      <c r="B1506">
        <f t="shared" ca="1" si="23"/>
        <v>68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6" t="str">
        <f ca="1">IF(dict_zuord_Transfers_Storages[[#This Row],[kval_active]],dict_zuord_Transfers_Storages[[#This Row],[ID_Storages]],"")</f>
        <v/>
      </c>
    </row>
    <row r="1507" spans="1:4" x14ac:dyDescent="0.45">
      <c r="A1507">
        <v>167</v>
      </c>
      <c r="B1507">
        <f t="shared" ca="1" si="23"/>
        <v>10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7" t="str">
        <f ca="1">IF(dict_zuord_Transfers_Storages[[#This Row],[kval_active]],dict_zuord_Transfers_Storages[[#This Row],[ID_Storages]],"")</f>
        <v/>
      </c>
    </row>
    <row r="1508" spans="1:4" x14ac:dyDescent="0.45">
      <c r="A1508">
        <v>167</v>
      </c>
      <c r="B1508">
        <f t="shared" ca="1" si="23"/>
        <v>54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8" t="str">
        <f ca="1">IF(dict_zuord_Transfers_Storages[[#This Row],[kval_active]],dict_zuord_Transfers_Storages[[#This Row],[ID_Storages]],"")</f>
        <v/>
      </c>
    </row>
    <row r="1509" spans="1:4" x14ac:dyDescent="0.45">
      <c r="A1509">
        <v>167</v>
      </c>
      <c r="B1509">
        <f t="shared" ca="1" si="23"/>
        <v>2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9" t="str">
        <f ca="1">IF(dict_zuord_Transfers_Storages[[#This Row],[kval_active]],dict_zuord_Transfers_Storages[[#This Row],[ID_Storages]],"")</f>
        <v/>
      </c>
    </row>
    <row r="1510" spans="1:4" x14ac:dyDescent="0.45">
      <c r="A1510">
        <v>167</v>
      </c>
      <c r="B1510">
        <f t="shared" ca="1" si="23"/>
        <v>78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0" t="str">
        <f ca="1">IF(dict_zuord_Transfers_Storages[[#This Row],[kval_active]],dict_zuord_Transfers_Storages[[#This Row],[ID_Storages]],"")</f>
        <v/>
      </c>
    </row>
    <row r="1511" spans="1:4" x14ac:dyDescent="0.45">
      <c r="A1511">
        <v>167</v>
      </c>
      <c r="B1511">
        <f t="shared" ca="1" si="23"/>
        <v>80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1" t="str">
        <f ca="1">IF(dict_zuord_Transfers_Storages[[#This Row],[kval_active]],dict_zuord_Transfers_Storages[[#This Row],[ID_Storages]],"")</f>
        <v/>
      </c>
    </row>
    <row r="1512" spans="1:4" x14ac:dyDescent="0.45">
      <c r="A1512">
        <v>167</v>
      </c>
      <c r="B1512">
        <f t="shared" ca="1" si="23"/>
        <v>32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2" t="str">
        <f ca="1">IF(dict_zuord_Transfers_Storages[[#This Row],[kval_active]],dict_zuord_Transfers_Storages[[#This Row],[ID_Storages]],"")</f>
        <v/>
      </c>
    </row>
    <row r="1513" spans="1:4" x14ac:dyDescent="0.45">
      <c r="A1513">
        <v>167</v>
      </c>
      <c r="B1513">
        <f t="shared" ca="1" si="23"/>
        <v>55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3" t="str">
        <f ca="1">IF(dict_zuord_Transfers_Storages[[#This Row],[kval_active]],dict_zuord_Transfers_Storages[[#This Row],[ID_Storages]],"")</f>
        <v/>
      </c>
    </row>
    <row r="1514" spans="1:4" x14ac:dyDescent="0.45">
      <c r="A1514">
        <v>168</v>
      </c>
      <c r="B1514">
        <f t="shared" ca="1" si="23"/>
        <v>69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4" t="str">
        <f ca="1">IF(dict_zuord_Transfers_Storages[[#This Row],[kval_active]],dict_zuord_Transfers_Storages[[#This Row],[ID_Storages]],"")</f>
        <v/>
      </c>
    </row>
    <row r="1515" spans="1:4" x14ac:dyDescent="0.45">
      <c r="A1515">
        <v>168</v>
      </c>
      <c r="B1515">
        <f t="shared" ca="1" si="23"/>
        <v>66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5" t="str">
        <f ca="1">IF(dict_zuord_Transfers_Storages[[#This Row],[kval_active]],dict_zuord_Transfers_Storages[[#This Row],[ID_Storages]],"")</f>
        <v/>
      </c>
    </row>
    <row r="1516" spans="1:4" x14ac:dyDescent="0.45">
      <c r="A1516">
        <v>168</v>
      </c>
      <c r="B1516">
        <f t="shared" ca="1" si="23"/>
        <v>12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6" t="str">
        <f ca="1">IF(dict_zuord_Transfers_Storages[[#This Row],[kval_active]],dict_zuord_Transfers_Storages[[#This Row],[ID_Storages]],"")</f>
        <v/>
      </c>
    </row>
    <row r="1517" spans="1:4" x14ac:dyDescent="0.45">
      <c r="A1517">
        <v>168</v>
      </c>
      <c r="B1517">
        <f t="shared" ca="1" si="23"/>
        <v>13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7" t="str">
        <f ca="1">IF(dict_zuord_Transfers_Storages[[#This Row],[kval_active]],dict_zuord_Transfers_Storages[[#This Row],[ID_Storages]],"")</f>
        <v/>
      </c>
    </row>
    <row r="1518" spans="1:4" x14ac:dyDescent="0.45">
      <c r="A1518">
        <v>168</v>
      </c>
      <c r="B1518">
        <f t="shared" ca="1" si="23"/>
        <v>82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8" t="str">
        <f ca="1">IF(dict_zuord_Transfers_Storages[[#This Row],[kval_active]],dict_zuord_Transfers_Storages[[#This Row],[ID_Storages]],"")</f>
        <v/>
      </c>
    </row>
    <row r="1519" spans="1:4" x14ac:dyDescent="0.45">
      <c r="A1519">
        <v>168</v>
      </c>
      <c r="B1519">
        <f t="shared" ca="1" si="23"/>
        <v>65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9" t="str">
        <f ca="1">IF(dict_zuord_Transfers_Storages[[#This Row],[kval_active]],dict_zuord_Transfers_Storages[[#This Row],[ID_Storages]],"")</f>
        <v/>
      </c>
    </row>
    <row r="1520" spans="1:4" x14ac:dyDescent="0.45">
      <c r="A1520">
        <v>168</v>
      </c>
      <c r="B1520">
        <f t="shared" ca="1" si="23"/>
        <v>13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0" t="str">
        <f ca="1">IF(dict_zuord_Transfers_Storages[[#This Row],[kval_active]],dict_zuord_Transfers_Storages[[#This Row],[ID_Storages]],"")</f>
        <v/>
      </c>
    </row>
    <row r="1521" spans="1:4" x14ac:dyDescent="0.45">
      <c r="A1521">
        <v>168</v>
      </c>
      <c r="B1521">
        <f t="shared" ca="1" si="23"/>
        <v>4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1" t="str">
        <f ca="1">IF(dict_zuord_Transfers_Storages[[#This Row],[kval_active]],dict_zuord_Transfers_Storages[[#This Row],[ID_Storages]],"")</f>
        <v/>
      </c>
    </row>
    <row r="1522" spans="1:4" x14ac:dyDescent="0.45">
      <c r="A1522">
        <v>168</v>
      </c>
      <c r="B1522">
        <f t="shared" ca="1" si="23"/>
        <v>36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2" t="str">
        <f ca="1">IF(dict_zuord_Transfers_Storages[[#This Row],[kval_active]],dict_zuord_Transfers_Storages[[#This Row],[ID_Storages]],"")</f>
        <v/>
      </c>
    </row>
    <row r="1523" spans="1:4" x14ac:dyDescent="0.45">
      <c r="A1523">
        <v>169</v>
      </c>
      <c r="B1523">
        <f t="shared" ca="1" si="23"/>
        <v>100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3" t="str">
        <f ca="1">IF(dict_zuord_Transfers_Storages[[#This Row],[kval_active]],dict_zuord_Transfers_Storages[[#This Row],[ID_Storages]],"")</f>
        <v/>
      </c>
    </row>
    <row r="1524" spans="1:4" x14ac:dyDescent="0.45">
      <c r="A1524">
        <v>169</v>
      </c>
      <c r="B1524">
        <f t="shared" ca="1" si="23"/>
        <v>16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4" t="str">
        <f ca="1">IF(dict_zuord_Transfers_Storages[[#This Row],[kval_active]],dict_zuord_Transfers_Storages[[#This Row],[ID_Storages]],"")</f>
        <v/>
      </c>
    </row>
    <row r="1525" spans="1:4" x14ac:dyDescent="0.45">
      <c r="A1525">
        <v>169</v>
      </c>
      <c r="B1525">
        <f t="shared" ca="1" si="23"/>
        <v>37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5" t="str">
        <f ca="1">IF(dict_zuord_Transfers_Storages[[#This Row],[kval_active]],dict_zuord_Transfers_Storages[[#This Row],[ID_Storages]],"")</f>
        <v/>
      </c>
    </row>
    <row r="1526" spans="1:4" x14ac:dyDescent="0.45">
      <c r="A1526">
        <v>169</v>
      </c>
      <c r="B1526">
        <f t="shared" ca="1" si="23"/>
        <v>83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6" t="str">
        <f ca="1">IF(dict_zuord_Transfers_Storages[[#This Row],[kval_active]],dict_zuord_Transfers_Storages[[#This Row],[ID_Storages]],"")</f>
        <v/>
      </c>
    </row>
    <row r="1527" spans="1:4" x14ac:dyDescent="0.45">
      <c r="A1527">
        <v>169</v>
      </c>
      <c r="B1527">
        <f t="shared" ca="1" si="23"/>
        <v>6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7" t="str">
        <f ca="1">IF(dict_zuord_Transfers_Storages[[#This Row],[kval_active]],dict_zuord_Transfers_Storages[[#This Row],[ID_Storages]],"")</f>
        <v/>
      </c>
    </row>
    <row r="1528" spans="1:4" x14ac:dyDescent="0.45">
      <c r="A1528">
        <v>169</v>
      </c>
      <c r="B1528">
        <f t="shared" ca="1" si="23"/>
        <v>59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8" t="str">
        <f ca="1">IF(dict_zuord_Transfers_Storages[[#This Row],[kval_active]],dict_zuord_Transfers_Storages[[#This Row],[ID_Storages]],"")</f>
        <v/>
      </c>
    </row>
    <row r="1529" spans="1:4" x14ac:dyDescent="0.45">
      <c r="A1529">
        <v>169</v>
      </c>
      <c r="B1529">
        <f t="shared" ca="1" si="23"/>
        <v>75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9" t="str">
        <f ca="1">IF(dict_zuord_Transfers_Storages[[#This Row],[kval_active]],dict_zuord_Transfers_Storages[[#This Row],[ID_Storages]],"")</f>
        <v/>
      </c>
    </row>
    <row r="1530" spans="1:4" x14ac:dyDescent="0.45">
      <c r="A1530">
        <v>169</v>
      </c>
      <c r="B1530">
        <f t="shared" ca="1" si="23"/>
        <v>50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0" t="str">
        <f ca="1">IF(dict_zuord_Transfers_Storages[[#This Row],[kval_active]],dict_zuord_Transfers_Storages[[#This Row],[ID_Storages]],"")</f>
        <v/>
      </c>
    </row>
    <row r="1531" spans="1:4" x14ac:dyDescent="0.45">
      <c r="A1531">
        <v>169</v>
      </c>
      <c r="B1531">
        <f t="shared" ca="1" si="23"/>
        <v>94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1" t="str">
        <f ca="1">IF(dict_zuord_Transfers_Storages[[#This Row],[kval_active]],dict_zuord_Transfers_Storages[[#This Row],[ID_Storages]],"")</f>
        <v/>
      </c>
    </row>
    <row r="1532" spans="1:4" x14ac:dyDescent="0.45">
      <c r="A1532">
        <v>170</v>
      </c>
      <c r="B1532">
        <f t="shared" ca="1" si="23"/>
        <v>6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2" t="str">
        <f ca="1">IF(dict_zuord_Transfers_Storages[[#This Row],[kval_active]],dict_zuord_Transfers_Storages[[#This Row],[ID_Storages]],"")</f>
        <v/>
      </c>
    </row>
    <row r="1533" spans="1:4" x14ac:dyDescent="0.45">
      <c r="A1533">
        <v>170</v>
      </c>
      <c r="B1533">
        <f t="shared" ca="1" si="23"/>
        <v>76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3" t="str">
        <f ca="1">IF(dict_zuord_Transfers_Storages[[#This Row],[kval_active]],dict_zuord_Transfers_Storages[[#This Row],[ID_Storages]],"")</f>
        <v/>
      </c>
    </row>
    <row r="1534" spans="1:4" x14ac:dyDescent="0.45">
      <c r="A1534">
        <v>170</v>
      </c>
      <c r="B1534">
        <f t="shared" ca="1" si="23"/>
        <v>39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4" t="str">
        <f ca="1">IF(dict_zuord_Transfers_Storages[[#This Row],[kval_active]],dict_zuord_Transfers_Storages[[#This Row],[ID_Storages]],"")</f>
        <v/>
      </c>
    </row>
    <row r="1535" spans="1:4" x14ac:dyDescent="0.45">
      <c r="A1535">
        <v>170</v>
      </c>
      <c r="B1535">
        <f t="shared" ca="1" si="23"/>
        <v>61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5" t="str">
        <f ca="1">IF(dict_zuord_Transfers_Storages[[#This Row],[kval_active]],dict_zuord_Transfers_Storages[[#This Row],[ID_Storages]],"")</f>
        <v/>
      </c>
    </row>
    <row r="1536" spans="1:4" x14ac:dyDescent="0.45">
      <c r="A1536">
        <v>170</v>
      </c>
      <c r="B1536">
        <f t="shared" ca="1" si="23"/>
        <v>33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6" t="str">
        <f ca="1">IF(dict_zuord_Transfers_Storages[[#This Row],[kval_active]],dict_zuord_Transfers_Storages[[#This Row],[ID_Storages]],"")</f>
        <v/>
      </c>
    </row>
    <row r="1537" spans="1:4" x14ac:dyDescent="0.45">
      <c r="A1537">
        <v>170</v>
      </c>
      <c r="B1537">
        <f t="shared" ca="1" si="23"/>
        <v>23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7" t="str">
        <f ca="1">IF(dict_zuord_Transfers_Storages[[#This Row],[kval_active]],dict_zuord_Transfers_Storages[[#This Row],[ID_Storages]],"")</f>
        <v/>
      </c>
    </row>
    <row r="1538" spans="1:4" x14ac:dyDescent="0.45">
      <c r="A1538">
        <v>170</v>
      </c>
      <c r="B1538">
        <f t="shared" ref="B1538:B1601" ca="1" si="24">RANDBETWEEN(0,100)</f>
        <v>58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8" t="str">
        <f ca="1">IF(dict_zuord_Transfers_Storages[[#This Row],[kval_active]],dict_zuord_Transfers_Storages[[#This Row],[ID_Storages]],"")</f>
        <v/>
      </c>
    </row>
    <row r="1539" spans="1:4" x14ac:dyDescent="0.45">
      <c r="A1539">
        <v>170</v>
      </c>
      <c r="B1539">
        <f t="shared" ca="1" si="24"/>
        <v>11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9" t="str">
        <f ca="1">IF(dict_zuord_Transfers_Storages[[#This Row],[kval_active]],dict_zuord_Transfers_Storages[[#This Row],[ID_Storages]],"")</f>
        <v/>
      </c>
    </row>
    <row r="1540" spans="1:4" x14ac:dyDescent="0.45">
      <c r="A1540">
        <v>170</v>
      </c>
      <c r="B1540">
        <f t="shared" ca="1" si="24"/>
        <v>64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0" t="str">
        <f ca="1">IF(dict_zuord_Transfers_Storages[[#This Row],[kval_active]],dict_zuord_Transfers_Storages[[#This Row],[ID_Storages]],"")</f>
        <v/>
      </c>
    </row>
    <row r="1541" spans="1:4" x14ac:dyDescent="0.45">
      <c r="A1541">
        <v>171</v>
      </c>
      <c r="B1541">
        <f t="shared" ca="1" si="24"/>
        <v>5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1" t="str">
        <f ca="1">IF(dict_zuord_Transfers_Storages[[#This Row],[kval_active]],dict_zuord_Transfers_Storages[[#This Row],[ID_Storages]],"")</f>
        <v/>
      </c>
    </row>
    <row r="1542" spans="1:4" x14ac:dyDescent="0.45">
      <c r="A1542">
        <v>171</v>
      </c>
      <c r="B1542">
        <f t="shared" ca="1" si="24"/>
        <v>75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2" t="str">
        <f ca="1">IF(dict_zuord_Transfers_Storages[[#This Row],[kval_active]],dict_zuord_Transfers_Storages[[#This Row],[ID_Storages]],"")</f>
        <v/>
      </c>
    </row>
    <row r="1543" spans="1:4" x14ac:dyDescent="0.45">
      <c r="A1543">
        <v>171</v>
      </c>
      <c r="B1543">
        <f t="shared" ca="1" si="24"/>
        <v>35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3" t="str">
        <f ca="1">IF(dict_zuord_Transfers_Storages[[#This Row],[kval_active]],dict_zuord_Transfers_Storages[[#This Row],[ID_Storages]],"")</f>
        <v/>
      </c>
    </row>
    <row r="1544" spans="1:4" x14ac:dyDescent="0.45">
      <c r="A1544">
        <v>171</v>
      </c>
      <c r="B1544">
        <f t="shared" ca="1" si="24"/>
        <v>1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4" t="str">
        <f ca="1">IF(dict_zuord_Transfers_Storages[[#This Row],[kval_active]],dict_zuord_Transfers_Storages[[#This Row],[ID_Storages]],"")</f>
        <v/>
      </c>
    </row>
    <row r="1545" spans="1:4" x14ac:dyDescent="0.45">
      <c r="A1545">
        <v>171</v>
      </c>
      <c r="B1545">
        <f t="shared" ca="1" si="24"/>
        <v>10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5" t="str">
        <f ca="1">IF(dict_zuord_Transfers_Storages[[#This Row],[kval_active]],dict_zuord_Transfers_Storages[[#This Row],[ID_Storages]],"")</f>
        <v/>
      </c>
    </row>
    <row r="1546" spans="1:4" x14ac:dyDescent="0.45">
      <c r="A1546">
        <v>171</v>
      </c>
      <c r="B1546">
        <f t="shared" ca="1" si="24"/>
        <v>89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6" t="str">
        <f ca="1">IF(dict_zuord_Transfers_Storages[[#This Row],[kval_active]],dict_zuord_Transfers_Storages[[#This Row],[ID_Storages]],"")</f>
        <v/>
      </c>
    </row>
    <row r="1547" spans="1:4" x14ac:dyDescent="0.45">
      <c r="A1547">
        <v>171</v>
      </c>
      <c r="B1547">
        <f t="shared" ca="1" si="24"/>
        <v>61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7" t="str">
        <f ca="1">IF(dict_zuord_Transfers_Storages[[#This Row],[kval_active]],dict_zuord_Transfers_Storages[[#This Row],[ID_Storages]],"")</f>
        <v/>
      </c>
    </row>
    <row r="1548" spans="1:4" x14ac:dyDescent="0.45">
      <c r="A1548">
        <v>171</v>
      </c>
      <c r="B1548">
        <f t="shared" ca="1" si="24"/>
        <v>47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8" t="str">
        <f ca="1">IF(dict_zuord_Transfers_Storages[[#This Row],[kval_active]],dict_zuord_Transfers_Storages[[#This Row],[ID_Storages]],"")</f>
        <v/>
      </c>
    </row>
    <row r="1549" spans="1:4" x14ac:dyDescent="0.45">
      <c r="A1549">
        <v>171</v>
      </c>
      <c r="B1549">
        <f t="shared" ca="1" si="24"/>
        <v>81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9" t="str">
        <f ca="1">IF(dict_zuord_Transfers_Storages[[#This Row],[kval_active]],dict_zuord_Transfers_Storages[[#This Row],[ID_Storages]],"")</f>
        <v/>
      </c>
    </row>
    <row r="1550" spans="1:4" x14ac:dyDescent="0.45">
      <c r="A1550">
        <v>172</v>
      </c>
      <c r="B1550">
        <f t="shared" ca="1" si="24"/>
        <v>95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0" t="str">
        <f ca="1">IF(dict_zuord_Transfers_Storages[[#This Row],[kval_active]],dict_zuord_Transfers_Storages[[#This Row],[ID_Storages]],"")</f>
        <v/>
      </c>
    </row>
    <row r="1551" spans="1:4" x14ac:dyDescent="0.45">
      <c r="A1551">
        <v>172</v>
      </c>
      <c r="B1551">
        <f t="shared" ca="1" si="24"/>
        <v>14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1" t="str">
        <f ca="1">IF(dict_zuord_Transfers_Storages[[#This Row],[kval_active]],dict_zuord_Transfers_Storages[[#This Row],[ID_Storages]],"")</f>
        <v/>
      </c>
    </row>
    <row r="1552" spans="1:4" x14ac:dyDescent="0.45">
      <c r="A1552">
        <v>172</v>
      </c>
      <c r="B1552">
        <f t="shared" ca="1" si="24"/>
        <v>8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2" t="str">
        <f ca="1">IF(dict_zuord_Transfers_Storages[[#This Row],[kval_active]],dict_zuord_Transfers_Storages[[#This Row],[ID_Storages]],"")</f>
        <v/>
      </c>
    </row>
    <row r="1553" spans="1:4" x14ac:dyDescent="0.45">
      <c r="A1553">
        <v>172</v>
      </c>
      <c r="B1553">
        <f t="shared" ca="1" si="24"/>
        <v>31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3" t="str">
        <f ca="1">IF(dict_zuord_Transfers_Storages[[#This Row],[kval_active]],dict_zuord_Transfers_Storages[[#This Row],[ID_Storages]],"")</f>
        <v/>
      </c>
    </row>
    <row r="1554" spans="1:4" x14ac:dyDescent="0.45">
      <c r="A1554">
        <v>172</v>
      </c>
      <c r="B1554">
        <f t="shared" ca="1" si="24"/>
        <v>54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4" t="str">
        <f ca="1">IF(dict_zuord_Transfers_Storages[[#This Row],[kval_active]],dict_zuord_Transfers_Storages[[#This Row],[ID_Storages]],"")</f>
        <v/>
      </c>
    </row>
    <row r="1555" spans="1:4" x14ac:dyDescent="0.45">
      <c r="A1555">
        <v>172</v>
      </c>
      <c r="B1555">
        <f t="shared" ca="1" si="24"/>
        <v>29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5" t="str">
        <f ca="1">IF(dict_zuord_Transfers_Storages[[#This Row],[kval_active]],dict_zuord_Transfers_Storages[[#This Row],[ID_Storages]],"")</f>
        <v/>
      </c>
    </row>
    <row r="1556" spans="1:4" x14ac:dyDescent="0.45">
      <c r="A1556">
        <v>172</v>
      </c>
      <c r="B1556">
        <f t="shared" ca="1" si="24"/>
        <v>53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6" t="str">
        <f ca="1">IF(dict_zuord_Transfers_Storages[[#This Row],[kval_active]],dict_zuord_Transfers_Storages[[#This Row],[ID_Storages]],"")</f>
        <v/>
      </c>
    </row>
    <row r="1557" spans="1:4" x14ac:dyDescent="0.45">
      <c r="A1557">
        <v>172</v>
      </c>
      <c r="B1557">
        <f t="shared" ca="1" si="24"/>
        <v>15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7" t="str">
        <f ca="1">IF(dict_zuord_Transfers_Storages[[#This Row],[kval_active]],dict_zuord_Transfers_Storages[[#This Row],[ID_Storages]],"")</f>
        <v/>
      </c>
    </row>
    <row r="1558" spans="1:4" x14ac:dyDescent="0.45">
      <c r="A1558">
        <v>172</v>
      </c>
      <c r="B1558">
        <f t="shared" ca="1" si="24"/>
        <v>8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8" t="str">
        <f ca="1">IF(dict_zuord_Transfers_Storages[[#This Row],[kval_active]],dict_zuord_Transfers_Storages[[#This Row],[ID_Storages]],"")</f>
        <v/>
      </c>
    </row>
    <row r="1559" spans="1:4" x14ac:dyDescent="0.45">
      <c r="A1559">
        <v>173</v>
      </c>
      <c r="B1559">
        <f t="shared" ca="1" si="24"/>
        <v>77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9" t="str">
        <f ca="1">IF(dict_zuord_Transfers_Storages[[#This Row],[kval_active]],dict_zuord_Transfers_Storages[[#This Row],[ID_Storages]],"")</f>
        <v/>
      </c>
    </row>
    <row r="1560" spans="1:4" x14ac:dyDescent="0.45">
      <c r="A1560">
        <v>173</v>
      </c>
      <c r="B1560">
        <f t="shared" ca="1" si="24"/>
        <v>39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0" t="str">
        <f ca="1">IF(dict_zuord_Transfers_Storages[[#This Row],[kval_active]],dict_zuord_Transfers_Storages[[#This Row],[ID_Storages]],"")</f>
        <v/>
      </c>
    </row>
    <row r="1561" spans="1:4" x14ac:dyDescent="0.45">
      <c r="A1561">
        <v>173</v>
      </c>
      <c r="B1561">
        <f t="shared" ca="1" si="24"/>
        <v>5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1" t="str">
        <f ca="1">IF(dict_zuord_Transfers_Storages[[#This Row],[kval_active]],dict_zuord_Transfers_Storages[[#This Row],[ID_Storages]],"")</f>
        <v/>
      </c>
    </row>
    <row r="1562" spans="1:4" x14ac:dyDescent="0.45">
      <c r="A1562">
        <v>173</v>
      </c>
      <c r="B1562">
        <f t="shared" ca="1" si="24"/>
        <v>16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2" t="str">
        <f ca="1">IF(dict_zuord_Transfers_Storages[[#This Row],[kval_active]],dict_zuord_Transfers_Storages[[#This Row],[ID_Storages]],"")</f>
        <v/>
      </c>
    </row>
    <row r="1563" spans="1:4" x14ac:dyDescent="0.45">
      <c r="A1563">
        <v>173</v>
      </c>
      <c r="B1563">
        <f t="shared" ca="1" si="24"/>
        <v>98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3" t="str">
        <f ca="1">IF(dict_zuord_Transfers_Storages[[#This Row],[kval_active]],dict_zuord_Transfers_Storages[[#This Row],[ID_Storages]],"")</f>
        <v/>
      </c>
    </row>
    <row r="1564" spans="1:4" x14ac:dyDescent="0.45">
      <c r="A1564">
        <v>173</v>
      </c>
      <c r="B1564">
        <f t="shared" ca="1" si="24"/>
        <v>73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4" t="str">
        <f ca="1">IF(dict_zuord_Transfers_Storages[[#This Row],[kval_active]],dict_zuord_Transfers_Storages[[#This Row],[ID_Storages]],"")</f>
        <v/>
      </c>
    </row>
    <row r="1565" spans="1:4" x14ac:dyDescent="0.45">
      <c r="A1565">
        <v>173</v>
      </c>
      <c r="B1565">
        <f t="shared" ca="1" si="24"/>
        <v>85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5" t="str">
        <f ca="1">IF(dict_zuord_Transfers_Storages[[#This Row],[kval_active]],dict_zuord_Transfers_Storages[[#This Row],[ID_Storages]],"")</f>
        <v/>
      </c>
    </row>
    <row r="1566" spans="1:4" x14ac:dyDescent="0.45">
      <c r="A1566">
        <v>173</v>
      </c>
      <c r="B1566">
        <f t="shared" ca="1" si="24"/>
        <v>44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6" t="str">
        <f ca="1">IF(dict_zuord_Transfers_Storages[[#This Row],[kval_active]],dict_zuord_Transfers_Storages[[#This Row],[ID_Storages]],"")</f>
        <v/>
      </c>
    </row>
    <row r="1567" spans="1:4" x14ac:dyDescent="0.45">
      <c r="A1567">
        <v>173</v>
      </c>
      <c r="B1567">
        <f t="shared" ca="1" si="24"/>
        <v>59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7" t="str">
        <f ca="1">IF(dict_zuord_Transfers_Storages[[#This Row],[kval_active]],dict_zuord_Transfers_Storages[[#This Row],[ID_Storages]],"")</f>
        <v/>
      </c>
    </row>
    <row r="1568" spans="1:4" x14ac:dyDescent="0.45">
      <c r="A1568">
        <v>174</v>
      </c>
      <c r="B1568">
        <f t="shared" ca="1" si="24"/>
        <v>49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49</v>
      </c>
    </row>
    <row r="1569" spans="1:4" x14ac:dyDescent="0.45">
      <c r="A1569">
        <v>174</v>
      </c>
      <c r="B1569">
        <f t="shared" ca="1" si="24"/>
        <v>94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94</v>
      </c>
    </row>
    <row r="1570" spans="1:4" x14ac:dyDescent="0.45">
      <c r="A1570">
        <v>174</v>
      </c>
      <c r="B1570">
        <f t="shared" ca="1" si="24"/>
        <v>6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6</v>
      </c>
    </row>
    <row r="1571" spans="1:4" x14ac:dyDescent="0.45">
      <c r="A1571">
        <v>174</v>
      </c>
      <c r="B1571">
        <f t="shared" ca="1" si="24"/>
        <v>88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88</v>
      </c>
    </row>
    <row r="1572" spans="1:4" x14ac:dyDescent="0.45">
      <c r="A1572">
        <v>174</v>
      </c>
      <c r="B1572">
        <f t="shared" ca="1" si="24"/>
        <v>63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63</v>
      </c>
    </row>
    <row r="1573" spans="1:4" x14ac:dyDescent="0.45">
      <c r="A1573">
        <v>174</v>
      </c>
      <c r="B1573">
        <f t="shared" ca="1" si="24"/>
        <v>5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5</v>
      </c>
    </row>
    <row r="1574" spans="1:4" x14ac:dyDescent="0.45">
      <c r="A1574">
        <v>174</v>
      </c>
      <c r="B1574">
        <f t="shared" ca="1" si="24"/>
        <v>36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36</v>
      </c>
    </row>
    <row r="1575" spans="1:4" x14ac:dyDescent="0.45">
      <c r="A1575">
        <v>174</v>
      </c>
      <c r="B1575">
        <f t="shared" ca="1" si="24"/>
        <v>75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75</v>
      </c>
    </row>
    <row r="1576" spans="1:4" x14ac:dyDescent="0.45">
      <c r="A1576">
        <v>174</v>
      </c>
      <c r="B1576">
        <f t="shared" ca="1" si="24"/>
        <v>25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25</v>
      </c>
    </row>
    <row r="1577" spans="1:4" x14ac:dyDescent="0.45">
      <c r="A1577">
        <v>175</v>
      </c>
      <c r="B1577">
        <f t="shared" ca="1" si="24"/>
        <v>7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7" t="str">
        <f ca="1">IF(dict_zuord_Transfers_Storages[[#This Row],[kval_active]],dict_zuord_Transfers_Storages[[#This Row],[ID_Storages]],"")</f>
        <v/>
      </c>
    </row>
    <row r="1578" spans="1:4" x14ac:dyDescent="0.45">
      <c r="A1578">
        <v>175</v>
      </c>
      <c r="B1578">
        <f t="shared" ca="1" si="24"/>
        <v>21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8" t="str">
        <f ca="1">IF(dict_zuord_Transfers_Storages[[#This Row],[kval_active]],dict_zuord_Transfers_Storages[[#This Row],[ID_Storages]],"")</f>
        <v/>
      </c>
    </row>
    <row r="1579" spans="1:4" x14ac:dyDescent="0.45">
      <c r="A1579">
        <v>175</v>
      </c>
      <c r="B1579">
        <f t="shared" ca="1" si="24"/>
        <v>23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9" t="str">
        <f ca="1">IF(dict_zuord_Transfers_Storages[[#This Row],[kval_active]],dict_zuord_Transfers_Storages[[#This Row],[ID_Storages]],"")</f>
        <v/>
      </c>
    </row>
    <row r="1580" spans="1:4" x14ac:dyDescent="0.45">
      <c r="A1580">
        <v>175</v>
      </c>
      <c r="B1580">
        <f t="shared" ca="1" si="24"/>
        <v>59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0" t="str">
        <f ca="1">IF(dict_zuord_Transfers_Storages[[#This Row],[kval_active]],dict_zuord_Transfers_Storages[[#This Row],[ID_Storages]],"")</f>
        <v/>
      </c>
    </row>
    <row r="1581" spans="1:4" x14ac:dyDescent="0.45">
      <c r="A1581">
        <v>175</v>
      </c>
      <c r="B1581">
        <f t="shared" ca="1" si="24"/>
        <v>49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1" t="str">
        <f ca="1">IF(dict_zuord_Transfers_Storages[[#This Row],[kval_active]],dict_zuord_Transfers_Storages[[#This Row],[ID_Storages]],"")</f>
        <v/>
      </c>
    </row>
    <row r="1582" spans="1:4" x14ac:dyDescent="0.45">
      <c r="A1582">
        <v>175</v>
      </c>
      <c r="B1582">
        <f t="shared" ca="1" si="24"/>
        <v>24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2" t="str">
        <f ca="1">IF(dict_zuord_Transfers_Storages[[#This Row],[kval_active]],dict_zuord_Transfers_Storages[[#This Row],[ID_Storages]],"")</f>
        <v/>
      </c>
    </row>
    <row r="1583" spans="1:4" x14ac:dyDescent="0.45">
      <c r="A1583">
        <v>175</v>
      </c>
      <c r="B1583">
        <f t="shared" ca="1" si="24"/>
        <v>66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3" t="str">
        <f ca="1">IF(dict_zuord_Transfers_Storages[[#This Row],[kval_active]],dict_zuord_Transfers_Storages[[#This Row],[ID_Storages]],"")</f>
        <v/>
      </c>
    </row>
    <row r="1584" spans="1:4" x14ac:dyDescent="0.45">
      <c r="A1584">
        <v>175</v>
      </c>
      <c r="B1584">
        <f t="shared" ca="1" si="24"/>
        <v>84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4" t="str">
        <f ca="1">IF(dict_zuord_Transfers_Storages[[#This Row],[kval_active]],dict_zuord_Transfers_Storages[[#This Row],[ID_Storages]],"")</f>
        <v/>
      </c>
    </row>
    <row r="1585" spans="1:4" x14ac:dyDescent="0.45">
      <c r="A1585">
        <v>175</v>
      </c>
      <c r="B1585">
        <f t="shared" ca="1" si="24"/>
        <v>20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5" t="str">
        <f ca="1">IF(dict_zuord_Transfers_Storages[[#This Row],[kval_active]],dict_zuord_Transfers_Storages[[#This Row],[ID_Storages]],"")</f>
        <v/>
      </c>
    </row>
    <row r="1586" spans="1:4" x14ac:dyDescent="0.45">
      <c r="A1586">
        <v>176</v>
      </c>
      <c r="B1586">
        <f t="shared" ca="1" si="24"/>
        <v>32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32</v>
      </c>
    </row>
    <row r="1587" spans="1:4" x14ac:dyDescent="0.45">
      <c r="A1587">
        <v>176</v>
      </c>
      <c r="B1587">
        <f t="shared" ca="1" si="24"/>
        <v>67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67</v>
      </c>
    </row>
    <row r="1588" spans="1:4" x14ac:dyDescent="0.45">
      <c r="A1588">
        <v>176</v>
      </c>
      <c r="B1588">
        <f t="shared" ca="1" si="24"/>
        <v>70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70</v>
      </c>
    </row>
    <row r="1589" spans="1:4" x14ac:dyDescent="0.45">
      <c r="A1589">
        <v>176</v>
      </c>
      <c r="B1589">
        <f t="shared" ca="1" si="24"/>
        <v>56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56</v>
      </c>
    </row>
    <row r="1590" spans="1:4" x14ac:dyDescent="0.45">
      <c r="A1590">
        <v>176</v>
      </c>
      <c r="B1590">
        <f t="shared" ca="1" si="24"/>
        <v>29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29</v>
      </c>
    </row>
    <row r="1591" spans="1:4" x14ac:dyDescent="0.45">
      <c r="A1591">
        <v>176</v>
      </c>
      <c r="B1591">
        <f t="shared" ca="1" si="24"/>
        <v>42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42</v>
      </c>
    </row>
    <row r="1592" spans="1:4" x14ac:dyDescent="0.45">
      <c r="A1592">
        <v>176</v>
      </c>
      <c r="B1592">
        <f t="shared" ca="1" si="24"/>
        <v>46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46</v>
      </c>
    </row>
    <row r="1593" spans="1:4" x14ac:dyDescent="0.45">
      <c r="A1593">
        <v>176</v>
      </c>
      <c r="B1593">
        <f t="shared" ca="1" si="24"/>
        <v>21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21</v>
      </c>
    </row>
    <row r="1594" spans="1:4" x14ac:dyDescent="0.45">
      <c r="A1594">
        <v>176</v>
      </c>
      <c r="B1594">
        <f t="shared" ca="1" si="24"/>
        <v>85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85</v>
      </c>
    </row>
    <row r="1595" spans="1:4" x14ac:dyDescent="0.45">
      <c r="A1595">
        <v>177</v>
      </c>
      <c r="B1595">
        <f t="shared" ca="1" si="24"/>
        <v>57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5" t="str">
        <f ca="1">IF(dict_zuord_Transfers_Storages[[#This Row],[kval_active]],dict_zuord_Transfers_Storages[[#This Row],[ID_Storages]],"")</f>
        <v/>
      </c>
    </row>
    <row r="1596" spans="1:4" x14ac:dyDescent="0.45">
      <c r="A1596">
        <v>177</v>
      </c>
      <c r="B1596">
        <f t="shared" ca="1" si="24"/>
        <v>61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6" t="str">
        <f ca="1">IF(dict_zuord_Transfers_Storages[[#This Row],[kval_active]],dict_zuord_Transfers_Storages[[#This Row],[ID_Storages]],"")</f>
        <v/>
      </c>
    </row>
    <row r="1597" spans="1:4" x14ac:dyDescent="0.45">
      <c r="A1597">
        <v>177</v>
      </c>
      <c r="B1597">
        <f t="shared" ca="1" si="24"/>
        <v>97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7" t="str">
        <f ca="1">IF(dict_zuord_Transfers_Storages[[#This Row],[kval_active]],dict_zuord_Transfers_Storages[[#This Row],[ID_Storages]],"")</f>
        <v/>
      </c>
    </row>
    <row r="1598" spans="1:4" x14ac:dyDescent="0.45">
      <c r="A1598">
        <v>177</v>
      </c>
      <c r="B1598">
        <f t="shared" ca="1" si="24"/>
        <v>97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8" t="str">
        <f ca="1">IF(dict_zuord_Transfers_Storages[[#This Row],[kval_active]],dict_zuord_Transfers_Storages[[#This Row],[ID_Storages]],"")</f>
        <v/>
      </c>
    </row>
    <row r="1599" spans="1:4" x14ac:dyDescent="0.45">
      <c r="A1599">
        <v>177</v>
      </c>
      <c r="B1599">
        <f t="shared" ca="1" si="24"/>
        <v>12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9" t="str">
        <f ca="1">IF(dict_zuord_Transfers_Storages[[#This Row],[kval_active]],dict_zuord_Transfers_Storages[[#This Row],[ID_Storages]],"")</f>
        <v/>
      </c>
    </row>
    <row r="1600" spans="1:4" x14ac:dyDescent="0.45">
      <c r="A1600">
        <v>177</v>
      </c>
      <c r="B1600">
        <f t="shared" ca="1" si="24"/>
        <v>5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0" t="str">
        <f ca="1">IF(dict_zuord_Transfers_Storages[[#This Row],[kval_active]],dict_zuord_Transfers_Storages[[#This Row],[ID_Storages]],"")</f>
        <v/>
      </c>
    </row>
    <row r="1601" spans="1:4" x14ac:dyDescent="0.45">
      <c r="A1601">
        <v>177</v>
      </c>
      <c r="B1601">
        <f t="shared" ca="1" si="24"/>
        <v>66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1" t="str">
        <f ca="1">IF(dict_zuord_Transfers_Storages[[#This Row],[kval_active]],dict_zuord_Transfers_Storages[[#This Row],[ID_Storages]],"")</f>
        <v/>
      </c>
    </row>
    <row r="1602" spans="1:4" x14ac:dyDescent="0.45">
      <c r="A1602">
        <v>177</v>
      </c>
      <c r="B1602">
        <f t="shared" ref="B1602:B1665" ca="1" si="25">RANDBETWEEN(0,100)</f>
        <v>37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2" t="str">
        <f ca="1">IF(dict_zuord_Transfers_Storages[[#This Row],[kval_active]],dict_zuord_Transfers_Storages[[#This Row],[ID_Storages]],"")</f>
        <v/>
      </c>
    </row>
    <row r="1603" spans="1:4" x14ac:dyDescent="0.45">
      <c r="A1603">
        <v>177</v>
      </c>
      <c r="B1603">
        <f t="shared" ca="1" si="25"/>
        <v>86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3" t="str">
        <f ca="1">IF(dict_zuord_Transfers_Storages[[#This Row],[kval_active]],dict_zuord_Transfers_Storages[[#This Row],[ID_Storages]],"")</f>
        <v/>
      </c>
    </row>
    <row r="1604" spans="1:4" x14ac:dyDescent="0.45">
      <c r="A1604">
        <v>178</v>
      </c>
      <c r="B1604">
        <f t="shared" ca="1" si="25"/>
        <v>72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72</v>
      </c>
    </row>
    <row r="1605" spans="1:4" x14ac:dyDescent="0.45">
      <c r="A1605">
        <v>178</v>
      </c>
      <c r="B1605">
        <f t="shared" ca="1" si="25"/>
        <v>3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3</v>
      </c>
    </row>
    <row r="1606" spans="1:4" x14ac:dyDescent="0.45">
      <c r="A1606">
        <v>178</v>
      </c>
      <c r="B1606">
        <f t="shared" ca="1" si="25"/>
        <v>91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91</v>
      </c>
    </row>
    <row r="1607" spans="1:4" x14ac:dyDescent="0.45">
      <c r="A1607">
        <v>178</v>
      </c>
      <c r="B1607">
        <f t="shared" ca="1" si="25"/>
        <v>80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80</v>
      </c>
    </row>
    <row r="1608" spans="1:4" x14ac:dyDescent="0.45">
      <c r="A1608">
        <v>178</v>
      </c>
      <c r="B1608">
        <f t="shared" ca="1" si="25"/>
        <v>75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75</v>
      </c>
    </row>
    <row r="1609" spans="1:4" x14ac:dyDescent="0.45">
      <c r="A1609">
        <v>178</v>
      </c>
      <c r="B1609">
        <f t="shared" ca="1" si="25"/>
        <v>43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43</v>
      </c>
    </row>
    <row r="1610" spans="1:4" x14ac:dyDescent="0.45">
      <c r="A1610">
        <v>178</v>
      </c>
      <c r="B1610">
        <f t="shared" ca="1" si="25"/>
        <v>71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71</v>
      </c>
    </row>
    <row r="1611" spans="1:4" x14ac:dyDescent="0.45">
      <c r="A1611">
        <v>178</v>
      </c>
      <c r="B1611">
        <f t="shared" ca="1" si="25"/>
        <v>84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84</v>
      </c>
    </row>
    <row r="1612" spans="1:4" x14ac:dyDescent="0.45">
      <c r="A1612">
        <v>178</v>
      </c>
      <c r="B1612">
        <f t="shared" ca="1" si="25"/>
        <v>39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39</v>
      </c>
    </row>
    <row r="1613" spans="1:4" x14ac:dyDescent="0.45">
      <c r="A1613">
        <v>179</v>
      </c>
      <c r="B1613">
        <f t="shared" ca="1" si="25"/>
        <v>78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3" t="str">
        <f ca="1">IF(dict_zuord_Transfers_Storages[[#This Row],[kval_active]],dict_zuord_Transfers_Storages[[#This Row],[ID_Storages]],"")</f>
        <v/>
      </c>
    </row>
    <row r="1614" spans="1:4" x14ac:dyDescent="0.45">
      <c r="A1614">
        <v>179</v>
      </c>
      <c r="B1614">
        <f t="shared" ca="1" si="25"/>
        <v>24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4" t="str">
        <f ca="1">IF(dict_zuord_Transfers_Storages[[#This Row],[kval_active]],dict_zuord_Transfers_Storages[[#This Row],[ID_Storages]],"")</f>
        <v/>
      </c>
    </row>
    <row r="1615" spans="1:4" x14ac:dyDescent="0.45">
      <c r="A1615">
        <v>179</v>
      </c>
      <c r="B1615">
        <f t="shared" ca="1" si="25"/>
        <v>27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5" t="str">
        <f ca="1">IF(dict_zuord_Transfers_Storages[[#This Row],[kval_active]],dict_zuord_Transfers_Storages[[#This Row],[ID_Storages]],"")</f>
        <v/>
      </c>
    </row>
    <row r="1616" spans="1:4" x14ac:dyDescent="0.45">
      <c r="A1616">
        <v>179</v>
      </c>
      <c r="B1616">
        <f t="shared" ca="1" si="25"/>
        <v>15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6" t="str">
        <f ca="1">IF(dict_zuord_Transfers_Storages[[#This Row],[kval_active]],dict_zuord_Transfers_Storages[[#This Row],[ID_Storages]],"")</f>
        <v/>
      </c>
    </row>
    <row r="1617" spans="1:4" x14ac:dyDescent="0.45">
      <c r="A1617">
        <v>179</v>
      </c>
      <c r="B1617">
        <f t="shared" ca="1" si="25"/>
        <v>88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7" t="str">
        <f ca="1">IF(dict_zuord_Transfers_Storages[[#This Row],[kval_active]],dict_zuord_Transfers_Storages[[#This Row],[ID_Storages]],"")</f>
        <v/>
      </c>
    </row>
    <row r="1618" spans="1:4" x14ac:dyDescent="0.45">
      <c r="A1618">
        <v>179</v>
      </c>
      <c r="B1618">
        <f t="shared" ca="1" si="25"/>
        <v>66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8" t="str">
        <f ca="1">IF(dict_zuord_Transfers_Storages[[#This Row],[kval_active]],dict_zuord_Transfers_Storages[[#This Row],[ID_Storages]],"")</f>
        <v/>
      </c>
    </row>
    <row r="1619" spans="1:4" x14ac:dyDescent="0.45">
      <c r="A1619">
        <v>179</v>
      </c>
      <c r="B1619">
        <f t="shared" ca="1" si="25"/>
        <v>21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9" t="str">
        <f ca="1">IF(dict_zuord_Transfers_Storages[[#This Row],[kval_active]],dict_zuord_Transfers_Storages[[#This Row],[ID_Storages]],"")</f>
        <v/>
      </c>
    </row>
    <row r="1620" spans="1:4" x14ac:dyDescent="0.45">
      <c r="A1620">
        <v>179</v>
      </c>
      <c r="B1620">
        <f t="shared" ca="1" si="25"/>
        <v>64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0" t="str">
        <f ca="1">IF(dict_zuord_Transfers_Storages[[#This Row],[kval_active]],dict_zuord_Transfers_Storages[[#This Row],[ID_Storages]],"")</f>
        <v/>
      </c>
    </row>
    <row r="1621" spans="1:4" x14ac:dyDescent="0.45">
      <c r="A1621">
        <v>179</v>
      </c>
      <c r="B1621">
        <f t="shared" ca="1" si="25"/>
        <v>67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1" t="str">
        <f ca="1">IF(dict_zuord_Transfers_Storages[[#This Row],[kval_active]],dict_zuord_Transfers_Storages[[#This Row],[ID_Storages]],"")</f>
        <v/>
      </c>
    </row>
    <row r="1622" spans="1:4" x14ac:dyDescent="0.45">
      <c r="A1622">
        <v>180</v>
      </c>
      <c r="B1622">
        <f t="shared" ca="1" si="25"/>
        <v>58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2" t="str">
        <f ca="1">IF(dict_zuord_Transfers_Storages[[#This Row],[kval_active]],dict_zuord_Transfers_Storages[[#This Row],[ID_Storages]],"")</f>
        <v/>
      </c>
    </row>
    <row r="1623" spans="1:4" x14ac:dyDescent="0.45">
      <c r="A1623">
        <v>180</v>
      </c>
      <c r="B1623">
        <f t="shared" ca="1" si="25"/>
        <v>89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3" t="str">
        <f ca="1">IF(dict_zuord_Transfers_Storages[[#This Row],[kval_active]],dict_zuord_Transfers_Storages[[#This Row],[ID_Storages]],"")</f>
        <v/>
      </c>
    </row>
    <row r="1624" spans="1:4" x14ac:dyDescent="0.45">
      <c r="A1624">
        <v>180</v>
      </c>
      <c r="B1624">
        <f t="shared" ca="1" si="25"/>
        <v>16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4" t="str">
        <f ca="1">IF(dict_zuord_Transfers_Storages[[#This Row],[kval_active]],dict_zuord_Transfers_Storages[[#This Row],[ID_Storages]],"")</f>
        <v/>
      </c>
    </row>
    <row r="1625" spans="1:4" x14ac:dyDescent="0.45">
      <c r="A1625">
        <v>180</v>
      </c>
      <c r="B1625">
        <f t="shared" ca="1" si="25"/>
        <v>78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5" t="str">
        <f ca="1">IF(dict_zuord_Transfers_Storages[[#This Row],[kval_active]],dict_zuord_Transfers_Storages[[#This Row],[ID_Storages]],"")</f>
        <v/>
      </c>
    </row>
    <row r="1626" spans="1:4" x14ac:dyDescent="0.45">
      <c r="A1626">
        <v>180</v>
      </c>
      <c r="B1626">
        <f t="shared" ca="1" si="25"/>
        <v>85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6" t="str">
        <f ca="1">IF(dict_zuord_Transfers_Storages[[#This Row],[kval_active]],dict_zuord_Transfers_Storages[[#This Row],[ID_Storages]],"")</f>
        <v/>
      </c>
    </row>
    <row r="1627" spans="1:4" x14ac:dyDescent="0.45">
      <c r="A1627">
        <v>180</v>
      </c>
      <c r="B1627">
        <f t="shared" ca="1" si="25"/>
        <v>65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7" t="str">
        <f ca="1">IF(dict_zuord_Transfers_Storages[[#This Row],[kval_active]],dict_zuord_Transfers_Storages[[#This Row],[ID_Storages]],"")</f>
        <v/>
      </c>
    </row>
    <row r="1628" spans="1:4" x14ac:dyDescent="0.45">
      <c r="A1628">
        <v>180</v>
      </c>
      <c r="B1628">
        <f t="shared" ca="1" si="25"/>
        <v>85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8" t="str">
        <f ca="1">IF(dict_zuord_Transfers_Storages[[#This Row],[kval_active]],dict_zuord_Transfers_Storages[[#This Row],[ID_Storages]],"")</f>
        <v/>
      </c>
    </row>
    <row r="1629" spans="1:4" x14ac:dyDescent="0.45">
      <c r="A1629">
        <v>180</v>
      </c>
      <c r="B1629">
        <f t="shared" ca="1" si="25"/>
        <v>67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9" t="str">
        <f ca="1">IF(dict_zuord_Transfers_Storages[[#This Row],[kval_active]],dict_zuord_Transfers_Storages[[#This Row],[ID_Storages]],"")</f>
        <v/>
      </c>
    </row>
    <row r="1630" spans="1:4" x14ac:dyDescent="0.45">
      <c r="A1630">
        <v>180</v>
      </c>
      <c r="B1630">
        <f t="shared" ca="1" si="25"/>
        <v>43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0" t="str">
        <f ca="1">IF(dict_zuord_Transfers_Storages[[#This Row],[kval_active]],dict_zuord_Transfers_Storages[[#This Row],[ID_Storages]],"")</f>
        <v/>
      </c>
    </row>
    <row r="1631" spans="1:4" x14ac:dyDescent="0.45">
      <c r="A1631">
        <v>181</v>
      </c>
      <c r="B1631">
        <f t="shared" ca="1" si="25"/>
        <v>59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1" t="str">
        <f ca="1">IF(dict_zuord_Transfers_Storages[[#This Row],[kval_active]],dict_zuord_Transfers_Storages[[#This Row],[ID_Storages]],"")</f>
        <v/>
      </c>
    </row>
    <row r="1632" spans="1:4" x14ac:dyDescent="0.45">
      <c r="A1632">
        <v>181</v>
      </c>
      <c r="B1632">
        <f t="shared" ca="1" si="25"/>
        <v>58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2" t="str">
        <f ca="1">IF(dict_zuord_Transfers_Storages[[#This Row],[kval_active]],dict_zuord_Transfers_Storages[[#This Row],[ID_Storages]],"")</f>
        <v/>
      </c>
    </row>
    <row r="1633" spans="1:4" x14ac:dyDescent="0.45">
      <c r="A1633">
        <v>181</v>
      </c>
      <c r="B1633">
        <f t="shared" ca="1" si="25"/>
        <v>86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3" t="str">
        <f ca="1">IF(dict_zuord_Transfers_Storages[[#This Row],[kval_active]],dict_zuord_Transfers_Storages[[#This Row],[ID_Storages]],"")</f>
        <v/>
      </c>
    </row>
    <row r="1634" spans="1:4" x14ac:dyDescent="0.45">
      <c r="A1634">
        <v>181</v>
      </c>
      <c r="B1634">
        <f t="shared" ca="1" si="25"/>
        <v>10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4" t="str">
        <f ca="1">IF(dict_zuord_Transfers_Storages[[#This Row],[kval_active]],dict_zuord_Transfers_Storages[[#This Row],[ID_Storages]],"")</f>
        <v/>
      </c>
    </row>
    <row r="1635" spans="1:4" x14ac:dyDescent="0.45">
      <c r="A1635">
        <v>181</v>
      </c>
      <c r="B1635">
        <f t="shared" ca="1" si="25"/>
        <v>76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5" t="str">
        <f ca="1">IF(dict_zuord_Transfers_Storages[[#This Row],[kval_active]],dict_zuord_Transfers_Storages[[#This Row],[ID_Storages]],"")</f>
        <v/>
      </c>
    </row>
    <row r="1636" spans="1:4" x14ac:dyDescent="0.45">
      <c r="A1636">
        <v>181</v>
      </c>
      <c r="B1636">
        <f t="shared" ca="1" si="25"/>
        <v>48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6" t="str">
        <f ca="1">IF(dict_zuord_Transfers_Storages[[#This Row],[kval_active]],dict_zuord_Transfers_Storages[[#This Row],[ID_Storages]],"")</f>
        <v/>
      </c>
    </row>
    <row r="1637" spans="1:4" x14ac:dyDescent="0.45">
      <c r="A1637">
        <v>181</v>
      </c>
      <c r="B1637">
        <f t="shared" ca="1" si="25"/>
        <v>20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7" t="str">
        <f ca="1">IF(dict_zuord_Transfers_Storages[[#This Row],[kval_active]],dict_zuord_Transfers_Storages[[#This Row],[ID_Storages]],"")</f>
        <v/>
      </c>
    </row>
    <row r="1638" spans="1:4" x14ac:dyDescent="0.45">
      <c r="A1638">
        <v>181</v>
      </c>
      <c r="B1638">
        <f t="shared" ca="1" si="25"/>
        <v>43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8" t="str">
        <f ca="1">IF(dict_zuord_Transfers_Storages[[#This Row],[kval_active]],dict_zuord_Transfers_Storages[[#This Row],[ID_Storages]],"")</f>
        <v/>
      </c>
    </row>
    <row r="1639" spans="1:4" x14ac:dyDescent="0.45">
      <c r="A1639">
        <v>181</v>
      </c>
      <c r="B1639">
        <f t="shared" ca="1" si="25"/>
        <v>88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9" t="str">
        <f ca="1">IF(dict_zuord_Transfers_Storages[[#This Row],[kval_active]],dict_zuord_Transfers_Storages[[#This Row],[ID_Storages]],"")</f>
        <v/>
      </c>
    </row>
    <row r="1640" spans="1:4" x14ac:dyDescent="0.45">
      <c r="A1640">
        <v>182</v>
      </c>
      <c r="B1640">
        <f t="shared" ca="1" si="25"/>
        <v>50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0" t="str">
        <f ca="1">IF(dict_zuord_Transfers_Storages[[#This Row],[kval_active]],dict_zuord_Transfers_Storages[[#This Row],[ID_Storages]],"")</f>
        <v/>
      </c>
    </row>
    <row r="1641" spans="1:4" x14ac:dyDescent="0.45">
      <c r="A1641">
        <v>182</v>
      </c>
      <c r="B1641">
        <f t="shared" ca="1" si="25"/>
        <v>92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1" t="str">
        <f ca="1">IF(dict_zuord_Transfers_Storages[[#This Row],[kval_active]],dict_zuord_Transfers_Storages[[#This Row],[ID_Storages]],"")</f>
        <v/>
      </c>
    </row>
    <row r="1642" spans="1:4" x14ac:dyDescent="0.45">
      <c r="A1642">
        <v>182</v>
      </c>
      <c r="B1642">
        <f t="shared" ca="1" si="25"/>
        <v>87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2" t="str">
        <f ca="1">IF(dict_zuord_Transfers_Storages[[#This Row],[kval_active]],dict_zuord_Transfers_Storages[[#This Row],[ID_Storages]],"")</f>
        <v/>
      </c>
    </row>
    <row r="1643" spans="1:4" x14ac:dyDescent="0.45">
      <c r="A1643">
        <v>182</v>
      </c>
      <c r="B1643">
        <f t="shared" ca="1" si="25"/>
        <v>42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3" t="str">
        <f ca="1">IF(dict_zuord_Transfers_Storages[[#This Row],[kval_active]],dict_zuord_Transfers_Storages[[#This Row],[ID_Storages]],"")</f>
        <v/>
      </c>
    </row>
    <row r="1644" spans="1:4" x14ac:dyDescent="0.45">
      <c r="A1644">
        <v>182</v>
      </c>
      <c r="B1644">
        <f t="shared" ca="1" si="25"/>
        <v>82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4" t="str">
        <f ca="1">IF(dict_zuord_Transfers_Storages[[#This Row],[kval_active]],dict_zuord_Transfers_Storages[[#This Row],[ID_Storages]],"")</f>
        <v/>
      </c>
    </row>
    <row r="1645" spans="1:4" x14ac:dyDescent="0.45">
      <c r="A1645">
        <v>182</v>
      </c>
      <c r="B1645">
        <f t="shared" ca="1" si="25"/>
        <v>80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5" t="str">
        <f ca="1">IF(dict_zuord_Transfers_Storages[[#This Row],[kval_active]],dict_zuord_Transfers_Storages[[#This Row],[ID_Storages]],"")</f>
        <v/>
      </c>
    </row>
    <row r="1646" spans="1:4" x14ac:dyDescent="0.45">
      <c r="A1646">
        <v>182</v>
      </c>
      <c r="B1646">
        <f t="shared" ca="1" si="25"/>
        <v>0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6" t="str">
        <f ca="1">IF(dict_zuord_Transfers_Storages[[#This Row],[kval_active]],dict_zuord_Transfers_Storages[[#This Row],[ID_Storages]],"")</f>
        <v/>
      </c>
    </row>
    <row r="1647" spans="1:4" x14ac:dyDescent="0.45">
      <c r="A1647">
        <v>182</v>
      </c>
      <c r="B1647">
        <f t="shared" ca="1" si="25"/>
        <v>16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7" t="str">
        <f ca="1">IF(dict_zuord_Transfers_Storages[[#This Row],[kval_active]],dict_zuord_Transfers_Storages[[#This Row],[ID_Storages]],"")</f>
        <v/>
      </c>
    </row>
    <row r="1648" spans="1:4" x14ac:dyDescent="0.45">
      <c r="A1648">
        <v>182</v>
      </c>
      <c r="B1648">
        <f t="shared" ca="1" si="25"/>
        <v>16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8" t="str">
        <f ca="1">IF(dict_zuord_Transfers_Storages[[#This Row],[kval_active]],dict_zuord_Transfers_Storages[[#This Row],[ID_Storages]],"")</f>
        <v/>
      </c>
    </row>
    <row r="1649" spans="1:4" x14ac:dyDescent="0.45">
      <c r="A1649">
        <v>183</v>
      </c>
      <c r="B1649">
        <f t="shared" ca="1" si="25"/>
        <v>40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40</v>
      </c>
    </row>
    <row r="1650" spans="1:4" x14ac:dyDescent="0.45">
      <c r="A1650">
        <v>183</v>
      </c>
      <c r="B1650">
        <f t="shared" ca="1" si="25"/>
        <v>48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48</v>
      </c>
    </row>
    <row r="1651" spans="1:4" x14ac:dyDescent="0.45">
      <c r="A1651">
        <v>183</v>
      </c>
      <c r="B1651">
        <f t="shared" ca="1" si="25"/>
        <v>98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98</v>
      </c>
    </row>
    <row r="1652" spans="1:4" x14ac:dyDescent="0.45">
      <c r="A1652">
        <v>183</v>
      </c>
      <c r="B1652">
        <f t="shared" ca="1" si="25"/>
        <v>10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10</v>
      </c>
    </row>
    <row r="1653" spans="1:4" x14ac:dyDescent="0.45">
      <c r="A1653">
        <v>183</v>
      </c>
      <c r="B1653">
        <f t="shared" ca="1" si="25"/>
        <v>25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25</v>
      </c>
    </row>
    <row r="1654" spans="1:4" x14ac:dyDescent="0.45">
      <c r="A1654">
        <v>183</v>
      </c>
      <c r="B1654">
        <f t="shared" ca="1" si="25"/>
        <v>69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69</v>
      </c>
    </row>
    <row r="1655" spans="1:4" x14ac:dyDescent="0.45">
      <c r="A1655">
        <v>183</v>
      </c>
      <c r="B1655">
        <f t="shared" ca="1" si="25"/>
        <v>0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0</v>
      </c>
    </row>
    <row r="1656" spans="1:4" x14ac:dyDescent="0.45">
      <c r="A1656">
        <v>183</v>
      </c>
      <c r="B1656">
        <f t="shared" ca="1" si="25"/>
        <v>81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81</v>
      </c>
    </row>
    <row r="1657" spans="1:4" x14ac:dyDescent="0.45">
      <c r="A1657">
        <v>183</v>
      </c>
      <c r="B1657">
        <f t="shared" ca="1" si="25"/>
        <v>90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90</v>
      </c>
    </row>
    <row r="1658" spans="1:4" x14ac:dyDescent="0.45">
      <c r="A1658">
        <v>184</v>
      </c>
      <c r="B1658">
        <f t="shared" ca="1" si="25"/>
        <v>8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8" t="str">
        <f ca="1">IF(dict_zuord_Transfers_Storages[[#This Row],[kval_active]],dict_zuord_Transfers_Storages[[#This Row],[ID_Storages]],"")</f>
        <v/>
      </c>
    </row>
    <row r="1659" spans="1:4" x14ac:dyDescent="0.45">
      <c r="A1659">
        <v>184</v>
      </c>
      <c r="B1659">
        <f t="shared" ca="1" si="25"/>
        <v>48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9" t="str">
        <f ca="1">IF(dict_zuord_Transfers_Storages[[#This Row],[kval_active]],dict_zuord_Transfers_Storages[[#This Row],[ID_Storages]],"")</f>
        <v/>
      </c>
    </row>
    <row r="1660" spans="1:4" x14ac:dyDescent="0.45">
      <c r="A1660">
        <v>184</v>
      </c>
      <c r="B1660">
        <f t="shared" ca="1" si="25"/>
        <v>35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0" t="str">
        <f ca="1">IF(dict_zuord_Transfers_Storages[[#This Row],[kval_active]],dict_zuord_Transfers_Storages[[#This Row],[ID_Storages]],"")</f>
        <v/>
      </c>
    </row>
    <row r="1661" spans="1:4" x14ac:dyDescent="0.45">
      <c r="A1661">
        <v>184</v>
      </c>
      <c r="B1661">
        <f t="shared" ca="1" si="25"/>
        <v>91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1" t="str">
        <f ca="1">IF(dict_zuord_Transfers_Storages[[#This Row],[kval_active]],dict_zuord_Transfers_Storages[[#This Row],[ID_Storages]],"")</f>
        <v/>
      </c>
    </row>
    <row r="1662" spans="1:4" x14ac:dyDescent="0.45">
      <c r="A1662">
        <v>184</v>
      </c>
      <c r="B1662">
        <f t="shared" ca="1" si="25"/>
        <v>61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2" t="str">
        <f ca="1">IF(dict_zuord_Transfers_Storages[[#This Row],[kval_active]],dict_zuord_Transfers_Storages[[#This Row],[ID_Storages]],"")</f>
        <v/>
      </c>
    </row>
    <row r="1663" spans="1:4" x14ac:dyDescent="0.45">
      <c r="A1663">
        <v>184</v>
      </c>
      <c r="B1663">
        <f t="shared" ca="1" si="25"/>
        <v>53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3" t="str">
        <f ca="1">IF(dict_zuord_Transfers_Storages[[#This Row],[kval_active]],dict_zuord_Transfers_Storages[[#This Row],[ID_Storages]],"")</f>
        <v/>
      </c>
    </row>
    <row r="1664" spans="1:4" x14ac:dyDescent="0.45">
      <c r="A1664">
        <v>184</v>
      </c>
      <c r="B1664">
        <f t="shared" ca="1" si="25"/>
        <v>49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4" t="str">
        <f ca="1">IF(dict_zuord_Transfers_Storages[[#This Row],[kval_active]],dict_zuord_Transfers_Storages[[#This Row],[ID_Storages]],"")</f>
        <v/>
      </c>
    </row>
    <row r="1665" spans="1:4" x14ac:dyDescent="0.45">
      <c r="A1665">
        <v>184</v>
      </c>
      <c r="B1665">
        <f t="shared" ca="1" si="25"/>
        <v>6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5" t="str">
        <f ca="1">IF(dict_zuord_Transfers_Storages[[#This Row],[kval_active]],dict_zuord_Transfers_Storages[[#This Row],[ID_Storages]],"")</f>
        <v/>
      </c>
    </row>
    <row r="1666" spans="1:4" x14ac:dyDescent="0.45">
      <c r="A1666">
        <v>184</v>
      </c>
      <c r="B1666">
        <f t="shared" ref="B1666:B1729" ca="1" si="26">RANDBETWEEN(0,100)</f>
        <v>92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6" t="str">
        <f ca="1">IF(dict_zuord_Transfers_Storages[[#This Row],[kval_active]],dict_zuord_Transfers_Storages[[#This Row],[ID_Storages]],"")</f>
        <v/>
      </c>
    </row>
    <row r="1667" spans="1:4" x14ac:dyDescent="0.45">
      <c r="A1667">
        <v>185</v>
      </c>
      <c r="B1667">
        <f t="shared" ca="1" si="26"/>
        <v>48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7">
        <f ca="1">IF(dict_zuord_Transfers_Storages[[#This Row],[kval_active]],dict_zuord_Transfers_Storages[[#This Row],[ID_Storages]],"")</f>
        <v>48</v>
      </c>
    </row>
    <row r="1668" spans="1:4" x14ac:dyDescent="0.45">
      <c r="A1668">
        <v>185</v>
      </c>
      <c r="B1668">
        <f t="shared" ca="1" si="26"/>
        <v>80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8">
        <f ca="1">IF(dict_zuord_Transfers_Storages[[#This Row],[kval_active]],dict_zuord_Transfers_Storages[[#This Row],[ID_Storages]],"")</f>
        <v>80</v>
      </c>
    </row>
    <row r="1669" spans="1:4" x14ac:dyDescent="0.45">
      <c r="A1669">
        <v>185</v>
      </c>
      <c r="B1669">
        <f t="shared" ca="1" si="26"/>
        <v>94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9">
        <f ca="1">IF(dict_zuord_Transfers_Storages[[#This Row],[kval_active]],dict_zuord_Transfers_Storages[[#This Row],[ID_Storages]],"")</f>
        <v>94</v>
      </c>
    </row>
    <row r="1670" spans="1:4" x14ac:dyDescent="0.45">
      <c r="A1670">
        <v>185</v>
      </c>
      <c r="B1670">
        <f t="shared" ca="1" si="26"/>
        <v>66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0">
        <f ca="1">IF(dict_zuord_Transfers_Storages[[#This Row],[kval_active]],dict_zuord_Transfers_Storages[[#This Row],[ID_Storages]],"")</f>
        <v>66</v>
      </c>
    </row>
    <row r="1671" spans="1:4" x14ac:dyDescent="0.45">
      <c r="A1671">
        <v>185</v>
      </c>
      <c r="B1671">
        <f t="shared" ca="1" si="26"/>
        <v>5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1">
        <f ca="1">IF(dict_zuord_Transfers_Storages[[#This Row],[kval_active]],dict_zuord_Transfers_Storages[[#This Row],[ID_Storages]],"")</f>
        <v>5</v>
      </c>
    </row>
    <row r="1672" spans="1:4" x14ac:dyDescent="0.45">
      <c r="A1672">
        <v>185</v>
      </c>
      <c r="B1672">
        <f t="shared" ca="1" si="26"/>
        <v>69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2">
        <f ca="1">IF(dict_zuord_Transfers_Storages[[#This Row],[kval_active]],dict_zuord_Transfers_Storages[[#This Row],[ID_Storages]],"")</f>
        <v>69</v>
      </c>
    </row>
    <row r="1673" spans="1:4" x14ac:dyDescent="0.45">
      <c r="A1673">
        <v>185</v>
      </c>
      <c r="B1673">
        <f t="shared" ca="1" si="26"/>
        <v>39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3">
        <f ca="1">IF(dict_zuord_Transfers_Storages[[#This Row],[kval_active]],dict_zuord_Transfers_Storages[[#This Row],[ID_Storages]],"")</f>
        <v>39</v>
      </c>
    </row>
    <row r="1674" spans="1:4" x14ac:dyDescent="0.45">
      <c r="A1674">
        <v>185</v>
      </c>
      <c r="B1674">
        <f t="shared" ca="1" si="26"/>
        <v>3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4">
        <f ca="1">IF(dict_zuord_Transfers_Storages[[#This Row],[kval_active]],dict_zuord_Transfers_Storages[[#This Row],[ID_Storages]],"")</f>
        <v>3</v>
      </c>
    </row>
    <row r="1675" spans="1:4" x14ac:dyDescent="0.45">
      <c r="A1675">
        <v>185</v>
      </c>
      <c r="B1675">
        <f t="shared" ca="1" si="26"/>
        <v>41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5">
        <f ca="1">IF(dict_zuord_Transfers_Storages[[#This Row],[kval_active]],dict_zuord_Transfers_Storages[[#This Row],[ID_Storages]],"")</f>
        <v>41</v>
      </c>
    </row>
    <row r="1676" spans="1:4" x14ac:dyDescent="0.45">
      <c r="A1676">
        <v>186</v>
      </c>
      <c r="B1676">
        <f t="shared" ca="1" si="26"/>
        <v>71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6">
        <f ca="1">IF(dict_zuord_Transfers_Storages[[#This Row],[kval_active]],dict_zuord_Transfers_Storages[[#This Row],[ID_Storages]],"")</f>
        <v>71</v>
      </c>
    </row>
    <row r="1677" spans="1:4" x14ac:dyDescent="0.45">
      <c r="A1677">
        <v>186</v>
      </c>
      <c r="B1677">
        <f t="shared" ca="1" si="26"/>
        <v>78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7">
        <f ca="1">IF(dict_zuord_Transfers_Storages[[#This Row],[kval_active]],dict_zuord_Transfers_Storages[[#This Row],[ID_Storages]],"")</f>
        <v>78</v>
      </c>
    </row>
    <row r="1678" spans="1:4" x14ac:dyDescent="0.45">
      <c r="A1678">
        <v>186</v>
      </c>
      <c r="B1678">
        <f t="shared" ca="1" si="26"/>
        <v>31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8">
        <f ca="1">IF(dict_zuord_Transfers_Storages[[#This Row],[kval_active]],dict_zuord_Transfers_Storages[[#This Row],[ID_Storages]],"")</f>
        <v>31</v>
      </c>
    </row>
    <row r="1679" spans="1:4" x14ac:dyDescent="0.45">
      <c r="A1679">
        <v>186</v>
      </c>
      <c r="B1679">
        <f t="shared" ca="1" si="26"/>
        <v>41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9">
        <f ca="1">IF(dict_zuord_Transfers_Storages[[#This Row],[kval_active]],dict_zuord_Transfers_Storages[[#This Row],[ID_Storages]],"")</f>
        <v>41</v>
      </c>
    </row>
    <row r="1680" spans="1:4" x14ac:dyDescent="0.45">
      <c r="A1680">
        <v>186</v>
      </c>
      <c r="B1680">
        <f t="shared" ca="1" si="26"/>
        <v>25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0">
        <f ca="1">IF(dict_zuord_Transfers_Storages[[#This Row],[kval_active]],dict_zuord_Transfers_Storages[[#This Row],[ID_Storages]],"")</f>
        <v>25</v>
      </c>
    </row>
    <row r="1681" spans="1:4" x14ac:dyDescent="0.45">
      <c r="A1681">
        <v>186</v>
      </c>
      <c r="B1681">
        <f t="shared" ca="1" si="26"/>
        <v>51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1">
        <f ca="1">IF(dict_zuord_Transfers_Storages[[#This Row],[kval_active]],dict_zuord_Transfers_Storages[[#This Row],[ID_Storages]],"")</f>
        <v>51</v>
      </c>
    </row>
    <row r="1682" spans="1:4" x14ac:dyDescent="0.45">
      <c r="A1682">
        <v>186</v>
      </c>
      <c r="B1682">
        <f t="shared" ca="1" si="26"/>
        <v>1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2">
        <f ca="1">IF(dict_zuord_Transfers_Storages[[#This Row],[kval_active]],dict_zuord_Transfers_Storages[[#This Row],[ID_Storages]],"")</f>
        <v>1</v>
      </c>
    </row>
    <row r="1683" spans="1:4" x14ac:dyDescent="0.45">
      <c r="A1683">
        <v>186</v>
      </c>
      <c r="B1683">
        <f t="shared" ca="1" si="26"/>
        <v>64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3">
        <f ca="1">IF(dict_zuord_Transfers_Storages[[#This Row],[kval_active]],dict_zuord_Transfers_Storages[[#This Row],[ID_Storages]],"")</f>
        <v>64</v>
      </c>
    </row>
    <row r="1684" spans="1:4" x14ac:dyDescent="0.45">
      <c r="A1684">
        <v>186</v>
      </c>
      <c r="B1684">
        <f t="shared" ca="1" si="26"/>
        <v>43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4">
        <f ca="1">IF(dict_zuord_Transfers_Storages[[#This Row],[kval_active]],dict_zuord_Transfers_Storages[[#This Row],[ID_Storages]],"")</f>
        <v>43</v>
      </c>
    </row>
    <row r="1685" spans="1:4" x14ac:dyDescent="0.45">
      <c r="A1685">
        <v>187</v>
      </c>
      <c r="B1685">
        <f t="shared" ca="1" si="26"/>
        <v>36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5" t="str">
        <f ca="1">IF(dict_zuord_Transfers_Storages[[#This Row],[kval_active]],dict_zuord_Transfers_Storages[[#This Row],[ID_Storages]],"")</f>
        <v/>
      </c>
    </row>
    <row r="1686" spans="1:4" x14ac:dyDescent="0.45">
      <c r="A1686">
        <v>187</v>
      </c>
      <c r="B1686">
        <f t="shared" ca="1" si="26"/>
        <v>53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6" t="str">
        <f ca="1">IF(dict_zuord_Transfers_Storages[[#This Row],[kval_active]],dict_zuord_Transfers_Storages[[#This Row],[ID_Storages]],"")</f>
        <v/>
      </c>
    </row>
    <row r="1687" spans="1:4" x14ac:dyDescent="0.45">
      <c r="A1687">
        <v>187</v>
      </c>
      <c r="B1687">
        <f t="shared" ca="1" si="26"/>
        <v>35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7" t="str">
        <f ca="1">IF(dict_zuord_Transfers_Storages[[#This Row],[kval_active]],dict_zuord_Transfers_Storages[[#This Row],[ID_Storages]],"")</f>
        <v/>
      </c>
    </row>
    <row r="1688" spans="1:4" x14ac:dyDescent="0.45">
      <c r="A1688">
        <v>187</v>
      </c>
      <c r="B1688">
        <f t="shared" ca="1" si="26"/>
        <v>39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8" t="str">
        <f ca="1">IF(dict_zuord_Transfers_Storages[[#This Row],[kval_active]],dict_zuord_Transfers_Storages[[#This Row],[ID_Storages]],"")</f>
        <v/>
      </c>
    </row>
    <row r="1689" spans="1:4" x14ac:dyDescent="0.45">
      <c r="A1689">
        <v>187</v>
      </c>
      <c r="B1689">
        <f t="shared" ca="1" si="26"/>
        <v>1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9" t="str">
        <f ca="1">IF(dict_zuord_Transfers_Storages[[#This Row],[kval_active]],dict_zuord_Transfers_Storages[[#This Row],[ID_Storages]],"")</f>
        <v/>
      </c>
    </row>
    <row r="1690" spans="1:4" x14ac:dyDescent="0.45">
      <c r="A1690">
        <v>187</v>
      </c>
      <c r="B1690">
        <f t="shared" ca="1" si="26"/>
        <v>33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0" t="str">
        <f ca="1">IF(dict_zuord_Transfers_Storages[[#This Row],[kval_active]],dict_zuord_Transfers_Storages[[#This Row],[ID_Storages]],"")</f>
        <v/>
      </c>
    </row>
    <row r="1691" spans="1:4" x14ac:dyDescent="0.45">
      <c r="A1691">
        <v>187</v>
      </c>
      <c r="B1691">
        <f t="shared" ca="1" si="26"/>
        <v>45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1" t="str">
        <f ca="1">IF(dict_zuord_Transfers_Storages[[#This Row],[kval_active]],dict_zuord_Transfers_Storages[[#This Row],[ID_Storages]],"")</f>
        <v/>
      </c>
    </row>
    <row r="1692" spans="1:4" x14ac:dyDescent="0.45">
      <c r="A1692">
        <v>187</v>
      </c>
      <c r="B1692">
        <f t="shared" ca="1" si="26"/>
        <v>74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2" t="str">
        <f ca="1">IF(dict_zuord_Transfers_Storages[[#This Row],[kval_active]],dict_zuord_Transfers_Storages[[#This Row],[ID_Storages]],"")</f>
        <v/>
      </c>
    </row>
    <row r="1693" spans="1:4" x14ac:dyDescent="0.45">
      <c r="A1693">
        <v>187</v>
      </c>
      <c r="B1693">
        <f t="shared" ca="1" si="26"/>
        <v>87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3" t="str">
        <f ca="1">IF(dict_zuord_Transfers_Storages[[#This Row],[kval_active]],dict_zuord_Transfers_Storages[[#This Row],[ID_Storages]],"")</f>
        <v/>
      </c>
    </row>
    <row r="1694" spans="1:4" x14ac:dyDescent="0.45">
      <c r="A1694">
        <v>188</v>
      </c>
      <c r="B1694">
        <f t="shared" ca="1" si="26"/>
        <v>26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4" t="str">
        <f ca="1">IF(dict_zuord_Transfers_Storages[[#This Row],[kval_active]],dict_zuord_Transfers_Storages[[#This Row],[ID_Storages]],"")</f>
        <v/>
      </c>
    </row>
    <row r="1695" spans="1:4" x14ac:dyDescent="0.45">
      <c r="A1695">
        <v>188</v>
      </c>
      <c r="B1695">
        <f t="shared" ca="1" si="26"/>
        <v>93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5" t="str">
        <f ca="1">IF(dict_zuord_Transfers_Storages[[#This Row],[kval_active]],dict_zuord_Transfers_Storages[[#This Row],[ID_Storages]],"")</f>
        <v/>
      </c>
    </row>
    <row r="1696" spans="1:4" x14ac:dyDescent="0.45">
      <c r="A1696">
        <v>188</v>
      </c>
      <c r="B1696">
        <f t="shared" ca="1" si="26"/>
        <v>0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6" t="str">
        <f ca="1">IF(dict_zuord_Transfers_Storages[[#This Row],[kval_active]],dict_zuord_Transfers_Storages[[#This Row],[ID_Storages]],"")</f>
        <v/>
      </c>
    </row>
    <row r="1697" spans="1:4" x14ac:dyDescent="0.45">
      <c r="A1697">
        <v>188</v>
      </c>
      <c r="B1697">
        <f t="shared" ca="1" si="26"/>
        <v>18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7" t="str">
        <f ca="1">IF(dict_zuord_Transfers_Storages[[#This Row],[kval_active]],dict_zuord_Transfers_Storages[[#This Row],[ID_Storages]],"")</f>
        <v/>
      </c>
    </row>
    <row r="1698" spans="1:4" x14ac:dyDescent="0.45">
      <c r="A1698">
        <v>188</v>
      </c>
      <c r="B1698">
        <f t="shared" ca="1" si="26"/>
        <v>67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8" t="str">
        <f ca="1">IF(dict_zuord_Transfers_Storages[[#This Row],[kval_active]],dict_zuord_Transfers_Storages[[#This Row],[ID_Storages]],"")</f>
        <v/>
      </c>
    </row>
    <row r="1699" spans="1:4" x14ac:dyDescent="0.45">
      <c r="A1699">
        <v>188</v>
      </c>
      <c r="B1699">
        <f t="shared" ca="1" si="26"/>
        <v>17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9" t="str">
        <f ca="1">IF(dict_zuord_Transfers_Storages[[#This Row],[kval_active]],dict_zuord_Transfers_Storages[[#This Row],[ID_Storages]],"")</f>
        <v/>
      </c>
    </row>
    <row r="1700" spans="1:4" x14ac:dyDescent="0.45">
      <c r="A1700">
        <v>188</v>
      </c>
      <c r="B1700">
        <f t="shared" ca="1" si="26"/>
        <v>71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0" t="str">
        <f ca="1">IF(dict_zuord_Transfers_Storages[[#This Row],[kval_active]],dict_zuord_Transfers_Storages[[#This Row],[ID_Storages]],"")</f>
        <v/>
      </c>
    </row>
    <row r="1701" spans="1:4" x14ac:dyDescent="0.45">
      <c r="A1701">
        <v>188</v>
      </c>
      <c r="B1701">
        <f t="shared" ca="1" si="26"/>
        <v>62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1" t="str">
        <f ca="1">IF(dict_zuord_Transfers_Storages[[#This Row],[kval_active]],dict_zuord_Transfers_Storages[[#This Row],[ID_Storages]],"")</f>
        <v/>
      </c>
    </row>
    <row r="1702" spans="1:4" x14ac:dyDescent="0.45">
      <c r="A1702">
        <v>188</v>
      </c>
      <c r="B1702">
        <f t="shared" ca="1" si="26"/>
        <v>68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2" t="str">
        <f ca="1">IF(dict_zuord_Transfers_Storages[[#This Row],[kval_active]],dict_zuord_Transfers_Storages[[#This Row],[ID_Storages]],"")</f>
        <v/>
      </c>
    </row>
    <row r="1703" spans="1:4" x14ac:dyDescent="0.45">
      <c r="A1703">
        <v>189</v>
      </c>
      <c r="B1703">
        <f t="shared" ca="1" si="26"/>
        <v>7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3" t="str">
        <f ca="1">IF(dict_zuord_Transfers_Storages[[#This Row],[kval_active]],dict_zuord_Transfers_Storages[[#This Row],[ID_Storages]],"")</f>
        <v/>
      </c>
    </row>
    <row r="1704" spans="1:4" x14ac:dyDescent="0.45">
      <c r="A1704">
        <v>189</v>
      </c>
      <c r="B1704">
        <f t="shared" ca="1" si="26"/>
        <v>91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4" t="str">
        <f ca="1">IF(dict_zuord_Transfers_Storages[[#This Row],[kval_active]],dict_zuord_Transfers_Storages[[#This Row],[ID_Storages]],"")</f>
        <v/>
      </c>
    </row>
    <row r="1705" spans="1:4" x14ac:dyDescent="0.45">
      <c r="A1705">
        <v>189</v>
      </c>
      <c r="B1705">
        <f t="shared" ca="1" si="26"/>
        <v>21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5" t="str">
        <f ca="1">IF(dict_zuord_Transfers_Storages[[#This Row],[kval_active]],dict_zuord_Transfers_Storages[[#This Row],[ID_Storages]],"")</f>
        <v/>
      </c>
    </row>
    <row r="1706" spans="1:4" x14ac:dyDescent="0.45">
      <c r="A1706">
        <v>189</v>
      </c>
      <c r="B1706">
        <f t="shared" ca="1" si="26"/>
        <v>61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6" t="str">
        <f ca="1">IF(dict_zuord_Transfers_Storages[[#This Row],[kval_active]],dict_zuord_Transfers_Storages[[#This Row],[ID_Storages]],"")</f>
        <v/>
      </c>
    </row>
    <row r="1707" spans="1:4" x14ac:dyDescent="0.45">
      <c r="A1707">
        <v>189</v>
      </c>
      <c r="B1707">
        <f t="shared" ca="1" si="26"/>
        <v>19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7" t="str">
        <f ca="1">IF(dict_zuord_Transfers_Storages[[#This Row],[kval_active]],dict_zuord_Transfers_Storages[[#This Row],[ID_Storages]],"")</f>
        <v/>
      </c>
    </row>
    <row r="1708" spans="1:4" x14ac:dyDescent="0.45">
      <c r="A1708">
        <v>189</v>
      </c>
      <c r="B1708">
        <f t="shared" ca="1" si="26"/>
        <v>22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8" t="str">
        <f ca="1">IF(dict_zuord_Transfers_Storages[[#This Row],[kval_active]],dict_zuord_Transfers_Storages[[#This Row],[ID_Storages]],"")</f>
        <v/>
      </c>
    </row>
    <row r="1709" spans="1:4" x14ac:dyDescent="0.45">
      <c r="A1709">
        <v>189</v>
      </c>
      <c r="B1709">
        <f t="shared" ca="1" si="26"/>
        <v>16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9" t="str">
        <f ca="1">IF(dict_zuord_Transfers_Storages[[#This Row],[kval_active]],dict_zuord_Transfers_Storages[[#This Row],[ID_Storages]],"")</f>
        <v/>
      </c>
    </row>
    <row r="1710" spans="1:4" x14ac:dyDescent="0.45">
      <c r="A1710">
        <v>189</v>
      </c>
      <c r="B1710">
        <f t="shared" ca="1" si="26"/>
        <v>75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0" t="str">
        <f ca="1">IF(dict_zuord_Transfers_Storages[[#This Row],[kval_active]],dict_zuord_Transfers_Storages[[#This Row],[ID_Storages]],"")</f>
        <v/>
      </c>
    </row>
    <row r="1711" spans="1:4" x14ac:dyDescent="0.45">
      <c r="A1711">
        <v>189</v>
      </c>
      <c r="B1711">
        <f t="shared" ca="1" si="26"/>
        <v>57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1" t="str">
        <f ca="1">IF(dict_zuord_Transfers_Storages[[#This Row],[kval_active]],dict_zuord_Transfers_Storages[[#This Row],[ID_Storages]],"")</f>
        <v/>
      </c>
    </row>
    <row r="1712" spans="1:4" x14ac:dyDescent="0.45">
      <c r="A1712">
        <v>190</v>
      </c>
      <c r="B1712">
        <f t="shared" ca="1" si="26"/>
        <v>41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2" t="str">
        <f ca="1">IF(dict_zuord_Transfers_Storages[[#This Row],[kval_active]],dict_zuord_Transfers_Storages[[#This Row],[ID_Storages]],"")</f>
        <v/>
      </c>
    </row>
    <row r="1713" spans="1:4" x14ac:dyDescent="0.45">
      <c r="A1713">
        <v>190</v>
      </c>
      <c r="B1713">
        <f t="shared" ca="1" si="26"/>
        <v>55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3" t="str">
        <f ca="1">IF(dict_zuord_Transfers_Storages[[#This Row],[kval_active]],dict_zuord_Transfers_Storages[[#This Row],[ID_Storages]],"")</f>
        <v/>
      </c>
    </row>
    <row r="1714" spans="1:4" x14ac:dyDescent="0.45">
      <c r="A1714">
        <v>190</v>
      </c>
      <c r="B1714">
        <f t="shared" ca="1" si="26"/>
        <v>63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4" t="str">
        <f ca="1">IF(dict_zuord_Transfers_Storages[[#This Row],[kval_active]],dict_zuord_Transfers_Storages[[#This Row],[ID_Storages]],"")</f>
        <v/>
      </c>
    </row>
    <row r="1715" spans="1:4" x14ac:dyDescent="0.45">
      <c r="A1715">
        <v>190</v>
      </c>
      <c r="B1715">
        <f t="shared" ca="1" si="26"/>
        <v>78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5" t="str">
        <f ca="1">IF(dict_zuord_Transfers_Storages[[#This Row],[kval_active]],dict_zuord_Transfers_Storages[[#This Row],[ID_Storages]],"")</f>
        <v/>
      </c>
    </row>
    <row r="1716" spans="1:4" x14ac:dyDescent="0.45">
      <c r="A1716">
        <v>190</v>
      </c>
      <c r="B1716">
        <f t="shared" ca="1" si="26"/>
        <v>73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6" t="str">
        <f ca="1">IF(dict_zuord_Transfers_Storages[[#This Row],[kval_active]],dict_zuord_Transfers_Storages[[#This Row],[ID_Storages]],"")</f>
        <v/>
      </c>
    </row>
    <row r="1717" spans="1:4" x14ac:dyDescent="0.45">
      <c r="A1717">
        <v>190</v>
      </c>
      <c r="B1717">
        <f t="shared" ca="1" si="26"/>
        <v>59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7" t="str">
        <f ca="1">IF(dict_zuord_Transfers_Storages[[#This Row],[kval_active]],dict_zuord_Transfers_Storages[[#This Row],[ID_Storages]],"")</f>
        <v/>
      </c>
    </row>
    <row r="1718" spans="1:4" x14ac:dyDescent="0.45">
      <c r="A1718">
        <v>190</v>
      </c>
      <c r="B1718">
        <f t="shared" ca="1" si="26"/>
        <v>35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8" t="str">
        <f ca="1">IF(dict_zuord_Transfers_Storages[[#This Row],[kval_active]],dict_zuord_Transfers_Storages[[#This Row],[ID_Storages]],"")</f>
        <v/>
      </c>
    </row>
    <row r="1719" spans="1:4" x14ac:dyDescent="0.45">
      <c r="A1719">
        <v>190</v>
      </c>
      <c r="B1719">
        <f t="shared" ca="1" si="26"/>
        <v>84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9" t="str">
        <f ca="1">IF(dict_zuord_Transfers_Storages[[#This Row],[kval_active]],dict_zuord_Transfers_Storages[[#This Row],[ID_Storages]],"")</f>
        <v/>
      </c>
    </row>
    <row r="1720" spans="1:4" x14ac:dyDescent="0.45">
      <c r="A1720">
        <v>190</v>
      </c>
      <c r="B1720">
        <f t="shared" ca="1" si="26"/>
        <v>59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0" t="str">
        <f ca="1">IF(dict_zuord_Transfers_Storages[[#This Row],[kval_active]],dict_zuord_Transfers_Storages[[#This Row],[ID_Storages]],"")</f>
        <v/>
      </c>
    </row>
    <row r="1721" spans="1:4" x14ac:dyDescent="0.45">
      <c r="A1721">
        <v>191</v>
      </c>
      <c r="B1721">
        <f t="shared" ca="1" si="26"/>
        <v>74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1" t="str">
        <f ca="1">IF(dict_zuord_Transfers_Storages[[#This Row],[kval_active]],dict_zuord_Transfers_Storages[[#This Row],[ID_Storages]],"")</f>
        <v/>
      </c>
    </row>
    <row r="1722" spans="1:4" x14ac:dyDescent="0.45">
      <c r="A1722">
        <v>191</v>
      </c>
      <c r="B1722">
        <f t="shared" ca="1" si="26"/>
        <v>75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2" t="str">
        <f ca="1">IF(dict_zuord_Transfers_Storages[[#This Row],[kval_active]],dict_zuord_Transfers_Storages[[#This Row],[ID_Storages]],"")</f>
        <v/>
      </c>
    </row>
    <row r="1723" spans="1:4" x14ac:dyDescent="0.45">
      <c r="A1723">
        <v>191</v>
      </c>
      <c r="B1723">
        <f t="shared" ca="1" si="26"/>
        <v>10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3" t="str">
        <f ca="1">IF(dict_zuord_Transfers_Storages[[#This Row],[kval_active]],dict_zuord_Transfers_Storages[[#This Row],[ID_Storages]],"")</f>
        <v/>
      </c>
    </row>
    <row r="1724" spans="1:4" x14ac:dyDescent="0.45">
      <c r="A1724">
        <v>191</v>
      </c>
      <c r="B1724">
        <f t="shared" ca="1" si="26"/>
        <v>71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4" t="str">
        <f ca="1">IF(dict_zuord_Transfers_Storages[[#This Row],[kval_active]],dict_zuord_Transfers_Storages[[#This Row],[ID_Storages]],"")</f>
        <v/>
      </c>
    </row>
    <row r="1725" spans="1:4" x14ac:dyDescent="0.45">
      <c r="A1725">
        <v>191</v>
      </c>
      <c r="B1725">
        <f t="shared" ca="1" si="26"/>
        <v>29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5" t="str">
        <f ca="1">IF(dict_zuord_Transfers_Storages[[#This Row],[kval_active]],dict_zuord_Transfers_Storages[[#This Row],[ID_Storages]],"")</f>
        <v/>
      </c>
    </row>
    <row r="1726" spans="1:4" x14ac:dyDescent="0.45">
      <c r="A1726">
        <v>191</v>
      </c>
      <c r="B1726">
        <f t="shared" ca="1" si="26"/>
        <v>45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6" t="str">
        <f ca="1">IF(dict_zuord_Transfers_Storages[[#This Row],[kval_active]],dict_zuord_Transfers_Storages[[#This Row],[ID_Storages]],"")</f>
        <v/>
      </c>
    </row>
    <row r="1727" spans="1:4" x14ac:dyDescent="0.45">
      <c r="A1727">
        <v>191</v>
      </c>
      <c r="B1727">
        <f t="shared" ca="1" si="26"/>
        <v>97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7" t="str">
        <f ca="1">IF(dict_zuord_Transfers_Storages[[#This Row],[kval_active]],dict_zuord_Transfers_Storages[[#This Row],[ID_Storages]],"")</f>
        <v/>
      </c>
    </row>
    <row r="1728" spans="1:4" x14ac:dyDescent="0.45">
      <c r="A1728">
        <v>191</v>
      </c>
      <c r="B1728">
        <f t="shared" ca="1" si="26"/>
        <v>5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8" t="str">
        <f ca="1">IF(dict_zuord_Transfers_Storages[[#This Row],[kval_active]],dict_zuord_Transfers_Storages[[#This Row],[ID_Storages]],"")</f>
        <v/>
      </c>
    </row>
    <row r="1729" spans="1:4" x14ac:dyDescent="0.45">
      <c r="A1729">
        <v>191</v>
      </c>
      <c r="B1729">
        <f t="shared" ca="1" si="26"/>
        <v>12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9" t="str">
        <f ca="1">IF(dict_zuord_Transfers_Storages[[#This Row],[kval_active]],dict_zuord_Transfers_Storages[[#This Row],[ID_Storages]],"")</f>
        <v/>
      </c>
    </row>
    <row r="1730" spans="1:4" x14ac:dyDescent="0.45">
      <c r="A1730">
        <v>192</v>
      </c>
      <c r="B1730">
        <f t="shared" ref="B1730:B1793" ca="1" si="27">RANDBETWEEN(0,100)</f>
        <v>62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0">
        <f ca="1">IF(dict_zuord_Transfers_Storages[[#This Row],[kval_active]],dict_zuord_Transfers_Storages[[#This Row],[ID_Storages]],"")</f>
        <v>62</v>
      </c>
    </row>
    <row r="1731" spans="1:4" x14ac:dyDescent="0.45">
      <c r="A1731">
        <v>192</v>
      </c>
      <c r="B1731">
        <f t="shared" ca="1" si="27"/>
        <v>79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1">
        <f ca="1">IF(dict_zuord_Transfers_Storages[[#This Row],[kval_active]],dict_zuord_Transfers_Storages[[#This Row],[ID_Storages]],"")</f>
        <v>79</v>
      </c>
    </row>
    <row r="1732" spans="1:4" x14ac:dyDescent="0.45">
      <c r="A1732">
        <v>192</v>
      </c>
      <c r="B1732">
        <f t="shared" ca="1" si="27"/>
        <v>81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2">
        <f ca="1">IF(dict_zuord_Transfers_Storages[[#This Row],[kval_active]],dict_zuord_Transfers_Storages[[#This Row],[ID_Storages]],"")</f>
        <v>81</v>
      </c>
    </row>
    <row r="1733" spans="1:4" x14ac:dyDescent="0.45">
      <c r="A1733">
        <v>192</v>
      </c>
      <c r="B1733">
        <f t="shared" ca="1" si="27"/>
        <v>30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3">
        <f ca="1">IF(dict_zuord_Transfers_Storages[[#This Row],[kval_active]],dict_zuord_Transfers_Storages[[#This Row],[ID_Storages]],"")</f>
        <v>30</v>
      </c>
    </row>
    <row r="1734" spans="1:4" x14ac:dyDescent="0.45">
      <c r="A1734">
        <v>192</v>
      </c>
      <c r="B1734">
        <f t="shared" ca="1" si="27"/>
        <v>29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4">
        <f ca="1">IF(dict_zuord_Transfers_Storages[[#This Row],[kval_active]],dict_zuord_Transfers_Storages[[#This Row],[ID_Storages]],"")</f>
        <v>29</v>
      </c>
    </row>
    <row r="1735" spans="1:4" x14ac:dyDescent="0.45">
      <c r="A1735">
        <v>192</v>
      </c>
      <c r="B1735">
        <f t="shared" ca="1" si="27"/>
        <v>53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5">
        <f ca="1">IF(dict_zuord_Transfers_Storages[[#This Row],[kval_active]],dict_zuord_Transfers_Storages[[#This Row],[ID_Storages]],"")</f>
        <v>53</v>
      </c>
    </row>
    <row r="1736" spans="1:4" x14ac:dyDescent="0.45">
      <c r="A1736">
        <v>192</v>
      </c>
      <c r="B1736">
        <f t="shared" ca="1" si="27"/>
        <v>0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6">
        <f ca="1">IF(dict_zuord_Transfers_Storages[[#This Row],[kval_active]],dict_zuord_Transfers_Storages[[#This Row],[ID_Storages]],"")</f>
        <v>0</v>
      </c>
    </row>
    <row r="1737" spans="1:4" x14ac:dyDescent="0.45">
      <c r="A1737">
        <v>192</v>
      </c>
      <c r="B1737">
        <f t="shared" ca="1" si="27"/>
        <v>58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7">
        <f ca="1">IF(dict_zuord_Transfers_Storages[[#This Row],[kval_active]],dict_zuord_Transfers_Storages[[#This Row],[ID_Storages]],"")</f>
        <v>58</v>
      </c>
    </row>
    <row r="1738" spans="1:4" x14ac:dyDescent="0.45">
      <c r="A1738">
        <v>192</v>
      </c>
      <c r="B1738">
        <f t="shared" ca="1" si="27"/>
        <v>0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8">
        <f ca="1">IF(dict_zuord_Transfers_Storages[[#This Row],[kval_active]],dict_zuord_Transfers_Storages[[#This Row],[ID_Storages]],"")</f>
        <v>0</v>
      </c>
    </row>
    <row r="1739" spans="1:4" x14ac:dyDescent="0.45">
      <c r="A1739">
        <v>193</v>
      </c>
      <c r="B1739">
        <f t="shared" ca="1" si="27"/>
        <v>29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9" t="str">
        <f ca="1">IF(dict_zuord_Transfers_Storages[[#This Row],[kval_active]],dict_zuord_Transfers_Storages[[#This Row],[ID_Storages]],"")</f>
        <v/>
      </c>
    </row>
    <row r="1740" spans="1:4" x14ac:dyDescent="0.45">
      <c r="A1740">
        <v>193</v>
      </c>
      <c r="B1740">
        <f t="shared" ca="1" si="27"/>
        <v>64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0" t="str">
        <f ca="1">IF(dict_zuord_Transfers_Storages[[#This Row],[kval_active]],dict_zuord_Transfers_Storages[[#This Row],[ID_Storages]],"")</f>
        <v/>
      </c>
    </row>
    <row r="1741" spans="1:4" x14ac:dyDescent="0.45">
      <c r="A1741">
        <v>193</v>
      </c>
      <c r="B1741">
        <f t="shared" ca="1" si="27"/>
        <v>93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1" t="str">
        <f ca="1">IF(dict_zuord_Transfers_Storages[[#This Row],[kval_active]],dict_zuord_Transfers_Storages[[#This Row],[ID_Storages]],"")</f>
        <v/>
      </c>
    </row>
    <row r="1742" spans="1:4" x14ac:dyDescent="0.45">
      <c r="A1742">
        <v>193</v>
      </c>
      <c r="B1742">
        <f t="shared" ca="1" si="27"/>
        <v>32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2" t="str">
        <f ca="1">IF(dict_zuord_Transfers_Storages[[#This Row],[kval_active]],dict_zuord_Transfers_Storages[[#This Row],[ID_Storages]],"")</f>
        <v/>
      </c>
    </row>
    <row r="1743" spans="1:4" x14ac:dyDescent="0.45">
      <c r="A1743">
        <v>193</v>
      </c>
      <c r="B1743">
        <f t="shared" ca="1" si="27"/>
        <v>17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3" t="str">
        <f ca="1">IF(dict_zuord_Transfers_Storages[[#This Row],[kval_active]],dict_zuord_Transfers_Storages[[#This Row],[ID_Storages]],"")</f>
        <v/>
      </c>
    </row>
    <row r="1744" spans="1:4" x14ac:dyDescent="0.45">
      <c r="A1744">
        <v>193</v>
      </c>
      <c r="B1744">
        <f t="shared" ca="1" si="27"/>
        <v>19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4" t="str">
        <f ca="1">IF(dict_zuord_Transfers_Storages[[#This Row],[kval_active]],dict_zuord_Transfers_Storages[[#This Row],[ID_Storages]],"")</f>
        <v/>
      </c>
    </row>
    <row r="1745" spans="1:4" x14ac:dyDescent="0.45">
      <c r="A1745">
        <v>193</v>
      </c>
      <c r="B1745">
        <f t="shared" ca="1" si="27"/>
        <v>72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5" t="str">
        <f ca="1">IF(dict_zuord_Transfers_Storages[[#This Row],[kval_active]],dict_zuord_Transfers_Storages[[#This Row],[ID_Storages]],"")</f>
        <v/>
      </c>
    </row>
    <row r="1746" spans="1:4" x14ac:dyDescent="0.45">
      <c r="A1746">
        <v>193</v>
      </c>
      <c r="B1746">
        <f t="shared" ca="1" si="27"/>
        <v>17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6" t="str">
        <f ca="1">IF(dict_zuord_Transfers_Storages[[#This Row],[kval_active]],dict_zuord_Transfers_Storages[[#This Row],[ID_Storages]],"")</f>
        <v/>
      </c>
    </row>
    <row r="1747" spans="1:4" x14ac:dyDescent="0.45">
      <c r="A1747">
        <v>193</v>
      </c>
      <c r="B1747">
        <f t="shared" ca="1" si="27"/>
        <v>95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7" t="str">
        <f ca="1">IF(dict_zuord_Transfers_Storages[[#This Row],[kval_active]],dict_zuord_Transfers_Storages[[#This Row],[ID_Storages]],"")</f>
        <v/>
      </c>
    </row>
    <row r="1748" spans="1:4" x14ac:dyDescent="0.45">
      <c r="A1748">
        <v>194</v>
      </c>
      <c r="B1748">
        <f t="shared" ca="1" si="27"/>
        <v>25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8" t="str">
        <f ca="1">IF(dict_zuord_Transfers_Storages[[#This Row],[kval_active]],dict_zuord_Transfers_Storages[[#This Row],[ID_Storages]],"")</f>
        <v/>
      </c>
    </row>
    <row r="1749" spans="1:4" x14ac:dyDescent="0.45">
      <c r="A1749">
        <v>194</v>
      </c>
      <c r="B1749">
        <f t="shared" ca="1" si="27"/>
        <v>35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9" t="str">
        <f ca="1">IF(dict_zuord_Transfers_Storages[[#This Row],[kval_active]],dict_zuord_Transfers_Storages[[#This Row],[ID_Storages]],"")</f>
        <v/>
      </c>
    </row>
    <row r="1750" spans="1:4" x14ac:dyDescent="0.45">
      <c r="A1750">
        <v>194</v>
      </c>
      <c r="B1750">
        <f t="shared" ca="1" si="27"/>
        <v>29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0" t="str">
        <f ca="1">IF(dict_zuord_Transfers_Storages[[#This Row],[kval_active]],dict_zuord_Transfers_Storages[[#This Row],[ID_Storages]],"")</f>
        <v/>
      </c>
    </row>
    <row r="1751" spans="1:4" x14ac:dyDescent="0.45">
      <c r="A1751">
        <v>194</v>
      </c>
      <c r="B1751">
        <f t="shared" ca="1" si="27"/>
        <v>25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1" t="str">
        <f ca="1">IF(dict_zuord_Transfers_Storages[[#This Row],[kval_active]],dict_zuord_Transfers_Storages[[#This Row],[ID_Storages]],"")</f>
        <v/>
      </c>
    </row>
    <row r="1752" spans="1:4" x14ac:dyDescent="0.45">
      <c r="A1752">
        <v>194</v>
      </c>
      <c r="B1752">
        <f t="shared" ca="1" si="27"/>
        <v>20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2" t="str">
        <f ca="1">IF(dict_zuord_Transfers_Storages[[#This Row],[kval_active]],dict_zuord_Transfers_Storages[[#This Row],[ID_Storages]],"")</f>
        <v/>
      </c>
    </row>
    <row r="1753" spans="1:4" x14ac:dyDescent="0.45">
      <c r="A1753">
        <v>194</v>
      </c>
      <c r="B1753">
        <f t="shared" ca="1" si="27"/>
        <v>65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3" t="str">
        <f ca="1">IF(dict_zuord_Transfers_Storages[[#This Row],[kval_active]],dict_zuord_Transfers_Storages[[#This Row],[ID_Storages]],"")</f>
        <v/>
      </c>
    </row>
    <row r="1754" spans="1:4" x14ac:dyDescent="0.45">
      <c r="A1754">
        <v>194</v>
      </c>
      <c r="B1754">
        <f t="shared" ca="1" si="27"/>
        <v>69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4" t="str">
        <f ca="1">IF(dict_zuord_Transfers_Storages[[#This Row],[kval_active]],dict_zuord_Transfers_Storages[[#This Row],[ID_Storages]],"")</f>
        <v/>
      </c>
    </row>
    <row r="1755" spans="1:4" x14ac:dyDescent="0.45">
      <c r="A1755">
        <v>194</v>
      </c>
      <c r="B1755">
        <f t="shared" ca="1" si="27"/>
        <v>20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5" t="str">
        <f ca="1">IF(dict_zuord_Transfers_Storages[[#This Row],[kval_active]],dict_zuord_Transfers_Storages[[#This Row],[ID_Storages]],"")</f>
        <v/>
      </c>
    </row>
    <row r="1756" spans="1:4" x14ac:dyDescent="0.45">
      <c r="A1756">
        <v>194</v>
      </c>
      <c r="B1756">
        <f t="shared" ca="1" si="27"/>
        <v>77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6" t="str">
        <f ca="1">IF(dict_zuord_Transfers_Storages[[#This Row],[kval_active]],dict_zuord_Transfers_Storages[[#This Row],[ID_Storages]],"")</f>
        <v/>
      </c>
    </row>
    <row r="1757" spans="1:4" x14ac:dyDescent="0.45">
      <c r="A1757">
        <v>195</v>
      </c>
      <c r="B1757">
        <f t="shared" ca="1" si="27"/>
        <v>24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7" t="str">
        <f ca="1">IF(dict_zuord_Transfers_Storages[[#This Row],[kval_active]],dict_zuord_Transfers_Storages[[#This Row],[ID_Storages]],"")</f>
        <v/>
      </c>
    </row>
    <row r="1758" spans="1:4" x14ac:dyDescent="0.45">
      <c r="A1758">
        <v>195</v>
      </c>
      <c r="B1758">
        <f t="shared" ca="1" si="27"/>
        <v>56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8" t="str">
        <f ca="1">IF(dict_zuord_Transfers_Storages[[#This Row],[kval_active]],dict_zuord_Transfers_Storages[[#This Row],[ID_Storages]],"")</f>
        <v/>
      </c>
    </row>
    <row r="1759" spans="1:4" x14ac:dyDescent="0.45">
      <c r="A1759">
        <v>195</v>
      </c>
      <c r="B1759">
        <f t="shared" ca="1" si="27"/>
        <v>67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9" t="str">
        <f ca="1">IF(dict_zuord_Transfers_Storages[[#This Row],[kval_active]],dict_zuord_Transfers_Storages[[#This Row],[ID_Storages]],"")</f>
        <v/>
      </c>
    </row>
    <row r="1760" spans="1:4" x14ac:dyDescent="0.45">
      <c r="A1760">
        <v>195</v>
      </c>
      <c r="B1760">
        <f t="shared" ca="1" si="27"/>
        <v>45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0" t="str">
        <f ca="1">IF(dict_zuord_Transfers_Storages[[#This Row],[kval_active]],dict_zuord_Transfers_Storages[[#This Row],[ID_Storages]],"")</f>
        <v/>
      </c>
    </row>
    <row r="1761" spans="1:4" x14ac:dyDescent="0.45">
      <c r="A1761">
        <v>195</v>
      </c>
      <c r="B1761">
        <f t="shared" ca="1" si="27"/>
        <v>40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1" t="str">
        <f ca="1">IF(dict_zuord_Transfers_Storages[[#This Row],[kval_active]],dict_zuord_Transfers_Storages[[#This Row],[ID_Storages]],"")</f>
        <v/>
      </c>
    </row>
    <row r="1762" spans="1:4" x14ac:dyDescent="0.45">
      <c r="A1762">
        <v>195</v>
      </c>
      <c r="B1762">
        <f t="shared" ca="1" si="27"/>
        <v>4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2" t="str">
        <f ca="1">IF(dict_zuord_Transfers_Storages[[#This Row],[kval_active]],dict_zuord_Transfers_Storages[[#This Row],[ID_Storages]],"")</f>
        <v/>
      </c>
    </row>
    <row r="1763" spans="1:4" x14ac:dyDescent="0.45">
      <c r="A1763">
        <v>195</v>
      </c>
      <c r="B1763">
        <f t="shared" ca="1" si="27"/>
        <v>70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3" t="str">
        <f ca="1">IF(dict_zuord_Transfers_Storages[[#This Row],[kval_active]],dict_zuord_Transfers_Storages[[#This Row],[ID_Storages]],"")</f>
        <v/>
      </c>
    </row>
    <row r="1764" spans="1:4" x14ac:dyDescent="0.45">
      <c r="A1764">
        <v>195</v>
      </c>
      <c r="B1764">
        <f t="shared" ca="1" si="27"/>
        <v>77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4" t="str">
        <f ca="1">IF(dict_zuord_Transfers_Storages[[#This Row],[kval_active]],dict_zuord_Transfers_Storages[[#This Row],[ID_Storages]],"")</f>
        <v/>
      </c>
    </row>
    <row r="1765" spans="1:4" x14ac:dyDescent="0.45">
      <c r="A1765">
        <v>195</v>
      </c>
      <c r="B1765">
        <f t="shared" ca="1" si="27"/>
        <v>91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5" t="str">
        <f ca="1">IF(dict_zuord_Transfers_Storages[[#This Row],[kval_active]],dict_zuord_Transfers_Storages[[#This Row],[ID_Storages]],"")</f>
        <v/>
      </c>
    </row>
    <row r="1766" spans="1:4" x14ac:dyDescent="0.45">
      <c r="A1766">
        <v>196</v>
      </c>
      <c r="B1766">
        <f t="shared" ca="1" si="27"/>
        <v>46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46</v>
      </c>
    </row>
    <row r="1767" spans="1:4" x14ac:dyDescent="0.45">
      <c r="A1767">
        <v>196</v>
      </c>
      <c r="B1767">
        <f t="shared" ca="1" si="27"/>
        <v>13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13</v>
      </c>
    </row>
    <row r="1768" spans="1:4" x14ac:dyDescent="0.45">
      <c r="A1768">
        <v>196</v>
      </c>
      <c r="B1768">
        <f t="shared" ca="1" si="27"/>
        <v>12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12</v>
      </c>
    </row>
    <row r="1769" spans="1:4" x14ac:dyDescent="0.45">
      <c r="A1769">
        <v>196</v>
      </c>
      <c r="B1769">
        <f t="shared" ca="1" si="27"/>
        <v>9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9</v>
      </c>
    </row>
    <row r="1770" spans="1:4" x14ac:dyDescent="0.45">
      <c r="A1770">
        <v>196</v>
      </c>
      <c r="B1770">
        <f t="shared" ca="1" si="27"/>
        <v>92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92</v>
      </c>
    </row>
    <row r="1771" spans="1:4" x14ac:dyDescent="0.45">
      <c r="A1771">
        <v>196</v>
      </c>
      <c r="B1771">
        <f t="shared" ca="1" si="27"/>
        <v>33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33</v>
      </c>
    </row>
    <row r="1772" spans="1:4" x14ac:dyDescent="0.45">
      <c r="A1772">
        <v>196</v>
      </c>
      <c r="B1772">
        <f t="shared" ca="1" si="27"/>
        <v>0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0</v>
      </c>
    </row>
    <row r="1773" spans="1:4" x14ac:dyDescent="0.45">
      <c r="A1773">
        <v>196</v>
      </c>
      <c r="B1773">
        <f t="shared" ca="1" si="27"/>
        <v>27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27</v>
      </c>
    </row>
    <row r="1774" spans="1:4" x14ac:dyDescent="0.45">
      <c r="A1774">
        <v>196</v>
      </c>
      <c r="B1774">
        <f t="shared" ca="1" si="27"/>
        <v>24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24</v>
      </c>
    </row>
    <row r="1775" spans="1:4" x14ac:dyDescent="0.45">
      <c r="A1775">
        <v>197</v>
      </c>
      <c r="B1775">
        <f t="shared" ca="1" si="27"/>
        <v>6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5" t="str">
        <f ca="1">IF(dict_zuord_Transfers_Storages[[#This Row],[kval_active]],dict_zuord_Transfers_Storages[[#This Row],[ID_Storages]],"")</f>
        <v/>
      </c>
    </row>
    <row r="1776" spans="1:4" x14ac:dyDescent="0.45">
      <c r="A1776">
        <v>197</v>
      </c>
      <c r="B1776">
        <f t="shared" ca="1" si="27"/>
        <v>34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6" t="str">
        <f ca="1">IF(dict_zuord_Transfers_Storages[[#This Row],[kval_active]],dict_zuord_Transfers_Storages[[#This Row],[ID_Storages]],"")</f>
        <v/>
      </c>
    </row>
    <row r="1777" spans="1:4" x14ac:dyDescent="0.45">
      <c r="A1777">
        <v>197</v>
      </c>
      <c r="B1777">
        <f t="shared" ca="1" si="27"/>
        <v>23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7" t="str">
        <f ca="1">IF(dict_zuord_Transfers_Storages[[#This Row],[kval_active]],dict_zuord_Transfers_Storages[[#This Row],[ID_Storages]],"")</f>
        <v/>
      </c>
    </row>
    <row r="1778" spans="1:4" x14ac:dyDescent="0.45">
      <c r="A1778">
        <v>197</v>
      </c>
      <c r="B1778">
        <f t="shared" ca="1" si="27"/>
        <v>14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8" t="str">
        <f ca="1">IF(dict_zuord_Transfers_Storages[[#This Row],[kval_active]],dict_zuord_Transfers_Storages[[#This Row],[ID_Storages]],"")</f>
        <v/>
      </c>
    </row>
    <row r="1779" spans="1:4" x14ac:dyDescent="0.45">
      <c r="A1779">
        <v>197</v>
      </c>
      <c r="B1779">
        <f t="shared" ca="1" si="27"/>
        <v>33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9" t="str">
        <f ca="1">IF(dict_zuord_Transfers_Storages[[#This Row],[kval_active]],dict_zuord_Transfers_Storages[[#This Row],[ID_Storages]],"")</f>
        <v/>
      </c>
    </row>
    <row r="1780" spans="1:4" x14ac:dyDescent="0.45">
      <c r="A1780">
        <v>197</v>
      </c>
      <c r="B1780">
        <f t="shared" ca="1" si="27"/>
        <v>27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0" t="str">
        <f ca="1">IF(dict_zuord_Transfers_Storages[[#This Row],[kval_active]],dict_zuord_Transfers_Storages[[#This Row],[ID_Storages]],"")</f>
        <v/>
      </c>
    </row>
    <row r="1781" spans="1:4" x14ac:dyDescent="0.45">
      <c r="A1781">
        <v>197</v>
      </c>
      <c r="B1781">
        <f t="shared" ca="1" si="27"/>
        <v>69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1" t="str">
        <f ca="1">IF(dict_zuord_Transfers_Storages[[#This Row],[kval_active]],dict_zuord_Transfers_Storages[[#This Row],[ID_Storages]],"")</f>
        <v/>
      </c>
    </row>
    <row r="1782" spans="1:4" x14ac:dyDescent="0.45">
      <c r="A1782">
        <v>197</v>
      </c>
      <c r="B1782">
        <f t="shared" ca="1" si="27"/>
        <v>93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2" t="str">
        <f ca="1">IF(dict_zuord_Transfers_Storages[[#This Row],[kval_active]],dict_zuord_Transfers_Storages[[#This Row],[ID_Storages]],"")</f>
        <v/>
      </c>
    </row>
    <row r="1783" spans="1:4" x14ac:dyDescent="0.45">
      <c r="A1783">
        <v>197</v>
      </c>
      <c r="B1783">
        <f t="shared" ca="1" si="27"/>
        <v>100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3" t="str">
        <f ca="1">IF(dict_zuord_Transfers_Storages[[#This Row],[kval_active]],dict_zuord_Transfers_Storages[[#This Row],[ID_Storages]],"")</f>
        <v/>
      </c>
    </row>
    <row r="1784" spans="1:4" x14ac:dyDescent="0.45">
      <c r="A1784">
        <v>198</v>
      </c>
      <c r="B1784">
        <f t="shared" ca="1" si="27"/>
        <v>79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4" t="str">
        <f ca="1">IF(dict_zuord_Transfers_Storages[[#This Row],[kval_active]],dict_zuord_Transfers_Storages[[#This Row],[ID_Storages]],"")</f>
        <v/>
      </c>
    </row>
    <row r="1785" spans="1:4" x14ac:dyDescent="0.45">
      <c r="A1785">
        <v>198</v>
      </c>
      <c r="B1785">
        <f t="shared" ca="1" si="27"/>
        <v>58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5" t="str">
        <f ca="1">IF(dict_zuord_Transfers_Storages[[#This Row],[kval_active]],dict_zuord_Transfers_Storages[[#This Row],[ID_Storages]],"")</f>
        <v/>
      </c>
    </row>
    <row r="1786" spans="1:4" x14ac:dyDescent="0.45">
      <c r="A1786">
        <v>198</v>
      </c>
      <c r="B1786">
        <f t="shared" ca="1" si="27"/>
        <v>81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6" t="str">
        <f ca="1">IF(dict_zuord_Transfers_Storages[[#This Row],[kval_active]],dict_zuord_Transfers_Storages[[#This Row],[ID_Storages]],"")</f>
        <v/>
      </c>
    </row>
    <row r="1787" spans="1:4" x14ac:dyDescent="0.45">
      <c r="A1787">
        <v>198</v>
      </c>
      <c r="B1787">
        <f t="shared" ca="1" si="27"/>
        <v>27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7" t="str">
        <f ca="1">IF(dict_zuord_Transfers_Storages[[#This Row],[kval_active]],dict_zuord_Transfers_Storages[[#This Row],[ID_Storages]],"")</f>
        <v/>
      </c>
    </row>
    <row r="1788" spans="1:4" x14ac:dyDescent="0.45">
      <c r="A1788">
        <v>198</v>
      </c>
      <c r="B1788">
        <f t="shared" ca="1" si="27"/>
        <v>49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8" t="str">
        <f ca="1">IF(dict_zuord_Transfers_Storages[[#This Row],[kval_active]],dict_zuord_Transfers_Storages[[#This Row],[ID_Storages]],"")</f>
        <v/>
      </c>
    </row>
    <row r="1789" spans="1:4" x14ac:dyDescent="0.45">
      <c r="A1789">
        <v>198</v>
      </c>
      <c r="B1789">
        <f t="shared" ca="1" si="27"/>
        <v>80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9" t="str">
        <f ca="1">IF(dict_zuord_Transfers_Storages[[#This Row],[kval_active]],dict_zuord_Transfers_Storages[[#This Row],[ID_Storages]],"")</f>
        <v/>
      </c>
    </row>
    <row r="1790" spans="1:4" x14ac:dyDescent="0.45">
      <c r="A1790">
        <v>198</v>
      </c>
      <c r="B1790">
        <f t="shared" ca="1" si="27"/>
        <v>61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0" t="str">
        <f ca="1">IF(dict_zuord_Transfers_Storages[[#This Row],[kval_active]],dict_zuord_Transfers_Storages[[#This Row],[ID_Storages]],"")</f>
        <v/>
      </c>
    </row>
    <row r="1791" spans="1:4" x14ac:dyDescent="0.45">
      <c r="A1791">
        <v>198</v>
      </c>
      <c r="B1791">
        <f t="shared" ca="1" si="27"/>
        <v>62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1" t="str">
        <f ca="1">IF(dict_zuord_Transfers_Storages[[#This Row],[kval_active]],dict_zuord_Transfers_Storages[[#This Row],[ID_Storages]],"")</f>
        <v/>
      </c>
    </row>
    <row r="1792" spans="1:4" x14ac:dyDescent="0.45">
      <c r="A1792">
        <v>198</v>
      </c>
      <c r="B1792">
        <f t="shared" ca="1" si="27"/>
        <v>82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2" t="str">
        <f ca="1">IF(dict_zuord_Transfers_Storages[[#This Row],[kval_active]],dict_zuord_Transfers_Storages[[#This Row],[ID_Storages]],"")</f>
        <v/>
      </c>
    </row>
    <row r="1793" spans="1:4" x14ac:dyDescent="0.45">
      <c r="A1793">
        <v>199</v>
      </c>
      <c r="B1793">
        <f t="shared" ca="1" si="27"/>
        <v>88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88</v>
      </c>
    </row>
    <row r="1794" spans="1:4" x14ac:dyDescent="0.45">
      <c r="A1794">
        <v>199</v>
      </c>
      <c r="B1794">
        <f t="shared" ref="B1794:B1810" ca="1" si="28">RANDBETWEEN(0,100)</f>
        <v>92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92</v>
      </c>
    </row>
    <row r="1795" spans="1:4" x14ac:dyDescent="0.45">
      <c r="A1795">
        <v>199</v>
      </c>
      <c r="B1795">
        <f t="shared" ca="1" si="28"/>
        <v>1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1</v>
      </c>
    </row>
    <row r="1796" spans="1:4" x14ac:dyDescent="0.45">
      <c r="A1796">
        <v>199</v>
      </c>
      <c r="B1796">
        <f t="shared" ca="1" si="28"/>
        <v>41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41</v>
      </c>
    </row>
    <row r="1797" spans="1:4" x14ac:dyDescent="0.45">
      <c r="A1797">
        <v>199</v>
      </c>
      <c r="B1797">
        <f t="shared" ca="1" si="28"/>
        <v>49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49</v>
      </c>
    </row>
    <row r="1798" spans="1:4" x14ac:dyDescent="0.45">
      <c r="A1798">
        <v>199</v>
      </c>
      <c r="B1798">
        <f t="shared" ca="1" si="28"/>
        <v>52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52</v>
      </c>
    </row>
    <row r="1799" spans="1:4" x14ac:dyDescent="0.45">
      <c r="A1799">
        <v>199</v>
      </c>
      <c r="B1799">
        <f t="shared" ca="1" si="28"/>
        <v>23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23</v>
      </c>
    </row>
    <row r="1800" spans="1:4" x14ac:dyDescent="0.45">
      <c r="A1800">
        <v>199</v>
      </c>
      <c r="B1800">
        <f t="shared" ca="1" si="28"/>
        <v>80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80</v>
      </c>
    </row>
    <row r="1801" spans="1:4" x14ac:dyDescent="0.45">
      <c r="A1801">
        <v>199</v>
      </c>
      <c r="B1801">
        <f t="shared" ca="1" si="28"/>
        <v>1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1</v>
      </c>
    </row>
    <row r="1802" spans="1:4" x14ac:dyDescent="0.45">
      <c r="A1802">
        <v>200</v>
      </c>
      <c r="B1802">
        <f t="shared" ca="1" si="28"/>
        <v>30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2" t="str">
        <f ca="1">IF(dict_zuord_Transfers_Storages[[#This Row],[kval_active]],dict_zuord_Transfers_Storages[[#This Row],[ID_Storages]],"")</f>
        <v/>
      </c>
    </row>
    <row r="1803" spans="1:4" x14ac:dyDescent="0.45">
      <c r="A1803">
        <v>200</v>
      </c>
      <c r="B1803">
        <f t="shared" ca="1" si="28"/>
        <v>41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3" t="str">
        <f ca="1">IF(dict_zuord_Transfers_Storages[[#This Row],[kval_active]],dict_zuord_Transfers_Storages[[#This Row],[ID_Storages]],"")</f>
        <v/>
      </c>
    </row>
    <row r="1804" spans="1:4" x14ac:dyDescent="0.45">
      <c r="A1804">
        <v>200</v>
      </c>
      <c r="B1804">
        <f t="shared" ca="1" si="28"/>
        <v>68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4" t="str">
        <f ca="1">IF(dict_zuord_Transfers_Storages[[#This Row],[kval_active]],dict_zuord_Transfers_Storages[[#This Row],[ID_Storages]],"")</f>
        <v/>
      </c>
    </row>
    <row r="1805" spans="1:4" x14ac:dyDescent="0.45">
      <c r="A1805">
        <v>200</v>
      </c>
      <c r="B1805">
        <f t="shared" ca="1" si="28"/>
        <v>70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5" t="str">
        <f ca="1">IF(dict_zuord_Transfers_Storages[[#This Row],[kval_active]],dict_zuord_Transfers_Storages[[#This Row],[ID_Storages]],"")</f>
        <v/>
      </c>
    </row>
    <row r="1806" spans="1:4" x14ac:dyDescent="0.45">
      <c r="A1806">
        <v>200</v>
      </c>
      <c r="B1806">
        <f t="shared" ca="1" si="28"/>
        <v>54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6" t="str">
        <f ca="1">IF(dict_zuord_Transfers_Storages[[#This Row],[kval_active]],dict_zuord_Transfers_Storages[[#This Row],[ID_Storages]],"")</f>
        <v/>
      </c>
    </row>
    <row r="1807" spans="1:4" x14ac:dyDescent="0.45">
      <c r="A1807">
        <v>200</v>
      </c>
      <c r="B1807">
        <f t="shared" ca="1" si="28"/>
        <v>43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7" t="str">
        <f ca="1">IF(dict_zuord_Transfers_Storages[[#This Row],[kval_active]],dict_zuord_Transfers_Storages[[#This Row],[ID_Storages]],"")</f>
        <v/>
      </c>
    </row>
    <row r="1808" spans="1:4" x14ac:dyDescent="0.45">
      <c r="A1808">
        <v>200</v>
      </c>
      <c r="B1808">
        <f t="shared" ca="1" si="28"/>
        <v>58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8" t="str">
        <f ca="1">IF(dict_zuord_Transfers_Storages[[#This Row],[kval_active]],dict_zuord_Transfers_Storages[[#This Row],[ID_Storages]],"")</f>
        <v/>
      </c>
    </row>
    <row r="1809" spans="1:4" x14ac:dyDescent="0.45">
      <c r="A1809">
        <v>200</v>
      </c>
      <c r="B1809">
        <f t="shared" ca="1" si="28"/>
        <v>83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9" t="str">
        <f ca="1">IF(dict_zuord_Transfers_Storages[[#This Row],[kval_active]],dict_zuord_Transfers_Storages[[#This Row],[ID_Storages]],"")</f>
        <v/>
      </c>
    </row>
    <row r="1810" spans="1:4" x14ac:dyDescent="0.45">
      <c r="A1810">
        <v>200</v>
      </c>
      <c r="B1810">
        <f t="shared" ca="1" si="28"/>
        <v>54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0" t="str">
        <f ca="1">IF(dict_zuord_Transfers_Storages[[#This Row],[kval_active]],dict_zuord_Transfers_Storages[[#This Row],[ID_Storages]],"")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topLeftCell="A61" workbookViewId="0">
      <selection activeCell="B77" sqref="B77"/>
    </sheetView>
    <sheetView workbookViewId="1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1000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600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1000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" spans="1:3" x14ac:dyDescent="0.45">
      <c r="A9">
        <f>IFERROR(table_DataQualities[ID],"")</f>
        <v>7</v>
      </c>
      <c r="B9">
        <f ca="1">IFERROR(table_DataQualities[unit_ID],"")</f>
        <v>1000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" spans="1:3" x14ac:dyDescent="0.45">
      <c r="A11">
        <f>IFERROR(table_DataQualities[ID],"")</f>
        <v>9</v>
      </c>
      <c r="B11">
        <f ca="1">IFERROR(table_DataQualities[unit_ID],"")</f>
        <v>500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" spans="1:3" x14ac:dyDescent="0.45">
      <c r="A13">
        <f>IFERROR(table_DataQualities[ID],"")</f>
        <v>11</v>
      </c>
      <c r="B13">
        <f ca="1">IFERROR(table_DataQualities[unit_ID],"")</f>
        <v>900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" spans="1:3" x14ac:dyDescent="0.45">
      <c r="A15">
        <f>IFERROR(table_DataQualities[ID],"")</f>
        <v>13</v>
      </c>
      <c r="B15">
        <f ca="1">IFERROR(table_DataQualities[unit_ID],"")</f>
        <v>1000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" spans="1:3" x14ac:dyDescent="0.45">
      <c r="A17">
        <f>IFERROR(table_DataQualities[ID],"")</f>
        <v>15</v>
      </c>
      <c r="B17">
        <f ca="1">IFERROR(table_DataQualities[unit_ID],"")</f>
        <v>800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" spans="1:3" x14ac:dyDescent="0.45">
      <c r="A19">
        <f>IFERROR(table_DataQualities[ID],"")</f>
        <v>17</v>
      </c>
      <c r="B19">
        <f ca="1">IFERROR(table_DataQualities[unit_ID],"")</f>
        <v>700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" spans="1:3" x14ac:dyDescent="0.45">
      <c r="A21">
        <f>IFERROR(table_DataQualities[ID],"")</f>
        <v>19</v>
      </c>
      <c r="B21">
        <f ca="1">IFERROR(table_DataQualities[unit_ID],"")</f>
        <v>500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21</v>
      </c>
      <c r="B23">
        <f ca="1">IFERROR(table_DataQualities[unit_ID],"")</f>
        <v>700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>
        <f>IFERROR(table_DataQualities[ID],"")</f>
        <v>23</v>
      </c>
      <c r="B25">
        <f ca="1">IFERROR(table_DataQualities[unit_ID],"")</f>
        <v>900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>
        <f>IFERROR(table_DataQualities[ID],"")</f>
        <v>25</v>
      </c>
      <c r="B27">
        <f ca="1">IFERROR(table_DataQualities[unit_ID],"")</f>
        <v>800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>
        <f>IFERROR(table_DataQualities[ID],"")</f>
        <v>27</v>
      </c>
      <c r="B29">
        <f ca="1">IFERROR(table_DataQualities[unit_ID],"")</f>
        <v>800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>
        <f>IFERROR(table_DataQualities[ID],"")</f>
        <v>29</v>
      </c>
      <c r="B31">
        <f ca="1">IFERROR(table_DataQualities[unit_ID],"")</f>
        <v>800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600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800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600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900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700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600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700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900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1000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1000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900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1000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1000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500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700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1000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800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1000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500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600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800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500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1000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700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700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500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700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900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500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1000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900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900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700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1000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900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700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500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900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800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500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600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700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600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500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1000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900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700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500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700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900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800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900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1000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1000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700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700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1000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800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700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1000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500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500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700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500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500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1000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1000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1000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900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500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1000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900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1000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600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1000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700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700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700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600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600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1000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700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600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700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500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700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500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600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500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900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600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500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1000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1000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900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1000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900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900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800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700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600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1000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700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800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800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500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900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900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600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700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1000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700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500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800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900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700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600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500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900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1000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1000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800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800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700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800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1000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700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1000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900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1000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500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1000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600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1000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700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600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500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800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900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800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500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500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800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600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1000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800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1000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1000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600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500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800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800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900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600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600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800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800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1000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800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1000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500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800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900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600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600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900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900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600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700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800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900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600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500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900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600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1000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800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700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500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500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700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500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1000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1000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500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700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>
      <selection activeCell="L1" sqref="L1:M3"/>
    </sheetView>
    <sheetView workbookViewId="1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0.83899999999999997</v>
      </c>
      <c r="M2">
        <f ca="1">VLOOKUP($A2,table_DataQualities!$A:$I,9,FALSE)</f>
        <v>7500.9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3" s="9" t="str">
        <f ca="1">VLOOKUP(VLOOKUP(dict_DQ_Meth_max_deprecated[[#This Row],[ID_DataQualities]],table_DataQualities[],3),table_Units[],2)</f>
        <v>bit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82</v>
      </c>
      <c r="M3">
        <f ca="1">VLOOKUP($A3,table_DataQualities!$A:$I,9,FALSE)</f>
        <v>9766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0.83899999999999997</v>
      </c>
      <c r="M4">
        <f ca="1">VLOOKUP($A4,table_DataQualities!$A:$I,9,FALSE)</f>
        <v>7500.9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</v>
      </c>
      <c r="H5" s="9" t="str">
        <f ca="1">VLOOKUP(VLOOKUP(dict_DQ_Meth_max_deprecated[[#This Row],[ID_DataQualities]],table_DataQualities[],3),table_Units[],2)</f>
        <v>bit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82</v>
      </c>
      <c r="M5">
        <f ca="1">VLOOKUP($A5,table_DataQualities!$A:$I,9,FALSE)</f>
        <v>9766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0.70799999999999996</v>
      </c>
      <c r="M6">
        <f ca="1">VLOOKUP($A6,table_DataQualities!$A:$I,9,FALSE)</f>
        <v>3277.5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W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9.1999999999999998E-2</v>
      </c>
      <c r="M7">
        <f ca="1">VLOOKUP($A7,table_DataQualities!$A:$I,9,FALSE)</f>
        <v>3.48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0.80300000000000005</v>
      </c>
      <c r="M8">
        <f ca="1">VLOOKUP($A8,table_DataQualities!$A:$I,9,FALSE)</f>
        <v>1241.4000000000001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mm</v>
      </c>
      <c r="L9">
        <f ca="1">VLOOKUP(dict_DQ_Meth_max_deprecated[[#This Row],[ID_DataQualities]],table_DataQualities!$A:$I,8,FALSE)</f>
        <v>4.2999999999999997E-2</v>
      </c>
      <c r="M9">
        <f ca="1">VLOOKUP($A9,table_DataQualities!$A:$I,9,FALSE)</f>
        <v>7.69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0.70799999999999996</v>
      </c>
      <c r="M10">
        <f ca="1">VLOOKUP($A10,table_DataQualities!$A:$I,9,FALSE)</f>
        <v>3277.5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W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9.1999999999999998E-2</v>
      </c>
      <c r="M11">
        <f ca="1">VLOOKUP($A11,table_DataQualities!$A:$I,9,FALSE)</f>
        <v>3.48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0.80300000000000005</v>
      </c>
      <c r="M12">
        <f ca="1">VLOOKUP($A12,table_DataQualities!$A:$I,9,FALSE)</f>
        <v>1241.4000000000001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mm</v>
      </c>
      <c r="L13">
        <f ca="1">VLOOKUP(dict_DQ_Meth_max_deprecated[[#This Row],[ID_DataQualities]],table_DataQualities!$A:$I,8,FALSE)</f>
        <v>4.2999999999999997E-2</v>
      </c>
      <c r="M13">
        <f ca="1">VLOOKUP($A13,table_DataQualities!$A:$I,9,FALSE)</f>
        <v>7.69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0.83899999999999997</v>
      </c>
      <c r="M14">
        <f ca="1">VLOOKUP($A14,table_DataQualities!$A:$I,9,FALSE)</f>
        <v>7500.9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5" s="9" t="str">
        <f ca="1">VLOOKUP(VLOOKUP(dict_DQ_Meth_max_deprecated[[#This Row],[ID_DataQualities]],table_DataQualities[],3),table_Units[],2)</f>
        <v>bit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82</v>
      </c>
      <c r="M15">
        <f ca="1">VLOOKUP($A15,table_DataQualities!$A:$I,9,FALSE)</f>
        <v>9766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0.70799999999999996</v>
      </c>
      <c r="M16">
        <f ca="1">VLOOKUP($A16,table_DataQualities!$A:$I,9,FALSE)</f>
        <v>3277.5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W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9.1999999999999998E-2</v>
      </c>
      <c r="M17">
        <f ca="1">VLOOKUP($A17,table_DataQualities!$A:$I,9,FALSE)</f>
        <v>3.48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0.80300000000000005</v>
      </c>
      <c r="M18">
        <f ca="1">VLOOKUP($A18,table_DataQualities!$A:$I,9,FALSE)</f>
        <v>1241.4000000000001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mm</v>
      </c>
      <c r="L19">
        <f ca="1">VLOOKUP(dict_DQ_Meth_max_deprecated[[#This Row],[ID_DataQualities]],table_DataQualities!$A:$I,8,FALSE)</f>
        <v>4.2999999999999997E-2</v>
      </c>
      <c r="M19">
        <f ca="1">VLOOKUP($A19,table_DataQualities!$A:$I,9,FALSE)</f>
        <v>7.69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0.57199999999999995</v>
      </c>
      <c r="M20">
        <f ca="1">VLOOKUP($A20,table_DataQualities!$A:$I,9,FALSE)</f>
        <v>6939.4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21" s="9" t="str">
        <f ca="1">VLOOKUP(VLOOKUP(dict_DQ_Meth_max_deprecated[[#This Row],[ID_DataQualities]],table_DataQualities[],3),table_Units[],2)</f>
        <v>bit</v>
      </c>
      <c r="L21">
        <f ca="1">VLOOKUP(dict_DQ_Meth_max_deprecated[[#This Row],[ID_DataQualities]],table_DataQualities!$A:$I,8,FALSE)</f>
        <v>80</v>
      </c>
      <c r="M21">
        <f ca="1">VLOOKUP($A21,table_DataQualities!$A:$I,9,FALSE)</f>
        <v>7519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0.57199999999999995</v>
      </c>
      <c r="M22">
        <f ca="1">VLOOKUP($A22,table_DataQualities!$A:$I,9,FALSE)</f>
        <v>6939.4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400</v>
      </c>
      <c r="H23" s="9" t="str">
        <f ca="1">VLOOKUP(VLOOKUP(dict_DQ_Meth_max_deprecated[[#This Row],[ID_DataQualities]],table_DataQualities[],3),table_Units[],2)</f>
        <v>bit</v>
      </c>
      <c r="L23">
        <f ca="1">VLOOKUP(dict_DQ_Meth_max_deprecated[[#This Row],[ID_DataQualities]],table_DataQualities!$A:$I,8,FALSE)</f>
        <v>80</v>
      </c>
      <c r="M23">
        <f ca="1">VLOOKUP($A23,table_DataQualities!$A:$I,9,FALSE)</f>
        <v>7519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0.63900000000000001</v>
      </c>
      <c r="M24">
        <f ca="1">VLOOKUP($A24,table_DataQualities!$A:$I,9,FALSE)</f>
        <v>4141.1000000000004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°C</v>
      </c>
      <c r="L25">
        <f ca="1">VLOOKUP(dict_DQ_Meth_max_deprecated[[#This Row],[ID_DataQualities]],table_DataQualities!$A:$I,8,FALSE)</f>
        <v>0.7</v>
      </c>
      <c r="M25">
        <f ca="1">VLOOKUP($A25,table_DataQualities!$A:$I,9,FALSE)</f>
        <v>10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0.63900000000000001</v>
      </c>
      <c r="M26">
        <f ca="1">VLOOKUP($A26,table_DataQualities!$A:$I,9,FALSE)</f>
        <v>4141.1000000000004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°C</v>
      </c>
      <c r="L27">
        <f ca="1">VLOOKUP(dict_DQ_Meth_max_deprecated[[#This Row],[ID_DataQualities]],table_DataQualities!$A:$I,8,FALSE)</f>
        <v>0.7</v>
      </c>
      <c r="M27">
        <f ca="1">VLOOKUP($A27,table_DataQualities!$A:$I,9,FALSE)</f>
        <v>10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0.13900000000000001</v>
      </c>
      <c r="M28" s="3">
        <f ca="1">VLOOKUP($A28,table_DataQualities!$A:$I,9,FALSE)</f>
        <v>3795.4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29" s="9" t="str">
        <f ca="1">VLOOKUP(VLOOKUP(dict_DQ_Meth_max_deprecated[[#This Row],[ID_DataQualities]],table_DataQualities[],3),table_Units[],2)</f>
        <v>bit</v>
      </c>
      <c r="L29" s="3">
        <f ca="1">VLOOKUP(dict_DQ_Meth_max_deprecated[[#This Row],[ID_DataQualities]],table_DataQualities!$A:$I,8,FALSE)</f>
        <v>84</v>
      </c>
      <c r="M29" s="3">
        <f ca="1">VLOOKUP($A29,table_DataQualities!$A:$I,9,FALSE)</f>
        <v>1629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0.13900000000000001</v>
      </c>
      <c r="M30" s="3">
        <f ca="1">VLOOKUP($A30,table_DataQualities!$A:$I,9,FALSE)</f>
        <v>3795.4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1200</v>
      </c>
      <c r="H31" s="9" t="str">
        <f ca="1">VLOOKUP(VLOOKUP(dict_DQ_Meth_max_deprecated[[#This Row],[ID_DataQualities]],table_DataQualities[],3),table_Units[],2)</f>
        <v>bit</v>
      </c>
      <c r="L31" s="3">
        <f ca="1">VLOOKUP(dict_DQ_Meth_max_deprecated[[#This Row],[ID_DataQualities]],table_DataQualities!$A:$I,8,FALSE)</f>
        <v>84</v>
      </c>
      <c r="M31" s="3">
        <f ca="1">VLOOKUP($A31,table_DataQualities!$A:$I,9,FALSE)</f>
        <v>1629</v>
      </c>
    </row>
  </sheetData>
  <conditionalFormatting sqref="G1:G1048576">
    <cfRule type="cellIs" dxfId="21" priority="1" operator="greaterThan">
      <formula>$M1</formula>
    </cfRule>
    <cfRule type="cellIs" dxfId="20" priority="6" operator="lessThan">
      <formula>$F1</formula>
    </cfRule>
  </conditionalFormatting>
  <conditionalFormatting sqref="F1:F1048576">
    <cfRule type="cellIs" dxfId="1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6D389E-DBB6-467A-946C-55CFFE4063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2019-03-21T10:55:59Z</dcterms:modified>
</cp:coreProperties>
</file>