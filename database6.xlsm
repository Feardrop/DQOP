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queryTables/queryTable1.xml" ContentType="application/vnd.openxmlformats-officedocument.spreadsheetml.queryTable+xml"/>
  <Override PartName="/xl/tables/table21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1585" windowHeight="6165" firstSheet="4" activeTab="12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12" r:id="rId13"/>
    <sheet name="dict_zul_Var_Meth" sheetId="2" r:id="rId14"/>
    <sheet name="dict_zuord_Var_DQ" sheetId="9" r:id="rId15"/>
    <sheet name="dict_zuord_Meth_Pers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help_DQ_Meth" sheetId="23" r:id="rId21"/>
    <sheet name="Tabelle2" sheetId="24" r:id="rId22"/>
  </sheets>
  <definedNames>
    <definedName name="ExterneDaten_1" localSheetId="20" hidden="1">help_DQ_Meth!$A$1:$B$1505</definedName>
    <definedName name="ExterneDaten_1" localSheetId="21" hidden="1">Tabelle2!$A$1:$B$753</definedName>
    <definedName name="x">GET.WORKBOOK(1+0*NOW())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2" l="1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G3" i="23"/>
  <c r="F32" i="23"/>
  <c r="G32" i="23"/>
  <c r="F33" i="23"/>
  <c r="G33" i="23"/>
  <c r="F34" i="23"/>
  <c r="G34" i="23"/>
  <c r="F35" i="23"/>
  <c r="G35" i="23"/>
  <c r="F36" i="23"/>
  <c r="G36" i="23"/>
  <c r="F37" i="23"/>
  <c r="G37" i="23"/>
  <c r="F38" i="23"/>
  <c r="G38" i="23"/>
  <c r="F39" i="23"/>
  <c r="G39" i="23"/>
  <c r="F40" i="23"/>
  <c r="G40" i="23"/>
  <c r="F41" i="23"/>
  <c r="G41" i="23"/>
  <c r="F42" i="23"/>
  <c r="G42" i="23"/>
  <c r="F44" i="23"/>
  <c r="G44" i="23"/>
  <c r="F47" i="23"/>
  <c r="G47" i="23"/>
  <c r="F48" i="23"/>
  <c r="G48" i="23"/>
  <c r="F52" i="23"/>
  <c r="G52" i="23"/>
  <c r="F53" i="23"/>
  <c r="G53" i="23"/>
  <c r="F55" i="23"/>
  <c r="G55" i="23"/>
  <c r="F56" i="23"/>
  <c r="G56" i="23"/>
  <c r="F58" i="23"/>
  <c r="G58" i="23"/>
  <c r="F59" i="23"/>
  <c r="G59" i="23"/>
  <c r="F63" i="23"/>
  <c r="G63" i="23"/>
  <c r="F65" i="23"/>
  <c r="G65" i="23"/>
  <c r="F66" i="23"/>
  <c r="G66" i="23"/>
  <c r="F68" i="23"/>
  <c r="G68" i="23"/>
  <c r="F69" i="23"/>
  <c r="G69" i="23"/>
  <c r="F70" i="23"/>
  <c r="G70" i="23"/>
  <c r="F72" i="23"/>
  <c r="G72" i="23"/>
  <c r="F73" i="23"/>
  <c r="G73" i="23"/>
  <c r="F75" i="23"/>
  <c r="G75" i="23"/>
  <c r="F80" i="23"/>
  <c r="G80" i="23"/>
  <c r="F83" i="23"/>
  <c r="G83" i="23"/>
  <c r="F86" i="23"/>
  <c r="G86" i="23"/>
  <c r="F87" i="23"/>
  <c r="G87" i="23"/>
  <c r="F89" i="23"/>
  <c r="G89" i="23"/>
  <c r="F92" i="23"/>
  <c r="G92" i="23"/>
  <c r="F93" i="23"/>
  <c r="G93" i="23"/>
  <c r="F96" i="23"/>
  <c r="G96" i="23"/>
  <c r="F97" i="23"/>
  <c r="G97" i="23"/>
  <c r="F99" i="23"/>
  <c r="G99" i="23"/>
  <c r="F102" i="23"/>
  <c r="G102" i="23"/>
  <c r="F103" i="23"/>
  <c r="G103" i="23"/>
  <c r="F105" i="23"/>
  <c r="G105" i="23"/>
  <c r="F107" i="23"/>
  <c r="G107" i="23"/>
  <c r="F108" i="23"/>
  <c r="G108" i="23"/>
  <c r="F111" i="23"/>
  <c r="G111" i="23"/>
  <c r="F113" i="23"/>
  <c r="G113" i="23"/>
  <c r="F115" i="23"/>
  <c r="G115" i="23"/>
  <c r="F116" i="23"/>
  <c r="G116" i="23"/>
  <c r="F117" i="23"/>
  <c r="G117" i="23"/>
  <c r="F123" i="23"/>
  <c r="G123" i="23"/>
  <c r="F124" i="23"/>
  <c r="G124" i="23"/>
  <c r="F125" i="23"/>
  <c r="G125" i="23"/>
  <c r="F127" i="23"/>
  <c r="G127" i="23"/>
  <c r="F129" i="23"/>
  <c r="G129" i="23"/>
  <c r="F131" i="23"/>
  <c r="G131" i="23"/>
  <c r="F132" i="23"/>
  <c r="G132" i="23"/>
  <c r="F134" i="23"/>
  <c r="G134" i="23"/>
  <c r="F135" i="23"/>
  <c r="G135" i="23"/>
  <c r="F137" i="23"/>
  <c r="G137" i="23"/>
  <c r="F141" i="23"/>
  <c r="G141" i="23"/>
  <c r="F142" i="23"/>
  <c r="G142" i="23"/>
  <c r="F145" i="23"/>
  <c r="G145" i="23"/>
  <c r="F146" i="23"/>
  <c r="G146" i="23"/>
  <c r="F149" i="23"/>
  <c r="G149" i="23"/>
  <c r="F152" i="23"/>
  <c r="G152" i="23"/>
  <c r="F153" i="23"/>
  <c r="G153" i="23"/>
  <c r="F154" i="23"/>
  <c r="G154" i="23"/>
  <c r="F157" i="23"/>
  <c r="G157" i="23"/>
  <c r="F159" i="23"/>
  <c r="G159" i="23"/>
  <c r="F160" i="23"/>
  <c r="G160" i="23"/>
  <c r="F161" i="23"/>
  <c r="G161" i="23"/>
  <c r="F165" i="23"/>
  <c r="G165" i="23"/>
  <c r="F166" i="23"/>
  <c r="G166" i="23"/>
  <c r="F168" i="23"/>
  <c r="G168" i="23"/>
  <c r="F169" i="23"/>
  <c r="G169" i="23"/>
  <c r="F170" i="23"/>
  <c r="G170" i="23"/>
  <c r="F171" i="23"/>
  <c r="G171" i="23"/>
  <c r="F177" i="23"/>
  <c r="G177" i="23"/>
  <c r="F178" i="23"/>
  <c r="G178" i="23"/>
  <c r="F181" i="23"/>
  <c r="G181" i="23"/>
  <c r="F182" i="23"/>
  <c r="G182" i="23"/>
  <c r="F183" i="23"/>
  <c r="G183" i="23"/>
  <c r="F184" i="23"/>
  <c r="G184" i="23"/>
  <c r="F185" i="23"/>
  <c r="G185" i="23"/>
  <c r="F188" i="23"/>
  <c r="G188" i="23"/>
  <c r="F193" i="23"/>
  <c r="G193" i="23"/>
  <c r="F194" i="23"/>
  <c r="G194" i="23"/>
  <c r="F196" i="23"/>
  <c r="G196" i="23"/>
  <c r="F197" i="23"/>
  <c r="G197" i="23"/>
  <c r="F199" i="23"/>
  <c r="G199" i="23"/>
  <c r="F202" i="23"/>
  <c r="G202" i="23"/>
  <c r="F203" i="23"/>
  <c r="G203" i="23"/>
  <c r="F204" i="23"/>
  <c r="G204" i="23"/>
  <c r="F209" i="23"/>
  <c r="G209" i="23"/>
  <c r="F210" i="23"/>
  <c r="G210" i="23"/>
  <c r="F211" i="23"/>
  <c r="G211" i="23"/>
  <c r="F214" i="23"/>
  <c r="G214" i="23"/>
  <c r="F217" i="23"/>
  <c r="G217" i="23"/>
  <c r="F218" i="23"/>
  <c r="G218" i="23"/>
  <c r="F220" i="23"/>
  <c r="G220" i="23"/>
  <c r="F221" i="23"/>
  <c r="G221" i="23"/>
  <c r="F224" i="23"/>
  <c r="G224" i="23"/>
  <c r="F226" i="23"/>
  <c r="G226" i="23"/>
  <c r="F229" i="23"/>
  <c r="G229" i="23"/>
  <c r="F230" i="23"/>
  <c r="G230" i="23"/>
  <c r="F232" i="23"/>
  <c r="G232" i="23"/>
  <c r="F233" i="23"/>
  <c r="G233" i="23"/>
  <c r="F235" i="23"/>
  <c r="G235" i="23"/>
  <c r="F239" i="23"/>
  <c r="G239" i="23"/>
  <c r="F240" i="23"/>
  <c r="G240" i="23"/>
  <c r="F241" i="23"/>
  <c r="G241" i="23"/>
  <c r="F247" i="23"/>
  <c r="G247" i="23"/>
  <c r="F248" i="23"/>
  <c r="G248" i="23"/>
  <c r="F249" i="23"/>
  <c r="G249" i="23"/>
  <c r="F250" i="23"/>
  <c r="G250" i="23"/>
  <c r="F251" i="23"/>
  <c r="G251" i="23"/>
  <c r="F254" i="23"/>
  <c r="G254" i="23"/>
  <c r="F255" i="23"/>
  <c r="G255" i="23"/>
  <c r="F258" i="23"/>
  <c r="G258" i="23"/>
  <c r="F261" i="23"/>
  <c r="G261" i="23"/>
  <c r="F263" i="23"/>
  <c r="G263" i="23"/>
  <c r="F264" i="23"/>
  <c r="G264" i="23"/>
  <c r="F265" i="23"/>
  <c r="G265" i="23"/>
  <c r="F268" i="23"/>
  <c r="G268" i="23"/>
  <c r="F271" i="23"/>
  <c r="G271" i="23"/>
  <c r="F272" i="23"/>
  <c r="G272" i="23"/>
  <c r="F273" i="23"/>
  <c r="G273" i="23"/>
  <c r="F277" i="23"/>
  <c r="G277" i="23"/>
  <c r="F279" i="23"/>
  <c r="G279" i="23"/>
  <c r="F281" i="23"/>
  <c r="G281" i="23"/>
  <c r="F283" i="23"/>
  <c r="G283" i="23"/>
  <c r="F284" i="23"/>
  <c r="G284" i="23"/>
  <c r="F285" i="23"/>
  <c r="G285" i="23"/>
  <c r="F290" i="23"/>
  <c r="G290" i="23"/>
  <c r="F292" i="23"/>
  <c r="G292" i="23"/>
  <c r="F293" i="23"/>
  <c r="G293" i="23"/>
  <c r="F294" i="23"/>
  <c r="G294" i="23"/>
  <c r="F297" i="23"/>
  <c r="G297" i="23"/>
  <c r="F298" i="23"/>
  <c r="G298" i="23"/>
  <c r="F301" i="23"/>
  <c r="G301" i="23"/>
  <c r="F304" i="23"/>
  <c r="G304" i="23"/>
  <c r="F305" i="23"/>
  <c r="G305" i="23"/>
  <c r="F306" i="23"/>
  <c r="G306" i="23"/>
  <c r="F308" i="23"/>
  <c r="G308" i="23"/>
  <c r="F310" i="23"/>
  <c r="G310" i="23"/>
  <c r="F312" i="23"/>
  <c r="G312" i="23"/>
  <c r="F314" i="23"/>
  <c r="G314" i="23"/>
  <c r="F317" i="23"/>
  <c r="G317" i="23"/>
  <c r="F319" i="23"/>
  <c r="G319" i="23"/>
  <c r="F320" i="23"/>
  <c r="G320" i="23"/>
  <c r="F324" i="23"/>
  <c r="G324" i="23"/>
  <c r="F326" i="23"/>
  <c r="G326" i="23"/>
  <c r="F327" i="23"/>
  <c r="G327" i="23"/>
  <c r="F329" i="23"/>
  <c r="G329" i="23"/>
  <c r="F331" i="23"/>
  <c r="G331" i="23"/>
  <c r="F332" i="23"/>
  <c r="G332" i="23"/>
  <c r="F334" i="23"/>
  <c r="G334" i="23"/>
  <c r="F337" i="23"/>
  <c r="G337" i="23"/>
  <c r="F338" i="23"/>
  <c r="G338" i="23"/>
  <c r="F340" i="23"/>
  <c r="G340" i="23"/>
  <c r="F342" i="23"/>
  <c r="G342" i="23"/>
  <c r="F344" i="23"/>
  <c r="G344" i="23"/>
  <c r="F347" i="23"/>
  <c r="G347" i="23"/>
  <c r="F349" i="23"/>
  <c r="G349" i="23"/>
  <c r="F351" i="23"/>
  <c r="G351" i="23"/>
  <c r="F353" i="23"/>
  <c r="G353" i="23"/>
  <c r="F355" i="23"/>
  <c r="G355" i="23"/>
  <c r="F358" i="23"/>
  <c r="G358" i="23"/>
  <c r="F361" i="23"/>
  <c r="G361" i="23"/>
  <c r="F362" i="23"/>
  <c r="G362" i="23"/>
  <c r="F363" i="23"/>
  <c r="G363" i="23"/>
  <c r="F364" i="23"/>
  <c r="G364" i="23"/>
  <c r="F366" i="23"/>
  <c r="G366" i="23"/>
  <c r="F369" i="23"/>
  <c r="G369" i="23"/>
  <c r="F370" i="23"/>
  <c r="G370" i="23"/>
  <c r="F371" i="23"/>
  <c r="G371" i="23"/>
  <c r="F373" i="23"/>
  <c r="G373" i="23"/>
  <c r="F374" i="23"/>
  <c r="G374" i="23"/>
  <c r="F378" i="23"/>
  <c r="G378" i="23"/>
  <c r="F379" i="23"/>
  <c r="G379" i="23"/>
  <c r="F383" i="23"/>
  <c r="G383" i="23"/>
  <c r="F384" i="23"/>
  <c r="G384" i="23"/>
  <c r="F387" i="23"/>
  <c r="G387" i="23"/>
  <c r="F388" i="23"/>
  <c r="G388" i="23"/>
  <c r="F391" i="23"/>
  <c r="G391" i="23"/>
  <c r="F392" i="23"/>
  <c r="G392" i="23"/>
  <c r="F393" i="23"/>
  <c r="G393" i="23"/>
  <c r="F396" i="23"/>
  <c r="G396" i="23"/>
  <c r="F400" i="23"/>
  <c r="G400" i="23"/>
  <c r="F401" i="23"/>
  <c r="G401" i="23"/>
  <c r="F403" i="23"/>
  <c r="G403" i="23"/>
  <c r="F406" i="23"/>
  <c r="G406" i="23"/>
  <c r="F408" i="23"/>
  <c r="G408" i="23"/>
  <c r="F409" i="23"/>
  <c r="G409" i="23"/>
  <c r="F410" i="23"/>
  <c r="G410" i="23"/>
  <c r="F412" i="23"/>
  <c r="G412" i="23"/>
  <c r="F415" i="23"/>
  <c r="G415" i="23"/>
  <c r="F417" i="23"/>
  <c r="G417" i="23"/>
  <c r="F419" i="23"/>
  <c r="G419" i="23"/>
  <c r="F420" i="23"/>
  <c r="G420" i="23"/>
  <c r="F421" i="23"/>
  <c r="G421" i="23"/>
  <c r="F422" i="23"/>
  <c r="G422" i="23"/>
  <c r="F427" i="23"/>
  <c r="G427" i="23"/>
  <c r="F428" i="23"/>
  <c r="G428" i="23"/>
  <c r="F429" i="23"/>
  <c r="G429" i="23"/>
  <c r="F430" i="23"/>
  <c r="G430" i="23"/>
  <c r="F431" i="23"/>
  <c r="G431" i="23"/>
  <c r="F436" i="23"/>
  <c r="G436" i="23"/>
  <c r="F439" i="23"/>
  <c r="G439" i="23"/>
  <c r="F440" i="23"/>
  <c r="G440" i="23"/>
  <c r="F441" i="23"/>
  <c r="G441" i="23"/>
  <c r="F445" i="23"/>
  <c r="G445" i="23"/>
  <c r="F446" i="23"/>
  <c r="G446" i="23"/>
  <c r="F448" i="23"/>
  <c r="G448" i="23"/>
  <c r="F450" i="23"/>
  <c r="G450" i="23"/>
  <c r="F451" i="23"/>
  <c r="G451" i="23"/>
  <c r="F452" i="23"/>
  <c r="G452" i="23"/>
  <c r="F457" i="23"/>
  <c r="G457" i="23"/>
  <c r="F459" i="23"/>
  <c r="G459" i="23"/>
  <c r="F461" i="23"/>
  <c r="G461" i="23"/>
  <c r="F464" i="23"/>
  <c r="G464" i="23"/>
  <c r="F465" i="23"/>
  <c r="G465" i="23"/>
  <c r="F466" i="23"/>
  <c r="G466" i="23"/>
  <c r="F468" i="23"/>
  <c r="G468" i="23"/>
  <c r="F469" i="23"/>
  <c r="G469" i="23"/>
  <c r="F471" i="23"/>
  <c r="G471" i="23"/>
  <c r="F472" i="23"/>
  <c r="G472" i="23"/>
  <c r="F476" i="23"/>
  <c r="G476" i="23"/>
  <c r="F479" i="23"/>
  <c r="G479" i="23"/>
  <c r="F481" i="23"/>
  <c r="G481" i="23"/>
  <c r="F482" i="23"/>
  <c r="G482" i="23"/>
  <c r="F485" i="23"/>
  <c r="G485" i="23"/>
  <c r="F487" i="23"/>
  <c r="G487" i="23"/>
  <c r="F489" i="23"/>
  <c r="G489" i="23"/>
  <c r="F491" i="23"/>
  <c r="G491" i="23"/>
  <c r="F492" i="23"/>
  <c r="G492" i="23"/>
  <c r="F494" i="23"/>
  <c r="G494" i="23"/>
  <c r="F497" i="23"/>
  <c r="G497" i="23"/>
  <c r="F501" i="23"/>
  <c r="G501" i="23"/>
  <c r="F502" i="23"/>
  <c r="G502" i="23"/>
  <c r="F503" i="23"/>
  <c r="G503" i="23"/>
  <c r="F505" i="23"/>
  <c r="G505" i="23"/>
  <c r="F506" i="23"/>
  <c r="G506" i="23"/>
  <c r="F507" i="23"/>
  <c r="G507" i="23"/>
  <c r="F511" i="23"/>
  <c r="G511" i="23"/>
  <c r="F512" i="23"/>
  <c r="G512" i="23"/>
  <c r="F513" i="23"/>
  <c r="G513" i="23"/>
  <c r="F517" i="23"/>
  <c r="G517" i="23"/>
  <c r="F518" i="23"/>
  <c r="G518" i="23"/>
  <c r="F519" i="23"/>
  <c r="G519" i="23"/>
  <c r="F522" i="23"/>
  <c r="G522" i="23"/>
  <c r="F525" i="23"/>
  <c r="G525" i="23"/>
  <c r="F526" i="23"/>
  <c r="G526" i="23"/>
  <c r="F528" i="23"/>
  <c r="G528" i="23"/>
  <c r="F530" i="23"/>
  <c r="G530" i="23"/>
  <c r="F531" i="23"/>
  <c r="G531" i="23"/>
  <c r="F535" i="23"/>
  <c r="G535" i="23"/>
  <c r="F536" i="23"/>
  <c r="G536" i="23"/>
  <c r="F537" i="23"/>
  <c r="G537" i="23"/>
  <c r="F538" i="23"/>
  <c r="G538" i="23"/>
  <c r="F539" i="23"/>
  <c r="G539" i="23"/>
  <c r="F544" i="23"/>
  <c r="G544" i="23"/>
  <c r="F546" i="23"/>
  <c r="G546" i="23"/>
  <c r="F547" i="23"/>
  <c r="G547" i="23"/>
  <c r="F549" i="23"/>
  <c r="G549" i="23"/>
  <c r="F554" i="23"/>
  <c r="G554" i="23"/>
  <c r="F555" i="23"/>
  <c r="G555" i="23"/>
  <c r="F556" i="23"/>
  <c r="G556" i="23"/>
  <c r="F557" i="23"/>
  <c r="G557" i="23"/>
  <c r="F560" i="23"/>
  <c r="G560" i="23"/>
  <c r="F564" i="23"/>
  <c r="G564" i="23"/>
  <c r="F565" i="23"/>
  <c r="G565" i="23"/>
  <c r="F566" i="23"/>
  <c r="G566" i="23"/>
  <c r="F567" i="23"/>
  <c r="G567" i="23"/>
  <c r="F569" i="23"/>
  <c r="G569" i="23"/>
  <c r="F573" i="23"/>
  <c r="G573" i="23"/>
  <c r="F574" i="23"/>
  <c r="G574" i="23"/>
  <c r="F576" i="23"/>
  <c r="G576" i="23"/>
  <c r="F579" i="23"/>
  <c r="G579" i="23"/>
  <c r="F581" i="23"/>
  <c r="G581" i="23"/>
  <c r="F583" i="23"/>
  <c r="G583" i="23"/>
  <c r="F584" i="23"/>
  <c r="G584" i="23"/>
  <c r="F588" i="23"/>
  <c r="G588" i="23"/>
  <c r="F589" i="23"/>
  <c r="G589" i="23"/>
  <c r="F590" i="23"/>
  <c r="G590" i="23"/>
  <c r="F592" i="23"/>
  <c r="G592" i="23"/>
  <c r="F593" i="23"/>
  <c r="G593" i="23"/>
  <c r="F596" i="23"/>
  <c r="G596" i="23"/>
  <c r="F597" i="23"/>
  <c r="G597" i="23"/>
  <c r="F602" i="23"/>
  <c r="G602" i="23"/>
  <c r="F603" i="23"/>
  <c r="G603" i="23"/>
  <c r="F604" i="23"/>
  <c r="G604" i="23"/>
  <c r="F606" i="23"/>
  <c r="G606" i="23"/>
  <c r="F607" i="23"/>
  <c r="G607" i="23"/>
  <c r="F608" i="23"/>
  <c r="G608" i="23"/>
  <c r="F610" i="23"/>
  <c r="G610" i="23"/>
  <c r="F614" i="23"/>
  <c r="G614" i="23"/>
  <c r="F616" i="23"/>
  <c r="G616" i="23"/>
  <c r="F619" i="23"/>
  <c r="G619" i="23"/>
  <c r="F621" i="23"/>
  <c r="G621" i="23"/>
  <c r="F624" i="23"/>
  <c r="G624" i="23"/>
  <c r="F626" i="23"/>
  <c r="G626" i="23"/>
  <c r="F627" i="23"/>
  <c r="G627" i="23"/>
  <c r="F628" i="23"/>
  <c r="G628" i="23"/>
  <c r="F629" i="23"/>
  <c r="G629" i="23"/>
  <c r="F632" i="23"/>
  <c r="G632" i="23"/>
  <c r="F633" i="23"/>
  <c r="G633" i="23"/>
  <c r="F637" i="23"/>
  <c r="G637" i="23"/>
  <c r="F638" i="23"/>
  <c r="G638" i="23"/>
  <c r="F639" i="23"/>
  <c r="G639" i="23"/>
  <c r="F640" i="23"/>
  <c r="G640" i="23"/>
  <c r="F642" i="23"/>
  <c r="G642" i="23"/>
  <c r="F646" i="23"/>
  <c r="G646" i="23"/>
  <c r="F649" i="23"/>
  <c r="G649" i="23"/>
  <c r="F651" i="23"/>
  <c r="G651" i="23"/>
  <c r="F652" i="23"/>
  <c r="G652" i="23"/>
  <c r="F653" i="23"/>
  <c r="G653" i="23"/>
  <c r="F657" i="23"/>
  <c r="G657" i="23"/>
  <c r="F658" i="23"/>
  <c r="G658" i="23"/>
  <c r="F661" i="23"/>
  <c r="G661" i="23"/>
  <c r="F663" i="23"/>
  <c r="G663" i="23"/>
  <c r="F664" i="23"/>
  <c r="G664" i="23"/>
  <c r="F666" i="23"/>
  <c r="G666" i="23"/>
  <c r="F669" i="23"/>
  <c r="G669" i="23"/>
  <c r="F671" i="23"/>
  <c r="G671" i="23"/>
  <c r="F673" i="23"/>
  <c r="G673" i="23"/>
  <c r="F674" i="23"/>
  <c r="G674" i="23"/>
  <c r="F677" i="23"/>
  <c r="G677" i="23"/>
  <c r="F680" i="23"/>
  <c r="G680" i="23"/>
  <c r="F681" i="23"/>
  <c r="G681" i="23"/>
  <c r="F682" i="23"/>
  <c r="G682" i="23"/>
  <c r="F684" i="23"/>
  <c r="G684" i="23"/>
  <c r="F685" i="23"/>
  <c r="G685" i="23"/>
  <c r="F689" i="23"/>
  <c r="G689" i="23"/>
  <c r="F691" i="23"/>
  <c r="G691" i="23"/>
  <c r="F692" i="23"/>
  <c r="G692" i="23"/>
  <c r="F694" i="23"/>
  <c r="G694" i="23"/>
  <c r="F696" i="23"/>
  <c r="G696" i="23"/>
  <c r="F699" i="23"/>
  <c r="G699" i="23"/>
  <c r="F703" i="23"/>
  <c r="G703" i="23"/>
  <c r="F704" i="23"/>
  <c r="G704" i="23"/>
  <c r="F705" i="23"/>
  <c r="G705" i="23"/>
  <c r="F706" i="23"/>
  <c r="G706" i="23"/>
  <c r="F709" i="23"/>
  <c r="G709" i="23"/>
  <c r="F712" i="23"/>
  <c r="G712" i="23"/>
  <c r="F713" i="23"/>
  <c r="G713" i="23"/>
  <c r="F715" i="23"/>
  <c r="G715" i="23"/>
  <c r="F716" i="23"/>
  <c r="G716" i="23"/>
  <c r="F721" i="23"/>
  <c r="G721" i="23"/>
  <c r="F723" i="23"/>
  <c r="G723" i="23"/>
  <c r="F724" i="23"/>
  <c r="G724" i="23"/>
  <c r="F725" i="23"/>
  <c r="G725" i="23"/>
  <c r="F728" i="23"/>
  <c r="G728" i="23"/>
  <c r="F729" i="23"/>
  <c r="G729" i="23"/>
  <c r="F732" i="23"/>
  <c r="G732" i="23"/>
  <c r="F733" i="23"/>
  <c r="G733" i="23"/>
  <c r="F735" i="23"/>
  <c r="G735" i="23"/>
  <c r="F737" i="23"/>
  <c r="G737" i="23"/>
  <c r="F739" i="23"/>
  <c r="G739" i="23"/>
  <c r="F740" i="23"/>
  <c r="G740" i="23"/>
  <c r="F743" i="23"/>
  <c r="G743" i="23"/>
  <c r="F744" i="23"/>
  <c r="G744" i="23"/>
  <c r="F747" i="23"/>
  <c r="G747" i="23"/>
  <c r="F749" i="23"/>
  <c r="G749" i="23"/>
  <c r="F753" i="23"/>
  <c r="G753" i="23"/>
  <c r="F754" i="23"/>
  <c r="G754" i="23"/>
  <c r="F755" i="23"/>
  <c r="G755" i="23"/>
  <c r="F758" i="23"/>
  <c r="G758" i="23"/>
  <c r="F760" i="23"/>
  <c r="G760" i="23"/>
  <c r="F761" i="23"/>
  <c r="G761" i="23"/>
  <c r="F763" i="23"/>
  <c r="G763" i="23"/>
  <c r="F765" i="23"/>
  <c r="G765" i="23"/>
  <c r="F766" i="23"/>
  <c r="G766" i="23"/>
  <c r="F768" i="23"/>
  <c r="G768" i="23"/>
  <c r="F773" i="23"/>
  <c r="G773" i="23"/>
  <c r="F775" i="23"/>
  <c r="G775" i="23"/>
  <c r="F776" i="23"/>
  <c r="G776" i="23"/>
  <c r="F777" i="23"/>
  <c r="G777" i="23"/>
  <c r="F779" i="23"/>
  <c r="G779" i="23"/>
  <c r="F780" i="23"/>
  <c r="G780" i="23"/>
  <c r="F783" i="23"/>
  <c r="G783" i="23"/>
  <c r="F786" i="23"/>
  <c r="G786" i="23"/>
  <c r="F787" i="23"/>
  <c r="G787" i="23"/>
  <c r="F790" i="23"/>
  <c r="G790" i="23"/>
  <c r="F791" i="23"/>
  <c r="G791" i="23"/>
  <c r="F792" i="23"/>
  <c r="G792" i="23"/>
  <c r="F794" i="23"/>
  <c r="G794" i="23"/>
  <c r="F796" i="23"/>
  <c r="G796" i="23"/>
  <c r="F799" i="23"/>
  <c r="G799" i="23"/>
  <c r="F801" i="23"/>
  <c r="G801" i="23"/>
  <c r="F803" i="23"/>
  <c r="G803" i="23"/>
  <c r="F804" i="23"/>
  <c r="G804" i="23"/>
  <c r="F805" i="23"/>
  <c r="G805" i="23"/>
  <c r="F806" i="23"/>
  <c r="G806" i="23"/>
  <c r="F810" i="23"/>
  <c r="G810" i="23"/>
  <c r="F811" i="23"/>
  <c r="G811" i="23"/>
  <c r="F816" i="23"/>
  <c r="G816" i="23"/>
  <c r="F817" i="23"/>
  <c r="G817" i="23"/>
  <c r="F819" i="23"/>
  <c r="G819" i="23"/>
  <c r="F820" i="23"/>
  <c r="G820" i="23"/>
  <c r="F822" i="23"/>
  <c r="G822" i="23"/>
  <c r="F828" i="23"/>
  <c r="G828" i="23"/>
  <c r="F829" i="23"/>
  <c r="G829" i="23"/>
  <c r="F830" i="23"/>
  <c r="G830" i="23"/>
  <c r="F831" i="23"/>
  <c r="G831" i="23"/>
  <c r="F833" i="23"/>
  <c r="G833" i="23"/>
  <c r="F834" i="23"/>
  <c r="G834" i="23"/>
  <c r="F836" i="23"/>
  <c r="G836" i="23"/>
  <c r="F837" i="23"/>
  <c r="G837" i="23"/>
  <c r="F840" i="23"/>
  <c r="G840" i="23"/>
  <c r="F841" i="23"/>
  <c r="G841" i="23"/>
  <c r="F844" i="23"/>
  <c r="G844" i="23"/>
  <c r="F846" i="23"/>
  <c r="G846" i="23"/>
  <c r="F848" i="23"/>
  <c r="G848" i="23"/>
  <c r="F849" i="23"/>
  <c r="G849" i="23"/>
  <c r="F851" i="23"/>
  <c r="G851" i="23"/>
  <c r="F854" i="23"/>
  <c r="G854" i="23"/>
  <c r="F857" i="23"/>
  <c r="G857" i="23"/>
  <c r="F858" i="23"/>
  <c r="G858" i="23"/>
  <c r="F862" i="23"/>
  <c r="G862" i="23"/>
  <c r="F863" i="23"/>
  <c r="G863" i="23"/>
  <c r="F864" i="23"/>
  <c r="G864" i="23"/>
  <c r="F865" i="23"/>
  <c r="G865" i="23"/>
  <c r="F869" i="23"/>
  <c r="G869" i="23"/>
  <c r="F871" i="23"/>
  <c r="G871" i="23"/>
  <c r="F873" i="23"/>
  <c r="G873" i="23"/>
  <c r="F874" i="23"/>
  <c r="G874" i="23"/>
  <c r="F877" i="23"/>
  <c r="G877" i="23"/>
  <c r="F878" i="23"/>
  <c r="G878" i="23"/>
  <c r="F879" i="23"/>
  <c r="G879" i="23"/>
  <c r="F880" i="23"/>
  <c r="G880" i="23"/>
  <c r="F885" i="23"/>
  <c r="G885" i="23"/>
  <c r="F887" i="23"/>
  <c r="G887" i="23"/>
  <c r="F888" i="23"/>
  <c r="G888" i="23"/>
  <c r="F889" i="23"/>
  <c r="G889" i="23"/>
  <c r="F890" i="23"/>
  <c r="G890" i="23"/>
  <c r="F894" i="23"/>
  <c r="G894" i="23"/>
  <c r="F895" i="23"/>
  <c r="G895" i="23"/>
  <c r="F896" i="23"/>
  <c r="G896" i="23"/>
  <c r="F898" i="23"/>
  <c r="G898" i="23"/>
  <c r="F902" i="23"/>
  <c r="G902" i="23"/>
  <c r="F905" i="23"/>
  <c r="G905" i="23"/>
  <c r="F909" i="23"/>
  <c r="G909" i="23"/>
  <c r="F910" i="23"/>
  <c r="G910" i="23"/>
  <c r="F911" i="23"/>
  <c r="G911" i="23"/>
  <c r="F913" i="23"/>
  <c r="G913" i="23"/>
  <c r="F914" i="23"/>
  <c r="G914" i="23"/>
  <c r="F919" i="23"/>
  <c r="G919" i="23"/>
  <c r="F920" i="23"/>
  <c r="G920" i="23"/>
  <c r="F921" i="23"/>
  <c r="G921" i="23"/>
  <c r="F923" i="23"/>
  <c r="G923" i="23"/>
  <c r="F926" i="23"/>
  <c r="G926" i="23"/>
  <c r="F927" i="23"/>
  <c r="G927" i="23"/>
  <c r="F929" i="23"/>
  <c r="G929" i="23"/>
  <c r="F931" i="23"/>
  <c r="G931" i="23"/>
  <c r="F933" i="23"/>
  <c r="G933" i="23"/>
  <c r="F934" i="23"/>
  <c r="G934" i="23"/>
  <c r="F935" i="23"/>
  <c r="G935" i="23"/>
  <c r="F941" i="23"/>
  <c r="G941" i="23"/>
  <c r="F943" i="23"/>
  <c r="G943" i="23"/>
  <c r="F944" i="23"/>
  <c r="G944" i="23"/>
  <c r="F945" i="23"/>
  <c r="G945" i="23"/>
  <c r="F946" i="23"/>
  <c r="G946" i="23"/>
  <c r="F948" i="23"/>
  <c r="G948" i="23"/>
  <c r="F949" i="23"/>
  <c r="G949" i="23"/>
  <c r="F952" i="23"/>
  <c r="G952" i="23"/>
  <c r="F953" i="23"/>
  <c r="G953" i="23"/>
  <c r="F956" i="23"/>
  <c r="G956" i="23"/>
  <c r="F957" i="23"/>
  <c r="G957" i="23"/>
  <c r="F959" i="23"/>
  <c r="G959" i="23"/>
  <c r="F963" i="23"/>
  <c r="G963" i="23"/>
  <c r="F966" i="23"/>
  <c r="G966" i="23"/>
  <c r="F967" i="23"/>
  <c r="G967" i="23"/>
  <c r="F968" i="23"/>
  <c r="G968" i="23"/>
  <c r="F969" i="23"/>
  <c r="G969" i="23"/>
  <c r="F973" i="23"/>
  <c r="G973" i="23"/>
  <c r="F974" i="23"/>
  <c r="G974" i="23"/>
  <c r="F977" i="23"/>
  <c r="G977" i="23"/>
  <c r="F978" i="23"/>
  <c r="G978" i="23"/>
  <c r="F981" i="23"/>
  <c r="G981" i="23"/>
  <c r="F982" i="23"/>
  <c r="G982" i="23"/>
  <c r="F985" i="23"/>
  <c r="G985" i="23"/>
  <c r="F988" i="23"/>
  <c r="G988" i="23"/>
  <c r="F989" i="23"/>
  <c r="G989" i="23"/>
  <c r="F994" i="23"/>
  <c r="G994" i="23"/>
  <c r="F995" i="23"/>
  <c r="G995" i="23"/>
  <c r="F996" i="23"/>
  <c r="G996" i="23"/>
  <c r="F997" i="23"/>
  <c r="G997" i="23"/>
  <c r="F998" i="23"/>
  <c r="G998" i="23"/>
  <c r="F1001" i="23"/>
  <c r="G1001" i="23"/>
  <c r="F1003" i="23"/>
  <c r="G1003" i="23"/>
  <c r="F1004" i="23"/>
  <c r="G1004" i="23"/>
  <c r="F1006" i="23"/>
  <c r="G1006" i="23"/>
  <c r="F1009" i="23"/>
  <c r="G1009" i="23"/>
  <c r="F1011" i="23"/>
  <c r="G1011" i="23"/>
  <c r="F1014" i="23"/>
  <c r="G1014" i="23"/>
  <c r="F1017" i="23"/>
  <c r="G1017" i="23"/>
  <c r="F1018" i="23"/>
  <c r="G1018" i="23"/>
  <c r="F1019" i="23"/>
  <c r="G1019" i="23"/>
  <c r="F1020" i="23"/>
  <c r="G1020" i="23"/>
  <c r="F1022" i="23"/>
  <c r="G1022" i="23"/>
  <c r="F1025" i="23"/>
  <c r="G1025" i="23"/>
  <c r="F1026" i="23"/>
  <c r="G1026" i="23"/>
  <c r="F1027" i="23"/>
  <c r="G1027" i="23"/>
  <c r="F1028" i="23"/>
  <c r="G1028" i="23"/>
  <c r="F1029" i="23"/>
  <c r="G1029" i="23"/>
  <c r="F1034" i="23"/>
  <c r="G1034" i="23"/>
  <c r="F1036" i="23"/>
  <c r="G1036" i="23"/>
  <c r="F1037" i="23"/>
  <c r="G1037" i="23"/>
  <c r="F1038" i="23"/>
  <c r="G1038" i="23"/>
  <c r="F1042" i="23"/>
  <c r="G1042" i="23"/>
  <c r="F1043" i="23"/>
  <c r="G1043" i="23"/>
  <c r="F1045" i="23"/>
  <c r="G1045" i="23"/>
  <c r="F1049" i="23"/>
  <c r="G1049" i="23"/>
  <c r="F1050" i="23"/>
  <c r="G1050" i="23"/>
  <c r="F1053" i="23"/>
  <c r="G1053" i="23"/>
  <c r="F1056" i="23"/>
  <c r="G1056" i="23"/>
  <c r="F1057" i="23"/>
  <c r="G1057" i="23"/>
  <c r="F1058" i="23"/>
  <c r="G1058" i="23"/>
  <c r="F1059" i="23"/>
  <c r="G1059" i="23"/>
  <c r="F1062" i="23"/>
  <c r="G1062" i="23"/>
  <c r="F1063" i="23"/>
  <c r="G1063" i="23"/>
  <c r="F1065" i="23"/>
  <c r="G1065" i="23"/>
  <c r="F1067" i="23"/>
  <c r="G1067" i="23"/>
  <c r="F1070" i="23"/>
  <c r="G1070" i="23"/>
  <c r="F1074" i="23"/>
  <c r="G1074" i="23"/>
  <c r="F1075" i="23"/>
  <c r="G1075" i="23"/>
  <c r="F1077" i="23"/>
  <c r="G1077" i="23"/>
  <c r="F1078" i="23"/>
  <c r="G1078" i="23"/>
  <c r="F1080" i="23"/>
  <c r="G1080" i="23"/>
  <c r="F1081" i="23"/>
  <c r="G1081" i="23"/>
  <c r="F1082" i="23"/>
  <c r="G1082" i="23"/>
  <c r="F1088" i="23"/>
  <c r="G1088" i="23"/>
  <c r="F1089" i="23"/>
  <c r="G1089" i="23"/>
  <c r="F1091" i="23"/>
  <c r="G1091" i="23"/>
  <c r="F1093" i="23"/>
  <c r="G1093" i="23"/>
  <c r="F1095" i="23"/>
  <c r="G1095" i="23"/>
  <c r="F1097" i="23"/>
  <c r="G1097" i="23"/>
  <c r="F1098" i="23"/>
  <c r="G1098" i="23"/>
  <c r="F1099" i="23"/>
  <c r="G1099" i="23"/>
  <c r="F1102" i="23"/>
  <c r="G1102" i="23"/>
  <c r="F1103" i="23"/>
  <c r="G1103" i="23"/>
  <c r="F1106" i="23"/>
  <c r="G1106" i="23"/>
  <c r="F1107" i="23"/>
  <c r="G1107" i="23"/>
  <c r="F1108" i="23"/>
  <c r="G1108" i="23"/>
  <c r="F1112" i="23"/>
  <c r="G1112" i="23"/>
  <c r="F1114" i="23"/>
  <c r="G1114" i="23"/>
  <c r="F1117" i="23"/>
  <c r="G1117" i="23"/>
  <c r="F1119" i="23"/>
  <c r="G1119" i="23"/>
  <c r="F1121" i="23"/>
  <c r="G1121" i="23"/>
  <c r="F1124" i="23"/>
  <c r="G1124" i="23"/>
  <c r="F1125" i="23"/>
  <c r="G1125" i="23"/>
  <c r="F1129" i="23"/>
  <c r="G1129" i="23"/>
  <c r="F1131" i="23"/>
  <c r="G1131" i="23"/>
  <c r="F1132" i="23"/>
  <c r="G1132" i="23"/>
  <c r="F1133" i="23"/>
  <c r="G1133" i="23"/>
  <c r="F1134" i="23"/>
  <c r="G1134" i="23"/>
  <c r="F1135" i="23"/>
  <c r="G1135" i="23"/>
  <c r="F1139" i="23"/>
  <c r="G1139" i="23"/>
  <c r="F1142" i="23"/>
  <c r="G1142" i="23"/>
  <c r="F1143" i="23"/>
  <c r="G1143" i="23"/>
  <c r="F1144" i="23"/>
  <c r="G1144" i="23"/>
  <c r="F1145" i="23"/>
  <c r="G1145" i="23"/>
  <c r="F1146" i="23"/>
  <c r="G1146" i="23"/>
  <c r="F1151" i="23"/>
  <c r="G1151" i="23"/>
  <c r="F1154" i="23"/>
  <c r="G1154" i="23"/>
  <c r="F1155" i="23"/>
  <c r="G1155" i="23"/>
  <c r="F1156" i="23"/>
  <c r="G1156" i="23"/>
  <c r="F1159" i="23"/>
  <c r="G1159" i="23"/>
  <c r="F1160" i="23"/>
  <c r="G1160" i="23"/>
  <c r="F1161" i="23"/>
  <c r="G1161" i="23"/>
  <c r="F1163" i="23"/>
  <c r="G1163" i="23"/>
  <c r="F1168" i="23"/>
  <c r="G1168" i="23"/>
  <c r="F1169" i="23"/>
  <c r="G1169" i="23"/>
  <c r="F1170" i="23"/>
  <c r="G1170" i="23"/>
  <c r="F1173" i="23"/>
  <c r="G1173" i="23"/>
  <c r="F1176" i="23"/>
  <c r="G1176" i="23"/>
  <c r="F1177" i="23"/>
  <c r="G1177" i="23"/>
  <c r="F1179" i="23"/>
  <c r="G1179" i="23"/>
  <c r="F1180" i="23"/>
  <c r="G1180" i="23"/>
  <c r="F1182" i="23"/>
  <c r="G1182" i="23"/>
  <c r="F1184" i="23"/>
  <c r="G1184" i="23"/>
  <c r="F1188" i="23"/>
  <c r="G1188" i="23"/>
  <c r="F1189" i="23"/>
  <c r="G1189" i="23"/>
  <c r="F1192" i="23"/>
  <c r="G1192" i="23"/>
  <c r="F1193" i="23"/>
  <c r="G1193" i="23"/>
  <c r="F1195" i="23"/>
  <c r="G1195" i="23"/>
  <c r="F1196" i="23"/>
  <c r="G1196" i="23"/>
  <c r="F1199" i="23"/>
  <c r="G1199" i="23"/>
  <c r="F1201" i="23"/>
  <c r="G1201" i="23"/>
  <c r="F1202" i="23"/>
  <c r="G1202" i="23"/>
  <c r="F1203" i="23"/>
  <c r="G1203" i="23"/>
  <c r="F1204" i="23"/>
  <c r="G1204" i="23"/>
  <c r="F1208" i="23"/>
  <c r="G1208" i="23"/>
  <c r="F1210" i="23"/>
  <c r="G1210" i="23"/>
  <c r="F1211" i="23"/>
  <c r="G1211" i="23"/>
  <c r="F1212" i="23"/>
  <c r="G1212" i="23"/>
  <c r="F1215" i="23"/>
  <c r="G1215" i="23"/>
  <c r="F1218" i="23"/>
  <c r="G1218" i="23"/>
  <c r="F1221" i="23"/>
  <c r="G1221" i="23"/>
  <c r="F1222" i="23"/>
  <c r="G1222" i="23"/>
  <c r="F1225" i="23"/>
  <c r="G1225" i="23"/>
  <c r="F1226" i="23"/>
  <c r="G1226" i="23"/>
  <c r="F1229" i="23"/>
  <c r="G1229" i="23"/>
  <c r="F1231" i="23"/>
  <c r="G1231" i="23"/>
  <c r="F1233" i="23"/>
  <c r="G1233" i="23"/>
  <c r="F1236" i="23"/>
  <c r="G1236" i="23"/>
  <c r="F1237" i="23"/>
  <c r="G1237" i="23"/>
  <c r="F1239" i="23"/>
  <c r="G1239" i="23"/>
  <c r="F1241" i="23"/>
  <c r="G1241" i="23"/>
  <c r="F1242" i="23"/>
  <c r="G1242" i="23"/>
  <c r="F1245" i="23"/>
  <c r="G1245" i="23"/>
  <c r="F1247" i="23"/>
  <c r="G1247" i="23"/>
  <c r="F1248" i="23"/>
  <c r="G1248" i="23"/>
  <c r="F1250" i="23"/>
  <c r="G1250" i="23"/>
  <c r="F1252" i="23"/>
  <c r="G1252" i="23"/>
  <c r="F1255" i="23"/>
  <c r="G1255" i="23"/>
  <c r="F1256" i="23"/>
  <c r="G1256" i="23"/>
  <c r="F1257" i="23"/>
  <c r="G1257" i="23"/>
  <c r="F1258" i="23"/>
  <c r="G1258" i="23"/>
  <c r="F1262" i="23"/>
  <c r="G1262" i="23"/>
  <c r="F1263" i="23"/>
  <c r="G1263" i="23"/>
  <c r="F1265" i="23"/>
  <c r="G1265" i="23"/>
  <c r="F1266" i="23"/>
  <c r="G1266" i="23"/>
  <c r="F1267" i="23"/>
  <c r="G1267" i="23"/>
  <c r="F1273" i="23"/>
  <c r="G1273" i="23"/>
  <c r="F1274" i="23"/>
  <c r="G1274" i="23"/>
  <c r="F1276" i="23"/>
  <c r="G1276" i="23"/>
  <c r="F1281" i="23"/>
  <c r="G1281" i="23"/>
  <c r="F1282" i="23"/>
  <c r="G1282" i="23"/>
  <c r="F1283" i="23"/>
  <c r="G1283" i="23"/>
  <c r="F1284" i="23"/>
  <c r="G1284" i="23"/>
  <c r="F1287" i="23"/>
  <c r="G1287" i="23"/>
  <c r="F1289" i="23"/>
  <c r="G1289" i="23"/>
  <c r="F1290" i="23"/>
  <c r="G1290" i="23"/>
  <c r="F1291" i="23"/>
  <c r="G1291" i="23"/>
  <c r="F1294" i="23"/>
  <c r="G1294" i="23"/>
  <c r="F1295" i="23"/>
  <c r="G1295" i="23"/>
  <c r="F1300" i="23"/>
  <c r="G1300" i="23"/>
  <c r="F1301" i="23"/>
  <c r="G1301" i="23"/>
  <c r="F1302" i="23"/>
  <c r="G1302" i="23"/>
  <c r="F1304" i="23"/>
  <c r="G1304" i="23"/>
  <c r="F1306" i="23"/>
  <c r="G1306" i="23"/>
  <c r="F1308" i="23"/>
  <c r="G1308" i="23"/>
  <c r="F1310" i="23"/>
  <c r="G1310" i="23"/>
  <c r="F1312" i="23"/>
  <c r="G1312" i="23"/>
  <c r="F1313" i="23"/>
  <c r="G1313" i="23"/>
  <c r="F1317" i="23"/>
  <c r="G1317" i="23"/>
  <c r="F1318" i="23"/>
  <c r="G1318" i="23"/>
  <c r="F1320" i="23"/>
  <c r="G1320" i="23"/>
  <c r="F1321" i="23"/>
  <c r="G1321" i="23"/>
  <c r="F1323" i="23"/>
  <c r="G1323" i="23"/>
  <c r="F1325" i="23"/>
  <c r="G1325" i="23"/>
  <c r="F1328" i="23"/>
  <c r="G1328" i="23"/>
  <c r="F1329" i="23"/>
  <c r="G1329" i="23"/>
  <c r="F1333" i="23"/>
  <c r="G1333" i="23"/>
  <c r="F1335" i="23"/>
  <c r="G1335" i="23"/>
  <c r="F1337" i="23"/>
  <c r="G1337" i="23"/>
  <c r="F1338" i="23"/>
  <c r="G1338" i="23"/>
  <c r="F1342" i="23"/>
  <c r="G1342" i="23"/>
  <c r="F1345" i="23"/>
  <c r="G1345" i="23"/>
  <c r="F1346" i="23"/>
  <c r="G1346" i="23"/>
  <c r="F1347" i="23"/>
  <c r="G1347" i="23"/>
  <c r="F1348" i="23"/>
  <c r="G1348" i="23"/>
  <c r="F1350" i="23"/>
  <c r="G1350" i="23"/>
  <c r="F1352" i="23"/>
  <c r="G1352" i="23"/>
  <c r="F1354" i="23"/>
  <c r="G1354" i="23"/>
  <c r="F1357" i="23"/>
  <c r="G1357" i="23"/>
  <c r="F1360" i="23"/>
  <c r="G1360" i="23"/>
  <c r="F1361" i="23"/>
  <c r="G1361" i="23"/>
  <c r="F1362" i="23"/>
  <c r="G1362" i="23"/>
  <c r="F1363" i="23"/>
  <c r="G1363" i="23"/>
  <c r="F1364" i="23"/>
  <c r="G1364" i="23"/>
  <c r="F1367" i="23"/>
  <c r="G1367" i="23"/>
  <c r="F1371" i="23"/>
  <c r="G1371" i="23"/>
  <c r="F1374" i="23"/>
  <c r="G1374" i="23"/>
  <c r="F1375" i="23"/>
  <c r="G1375" i="23"/>
  <c r="F1376" i="23"/>
  <c r="G1376" i="23"/>
  <c r="F1379" i="23"/>
  <c r="G1379" i="23"/>
  <c r="F1381" i="23"/>
  <c r="G1381" i="23"/>
  <c r="F1383" i="23"/>
  <c r="G1383" i="23"/>
  <c r="F1387" i="23"/>
  <c r="G1387" i="23"/>
  <c r="F1388" i="23"/>
  <c r="G1388" i="23"/>
  <c r="F1390" i="23"/>
  <c r="G1390" i="23"/>
  <c r="F1391" i="23"/>
  <c r="G1391" i="23"/>
  <c r="F1392" i="23"/>
  <c r="G1392" i="23"/>
  <c r="F1393" i="23"/>
  <c r="G1393" i="23"/>
  <c r="F1395" i="23"/>
  <c r="G1395" i="23"/>
  <c r="F1396" i="23"/>
  <c r="G1396" i="23"/>
  <c r="F1399" i="23"/>
  <c r="G1399" i="23"/>
  <c r="F1400" i="23"/>
  <c r="G1400" i="23"/>
  <c r="F1401" i="23"/>
  <c r="G1401" i="23"/>
  <c r="F1403" i="23"/>
  <c r="G1403" i="23"/>
  <c r="F1406" i="23"/>
  <c r="G1406" i="23"/>
  <c r="F1407" i="23"/>
  <c r="G1407" i="23"/>
  <c r="F1408" i="23"/>
  <c r="G1408" i="23"/>
  <c r="F1410" i="23"/>
  <c r="G1410" i="23"/>
  <c r="F1411" i="23"/>
  <c r="G1411" i="23"/>
  <c r="F1412" i="23"/>
  <c r="G1412" i="23"/>
  <c r="F1413" i="23"/>
  <c r="G1413" i="23"/>
  <c r="F1415" i="23"/>
  <c r="G1415" i="23"/>
  <c r="F1419" i="23"/>
  <c r="G1419" i="23"/>
  <c r="F1420" i="23"/>
  <c r="G1420" i="23"/>
  <c r="F1423" i="23"/>
  <c r="G1423" i="23"/>
  <c r="F1424" i="23"/>
  <c r="G1424" i="23"/>
  <c r="F1425" i="23"/>
  <c r="G1425" i="23"/>
  <c r="F1435" i="23"/>
  <c r="G1435" i="23"/>
  <c r="F1437" i="23"/>
  <c r="G1437" i="23"/>
  <c r="F1440" i="23"/>
  <c r="G1440" i="23"/>
  <c r="F1443" i="23"/>
  <c r="G1443" i="23"/>
  <c r="F1450" i="23"/>
  <c r="G1450" i="23"/>
  <c r="F1453" i="23"/>
  <c r="G1453" i="23"/>
  <c r="F1463" i="23"/>
  <c r="G1463" i="23"/>
  <c r="F1464" i="23"/>
  <c r="G1464" i="23"/>
  <c r="F1465" i="23"/>
  <c r="G1465" i="23"/>
  <c r="F1467" i="23"/>
  <c r="G1467" i="23"/>
  <c r="F1468" i="23"/>
  <c r="G1468" i="23"/>
  <c r="F1469" i="23"/>
  <c r="G1469" i="23"/>
  <c r="F1470" i="23"/>
  <c r="G1470" i="23"/>
  <c r="F1472" i="23"/>
  <c r="G1472" i="23"/>
  <c r="F1473" i="23"/>
  <c r="G1473" i="23"/>
  <c r="F1475" i="23"/>
  <c r="G1475" i="23"/>
  <c r="F1476" i="23"/>
  <c r="G1476" i="23"/>
  <c r="F1477" i="23"/>
  <c r="G1477" i="23"/>
  <c r="F1478" i="23"/>
  <c r="G1478" i="23"/>
  <c r="F1479" i="23"/>
  <c r="G1479" i="23"/>
  <c r="F1480" i="23"/>
  <c r="G1480" i="23"/>
  <c r="F1481" i="23"/>
  <c r="G1481" i="23"/>
  <c r="F1486" i="23"/>
  <c r="G1486" i="23"/>
  <c r="F1487" i="23"/>
  <c r="G1487" i="23"/>
  <c r="F1489" i="23"/>
  <c r="G1489" i="23"/>
  <c r="F1490" i="23"/>
  <c r="G1490" i="23"/>
  <c r="F1491" i="23"/>
  <c r="G1491" i="23"/>
  <c r="F1492" i="23"/>
  <c r="G1492" i="23"/>
  <c r="F1493" i="23"/>
  <c r="G1493" i="23"/>
  <c r="F1494" i="23"/>
  <c r="G1494" i="23"/>
  <c r="F1495" i="23"/>
  <c r="G1495" i="23"/>
  <c r="F1497" i="23"/>
  <c r="G1497" i="23"/>
  <c r="F1498" i="23"/>
  <c r="G1498" i="23"/>
  <c r="F1500" i="23"/>
  <c r="G1500" i="23"/>
  <c r="F1501" i="23"/>
  <c r="G1501" i="23"/>
  <c r="F1504" i="23"/>
  <c r="G1504" i="23"/>
  <c r="F3" i="23"/>
  <c r="F4" i="23"/>
  <c r="G4" i="23"/>
  <c r="F5" i="23"/>
  <c r="G5" i="23"/>
  <c r="F6" i="23"/>
  <c r="G6" i="23"/>
  <c r="F7" i="23"/>
  <c r="G7" i="23"/>
  <c r="F8" i="23"/>
  <c r="G8" i="23"/>
  <c r="F9" i="23"/>
  <c r="G9" i="23"/>
  <c r="F10" i="23"/>
  <c r="G10" i="23"/>
  <c r="F11" i="23"/>
  <c r="G11" i="23"/>
  <c r="F12" i="23"/>
  <c r="G12" i="23"/>
  <c r="F13" i="23"/>
  <c r="G13" i="23"/>
  <c r="F14" i="23"/>
  <c r="G14" i="23"/>
  <c r="F15" i="23"/>
  <c r="G15" i="23"/>
  <c r="F16" i="23"/>
  <c r="G16" i="23"/>
  <c r="F17" i="23"/>
  <c r="G17" i="23"/>
  <c r="F18" i="23"/>
  <c r="G18" i="23"/>
  <c r="F19" i="23"/>
  <c r="G19" i="23"/>
  <c r="F20" i="23"/>
  <c r="G20" i="23"/>
  <c r="F21" i="23"/>
  <c r="G21" i="23"/>
  <c r="F22" i="23"/>
  <c r="G22" i="23"/>
  <c r="F23" i="23"/>
  <c r="G23" i="23"/>
  <c r="F24" i="23"/>
  <c r="G24" i="23"/>
  <c r="F25" i="23"/>
  <c r="G25" i="23"/>
  <c r="F26" i="23"/>
  <c r="G26" i="23"/>
  <c r="F27" i="23"/>
  <c r="G27" i="23"/>
  <c r="F28" i="23"/>
  <c r="G28" i="23"/>
  <c r="F29" i="23"/>
  <c r="G29" i="23"/>
  <c r="F30" i="23"/>
  <c r="G30" i="23"/>
  <c r="F31" i="23"/>
  <c r="G31" i="23"/>
  <c r="C36" i="23"/>
  <c r="C37" i="23"/>
  <c r="C38" i="23"/>
  <c r="C39" i="23"/>
  <c r="C40" i="23"/>
  <c r="C41" i="23"/>
  <c r="H31" i="23"/>
  <c r="H30" i="23"/>
  <c r="H29" i="23"/>
  <c r="H28" i="23"/>
  <c r="H27" i="23"/>
  <c r="H26" i="23"/>
  <c r="H25" i="23"/>
  <c r="H24" i="23"/>
  <c r="H23" i="23"/>
  <c r="H22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5" i="23"/>
  <c r="H4" i="23"/>
  <c r="H3" i="23"/>
  <c r="H2" i="23"/>
  <c r="D3" i="2" l="1"/>
  <c r="F202" i="2"/>
  <c r="D9" i="2"/>
  <c r="D11" i="2"/>
  <c r="D13" i="2"/>
  <c r="D15" i="2"/>
  <c r="D17" i="2"/>
  <c r="D19" i="2"/>
  <c r="D21" i="2"/>
  <c r="D23" i="2"/>
  <c r="D25" i="2"/>
  <c r="D27" i="2"/>
  <c r="D29" i="2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7" i="2"/>
  <c r="D5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3" i="2"/>
  <c r="D753" i="2"/>
  <c r="B6" i="2"/>
  <c r="B8" i="2" s="1"/>
  <c r="B10" i="2" s="1"/>
  <c r="B12" i="2" s="1"/>
  <c r="B14" i="2" s="1"/>
  <c r="B16" i="2" s="1"/>
  <c r="B18" i="2" s="1"/>
  <c r="B20" i="2" s="1"/>
  <c r="B4" i="2"/>
  <c r="D4" i="2"/>
  <c r="D6" i="2"/>
  <c r="D8" i="2"/>
  <c r="D10" i="2"/>
  <c r="D12" i="2"/>
  <c r="D14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44" i="2"/>
  <c r="D46" i="2"/>
  <c r="D48" i="2"/>
  <c r="D50" i="2"/>
  <c r="D52" i="2"/>
  <c r="D54" i="2"/>
  <c r="D56" i="2"/>
  <c r="D58" i="2"/>
  <c r="D60" i="2"/>
  <c r="D62" i="2"/>
  <c r="D64" i="2"/>
  <c r="D66" i="2"/>
  <c r="D68" i="2"/>
  <c r="D70" i="2"/>
  <c r="D72" i="2"/>
  <c r="D74" i="2"/>
  <c r="D76" i="2"/>
  <c r="D78" i="2"/>
  <c r="D80" i="2"/>
  <c r="D82" i="2"/>
  <c r="D84" i="2"/>
  <c r="D86" i="2"/>
  <c r="D88" i="2"/>
  <c r="D90" i="2"/>
  <c r="D92" i="2"/>
  <c r="D94" i="2"/>
  <c r="D96" i="2"/>
  <c r="D98" i="2"/>
  <c r="D100" i="2"/>
  <c r="D102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2" i="2"/>
  <c r="B201" i="13"/>
  <c r="C201" i="13"/>
  <c r="D201" i="13" s="1"/>
  <c r="E201" i="13" s="1"/>
  <c r="B202" i="13"/>
  <c r="C202" i="13"/>
  <c r="D202" i="13" s="1"/>
  <c r="E202" i="13" s="1"/>
  <c r="B101" i="13"/>
  <c r="C101" i="13"/>
  <c r="D101" i="13" s="1"/>
  <c r="E101" i="13" s="1"/>
  <c r="B102" i="13"/>
  <c r="C102" i="13"/>
  <c r="D102" i="13" s="1"/>
  <c r="E102" i="13" s="1"/>
  <c r="B103" i="13"/>
  <c r="C103" i="13"/>
  <c r="D103" i="13" s="1"/>
  <c r="E103" i="13" s="1"/>
  <c r="B104" i="13"/>
  <c r="C104" i="13"/>
  <c r="D104" i="13" s="1"/>
  <c r="E104" i="13" s="1"/>
  <c r="B105" i="13"/>
  <c r="C105" i="13"/>
  <c r="D105" i="13" s="1"/>
  <c r="E105" i="13" s="1"/>
  <c r="B106" i="13"/>
  <c r="C106" i="13"/>
  <c r="D106" i="13" s="1"/>
  <c r="E106" i="13" s="1"/>
  <c r="B107" i="13"/>
  <c r="C107" i="13"/>
  <c r="D107" i="13" s="1"/>
  <c r="E107" i="13" s="1"/>
  <c r="B108" i="13"/>
  <c r="C108" i="13"/>
  <c r="D108" i="13" s="1"/>
  <c r="E108" i="13" s="1"/>
  <c r="B109" i="13"/>
  <c r="C109" i="13"/>
  <c r="D109" i="13" s="1"/>
  <c r="E109" i="13" s="1"/>
  <c r="B110" i="13"/>
  <c r="C110" i="13"/>
  <c r="D110" i="13" s="1"/>
  <c r="E110" i="13" s="1"/>
  <c r="B111" i="13"/>
  <c r="C111" i="13"/>
  <c r="D111" i="13" s="1"/>
  <c r="E111" i="13" s="1"/>
  <c r="B112" i="13"/>
  <c r="C112" i="13"/>
  <c r="D112" i="13" s="1"/>
  <c r="E112" i="13" s="1"/>
  <c r="B113" i="13"/>
  <c r="C113" i="13"/>
  <c r="D113" i="13" s="1"/>
  <c r="E113" i="13" s="1"/>
  <c r="B114" i="13"/>
  <c r="C114" i="13"/>
  <c r="D114" i="13" s="1"/>
  <c r="E114" i="13" s="1"/>
  <c r="B115" i="13"/>
  <c r="C115" i="13"/>
  <c r="D115" i="13" s="1"/>
  <c r="E115" i="13" s="1"/>
  <c r="B116" i="13"/>
  <c r="C116" i="13"/>
  <c r="D116" i="13" s="1"/>
  <c r="E116" i="13" s="1"/>
  <c r="B117" i="13"/>
  <c r="C117" i="13"/>
  <c r="D117" i="13" s="1"/>
  <c r="E117" i="13" s="1"/>
  <c r="B118" i="13"/>
  <c r="C118" i="13"/>
  <c r="D118" i="13" s="1"/>
  <c r="E118" i="13" s="1"/>
  <c r="B119" i="13"/>
  <c r="C119" i="13"/>
  <c r="D119" i="13" s="1"/>
  <c r="E119" i="13" s="1"/>
  <c r="B120" i="13"/>
  <c r="C120" i="13"/>
  <c r="D120" i="13" s="1"/>
  <c r="E120" i="13" s="1"/>
  <c r="B121" i="13"/>
  <c r="C121" i="13"/>
  <c r="D121" i="13" s="1"/>
  <c r="E121" i="13" s="1"/>
  <c r="B122" i="13"/>
  <c r="C122" i="13"/>
  <c r="D122" i="13" s="1"/>
  <c r="E122" i="13" s="1"/>
  <c r="B123" i="13"/>
  <c r="C123" i="13"/>
  <c r="D123" i="13" s="1"/>
  <c r="E123" i="13" s="1"/>
  <c r="B124" i="13"/>
  <c r="C124" i="13"/>
  <c r="D124" i="13" s="1"/>
  <c r="E124" i="13" s="1"/>
  <c r="B125" i="13"/>
  <c r="C125" i="13"/>
  <c r="D125" i="13" s="1"/>
  <c r="E125" i="13" s="1"/>
  <c r="B126" i="13"/>
  <c r="C126" i="13"/>
  <c r="D126" i="13" s="1"/>
  <c r="E126" i="13" s="1"/>
  <c r="B127" i="13"/>
  <c r="C127" i="13"/>
  <c r="D127" i="13" s="1"/>
  <c r="E127" i="13" s="1"/>
  <c r="B128" i="13"/>
  <c r="C128" i="13"/>
  <c r="D128" i="13" s="1"/>
  <c r="E128" i="13" s="1"/>
  <c r="B129" i="13"/>
  <c r="C129" i="13"/>
  <c r="D129" i="13" s="1"/>
  <c r="E129" i="13" s="1"/>
  <c r="B130" i="13"/>
  <c r="C130" i="13"/>
  <c r="D130" i="13" s="1"/>
  <c r="E130" i="13" s="1"/>
  <c r="B131" i="13"/>
  <c r="C131" i="13"/>
  <c r="D131" i="13" s="1"/>
  <c r="E131" i="13" s="1"/>
  <c r="B132" i="13"/>
  <c r="C132" i="13"/>
  <c r="D132" i="13" s="1"/>
  <c r="E132" i="13" s="1"/>
  <c r="B133" i="13"/>
  <c r="C133" i="13"/>
  <c r="D133" i="13" s="1"/>
  <c r="E133" i="13" s="1"/>
  <c r="B134" i="13"/>
  <c r="C134" i="13"/>
  <c r="D134" i="13" s="1"/>
  <c r="E134" i="13" s="1"/>
  <c r="B135" i="13"/>
  <c r="C135" i="13"/>
  <c r="D135" i="13" s="1"/>
  <c r="E135" i="13" s="1"/>
  <c r="B136" i="13"/>
  <c r="C136" i="13"/>
  <c r="D136" i="13" s="1"/>
  <c r="E136" i="13" s="1"/>
  <c r="B137" i="13"/>
  <c r="C137" i="13"/>
  <c r="D137" i="13" s="1"/>
  <c r="E137" i="13" s="1"/>
  <c r="B138" i="13"/>
  <c r="C138" i="13"/>
  <c r="D138" i="13" s="1"/>
  <c r="E138" i="13" s="1"/>
  <c r="B139" i="13"/>
  <c r="C139" i="13"/>
  <c r="D139" i="13" s="1"/>
  <c r="E139" i="13" s="1"/>
  <c r="B140" i="13"/>
  <c r="C140" i="13"/>
  <c r="D140" i="13" s="1"/>
  <c r="E140" i="13" s="1"/>
  <c r="B141" i="13"/>
  <c r="C141" i="13"/>
  <c r="D141" i="13" s="1"/>
  <c r="E141" i="13" s="1"/>
  <c r="B142" i="13"/>
  <c r="C142" i="13"/>
  <c r="D142" i="13" s="1"/>
  <c r="E142" i="13" s="1"/>
  <c r="B143" i="13"/>
  <c r="C143" i="13"/>
  <c r="D143" i="13" s="1"/>
  <c r="E143" i="13" s="1"/>
  <c r="B144" i="13"/>
  <c r="C144" i="13"/>
  <c r="D144" i="13" s="1"/>
  <c r="E144" i="13" s="1"/>
  <c r="B145" i="13"/>
  <c r="C145" i="13"/>
  <c r="D145" i="13" s="1"/>
  <c r="E145" i="13" s="1"/>
  <c r="B146" i="13"/>
  <c r="C146" i="13"/>
  <c r="D146" i="13" s="1"/>
  <c r="E146" i="13" s="1"/>
  <c r="B147" i="13"/>
  <c r="C147" i="13"/>
  <c r="D147" i="13" s="1"/>
  <c r="E147" i="13" s="1"/>
  <c r="B148" i="13"/>
  <c r="C148" i="13"/>
  <c r="D148" i="13" s="1"/>
  <c r="E148" i="13" s="1"/>
  <c r="B149" i="13"/>
  <c r="C149" i="13"/>
  <c r="D149" i="13" s="1"/>
  <c r="E149" i="13" s="1"/>
  <c r="B150" i="13"/>
  <c r="C150" i="13"/>
  <c r="D150" i="13" s="1"/>
  <c r="E150" i="13" s="1"/>
  <c r="B151" i="13"/>
  <c r="C151" i="13"/>
  <c r="D151" i="13" s="1"/>
  <c r="E151" i="13" s="1"/>
  <c r="B152" i="13"/>
  <c r="C152" i="13"/>
  <c r="D152" i="13" s="1"/>
  <c r="E152" i="13" s="1"/>
  <c r="B153" i="13"/>
  <c r="C153" i="13"/>
  <c r="D153" i="13" s="1"/>
  <c r="E153" i="13" s="1"/>
  <c r="B154" i="13"/>
  <c r="C154" i="13"/>
  <c r="D154" i="13" s="1"/>
  <c r="E154" i="13" s="1"/>
  <c r="B155" i="13"/>
  <c r="C155" i="13"/>
  <c r="D155" i="13" s="1"/>
  <c r="E155" i="13" s="1"/>
  <c r="B156" i="13"/>
  <c r="C156" i="13"/>
  <c r="D156" i="13" s="1"/>
  <c r="E156" i="13" s="1"/>
  <c r="B157" i="13"/>
  <c r="C157" i="13"/>
  <c r="D157" i="13" s="1"/>
  <c r="E157" i="13" s="1"/>
  <c r="B158" i="13"/>
  <c r="C158" i="13"/>
  <c r="D158" i="13" s="1"/>
  <c r="E158" i="13" s="1"/>
  <c r="B159" i="13"/>
  <c r="C159" i="13"/>
  <c r="D159" i="13" s="1"/>
  <c r="E159" i="13" s="1"/>
  <c r="B160" i="13"/>
  <c r="C160" i="13"/>
  <c r="D160" i="13" s="1"/>
  <c r="E160" i="13" s="1"/>
  <c r="B161" i="13"/>
  <c r="C161" i="13"/>
  <c r="D161" i="13" s="1"/>
  <c r="E161" i="13" s="1"/>
  <c r="B162" i="13"/>
  <c r="C162" i="13"/>
  <c r="D162" i="13" s="1"/>
  <c r="E162" i="13" s="1"/>
  <c r="B163" i="13"/>
  <c r="C163" i="13"/>
  <c r="D163" i="13" s="1"/>
  <c r="E163" i="13" s="1"/>
  <c r="B164" i="13"/>
  <c r="C164" i="13"/>
  <c r="D164" i="13" s="1"/>
  <c r="E164" i="13" s="1"/>
  <c r="B165" i="13"/>
  <c r="C165" i="13"/>
  <c r="D165" i="13" s="1"/>
  <c r="E165" i="13" s="1"/>
  <c r="B166" i="13"/>
  <c r="C166" i="13"/>
  <c r="D166" i="13" s="1"/>
  <c r="E166" i="13" s="1"/>
  <c r="B167" i="13"/>
  <c r="C167" i="13"/>
  <c r="D167" i="13" s="1"/>
  <c r="E167" i="13" s="1"/>
  <c r="B168" i="13"/>
  <c r="C168" i="13"/>
  <c r="D168" i="13" s="1"/>
  <c r="E168" i="13" s="1"/>
  <c r="B169" i="13"/>
  <c r="C169" i="13"/>
  <c r="D169" i="13" s="1"/>
  <c r="E169" i="13" s="1"/>
  <c r="B170" i="13"/>
  <c r="C170" i="13"/>
  <c r="D170" i="13" s="1"/>
  <c r="E170" i="13" s="1"/>
  <c r="B171" i="13"/>
  <c r="C171" i="13"/>
  <c r="D171" i="13" s="1"/>
  <c r="E171" i="13" s="1"/>
  <c r="B172" i="13"/>
  <c r="C172" i="13"/>
  <c r="D172" i="13" s="1"/>
  <c r="E172" i="13" s="1"/>
  <c r="B173" i="13"/>
  <c r="C173" i="13"/>
  <c r="D173" i="13" s="1"/>
  <c r="E173" i="13" s="1"/>
  <c r="B174" i="13"/>
  <c r="C174" i="13"/>
  <c r="D174" i="13" s="1"/>
  <c r="E174" i="13" s="1"/>
  <c r="B175" i="13"/>
  <c r="C175" i="13"/>
  <c r="D175" i="13" s="1"/>
  <c r="E175" i="13" s="1"/>
  <c r="B176" i="13"/>
  <c r="C176" i="13"/>
  <c r="D176" i="13" s="1"/>
  <c r="E176" i="13" s="1"/>
  <c r="B177" i="13"/>
  <c r="C177" i="13"/>
  <c r="D177" i="13" s="1"/>
  <c r="E177" i="13" s="1"/>
  <c r="B178" i="13"/>
  <c r="C178" i="13"/>
  <c r="D178" i="13" s="1"/>
  <c r="E178" i="13" s="1"/>
  <c r="B179" i="13"/>
  <c r="C179" i="13"/>
  <c r="D179" i="13" s="1"/>
  <c r="E179" i="13" s="1"/>
  <c r="B180" i="13"/>
  <c r="C180" i="13"/>
  <c r="D180" i="13" s="1"/>
  <c r="E180" i="13" s="1"/>
  <c r="B181" i="13"/>
  <c r="C181" i="13"/>
  <c r="D181" i="13" s="1"/>
  <c r="E181" i="13" s="1"/>
  <c r="B182" i="13"/>
  <c r="C182" i="13"/>
  <c r="D182" i="13" s="1"/>
  <c r="E182" i="13" s="1"/>
  <c r="B183" i="13"/>
  <c r="C183" i="13"/>
  <c r="D183" i="13" s="1"/>
  <c r="E183" i="13" s="1"/>
  <c r="B184" i="13"/>
  <c r="C184" i="13"/>
  <c r="D184" i="13" s="1"/>
  <c r="E184" i="13" s="1"/>
  <c r="B185" i="13"/>
  <c r="C185" i="13"/>
  <c r="D185" i="13" s="1"/>
  <c r="E185" i="13" s="1"/>
  <c r="B186" i="13"/>
  <c r="C186" i="13"/>
  <c r="D186" i="13" s="1"/>
  <c r="E186" i="13" s="1"/>
  <c r="B187" i="13"/>
  <c r="C187" i="13"/>
  <c r="D187" i="13" s="1"/>
  <c r="E187" i="13" s="1"/>
  <c r="B188" i="13"/>
  <c r="C188" i="13"/>
  <c r="D188" i="13" s="1"/>
  <c r="E188" i="13" s="1"/>
  <c r="B189" i="13"/>
  <c r="C189" i="13"/>
  <c r="D189" i="13" s="1"/>
  <c r="E189" i="13" s="1"/>
  <c r="B190" i="13"/>
  <c r="C190" i="13"/>
  <c r="D190" i="13" s="1"/>
  <c r="E190" i="13" s="1"/>
  <c r="B191" i="13"/>
  <c r="C191" i="13"/>
  <c r="D191" i="13" s="1"/>
  <c r="E191" i="13" s="1"/>
  <c r="B192" i="13"/>
  <c r="C192" i="13"/>
  <c r="D192" i="13" s="1"/>
  <c r="E192" i="13" s="1"/>
  <c r="B193" i="13"/>
  <c r="C193" i="13"/>
  <c r="D193" i="13" s="1"/>
  <c r="E193" i="13" s="1"/>
  <c r="B194" i="13"/>
  <c r="C194" i="13"/>
  <c r="D194" i="13" s="1"/>
  <c r="E194" i="13" s="1"/>
  <c r="B195" i="13"/>
  <c r="C195" i="13"/>
  <c r="D195" i="13" s="1"/>
  <c r="E195" i="13" s="1"/>
  <c r="B196" i="13"/>
  <c r="C196" i="13"/>
  <c r="D196" i="13" s="1"/>
  <c r="E196" i="13" s="1"/>
  <c r="B197" i="13"/>
  <c r="C197" i="13"/>
  <c r="D197" i="13" s="1"/>
  <c r="E197" i="13" s="1"/>
  <c r="B198" i="13"/>
  <c r="C198" i="13"/>
  <c r="D198" i="13" s="1"/>
  <c r="E198" i="13" s="1"/>
  <c r="B199" i="13"/>
  <c r="C199" i="13"/>
  <c r="D199" i="13" s="1"/>
  <c r="E199" i="13" s="1"/>
  <c r="B200" i="13"/>
  <c r="C200" i="13"/>
  <c r="D200" i="13" s="1"/>
  <c r="E200" i="13" s="1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C2" i="13"/>
  <c r="D2" i="14" s="1"/>
  <c r="C3" i="13"/>
  <c r="D3" i="14" s="1"/>
  <c r="C4" i="13"/>
  <c r="D4" i="14" s="1"/>
  <c r="C5" i="13"/>
  <c r="D5" i="14" s="1"/>
  <c r="C6" i="13"/>
  <c r="D6" i="14" s="1"/>
  <c r="C7" i="13"/>
  <c r="D7" i="13" s="1"/>
  <c r="C8" i="13"/>
  <c r="D8" i="14" s="1"/>
  <c r="C9" i="13"/>
  <c r="D9" i="13" s="1"/>
  <c r="C10" i="13"/>
  <c r="D10" i="14" s="1"/>
  <c r="C11" i="13"/>
  <c r="D11" i="14" s="1"/>
  <c r="C12" i="13"/>
  <c r="D12" i="14" s="1"/>
  <c r="C13" i="13"/>
  <c r="D13" i="14" s="1"/>
  <c r="C14" i="13"/>
  <c r="D14" i="14" s="1"/>
  <c r="C15" i="13"/>
  <c r="D15" i="13" s="1"/>
  <c r="C16" i="13"/>
  <c r="D16" i="14" s="1"/>
  <c r="C17" i="13"/>
  <c r="D17" i="13" s="1"/>
  <c r="C18" i="13"/>
  <c r="D18" i="14" s="1"/>
  <c r="C19" i="13"/>
  <c r="D19" i="14" s="1"/>
  <c r="C20" i="13"/>
  <c r="D20" i="14" s="1"/>
  <c r="C21" i="13"/>
  <c r="D21" i="14" s="1"/>
  <c r="C22" i="13"/>
  <c r="D22" i="14" s="1"/>
  <c r="C23" i="13"/>
  <c r="D23" i="13" s="1"/>
  <c r="C24" i="13"/>
  <c r="D24" i="14" s="1"/>
  <c r="C25" i="13"/>
  <c r="D25" i="13" s="1"/>
  <c r="C26" i="13"/>
  <c r="D26" i="14" s="1"/>
  <c r="C27" i="13"/>
  <c r="D27" i="14" s="1"/>
  <c r="C28" i="13"/>
  <c r="D28" i="14" s="1"/>
  <c r="C29" i="13"/>
  <c r="D29" i="14" s="1"/>
  <c r="C30" i="13"/>
  <c r="D30" i="14" s="1"/>
  <c r="C31" i="13"/>
  <c r="D31" i="13" s="1"/>
  <c r="C32" i="13"/>
  <c r="D32" i="14" s="1"/>
  <c r="C33" i="13"/>
  <c r="D33" i="13" s="1"/>
  <c r="C34" i="13"/>
  <c r="D34" i="14" s="1"/>
  <c r="C35" i="13"/>
  <c r="D35" i="14" s="1"/>
  <c r="C36" i="13"/>
  <c r="D36" i="14" s="1"/>
  <c r="C37" i="13"/>
  <c r="D37" i="14" s="1"/>
  <c r="C38" i="13"/>
  <c r="D38" i="14" s="1"/>
  <c r="C39" i="13"/>
  <c r="D39" i="13" s="1"/>
  <c r="C40" i="13"/>
  <c r="D40" i="14" s="1"/>
  <c r="C41" i="13"/>
  <c r="D41" i="13" s="1"/>
  <c r="C42" i="13"/>
  <c r="D42" i="14" s="1"/>
  <c r="C43" i="13"/>
  <c r="D43" i="14" s="1"/>
  <c r="C44" i="13"/>
  <c r="D44" i="14" s="1"/>
  <c r="C45" i="13"/>
  <c r="D45" i="14" s="1"/>
  <c r="C46" i="13"/>
  <c r="D46" i="14" s="1"/>
  <c r="C47" i="13"/>
  <c r="D47" i="13" s="1"/>
  <c r="C48" i="13"/>
  <c r="D48" i="14" s="1"/>
  <c r="C49" i="13"/>
  <c r="D49" i="13" s="1"/>
  <c r="C50" i="13"/>
  <c r="D50" i="14" s="1"/>
  <c r="C51" i="13"/>
  <c r="D51" i="14" s="1"/>
  <c r="C52" i="13"/>
  <c r="D52" i="14" s="1"/>
  <c r="C53" i="13"/>
  <c r="D53" i="14" s="1"/>
  <c r="C54" i="13"/>
  <c r="D54" i="14" s="1"/>
  <c r="C55" i="13"/>
  <c r="D55" i="13" s="1"/>
  <c r="C56" i="13"/>
  <c r="D56" i="14" s="1"/>
  <c r="C57" i="13"/>
  <c r="D57" i="13" s="1"/>
  <c r="C58" i="13"/>
  <c r="D58" i="14" s="1"/>
  <c r="C59" i="13"/>
  <c r="D59" i="14" s="1"/>
  <c r="C60" i="13"/>
  <c r="D60" i="14" s="1"/>
  <c r="C61" i="13"/>
  <c r="D61" i="14" s="1"/>
  <c r="C62" i="13"/>
  <c r="D62" i="14" s="1"/>
  <c r="C63" i="13"/>
  <c r="D63" i="13" s="1"/>
  <c r="C64" i="13"/>
  <c r="D64" i="14" s="1"/>
  <c r="C65" i="13"/>
  <c r="D65" i="13" s="1"/>
  <c r="C66" i="13"/>
  <c r="D66" i="14" s="1"/>
  <c r="C67" i="13"/>
  <c r="D67" i="14" s="1"/>
  <c r="C68" i="13"/>
  <c r="D68" i="14" s="1"/>
  <c r="C69" i="13"/>
  <c r="D69" i="14" s="1"/>
  <c r="C70" i="13"/>
  <c r="D70" i="14" s="1"/>
  <c r="C71" i="13"/>
  <c r="D71" i="13" s="1"/>
  <c r="C72" i="13"/>
  <c r="D72" i="14" s="1"/>
  <c r="C73" i="13"/>
  <c r="D73" i="13" s="1"/>
  <c r="C74" i="13"/>
  <c r="D74" i="14" s="1"/>
  <c r="C75" i="13"/>
  <c r="D75" i="14" s="1"/>
  <c r="C76" i="13"/>
  <c r="D76" i="14" s="1"/>
  <c r="C77" i="13"/>
  <c r="D77" i="14" s="1"/>
  <c r="C78" i="13"/>
  <c r="D78" i="14" s="1"/>
  <c r="C79" i="13"/>
  <c r="D79" i="13" s="1"/>
  <c r="C80" i="13"/>
  <c r="D80" i="14" s="1"/>
  <c r="C81" i="13"/>
  <c r="D81" i="13" s="1"/>
  <c r="C82" i="13"/>
  <c r="D82" i="14" s="1"/>
  <c r="C83" i="13"/>
  <c r="D83" i="14" s="1"/>
  <c r="C84" i="13"/>
  <c r="D84" i="14" s="1"/>
  <c r="C85" i="13"/>
  <c r="D85" i="14" s="1"/>
  <c r="C86" i="13"/>
  <c r="D86" i="14" s="1"/>
  <c r="C87" i="13"/>
  <c r="D87" i="13" s="1"/>
  <c r="C88" i="13"/>
  <c r="D88" i="14" s="1"/>
  <c r="C89" i="13"/>
  <c r="D89" i="13" s="1"/>
  <c r="C90" i="13"/>
  <c r="D90" i="14" s="1"/>
  <c r="C91" i="13"/>
  <c r="D91" i="14" s="1"/>
  <c r="C92" i="13"/>
  <c r="D92" i="14" s="1"/>
  <c r="C93" i="13"/>
  <c r="D93" i="14" s="1"/>
  <c r="C94" i="13"/>
  <c r="D94" i="14" s="1"/>
  <c r="C95" i="13"/>
  <c r="D95" i="13" s="1"/>
  <c r="C96" i="13"/>
  <c r="D96" i="14" s="1"/>
  <c r="C97" i="13"/>
  <c r="D97" i="13" s="1"/>
  <c r="C98" i="13"/>
  <c r="D98" i="14" s="1"/>
  <c r="C99" i="13"/>
  <c r="D99" i="14" s="1"/>
  <c r="C100" i="13"/>
  <c r="D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C2" i="7"/>
  <c r="D2" i="7" s="1"/>
  <c r="C3" i="7"/>
  <c r="D3" i="7" s="1"/>
  <c r="C4" i="7"/>
  <c r="D4" i="7" s="1"/>
  <c r="C5" i="7"/>
  <c r="D5" i="7" s="1"/>
  <c r="C6" i="7"/>
  <c r="D6" i="7" s="1"/>
  <c r="C7" i="7"/>
  <c r="D7" i="7" s="1"/>
  <c r="C8" i="7"/>
  <c r="D8" i="7" s="1"/>
  <c r="C9" i="7"/>
  <c r="D9" i="7" s="1"/>
  <c r="C10" i="7"/>
  <c r="D10" i="7" s="1"/>
  <c r="C11" i="7"/>
  <c r="D11" i="7" s="1"/>
  <c r="C12" i="7"/>
  <c r="D12" i="7" s="1"/>
  <c r="C13" i="7"/>
  <c r="D13" i="7" s="1"/>
  <c r="C14" i="7"/>
  <c r="D14" i="7" s="1"/>
  <c r="C15" i="7"/>
  <c r="D15" i="7" s="1"/>
  <c r="C16" i="7"/>
  <c r="D16" i="7" s="1"/>
  <c r="C17" i="7"/>
  <c r="D17" i="7" s="1"/>
  <c r="C18" i="7"/>
  <c r="D18" i="7" s="1"/>
  <c r="C19" i="7"/>
  <c r="D19" i="7" s="1"/>
  <c r="C20" i="7"/>
  <c r="D20" i="7" s="1"/>
  <c r="C21" i="7"/>
  <c r="D21" i="7" s="1"/>
  <c r="C22" i="7"/>
  <c r="D22" i="7" s="1"/>
  <c r="C23" i="7"/>
  <c r="D23" i="7" s="1"/>
  <c r="C24" i="7"/>
  <c r="D24" i="7" s="1"/>
  <c r="C25" i="7"/>
  <c r="D25" i="7" s="1"/>
  <c r="C26" i="7"/>
  <c r="D26" i="7" s="1"/>
  <c r="C27" i="7"/>
  <c r="D27" i="7" s="1"/>
  <c r="C28" i="7"/>
  <c r="D28" i="7" s="1"/>
  <c r="C29" i="7"/>
  <c r="D29" i="7" s="1"/>
  <c r="C30" i="7"/>
  <c r="D30" i="7" s="1"/>
  <c r="C31" i="7"/>
  <c r="D31" i="7" s="1"/>
  <c r="C32" i="7"/>
  <c r="D32" i="7" s="1"/>
  <c r="C33" i="7"/>
  <c r="D33" i="7" s="1"/>
  <c r="C34" i="7"/>
  <c r="D34" i="7" s="1"/>
  <c r="C35" i="7"/>
  <c r="D35" i="7" s="1"/>
  <c r="C36" i="7"/>
  <c r="D36" i="7" s="1"/>
  <c r="C37" i="7"/>
  <c r="D37" i="7" s="1"/>
  <c r="C38" i="7"/>
  <c r="D38" i="7" s="1"/>
  <c r="C39" i="7"/>
  <c r="D39" i="7" s="1"/>
  <c r="C40" i="7"/>
  <c r="D40" i="7" s="1"/>
  <c r="C41" i="7"/>
  <c r="D41" i="7" s="1"/>
  <c r="C42" i="7"/>
  <c r="D42" i="7" s="1"/>
  <c r="C43" i="7"/>
  <c r="D43" i="7" s="1"/>
  <c r="C44" i="7"/>
  <c r="D44" i="7" s="1"/>
  <c r="C45" i="7"/>
  <c r="D45" i="7" s="1"/>
  <c r="C46" i="7"/>
  <c r="D46" i="7" s="1"/>
  <c r="C47" i="7"/>
  <c r="D47" i="7" s="1"/>
  <c r="C48" i="7"/>
  <c r="D48" i="7" s="1"/>
  <c r="C49" i="7"/>
  <c r="D49" i="7" s="1"/>
  <c r="C50" i="7"/>
  <c r="D50" i="7" s="1"/>
  <c r="C51" i="7"/>
  <c r="D51" i="7" s="1"/>
  <c r="C52" i="7"/>
  <c r="D52" i="7" s="1"/>
  <c r="C53" i="7"/>
  <c r="D53" i="7" s="1"/>
  <c r="C54" i="7"/>
  <c r="D54" i="7" s="1"/>
  <c r="C55" i="7"/>
  <c r="D55" i="7" s="1"/>
  <c r="C56" i="7"/>
  <c r="D56" i="7" s="1"/>
  <c r="C57" i="7"/>
  <c r="D57" i="7" s="1"/>
  <c r="C58" i="7"/>
  <c r="D58" i="7" s="1"/>
  <c r="C59" i="7"/>
  <c r="D59" i="7" s="1"/>
  <c r="C60" i="7"/>
  <c r="D60" i="7" s="1"/>
  <c r="C61" i="7"/>
  <c r="D61" i="7" s="1"/>
  <c r="C62" i="7"/>
  <c r="D62" i="7" s="1"/>
  <c r="C63" i="7"/>
  <c r="D63" i="7" s="1"/>
  <c r="C64" i="7"/>
  <c r="D64" i="7" s="1"/>
  <c r="C65" i="7"/>
  <c r="D65" i="7" s="1"/>
  <c r="C66" i="7"/>
  <c r="D66" i="7" s="1"/>
  <c r="C67" i="7"/>
  <c r="D67" i="7" s="1"/>
  <c r="C68" i="7"/>
  <c r="D68" i="7" s="1"/>
  <c r="C69" i="7"/>
  <c r="D69" i="7" s="1"/>
  <c r="C70" i="7"/>
  <c r="D70" i="7" s="1"/>
  <c r="C71" i="7"/>
  <c r="D71" i="7" s="1"/>
  <c r="C72" i="7"/>
  <c r="D72" i="7" s="1"/>
  <c r="C73" i="7"/>
  <c r="D73" i="7" s="1"/>
  <c r="C74" i="7"/>
  <c r="D74" i="7" s="1"/>
  <c r="C75" i="7"/>
  <c r="D75" i="7" s="1"/>
  <c r="C76" i="7"/>
  <c r="D76" i="7" s="1"/>
  <c r="C77" i="7"/>
  <c r="D77" i="7" s="1"/>
  <c r="C78" i="7"/>
  <c r="D78" i="7" s="1"/>
  <c r="C79" i="7"/>
  <c r="D79" i="7" s="1"/>
  <c r="C80" i="7"/>
  <c r="D80" i="7" s="1"/>
  <c r="C81" i="7"/>
  <c r="D81" i="7" s="1"/>
  <c r="C82" i="7"/>
  <c r="D82" i="7" s="1"/>
  <c r="C83" i="7"/>
  <c r="D83" i="7" s="1"/>
  <c r="C84" i="7"/>
  <c r="D84" i="7" s="1"/>
  <c r="C85" i="7"/>
  <c r="D85" i="7" s="1"/>
  <c r="C86" i="7"/>
  <c r="D86" i="7" s="1"/>
  <c r="C87" i="7"/>
  <c r="D87" i="7" s="1"/>
  <c r="C88" i="7"/>
  <c r="D88" i="7" s="1"/>
  <c r="C89" i="7"/>
  <c r="D89" i="7" s="1"/>
  <c r="C90" i="7"/>
  <c r="D90" i="7" s="1"/>
  <c r="C91" i="7"/>
  <c r="D91" i="7" s="1"/>
  <c r="C92" i="7"/>
  <c r="D92" i="7" s="1"/>
  <c r="C93" i="7"/>
  <c r="D93" i="7" s="1"/>
  <c r="C94" i="7"/>
  <c r="D94" i="7" s="1"/>
  <c r="C95" i="7"/>
  <c r="D95" i="7" s="1"/>
  <c r="C96" i="7"/>
  <c r="D96" i="7" s="1"/>
  <c r="C97" i="7"/>
  <c r="D97" i="7" s="1"/>
  <c r="C98" i="7"/>
  <c r="D98" i="7" s="1"/>
  <c r="C99" i="7"/>
  <c r="D99" i="7" s="1"/>
  <c r="C100" i="7"/>
  <c r="D100" i="7" s="1"/>
  <c r="C101" i="7"/>
  <c r="D101" i="7" s="1"/>
  <c r="C102" i="7"/>
  <c r="D102" i="7" s="1"/>
  <c r="C103" i="7"/>
  <c r="D103" i="7" s="1"/>
  <c r="C104" i="7"/>
  <c r="D104" i="7" s="1"/>
  <c r="C105" i="7"/>
  <c r="D105" i="7" s="1"/>
  <c r="C106" i="7"/>
  <c r="D106" i="7" s="1"/>
  <c r="C107" i="7"/>
  <c r="D107" i="7" s="1"/>
  <c r="C108" i="7"/>
  <c r="D108" i="7" s="1"/>
  <c r="C109" i="7"/>
  <c r="D109" i="7" s="1"/>
  <c r="C110" i="7"/>
  <c r="D110" i="7" s="1"/>
  <c r="C111" i="7"/>
  <c r="D111" i="7" s="1"/>
  <c r="C112" i="7"/>
  <c r="D112" i="7" s="1"/>
  <c r="C113" i="7"/>
  <c r="D113" i="7" s="1"/>
  <c r="C114" i="7"/>
  <c r="D114" i="7" s="1"/>
  <c r="C115" i="7"/>
  <c r="D115" i="7" s="1"/>
  <c r="C116" i="7"/>
  <c r="D116" i="7" s="1"/>
  <c r="C117" i="7"/>
  <c r="D117" i="7" s="1"/>
  <c r="C118" i="7"/>
  <c r="D118" i="7" s="1"/>
  <c r="C119" i="7"/>
  <c r="D119" i="7" s="1"/>
  <c r="C120" i="7"/>
  <c r="D120" i="7" s="1"/>
  <c r="C121" i="7"/>
  <c r="D121" i="7" s="1"/>
  <c r="C122" i="7"/>
  <c r="D122" i="7" s="1"/>
  <c r="C123" i="7"/>
  <c r="D123" i="7" s="1"/>
  <c r="C124" i="7"/>
  <c r="D124" i="7" s="1"/>
  <c r="C125" i="7"/>
  <c r="D125" i="7" s="1"/>
  <c r="C126" i="7"/>
  <c r="D126" i="7" s="1"/>
  <c r="C127" i="7"/>
  <c r="D127" i="7" s="1"/>
  <c r="C128" i="7"/>
  <c r="D128" i="7" s="1"/>
  <c r="C129" i="7"/>
  <c r="D129" i="7" s="1"/>
  <c r="C130" i="7"/>
  <c r="D130" i="7" s="1"/>
  <c r="C131" i="7"/>
  <c r="D131" i="7" s="1"/>
  <c r="C132" i="7"/>
  <c r="D132" i="7" s="1"/>
  <c r="C133" i="7"/>
  <c r="D133" i="7" s="1"/>
  <c r="C134" i="7"/>
  <c r="D134" i="7" s="1"/>
  <c r="C135" i="7"/>
  <c r="D135" i="7" s="1"/>
  <c r="C136" i="7"/>
  <c r="D136" i="7" s="1"/>
  <c r="C137" i="7"/>
  <c r="D137" i="7" s="1"/>
  <c r="C138" i="7"/>
  <c r="D138" i="7" s="1"/>
  <c r="C139" i="7"/>
  <c r="D139" i="7" s="1"/>
  <c r="C140" i="7"/>
  <c r="D140" i="7" s="1"/>
  <c r="C141" i="7"/>
  <c r="D141" i="7" s="1"/>
  <c r="C142" i="7"/>
  <c r="D142" i="7" s="1"/>
  <c r="C143" i="7"/>
  <c r="D143" i="7" s="1"/>
  <c r="C144" i="7"/>
  <c r="D144" i="7" s="1"/>
  <c r="C145" i="7"/>
  <c r="D145" i="7" s="1"/>
  <c r="C146" i="7"/>
  <c r="D146" i="7" s="1"/>
  <c r="C147" i="7"/>
  <c r="D147" i="7" s="1"/>
  <c r="C148" i="7"/>
  <c r="D148" i="7" s="1"/>
  <c r="C149" i="7"/>
  <c r="D149" i="7" s="1"/>
  <c r="C150" i="7"/>
  <c r="D150" i="7" s="1"/>
  <c r="C151" i="7"/>
  <c r="D151" i="7" s="1"/>
  <c r="C152" i="7"/>
  <c r="D152" i="7" s="1"/>
  <c r="C153" i="7"/>
  <c r="D153" i="7" s="1"/>
  <c r="C154" i="7"/>
  <c r="D154" i="7" s="1"/>
  <c r="C155" i="7"/>
  <c r="D155" i="7" s="1"/>
  <c r="C156" i="7"/>
  <c r="D156" i="7" s="1"/>
  <c r="C157" i="7"/>
  <c r="D157" i="7" s="1"/>
  <c r="C158" i="7"/>
  <c r="D158" i="7" s="1"/>
  <c r="C159" i="7"/>
  <c r="D159" i="7" s="1"/>
  <c r="C160" i="7"/>
  <c r="D160" i="7" s="1"/>
  <c r="C161" i="7"/>
  <c r="D161" i="7" s="1"/>
  <c r="C162" i="7"/>
  <c r="D162" i="7" s="1"/>
  <c r="C163" i="7"/>
  <c r="D163" i="7" s="1"/>
  <c r="C164" i="7"/>
  <c r="D164" i="7" s="1"/>
  <c r="C165" i="7"/>
  <c r="D165" i="7" s="1"/>
  <c r="C166" i="7"/>
  <c r="D166" i="7" s="1"/>
  <c r="C167" i="7"/>
  <c r="D167" i="7" s="1"/>
  <c r="C168" i="7"/>
  <c r="D168" i="7" s="1"/>
  <c r="C169" i="7"/>
  <c r="D169" i="7" s="1"/>
  <c r="C170" i="7"/>
  <c r="D170" i="7" s="1"/>
  <c r="C171" i="7"/>
  <c r="D171" i="7" s="1"/>
  <c r="C172" i="7"/>
  <c r="D172" i="7" s="1"/>
  <c r="C173" i="7"/>
  <c r="D173" i="7" s="1"/>
  <c r="C174" i="7"/>
  <c r="D174" i="7" s="1"/>
  <c r="C175" i="7"/>
  <c r="D175" i="7" s="1"/>
  <c r="C176" i="7"/>
  <c r="D176" i="7" s="1"/>
  <c r="C177" i="7"/>
  <c r="D177" i="7" s="1"/>
  <c r="C178" i="7"/>
  <c r="D178" i="7" s="1"/>
  <c r="C179" i="7"/>
  <c r="D179" i="7" s="1"/>
  <c r="C180" i="7"/>
  <c r="D180" i="7" s="1"/>
  <c r="C181" i="7"/>
  <c r="D181" i="7" s="1"/>
  <c r="C182" i="7"/>
  <c r="D182" i="7" s="1"/>
  <c r="C183" i="7"/>
  <c r="D183" i="7" s="1"/>
  <c r="C184" i="7"/>
  <c r="D184" i="7" s="1"/>
  <c r="C185" i="7"/>
  <c r="D185" i="7" s="1"/>
  <c r="C186" i="7"/>
  <c r="D186" i="7" s="1"/>
  <c r="C187" i="7"/>
  <c r="D187" i="7" s="1"/>
  <c r="C188" i="7"/>
  <c r="D188" i="7" s="1"/>
  <c r="C189" i="7"/>
  <c r="D189" i="7" s="1"/>
  <c r="C190" i="7"/>
  <c r="D190" i="7" s="1"/>
  <c r="C191" i="7"/>
  <c r="D191" i="7" s="1"/>
  <c r="C192" i="7"/>
  <c r="D192" i="7" s="1"/>
  <c r="C193" i="7"/>
  <c r="D193" i="7" s="1"/>
  <c r="C194" i="7"/>
  <c r="D194" i="7" s="1"/>
  <c r="C195" i="7"/>
  <c r="D195" i="7" s="1"/>
  <c r="C196" i="7"/>
  <c r="D196" i="7" s="1"/>
  <c r="C197" i="7"/>
  <c r="D197" i="7" s="1"/>
  <c r="C198" i="7"/>
  <c r="D198" i="7" s="1"/>
  <c r="C199" i="7"/>
  <c r="D199" i="7" s="1"/>
  <c r="C200" i="7"/>
  <c r="D200" i="7" s="1"/>
  <c r="C201" i="7"/>
  <c r="D201" i="7" s="1"/>
  <c r="C202" i="7"/>
  <c r="D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E201" i="7"/>
  <c r="E202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D22" i="6"/>
  <c r="D12" i="6"/>
  <c r="B12" i="6"/>
  <c r="B22" i="6"/>
  <c r="B3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12" i="4"/>
  <c r="F14" i="4"/>
  <c r="H14" i="4" s="1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12" i="4"/>
  <c r="H12" i="4" s="1"/>
  <c r="G12" i="4"/>
  <c r="I12" i="4" s="1"/>
  <c r="G14" i="4"/>
  <c r="I14" i="4" s="1"/>
  <c r="G16" i="4"/>
  <c r="I16" i="4" s="1"/>
  <c r="G18" i="4"/>
  <c r="I18" i="4" s="1"/>
  <c r="G20" i="4"/>
  <c r="I20" i="4" s="1"/>
  <c r="G22" i="4"/>
  <c r="I22" i="4" s="1"/>
  <c r="G24" i="4"/>
  <c r="I24" i="4" s="1"/>
  <c r="G26" i="4"/>
  <c r="I26" i="4" s="1"/>
  <c r="G28" i="4"/>
  <c r="I28" i="4" s="1"/>
  <c r="G30" i="4"/>
  <c r="I30" i="4" s="1"/>
  <c r="G32" i="4"/>
  <c r="I32" i="4" s="1"/>
  <c r="G34" i="4"/>
  <c r="I34" i="4" s="1"/>
  <c r="G36" i="4"/>
  <c r="I36" i="4" s="1"/>
  <c r="G38" i="4"/>
  <c r="I38" i="4" s="1"/>
  <c r="G40" i="4"/>
  <c r="I40" i="4" s="1"/>
  <c r="G42" i="4"/>
  <c r="I42" i="4" s="1"/>
  <c r="G44" i="4"/>
  <c r="I44" i="4" s="1"/>
  <c r="G46" i="4"/>
  <c r="I46" i="4" s="1"/>
  <c r="G48" i="4"/>
  <c r="I48" i="4" s="1"/>
  <c r="G50" i="4"/>
  <c r="I50" i="4" s="1"/>
  <c r="G52" i="4"/>
  <c r="I52" i="4" s="1"/>
  <c r="G54" i="4"/>
  <c r="I54" i="4" s="1"/>
  <c r="G56" i="4"/>
  <c r="I56" i="4" s="1"/>
  <c r="G58" i="4"/>
  <c r="I58" i="4" s="1"/>
  <c r="G60" i="4"/>
  <c r="I60" i="4" s="1"/>
  <c r="G62" i="4"/>
  <c r="I62" i="4" s="1"/>
  <c r="G64" i="4"/>
  <c r="I64" i="4" s="1"/>
  <c r="G66" i="4"/>
  <c r="I66" i="4" s="1"/>
  <c r="G68" i="4"/>
  <c r="I68" i="4" s="1"/>
  <c r="G70" i="4"/>
  <c r="I70" i="4" s="1"/>
  <c r="G72" i="4"/>
  <c r="I72" i="4" s="1"/>
  <c r="G74" i="4"/>
  <c r="I74" i="4" s="1"/>
  <c r="G76" i="4"/>
  <c r="I76" i="4" s="1"/>
  <c r="G78" i="4"/>
  <c r="I78" i="4" s="1"/>
  <c r="G80" i="4"/>
  <c r="I80" i="4" s="1"/>
  <c r="G82" i="4"/>
  <c r="I82" i="4" s="1"/>
  <c r="G84" i="4"/>
  <c r="I84" i="4" s="1"/>
  <c r="G86" i="4"/>
  <c r="I86" i="4" s="1"/>
  <c r="G88" i="4"/>
  <c r="I88" i="4" s="1"/>
  <c r="G90" i="4"/>
  <c r="I90" i="4" s="1"/>
  <c r="G92" i="4"/>
  <c r="I92" i="4" s="1"/>
  <c r="G94" i="4"/>
  <c r="I94" i="4" s="1"/>
  <c r="G96" i="4"/>
  <c r="I96" i="4" s="1"/>
  <c r="G98" i="4"/>
  <c r="I98" i="4" s="1"/>
  <c r="G100" i="4"/>
  <c r="I100" i="4" s="1"/>
  <c r="G102" i="4"/>
  <c r="I102" i="4" s="1"/>
  <c r="G104" i="4"/>
  <c r="I104" i="4" s="1"/>
  <c r="G106" i="4"/>
  <c r="I106" i="4" s="1"/>
  <c r="G108" i="4"/>
  <c r="I108" i="4" s="1"/>
  <c r="G110" i="4"/>
  <c r="I110" i="4" s="1"/>
  <c r="G112" i="4"/>
  <c r="I112" i="4" s="1"/>
  <c r="G114" i="4"/>
  <c r="I114" i="4" s="1"/>
  <c r="G116" i="4"/>
  <c r="I116" i="4" s="1"/>
  <c r="G118" i="4"/>
  <c r="I118" i="4" s="1"/>
  <c r="G120" i="4"/>
  <c r="I120" i="4" s="1"/>
  <c r="G122" i="4"/>
  <c r="I122" i="4" s="1"/>
  <c r="G124" i="4"/>
  <c r="I124" i="4" s="1"/>
  <c r="G126" i="4"/>
  <c r="I126" i="4" s="1"/>
  <c r="G128" i="4"/>
  <c r="I128" i="4" s="1"/>
  <c r="G130" i="4"/>
  <c r="I130" i="4" s="1"/>
  <c r="G132" i="4"/>
  <c r="I132" i="4" s="1"/>
  <c r="G134" i="4"/>
  <c r="I134" i="4" s="1"/>
  <c r="G136" i="4"/>
  <c r="I136" i="4" s="1"/>
  <c r="G138" i="4"/>
  <c r="I138" i="4" s="1"/>
  <c r="G140" i="4"/>
  <c r="I140" i="4" s="1"/>
  <c r="G142" i="4"/>
  <c r="I142" i="4" s="1"/>
  <c r="G144" i="4"/>
  <c r="I144" i="4" s="1"/>
  <c r="G146" i="4"/>
  <c r="I146" i="4" s="1"/>
  <c r="G148" i="4"/>
  <c r="I148" i="4" s="1"/>
  <c r="G150" i="4"/>
  <c r="I150" i="4" s="1"/>
  <c r="G152" i="4"/>
  <c r="I152" i="4" s="1"/>
  <c r="G154" i="4"/>
  <c r="I154" i="4" s="1"/>
  <c r="G156" i="4"/>
  <c r="I156" i="4" s="1"/>
  <c r="G158" i="4"/>
  <c r="I158" i="4" s="1"/>
  <c r="G160" i="4"/>
  <c r="I160" i="4" s="1"/>
  <c r="G162" i="4"/>
  <c r="I162" i="4" s="1"/>
  <c r="G164" i="4"/>
  <c r="I164" i="4" s="1"/>
  <c r="G166" i="4"/>
  <c r="I166" i="4" s="1"/>
  <c r="G168" i="4"/>
  <c r="I168" i="4" s="1"/>
  <c r="G170" i="4"/>
  <c r="I170" i="4" s="1"/>
  <c r="G172" i="4"/>
  <c r="I172" i="4" s="1"/>
  <c r="G174" i="4"/>
  <c r="I174" i="4" s="1"/>
  <c r="G176" i="4"/>
  <c r="I176" i="4" s="1"/>
  <c r="G178" i="4"/>
  <c r="I178" i="4" s="1"/>
  <c r="G180" i="4"/>
  <c r="I180" i="4" s="1"/>
  <c r="G182" i="4"/>
  <c r="I182" i="4" s="1"/>
  <c r="G184" i="4"/>
  <c r="I184" i="4" s="1"/>
  <c r="G186" i="4"/>
  <c r="I186" i="4" s="1"/>
  <c r="G188" i="4"/>
  <c r="I188" i="4" s="1"/>
  <c r="G190" i="4"/>
  <c r="I190" i="4" s="1"/>
  <c r="G192" i="4"/>
  <c r="I192" i="4" s="1"/>
  <c r="G194" i="4"/>
  <c r="I194" i="4" s="1"/>
  <c r="G196" i="4"/>
  <c r="I196" i="4" s="1"/>
  <c r="G198" i="4"/>
  <c r="I198" i="4" s="1"/>
  <c r="G200" i="4"/>
  <c r="I200" i="4" s="1"/>
  <c r="G202" i="4"/>
  <c r="I202" i="4" s="1"/>
  <c r="G204" i="4"/>
  <c r="I204" i="4" s="1"/>
  <c r="G206" i="4"/>
  <c r="I206" i="4" s="1"/>
  <c r="G208" i="4"/>
  <c r="I208" i="4" s="1"/>
  <c r="G210" i="4"/>
  <c r="I210" i="4" s="1"/>
  <c r="G212" i="4"/>
  <c r="I212" i="4" s="1"/>
  <c r="G214" i="4"/>
  <c r="I214" i="4" s="1"/>
  <c r="G216" i="4"/>
  <c r="I216" i="4" s="1"/>
  <c r="G218" i="4"/>
  <c r="I218" i="4" s="1"/>
  <c r="G220" i="4"/>
  <c r="I220" i="4" s="1"/>
  <c r="G222" i="4"/>
  <c r="I222" i="4" s="1"/>
  <c r="G224" i="4"/>
  <c r="I224" i="4" s="1"/>
  <c r="G226" i="4"/>
  <c r="I226" i="4" s="1"/>
  <c r="G228" i="4"/>
  <c r="I228" i="4" s="1"/>
  <c r="G230" i="4"/>
  <c r="I230" i="4" s="1"/>
  <c r="G232" i="4"/>
  <c r="I232" i="4" s="1"/>
  <c r="G234" i="4"/>
  <c r="I234" i="4" s="1"/>
  <c r="G236" i="4"/>
  <c r="I236" i="4" s="1"/>
  <c r="G238" i="4"/>
  <c r="I238" i="4" s="1"/>
  <c r="G240" i="4"/>
  <c r="I240" i="4" s="1"/>
  <c r="G242" i="4"/>
  <c r="I242" i="4" s="1"/>
  <c r="G244" i="4"/>
  <c r="I244" i="4" s="1"/>
  <c r="G246" i="4"/>
  <c r="I246" i="4" s="1"/>
  <c r="G248" i="4"/>
  <c r="I248" i="4" s="1"/>
  <c r="G250" i="4"/>
  <c r="I250" i="4" s="1"/>
  <c r="G252" i="4"/>
  <c r="I252" i="4" s="1"/>
  <c r="G254" i="4"/>
  <c r="I254" i="4" s="1"/>
  <c r="G256" i="4"/>
  <c r="I256" i="4" s="1"/>
  <c r="G258" i="4"/>
  <c r="I258" i="4" s="1"/>
  <c r="G260" i="4"/>
  <c r="I260" i="4" s="1"/>
  <c r="G262" i="4"/>
  <c r="I262" i="4" s="1"/>
  <c r="G264" i="4"/>
  <c r="I264" i="4" s="1"/>
  <c r="G266" i="4"/>
  <c r="I266" i="4" s="1"/>
  <c r="G268" i="4"/>
  <c r="I268" i="4" s="1"/>
  <c r="G270" i="4"/>
  <c r="I270" i="4" s="1"/>
  <c r="G272" i="4"/>
  <c r="I272" i="4" s="1"/>
  <c r="G274" i="4"/>
  <c r="I274" i="4" s="1"/>
  <c r="G276" i="4"/>
  <c r="I276" i="4" s="1"/>
  <c r="G278" i="4"/>
  <c r="I278" i="4" s="1"/>
  <c r="G280" i="4"/>
  <c r="I280" i="4" s="1"/>
  <c r="G282" i="4"/>
  <c r="I282" i="4" s="1"/>
  <c r="G284" i="4"/>
  <c r="I284" i="4" s="1"/>
  <c r="G286" i="4"/>
  <c r="I286" i="4" s="1"/>
  <c r="G288" i="4"/>
  <c r="I288" i="4" s="1"/>
  <c r="G290" i="4"/>
  <c r="I290" i="4" s="1"/>
  <c r="G292" i="4"/>
  <c r="I292" i="4" s="1"/>
  <c r="G294" i="4"/>
  <c r="I294" i="4" s="1"/>
  <c r="G296" i="4"/>
  <c r="I296" i="4" s="1"/>
  <c r="G298" i="4"/>
  <c r="I298" i="4" s="1"/>
  <c r="G300" i="4"/>
  <c r="I300" i="4" s="1"/>
  <c r="G302" i="4"/>
  <c r="I302" i="4" s="1"/>
  <c r="G304" i="4"/>
  <c r="I304" i="4" s="1"/>
  <c r="G306" i="4"/>
  <c r="I306" i="4" s="1"/>
  <c r="G308" i="4"/>
  <c r="I308" i="4" s="1"/>
  <c r="G310" i="4"/>
  <c r="I310" i="4" s="1"/>
  <c r="G312" i="4"/>
  <c r="I312" i="4" s="1"/>
  <c r="G314" i="4"/>
  <c r="I314" i="4" s="1"/>
  <c r="G316" i="4"/>
  <c r="I316" i="4" s="1"/>
  <c r="G318" i="4"/>
  <c r="I318" i="4" s="1"/>
  <c r="G320" i="4"/>
  <c r="I320" i="4" s="1"/>
  <c r="G322" i="4"/>
  <c r="I322" i="4" s="1"/>
  <c r="G324" i="4"/>
  <c r="I324" i="4" s="1"/>
  <c r="G326" i="4"/>
  <c r="I326" i="4" s="1"/>
  <c r="G328" i="4"/>
  <c r="I328" i="4" s="1"/>
  <c r="G330" i="4"/>
  <c r="I330" i="4" s="1"/>
  <c r="G332" i="4"/>
  <c r="I332" i="4" s="1"/>
  <c r="G334" i="4"/>
  <c r="I334" i="4" s="1"/>
  <c r="G336" i="4"/>
  <c r="I336" i="4" s="1"/>
  <c r="G338" i="4"/>
  <c r="I338" i="4" s="1"/>
  <c r="G340" i="4"/>
  <c r="I340" i="4" s="1"/>
  <c r="G342" i="4"/>
  <c r="I342" i="4" s="1"/>
  <c r="G344" i="4"/>
  <c r="I344" i="4" s="1"/>
  <c r="G346" i="4"/>
  <c r="I346" i="4" s="1"/>
  <c r="G348" i="4"/>
  <c r="I348" i="4" s="1"/>
  <c r="G350" i="4"/>
  <c r="I350" i="4" s="1"/>
  <c r="G352" i="4"/>
  <c r="I352" i="4" s="1"/>
  <c r="G354" i="4"/>
  <c r="I354" i="4" s="1"/>
  <c r="G356" i="4"/>
  <c r="I356" i="4" s="1"/>
  <c r="G358" i="4"/>
  <c r="I358" i="4" s="1"/>
  <c r="G360" i="4"/>
  <c r="I360" i="4" s="1"/>
  <c r="G362" i="4"/>
  <c r="I362" i="4" s="1"/>
  <c r="G364" i="4"/>
  <c r="I364" i="4" s="1"/>
  <c r="G366" i="4"/>
  <c r="I366" i="4" s="1"/>
  <c r="G368" i="4"/>
  <c r="I368" i="4" s="1"/>
  <c r="G370" i="4"/>
  <c r="I370" i="4" s="1"/>
  <c r="G372" i="4"/>
  <c r="I372" i="4" s="1"/>
  <c r="G374" i="4"/>
  <c r="I374" i="4" s="1"/>
  <c r="G376" i="4"/>
  <c r="I376" i="4" s="1"/>
  <c r="G378" i="4"/>
  <c r="I378" i="4" s="1"/>
  <c r="G380" i="4"/>
  <c r="I380" i="4" s="1"/>
  <c r="G382" i="4"/>
  <c r="I382" i="4" s="1"/>
  <c r="G384" i="4"/>
  <c r="I384" i="4" s="1"/>
  <c r="G386" i="4"/>
  <c r="I386" i="4" s="1"/>
  <c r="G388" i="4"/>
  <c r="I388" i="4" s="1"/>
  <c r="G390" i="4"/>
  <c r="I390" i="4" s="1"/>
  <c r="G392" i="4"/>
  <c r="I392" i="4" s="1"/>
  <c r="G394" i="4"/>
  <c r="I394" i="4" s="1"/>
  <c r="G396" i="4"/>
  <c r="I396" i="4" s="1"/>
  <c r="G398" i="4"/>
  <c r="I398" i="4" s="1"/>
  <c r="G400" i="4"/>
  <c r="I400" i="4" s="1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C285" i="4"/>
  <c r="B2" i="4"/>
  <c r="B3" i="4"/>
  <c r="B4" i="4"/>
  <c r="B5" i="4"/>
  <c r="B6" i="4"/>
  <c r="B7" i="4"/>
  <c r="B8" i="4"/>
  <c r="B9" i="4"/>
  <c r="B10" i="4"/>
  <c r="B11" i="4"/>
  <c r="B12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D300" i="4"/>
  <c r="M300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A303" i="9"/>
  <c r="C303" i="9"/>
  <c r="N301" i="4" s="1"/>
  <c r="A304" i="9"/>
  <c r="C304" i="9"/>
  <c r="N302" i="4" s="1"/>
  <c r="A305" i="9"/>
  <c r="C305" i="9"/>
  <c r="N303" i="4" s="1"/>
  <c r="A306" i="9"/>
  <c r="C306" i="9"/>
  <c r="N304" i="4" s="1"/>
  <c r="A307" i="9"/>
  <c r="C307" i="9"/>
  <c r="N305" i="4" s="1"/>
  <c r="A308" i="9"/>
  <c r="C308" i="9"/>
  <c r="N306" i="4" s="1"/>
  <c r="A309" i="9"/>
  <c r="C309" i="9"/>
  <c r="N307" i="4" s="1"/>
  <c r="A310" i="9"/>
  <c r="C310" i="9"/>
  <c r="N308" i="4" s="1"/>
  <c r="C1078" i="23" s="1"/>
  <c r="A311" i="9"/>
  <c r="C311" i="9"/>
  <c r="N309" i="4" s="1"/>
  <c r="C1079" i="23" s="1"/>
  <c r="A312" i="9"/>
  <c r="C312" i="9"/>
  <c r="N310" i="4" s="1"/>
  <c r="A313" i="9"/>
  <c r="C313" i="9"/>
  <c r="N311" i="4" s="1"/>
  <c r="A314" i="9"/>
  <c r="C314" i="9"/>
  <c r="N312" i="4" s="1"/>
  <c r="A315" i="9"/>
  <c r="C315" i="9"/>
  <c r="N313" i="4" s="1"/>
  <c r="A316" i="9"/>
  <c r="C316" i="9"/>
  <c r="N314" i="4" s="1"/>
  <c r="A317" i="9"/>
  <c r="C317" i="9"/>
  <c r="N315" i="4" s="1"/>
  <c r="A318" i="9"/>
  <c r="C318" i="9"/>
  <c r="N316" i="4" s="1"/>
  <c r="A319" i="9"/>
  <c r="C319" i="9"/>
  <c r="N317" i="4" s="1"/>
  <c r="A320" i="9"/>
  <c r="C320" i="9"/>
  <c r="N318" i="4" s="1"/>
  <c r="A321" i="9"/>
  <c r="C321" i="9"/>
  <c r="N319" i="4" s="1"/>
  <c r="A322" i="9"/>
  <c r="C322" i="9"/>
  <c r="N320" i="4" s="1"/>
  <c r="C1121" i="23" s="1"/>
  <c r="A323" i="9"/>
  <c r="C323" i="9"/>
  <c r="N321" i="4" s="1"/>
  <c r="C1120" i="23" s="1"/>
  <c r="A324" i="9"/>
  <c r="C324" i="9"/>
  <c r="N322" i="4" s="1"/>
  <c r="A325" i="9"/>
  <c r="C325" i="9"/>
  <c r="N323" i="4" s="1"/>
  <c r="A326" i="9"/>
  <c r="C326" i="9"/>
  <c r="N324" i="4" s="1"/>
  <c r="A327" i="9"/>
  <c r="C327" i="9"/>
  <c r="N325" i="4" s="1"/>
  <c r="A328" i="9"/>
  <c r="C328" i="9"/>
  <c r="N326" i="4" s="1"/>
  <c r="A329" i="9"/>
  <c r="C329" i="9"/>
  <c r="N327" i="4" s="1"/>
  <c r="A330" i="9"/>
  <c r="C330" i="9"/>
  <c r="N328" i="4" s="1"/>
  <c r="A331" i="9"/>
  <c r="C331" i="9"/>
  <c r="N329" i="4" s="1"/>
  <c r="A332" i="9"/>
  <c r="C332" i="9"/>
  <c r="N330" i="4" s="1"/>
  <c r="A333" i="9"/>
  <c r="C333" i="9"/>
  <c r="N331" i="4" s="1"/>
  <c r="A334" i="9"/>
  <c r="C334" i="9"/>
  <c r="N332" i="4" s="1"/>
  <c r="A335" i="9"/>
  <c r="C335" i="9"/>
  <c r="N333" i="4" s="1"/>
  <c r="A336" i="9"/>
  <c r="C336" i="9"/>
  <c r="N334" i="4" s="1"/>
  <c r="A337" i="9"/>
  <c r="C337" i="9"/>
  <c r="N335" i="4" s="1"/>
  <c r="A338" i="9"/>
  <c r="C338" i="9"/>
  <c r="N336" i="4" s="1"/>
  <c r="A339" i="9"/>
  <c r="C339" i="9"/>
  <c r="N337" i="4" s="1"/>
  <c r="A340" i="9"/>
  <c r="C340" i="9"/>
  <c r="N338" i="4" s="1"/>
  <c r="A341" i="9"/>
  <c r="C341" i="9"/>
  <c r="N339" i="4" s="1"/>
  <c r="A342" i="9"/>
  <c r="C342" i="9"/>
  <c r="N340" i="4" s="1"/>
  <c r="A343" i="9"/>
  <c r="C343" i="9"/>
  <c r="N341" i="4" s="1"/>
  <c r="A344" i="9"/>
  <c r="C344" i="9"/>
  <c r="N342" i="4" s="1"/>
  <c r="A345" i="9"/>
  <c r="C345" i="9"/>
  <c r="N343" i="4" s="1"/>
  <c r="A346" i="9"/>
  <c r="C346" i="9"/>
  <c r="N344" i="4" s="1"/>
  <c r="A347" i="9"/>
  <c r="C347" i="9"/>
  <c r="N345" i="4" s="1"/>
  <c r="A348" i="9"/>
  <c r="C348" i="9"/>
  <c r="N346" i="4" s="1"/>
  <c r="A349" i="9"/>
  <c r="C349" i="9"/>
  <c r="N347" i="4" s="1"/>
  <c r="A350" i="9"/>
  <c r="C350" i="9"/>
  <c r="N348" i="4" s="1"/>
  <c r="A351" i="9"/>
  <c r="C351" i="9"/>
  <c r="N349" i="4" s="1"/>
  <c r="A352" i="9"/>
  <c r="C352" i="9"/>
  <c r="N350" i="4" s="1"/>
  <c r="A353" i="9"/>
  <c r="C353" i="9"/>
  <c r="N351" i="4" s="1"/>
  <c r="A354" i="9"/>
  <c r="C354" i="9"/>
  <c r="N352" i="4" s="1"/>
  <c r="A355" i="9"/>
  <c r="C355" i="9"/>
  <c r="N353" i="4" s="1"/>
  <c r="A356" i="9"/>
  <c r="C356" i="9"/>
  <c r="N354" i="4" s="1"/>
  <c r="A357" i="9"/>
  <c r="C357" i="9"/>
  <c r="N355" i="4" s="1"/>
  <c r="A358" i="9"/>
  <c r="C358" i="9"/>
  <c r="N356" i="4" s="1"/>
  <c r="A359" i="9"/>
  <c r="C359" i="9"/>
  <c r="N357" i="4" s="1"/>
  <c r="A360" i="9"/>
  <c r="C360" i="9"/>
  <c r="N358" i="4" s="1"/>
  <c r="A361" i="9"/>
  <c r="C361" i="9"/>
  <c r="N359" i="4" s="1"/>
  <c r="A362" i="9"/>
  <c r="C362" i="9"/>
  <c r="N360" i="4" s="1"/>
  <c r="A363" i="9"/>
  <c r="C363" i="9"/>
  <c r="N361" i="4" s="1"/>
  <c r="A364" i="9"/>
  <c r="C364" i="9"/>
  <c r="N362" i="4" s="1"/>
  <c r="A365" i="9"/>
  <c r="C365" i="9"/>
  <c r="N363" i="4" s="1"/>
  <c r="A366" i="9"/>
  <c r="C366" i="9"/>
  <c r="N364" i="4" s="1"/>
  <c r="A367" i="9"/>
  <c r="C367" i="9"/>
  <c r="N365" i="4" s="1"/>
  <c r="A368" i="9"/>
  <c r="C368" i="9"/>
  <c r="N366" i="4" s="1"/>
  <c r="A369" i="9"/>
  <c r="C369" i="9"/>
  <c r="N367" i="4" s="1"/>
  <c r="A370" i="9"/>
  <c r="C370" i="9"/>
  <c r="N368" i="4" s="1"/>
  <c r="A371" i="9"/>
  <c r="C371" i="9"/>
  <c r="N369" i="4" s="1"/>
  <c r="A372" i="9"/>
  <c r="C372" i="9"/>
  <c r="N370" i="4" s="1"/>
  <c r="A373" i="9"/>
  <c r="C373" i="9"/>
  <c r="N371" i="4" s="1"/>
  <c r="A374" i="9"/>
  <c r="C374" i="9"/>
  <c r="N372" i="4" s="1"/>
  <c r="A375" i="9"/>
  <c r="C375" i="9"/>
  <c r="N373" i="4" s="1"/>
  <c r="A376" i="9"/>
  <c r="C376" i="9"/>
  <c r="N374" i="4" s="1"/>
  <c r="A377" i="9"/>
  <c r="C377" i="9"/>
  <c r="N375" i="4" s="1"/>
  <c r="A378" i="9"/>
  <c r="C378" i="9"/>
  <c r="N376" i="4" s="1"/>
  <c r="A379" i="9"/>
  <c r="C379" i="9"/>
  <c r="N377" i="4" s="1"/>
  <c r="A380" i="9"/>
  <c r="C380" i="9"/>
  <c r="N378" i="4" s="1"/>
  <c r="A381" i="9"/>
  <c r="C381" i="9"/>
  <c r="N379" i="4" s="1"/>
  <c r="A382" i="9"/>
  <c r="C382" i="9"/>
  <c r="N380" i="4" s="1"/>
  <c r="A383" i="9"/>
  <c r="C383" i="9"/>
  <c r="N381" i="4" s="1"/>
  <c r="A384" i="9"/>
  <c r="C384" i="9"/>
  <c r="N382" i="4" s="1"/>
  <c r="A385" i="9"/>
  <c r="C385" i="9"/>
  <c r="N383" i="4" s="1"/>
  <c r="A386" i="9"/>
  <c r="C386" i="9"/>
  <c r="N384" i="4" s="1"/>
  <c r="A387" i="9"/>
  <c r="C387" i="9"/>
  <c r="N385" i="4" s="1"/>
  <c r="A388" i="9"/>
  <c r="C388" i="9"/>
  <c r="N386" i="4" s="1"/>
  <c r="A389" i="9"/>
  <c r="C389" i="9"/>
  <c r="N387" i="4" s="1"/>
  <c r="A390" i="9"/>
  <c r="C390" i="9"/>
  <c r="N388" i="4" s="1"/>
  <c r="A391" i="9"/>
  <c r="C391" i="9"/>
  <c r="N389" i="4" s="1"/>
  <c r="A392" i="9"/>
  <c r="C392" i="9"/>
  <c r="N390" i="4" s="1"/>
  <c r="A393" i="9"/>
  <c r="C393" i="9"/>
  <c r="N391" i="4" s="1"/>
  <c r="A394" i="9"/>
  <c r="C394" i="9"/>
  <c r="N392" i="4" s="1"/>
  <c r="A395" i="9"/>
  <c r="C395" i="9"/>
  <c r="N393" i="4" s="1"/>
  <c r="A396" i="9"/>
  <c r="C396" i="9"/>
  <c r="N394" i="4" s="1"/>
  <c r="A397" i="9"/>
  <c r="C397" i="9"/>
  <c r="N395" i="4" s="1"/>
  <c r="A398" i="9"/>
  <c r="C398" i="9"/>
  <c r="N396" i="4" s="1"/>
  <c r="A399" i="9"/>
  <c r="C399" i="9"/>
  <c r="N397" i="4" s="1"/>
  <c r="A400" i="9"/>
  <c r="C400" i="9"/>
  <c r="N398" i="4" s="1"/>
  <c r="A401" i="9"/>
  <c r="C401" i="9"/>
  <c r="N399" i="4" s="1"/>
  <c r="A402" i="9"/>
  <c r="C402" i="9"/>
  <c r="N400" i="4" s="1"/>
  <c r="A403" i="9"/>
  <c r="C403" i="9"/>
  <c r="N401" i="4" s="1"/>
  <c r="C22" i="9"/>
  <c r="N20" i="4" s="1"/>
  <c r="A25" i="9"/>
  <c r="C25" i="9" s="1"/>
  <c r="N23" i="4" s="1"/>
  <c r="A26" i="9"/>
  <c r="A27" i="9"/>
  <c r="C27" i="9" s="1"/>
  <c r="N25" i="4" s="1"/>
  <c r="A28" i="9"/>
  <c r="A29" i="9"/>
  <c r="C29" i="9" s="1"/>
  <c r="N27" i="4" s="1"/>
  <c r="A30" i="9"/>
  <c r="A31" i="9"/>
  <c r="C31" i="9" s="1"/>
  <c r="N29" i="4" s="1"/>
  <c r="A32" i="9"/>
  <c r="C32" i="9" s="1"/>
  <c r="N30" i="4" s="1"/>
  <c r="C108" i="23" s="1"/>
  <c r="A33" i="9"/>
  <c r="C33" i="9" s="1"/>
  <c r="N31" i="4" s="1"/>
  <c r="C109" i="23" s="1"/>
  <c r="A34" i="9"/>
  <c r="A35" i="9"/>
  <c r="A36" i="9"/>
  <c r="A37" i="9"/>
  <c r="A38" i="9"/>
  <c r="C38" i="9" s="1"/>
  <c r="N36" i="4" s="1"/>
  <c r="A39" i="9"/>
  <c r="C39" i="9" s="1"/>
  <c r="N37" i="4" s="1"/>
  <c r="A40" i="9"/>
  <c r="C40" i="9" s="1"/>
  <c r="N38" i="4" s="1"/>
  <c r="A41" i="9"/>
  <c r="C41" i="9" s="1"/>
  <c r="N39" i="4" s="1"/>
  <c r="A42" i="9"/>
  <c r="C42" i="9" s="1"/>
  <c r="N40" i="4" s="1"/>
  <c r="A43" i="9"/>
  <c r="C43" i="9" s="1"/>
  <c r="N41" i="4" s="1"/>
  <c r="A44" i="9"/>
  <c r="A45" i="9"/>
  <c r="C45" i="9" s="1"/>
  <c r="N43" i="4" s="1"/>
  <c r="A46" i="9"/>
  <c r="C46" i="9" s="1"/>
  <c r="N44" i="4" s="1"/>
  <c r="A47" i="9"/>
  <c r="C47" i="9" s="1"/>
  <c r="N45" i="4" s="1"/>
  <c r="A48" i="9"/>
  <c r="C48" i="9" s="1"/>
  <c r="N46" i="4" s="1"/>
  <c r="A49" i="9"/>
  <c r="C49" i="9" s="1"/>
  <c r="N47" i="4" s="1"/>
  <c r="A50" i="9"/>
  <c r="A51" i="9"/>
  <c r="A52" i="9"/>
  <c r="A53" i="9"/>
  <c r="A54" i="9"/>
  <c r="C54" i="9" s="1"/>
  <c r="N52" i="4" s="1"/>
  <c r="A55" i="9"/>
  <c r="C55" i="9" s="1"/>
  <c r="N53" i="4" s="1"/>
  <c r="A56" i="9"/>
  <c r="C56" i="9" s="1"/>
  <c r="N54" i="4" s="1"/>
  <c r="A57" i="9"/>
  <c r="C57" i="9" s="1"/>
  <c r="N55" i="4" s="1"/>
  <c r="A58" i="9"/>
  <c r="C58" i="9" s="1"/>
  <c r="N56" i="4" s="1"/>
  <c r="A59" i="9"/>
  <c r="C59" i="9" s="1"/>
  <c r="N57" i="4" s="1"/>
  <c r="A60" i="9"/>
  <c r="A61" i="9"/>
  <c r="C61" i="9" s="1"/>
  <c r="N59" i="4" s="1"/>
  <c r="A62" i="9"/>
  <c r="C62" i="9" s="1"/>
  <c r="N60" i="4" s="1"/>
  <c r="A63" i="9"/>
  <c r="C63" i="9" s="1"/>
  <c r="N61" i="4" s="1"/>
  <c r="A64" i="9"/>
  <c r="C64" i="9" s="1"/>
  <c r="N62" i="4" s="1"/>
  <c r="A65" i="9"/>
  <c r="A66" i="9"/>
  <c r="A67" i="9"/>
  <c r="C67" i="9" s="1"/>
  <c r="N65" i="4" s="1"/>
  <c r="A68" i="9"/>
  <c r="A69" i="9"/>
  <c r="A70" i="9"/>
  <c r="C70" i="9" s="1"/>
  <c r="N68" i="4" s="1"/>
  <c r="A71" i="9"/>
  <c r="A72" i="9"/>
  <c r="C72" i="9" s="1"/>
  <c r="N70" i="4" s="1"/>
  <c r="A73" i="9"/>
  <c r="C73" i="9" s="1"/>
  <c r="N71" i="4" s="1"/>
  <c r="A74" i="9"/>
  <c r="A75" i="9"/>
  <c r="C75" i="9" s="1"/>
  <c r="N73" i="4" s="1"/>
  <c r="A76" i="9"/>
  <c r="A77" i="9"/>
  <c r="C77" i="9" s="1"/>
  <c r="N75" i="4" s="1"/>
  <c r="A78" i="9"/>
  <c r="A79" i="9"/>
  <c r="C79" i="9" s="1"/>
  <c r="N77" i="4" s="1"/>
  <c r="A80" i="9"/>
  <c r="C80" i="9" s="1"/>
  <c r="N78" i="4" s="1"/>
  <c r="A81" i="9"/>
  <c r="C81" i="9" s="1"/>
  <c r="N79" i="4" s="1"/>
  <c r="A82" i="9"/>
  <c r="A83" i="9"/>
  <c r="C83" i="9" s="1"/>
  <c r="N81" i="4" s="1"/>
  <c r="A84" i="9"/>
  <c r="A85" i="9"/>
  <c r="C85" i="9" s="1"/>
  <c r="N83" i="4" s="1"/>
  <c r="A86" i="9"/>
  <c r="C86" i="9" s="1"/>
  <c r="N84" i="4" s="1"/>
  <c r="A87" i="9"/>
  <c r="C87" i="9" s="1"/>
  <c r="N85" i="4" s="1"/>
  <c r="A88" i="9"/>
  <c r="C88" i="9" s="1"/>
  <c r="N86" i="4" s="1"/>
  <c r="A89" i="9"/>
  <c r="C89" i="9" s="1"/>
  <c r="N87" i="4" s="1"/>
  <c r="A90" i="9"/>
  <c r="A91" i="9"/>
  <c r="C91" i="9" s="1"/>
  <c r="N89" i="4" s="1"/>
  <c r="A92" i="9"/>
  <c r="A93" i="9"/>
  <c r="C93" i="9" s="1"/>
  <c r="N91" i="4" s="1"/>
  <c r="A94" i="9"/>
  <c r="C94" i="9" s="1"/>
  <c r="N92" i="4" s="1"/>
  <c r="A95" i="9"/>
  <c r="C95" i="9" s="1"/>
  <c r="N93" i="4" s="1"/>
  <c r="A96" i="9"/>
  <c r="C96" i="9" s="1"/>
  <c r="N94" i="4" s="1"/>
  <c r="A97" i="9"/>
  <c r="C97" i="9" s="1"/>
  <c r="N95" i="4" s="1"/>
  <c r="A98" i="9"/>
  <c r="A99" i="9"/>
  <c r="C99" i="9" s="1"/>
  <c r="N97" i="4" s="1"/>
  <c r="A100" i="9"/>
  <c r="A101" i="9"/>
  <c r="C101" i="9" s="1"/>
  <c r="N99" i="4" s="1"/>
  <c r="A102" i="9"/>
  <c r="A103" i="9"/>
  <c r="C103" i="9" s="1"/>
  <c r="N101" i="4" s="1"/>
  <c r="A104" i="9"/>
  <c r="C104" i="9" s="1"/>
  <c r="N102" i="4" s="1"/>
  <c r="A105" i="9"/>
  <c r="C105" i="9" s="1"/>
  <c r="N103" i="4" s="1"/>
  <c r="A106" i="9"/>
  <c r="A107" i="9"/>
  <c r="C107" i="9" s="1"/>
  <c r="N105" i="4" s="1"/>
  <c r="A108" i="9"/>
  <c r="A109" i="9"/>
  <c r="C109" i="9" s="1"/>
  <c r="N107" i="4" s="1"/>
  <c r="A110" i="9"/>
  <c r="A111" i="9"/>
  <c r="C111" i="9" s="1"/>
  <c r="N109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1" i="4" s="1"/>
  <c r="A124" i="9"/>
  <c r="A125" i="9"/>
  <c r="C125" i="9" s="1"/>
  <c r="N123" i="4" s="1"/>
  <c r="A126" i="9"/>
  <c r="A127" i="9"/>
  <c r="A128" i="9"/>
  <c r="C128" i="9" s="1"/>
  <c r="N126" i="4" s="1"/>
  <c r="A129" i="9"/>
  <c r="A130" i="9"/>
  <c r="A131" i="9"/>
  <c r="C131" i="9" s="1"/>
  <c r="N129" i="4" s="1"/>
  <c r="A132" i="9"/>
  <c r="A133" i="9"/>
  <c r="C133" i="9" s="1"/>
  <c r="N131" i="4" s="1"/>
  <c r="A134" i="9"/>
  <c r="A135" i="9"/>
  <c r="C135" i="9" s="1"/>
  <c r="N133" i="4" s="1"/>
  <c r="A136" i="9"/>
  <c r="C136" i="9" s="1"/>
  <c r="N134" i="4" s="1"/>
  <c r="A137" i="9"/>
  <c r="A138" i="9"/>
  <c r="A139" i="9"/>
  <c r="C139" i="9" s="1"/>
  <c r="N137" i="4" s="1"/>
  <c r="A140" i="9"/>
  <c r="A141" i="9"/>
  <c r="C141" i="9" s="1"/>
  <c r="N139" i="4" s="1"/>
  <c r="A142" i="9"/>
  <c r="C142" i="9" s="1"/>
  <c r="N140" i="4" s="1"/>
  <c r="C492" i="23" s="1"/>
  <c r="A143" i="9"/>
  <c r="C143" i="9" s="1"/>
  <c r="N141" i="4" s="1"/>
  <c r="C493" i="23" s="1"/>
  <c r="A144" i="9"/>
  <c r="C144" i="9" s="1"/>
  <c r="N142" i="4" s="1"/>
  <c r="A145" i="9"/>
  <c r="A146" i="9"/>
  <c r="A147" i="9"/>
  <c r="C147" i="9" s="1"/>
  <c r="N145" i="4" s="1"/>
  <c r="A148" i="9"/>
  <c r="A149" i="9"/>
  <c r="A150" i="9"/>
  <c r="A151" i="9"/>
  <c r="C151" i="9" s="1"/>
  <c r="N149" i="4" s="1"/>
  <c r="A152" i="9"/>
  <c r="C152" i="9" s="1"/>
  <c r="N150" i="4" s="1"/>
  <c r="A153" i="9"/>
  <c r="C153" i="9" s="1"/>
  <c r="N151" i="4" s="1"/>
  <c r="A154" i="9"/>
  <c r="A155" i="9"/>
  <c r="C155" i="9" s="1"/>
  <c r="N153" i="4" s="1"/>
  <c r="C534" i="23" s="1"/>
  <c r="A156" i="9"/>
  <c r="A157" i="9"/>
  <c r="C157" i="9" s="1"/>
  <c r="N155" i="4" s="1"/>
  <c r="A158" i="9"/>
  <c r="C158" i="9" s="1"/>
  <c r="N156" i="4" s="1"/>
  <c r="A159" i="9"/>
  <c r="C159" i="9" s="1"/>
  <c r="N157" i="4" s="1"/>
  <c r="A160" i="9"/>
  <c r="C160" i="9" s="1"/>
  <c r="N158" i="4" s="1"/>
  <c r="A161" i="9"/>
  <c r="C161" i="9" s="1"/>
  <c r="N159" i="4" s="1"/>
  <c r="A162" i="9"/>
  <c r="A163" i="9"/>
  <c r="C163" i="9" s="1"/>
  <c r="N161" i="4" s="1"/>
  <c r="A164" i="9"/>
  <c r="A165" i="9"/>
  <c r="A166" i="9"/>
  <c r="A167" i="9"/>
  <c r="C167" i="9" s="1"/>
  <c r="N165" i="4" s="1"/>
  <c r="A168" i="9"/>
  <c r="C168" i="9" s="1"/>
  <c r="N166" i="4" s="1"/>
  <c r="A169" i="9"/>
  <c r="C169" i="9" s="1"/>
  <c r="N167" i="4" s="1"/>
  <c r="A170" i="9"/>
  <c r="A171" i="9"/>
  <c r="C171" i="9" s="1"/>
  <c r="N169" i="4" s="1"/>
  <c r="A172" i="9"/>
  <c r="A173" i="9"/>
  <c r="C173" i="9" s="1"/>
  <c r="N171" i="4" s="1"/>
  <c r="A174" i="9"/>
  <c r="A175" i="9"/>
  <c r="C175" i="9" s="1"/>
  <c r="N173" i="4" s="1"/>
  <c r="C605" i="23" s="1"/>
  <c r="A176" i="9"/>
  <c r="C176" i="9" s="1"/>
  <c r="N174" i="4" s="1"/>
  <c r="A177" i="9"/>
  <c r="C177" i="9" s="1"/>
  <c r="N175" i="4" s="1"/>
  <c r="A178" i="9"/>
  <c r="A179" i="9"/>
  <c r="A180" i="9"/>
  <c r="A181" i="9"/>
  <c r="A182" i="9"/>
  <c r="A183" i="9"/>
  <c r="A184" i="9"/>
  <c r="C184" i="9" s="1"/>
  <c r="N182" i="4" s="1"/>
  <c r="A185" i="9"/>
  <c r="C185" i="9" s="1"/>
  <c r="N183" i="4" s="1"/>
  <c r="A186" i="9"/>
  <c r="A187" i="9"/>
  <c r="C187" i="9" s="1"/>
  <c r="N185" i="4" s="1"/>
  <c r="C647" i="23" s="1"/>
  <c r="A188" i="9"/>
  <c r="A189" i="9"/>
  <c r="C189" i="9" s="1"/>
  <c r="N187" i="4" s="1"/>
  <c r="A190" i="9"/>
  <c r="C190" i="9" s="1"/>
  <c r="N188" i="4" s="1"/>
  <c r="A191" i="9"/>
  <c r="A192" i="9"/>
  <c r="C192" i="9" s="1"/>
  <c r="N190" i="4" s="1"/>
  <c r="A193" i="9"/>
  <c r="A194" i="9"/>
  <c r="A195" i="9"/>
  <c r="C195" i="9" s="1"/>
  <c r="N193" i="4" s="1"/>
  <c r="A196" i="9"/>
  <c r="A197" i="9"/>
  <c r="C197" i="9" s="1"/>
  <c r="N195" i="4" s="1"/>
  <c r="A198" i="9"/>
  <c r="A199" i="9"/>
  <c r="C199" i="9" s="1"/>
  <c r="N197" i="4" s="1"/>
  <c r="C688" i="23" s="1"/>
  <c r="A200" i="9"/>
  <c r="C200" i="9" s="1"/>
  <c r="N198" i="4" s="1"/>
  <c r="A201" i="9"/>
  <c r="A202" i="9"/>
  <c r="A203" i="9"/>
  <c r="C203" i="9" s="1"/>
  <c r="N201" i="4" s="1"/>
  <c r="A204" i="9"/>
  <c r="A205" i="9"/>
  <c r="C205" i="9" s="1"/>
  <c r="N203" i="4" s="1"/>
  <c r="A206" i="9"/>
  <c r="A207" i="9"/>
  <c r="C207" i="9" s="1"/>
  <c r="N205" i="4" s="1"/>
  <c r="A208" i="9"/>
  <c r="C208" i="9" s="1"/>
  <c r="N206" i="4" s="1"/>
  <c r="A209" i="9"/>
  <c r="C209" i="9" s="1"/>
  <c r="N207" i="4" s="1"/>
  <c r="A210" i="9"/>
  <c r="A211" i="9"/>
  <c r="C211" i="9" s="1"/>
  <c r="N209" i="4" s="1"/>
  <c r="A212" i="9"/>
  <c r="A213" i="9"/>
  <c r="A214" i="9"/>
  <c r="A215" i="9"/>
  <c r="C215" i="9" s="1"/>
  <c r="N213" i="4" s="1"/>
  <c r="A216" i="9"/>
  <c r="C216" i="9" s="1"/>
  <c r="N214" i="4" s="1"/>
  <c r="A217" i="9"/>
  <c r="C217" i="9" s="1"/>
  <c r="N215" i="4" s="1"/>
  <c r="A218" i="9"/>
  <c r="A219" i="9"/>
  <c r="C219" i="9" s="1"/>
  <c r="N217" i="4" s="1"/>
  <c r="A220" i="9"/>
  <c r="A221" i="9"/>
  <c r="C221" i="9" s="1"/>
  <c r="N219" i="4" s="1"/>
  <c r="A222" i="9"/>
  <c r="C222" i="9" s="1"/>
  <c r="N220" i="4" s="1"/>
  <c r="A223" i="9"/>
  <c r="C223" i="9" s="1"/>
  <c r="N221" i="4" s="1"/>
  <c r="A224" i="9"/>
  <c r="C224" i="9" s="1"/>
  <c r="N222" i="4" s="1"/>
  <c r="A225" i="9"/>
  <c r="C225" i="9" s="1"/>
  <c r="N223" i="4" s="1"/>
  <c r="A226" i="9"/>
  <c r="A227" i="9"/>
  <c r="A228" i="9"/>
  <c r="A229" i="9"/>
  <c r="A230" i="9"/>
  <c r="A231" i="9"/>
  <c r="C231" i="9" s="1"/>
  <c r="N229" i="4" s="1"/>
  <c r="A232" i="9"/>
  <c r="C232" i="9" s="1"/>
  <c r="N230" i="4" s="1"/>
  <c r="A233" i="9"/>
  <c r="C233" i="9" s="1"/>
  <c r="N231" i="4" s="1"/>
  <c r="A234" i="9"/>
  <c r="A235" i="9"/>
  <c r="C235" i="9" s="1"/>
  <c r="N233" i="4" s="1"/>
  <c r="A236" i="9"/>
  <c r="A237" i="9"/>
  <c r="A238" i="9"/>
  <c r="A239" i="9"/>
  <c r="C239" i="9" s="1"/>
  <c r="N237" i="4" s="1"/>
  <c r="A240" i="9"/>
  <c r="C240" i="9" s="1"/>
  <c r="N238" i="4" s="1"/>
  <c r="A241" i="9"/>
  <c r="A242" i="9"/>
  <c r="A243" i="9"/>
  <c r="A244" i="9"/>
  <c r="A245" i="9"/>
  <c r="A246" i="9"/>
  <c r="A247" i="9"/>
  <c r="A248" i="9"/>
  <c r="C248" i="9" s="1"/>
  <c r="N246" i="4" s="1"/>
  <c r="A249" i="9"/>
  <c r="C249" i="9" s="1"/>
  <c r="N247" i="4" s="1"/>
  <c r="A250" i="9"/>
  <c r="A251" i="9"/>
  <c r="C251" i="9" s="1"/>
  <c r="N249" i="4" s="1"/>
  <c r="A252" i="9"/>
  <c r="A253" i="9"/>
  <c r="C253" i="9" s="1"/>
  <c r="N251" i="4" s="1"/>
  <c r="A254" i="9"/>
  <c r="A255" i="9"/>
  <c r="A256" i="9"/>
  <c r="C256" i="9" s="1"/>
  <c r="N254" i="4" s="1"/>
  <c r="A257" i="9"/>
  <c r="C257" i="9" s="1"/>
  <c r="N255" i="4" s="1"/>
  <c r="A258" i="9"/>
  <c r="A259" i="9"/>
  <c r="C259" i="9" s="1"/>
  <c r="N257" i="4" s="1"/>
  <c r="A260" i="9"/>
  <c r="A261" i="9"/>
  <c r="C261" i="9" s="1"/>
  <c r="N259" i="4" s="1"/>
  <c r="C904" i="23" s="1"/>
  <c r="A262" i="9"/>
  <c r="A263" i="9"/>
  <c r="A264" i="9"/>
  <c r="C264" i="9" s="1"/>
  <c r="N262" i="4" s="1"/>
  <c r="A265" i="9"/>
  <c r="A266" i="9"/>
  <c r="A267" i="9"/>
  <c r="C267" i="9" s="1"/>
  <c r="N265" i="4" s="1"/>
  <c r="A268" i="9"/>
  <c r="A269" i="9"/>
  <c r="C269" i="9" s="1"/>
  <c r="N267" i="4" s="1"/>
  <c r="A270" i="9"/>
  <c r="A271" i="9"/>
  <c r="C271" i="9" s="1"/>
  <c r="N269" i="4" s="1"/>
  <c r="A272" i="9"/>
  <c r="C272" i="9" s="1"/>
  <c r="N270" i="4" s="1"/>
  <c r="C946" i="23" s="1"/>
  <c r="A273" i="9"/>
  <c r="C273" i="9" s="1"/>
  <c r="N271" i="4" s="1"/>
  <c r="C947" i="23" s="1"/>
  <c r="A274" i="9"/>
  <c r="A275" i="9"/>
  <c r="C275" i="9" s="1"/>
  <c r="N273" i="4" s="1"/>
  <c r="A276" i="9"/>
  <c r="A277" i="9"/>
  <c r="A278" i="9"/>
  <c r="A279" i="9"/>
  <c r="A280" i="9"/>
  <c r="C280" i="9" s="1"/>
  <c r="N278" i="4" s="1"/>
  <c r="A281" i="9"/>
  <c r="C281" i="9" s="1"/>
  <c r="N279" i="4" s="1"/>
  <c r="A282" i="9"/>
  <c r="A283" i="9"/>
  <c r="C283" i="9" s="1"/>
  <c r="N281" i="4" s="1"/>
  <c r="A284" i="9"/>
  <c r="A285" i="9"/>
  <c r="C285" i="9" s="1"/>
  <c r="N283" i="4" s="1"/>
  <c r="A286" i="9"/>
  <c r="A287" i="9"/>
  <c r="C287" i="9" s="1"/>
  <c r="N285" i="4" s="1"/>
  <c r="A288" i="9"/>
  <c r="C288" i="9" s="1"/>
  <c r="N286" i="4" s="1"/>
  <c r="A289" i="9"/>
  <c r="A290" i="9"/>
  <c r="A291" i="9"/>
  <c r="C291" i="9" s="1"/>
  <c r="N289" i="4" s="1"/>
  <c r="A292" i="9"/>
  <c r="A293" i="9"/>
  <c r="C293" i="9" s="1"/>
  <c r="N291" i="4" s="1"/>
  <c r="A294" i="9"/>
  <c r="A295" i="9"/>
  <c r="C295" i="9" s="1"/>
  <c r="N293" i="4" s="1"/>
  <c r="A296" i="9"/>
  <c r="C296" i="9" s="1"/>
  <c r="N294" i="4" s="1"/>
  <c r="A297" i="9"/>
  <c r="C297" i="9" s="1"/>
  <c r="N295" i="4" s="1"/>
  <c r="A298" i="9"/>
  <c r="A299" i="9"/>
  <c r="C299" i="9" s="1"/>
  <c r="N297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A12" i="9"/>
  <c r="C12" i="9" s="1"/>
  <c r="A13" i="9"/>
  <c r="C13" i="9" s="1"/>
  <c r="A14" i="9"/>
  <c r="C14" i="9" s="1"/>
  <c r="N12" i="4" s="1"/>
  <c r="A15" i="9"/>
  <c r="C15" i="9" s="1"/>
  <c r="N13" i="4" s="1"/>
  <c r="A16" i="9"/>
  <c r="C16" i="9" s="1"/>
  <c r="N14" i="4" s="1"/>
  <c r="A17" i="9"/>
  <c r="C17" i="9" s="1"/>
  <c r="N15" i="4" s="1"/>
  <c r="A18" i="9"/>
  <c r="C18" i="9" s="1"/>
  <c r="N16" i="4" s="1"/>
  <c r="A19" i="9"/>
  <c r="C19" i="9" s="1"/>
  <c r="N17" i="4" s="1"/>
  <c r="A20" i="9"/>
  <c r="C20" i="9" s="1"/>
  <c r="N18" i="4" s="1"/>
  <c r="A21" i="9"/>
  <c r="C21" i="9" s="1"/>
  <c r="N19" i="4" s="1"/>
  <c r="A22" i="9"/>
  <c r="A23" i="9"/>
  <c r="C23" i="9" s="1"/>
  <c r="N21" i="4" s="1"/>
  <c r="A24" i="9"/>
  <c r="C24" i="9" s="1"/>
  <c r="N22" i="4" s="1"/>
  <c r="A2" i="9"/>
  <c r="C26" i="9"/>
  <c r="N24" i="4" s="1"/>
  <c r="C28" i="9"/>
  <c r="N26" i="4" s="1"/>
  <c r="C30" i="9"/>
  <c r="N28" i="4" s="1"/>
  <c r="C34" i="9"/>
  <c r="N32" i="4" s="1"/>
  <c r="C35" i="9"/>
  <c r="N33" i="4" s="1"/>
  <c r="C36" i="9"/>
  <c r="N34" i="4" s="1"/>
  <c r="C37" i="9"/>
  <c r="N35" i="4" s="1"/>
  <c r="C44" i="9"/>
  <c r="N42" i="4" s="1"/>
  <c r="C50" i="9"/>
  <c r="N48" i="4" s="1"/>
  <c r="C51" i="9"/>
  <c r="N49" i="4" s="1"/>
  <c r="C52" i="9"/>
  <c r="N50" i="4" s="1"/>
  <c r="C53" i="9"/>
  <c r="N51" i="4" s="1"/>
  <c r="C60" i="9"/>
  <c r="N58" i="4" s="1"/>
  <c r="C65" i="9"/>
  <c r="N63" i="4" s="1"/>
  <c r="C66" i="9"/>
  <c r="N64" i="4" s="1"/>
  <c r="C68" i="9"/>
  <c r="N66" i="4" s="1"/>
  <c r="C69" i="9"/>
  <c r="N67" i="4" s="1"/>
  <c r="C71" i="9"/>
  <c r="N69" i="4" s="1"/>
  <c r="C74" i="9"/>
  <c r="N72" i="4" s="1"/>
  <c r="C76" i="9"/>
  <c r="N74" i="4" s="1"/>
  <c r="C78" i="9"/>
  <c r="N76" i="4" s="1"/>
  <c r="C82" i="9"/>
  <c r="N80" i="4" s="1"/>
  <c r="C84" i="9"/>
  <c r="N82" i="4" s="1"/>
  <c r="C90" i="9"/>
  <c r="N88" i="4" s="1"/>
  <c r="C92" i="9"/>
  <c r="N90" i="4" s="1"/>
  <c r="C98" i="9"/>
  <c r="N96" i="4" s="1"/>
  <c r="C100" i="9"/>
  <c r="N98" i="4" s="1"/>
  <c r="C102" i="9"/>
  <c r="N100" i="4" s="1"/>
  <c r="C106" i="9"/>
  <c r="N104" i="4" s="1"/>
  <c r="C108" i="9"/>
  <c r="N106" i="4" s="1"/>
  <c r="C110" i="9"/>
  <c r="N108" i="4" s="1"/>
  <c r="C114" i="9"/>
  <c r="C115" i="9"/>
  <c r="C116" i="9"/>
  <c r="C117" i="9"/>
  <c r="C118" i="9"/>
  <c r="C119" i="9"/>
  <c r="C122" i="9"/>
  <c r="N120" i="4" s="1"/>
  <c r="C124" i="9"/>
  <c r="N122" i="4" s="1"/>
  <c r="C126" i="9"/>
  <c r="N124" i="4" s="1"/>
  <c r="C127" i="9"/>
  <c r="N125" i="4" s="1"/>
  <c r="C129" i="9"/>
  <c r="N127" i="4" s="1"/>
  <c r="C130" i="9"/>
  <c r="N128" i="4" s="1"/>
  <c r="C132" i="9"/>
  <c r="N130" i="4" s="1"/>
  <c r="C134" i="9"/>
  <c r="N132" i="4" s="1"/>
  <c r="C137" i="9"/>
  <c r="N135" i="4" s="1"/>
  <c r="C138" i="9"/>
  <c r="N136" i="4" s="1"/>
  <c r="C140" i="9"/>
  <c r="N138" i="4" s="1"/>
  <c r="C145" i="9"/>
  <c r="N143" i="4" s="1"/>
  <c r="C146" i="9"/>
  <c r="N144" i="4" s="1"/>
  <c r="C148" i="9"/>
  <c r="N146" i="4" s="1"/>
  <c r="C149" i="9"/>
  <c r="N147" i="4" s="1"/>
  <c r="C150" i="9"/>
  <c r="N148" i="4" s="1"/>
  <c r="C154" i="9"/>
  <c r="N152" i="4" s="1"/>
  <c r="C535" i="23" s="1"/>
  <c r="C156" i="9"/>
  <c r="N154" i="4" s="1"/>
  <c r="C162" i="9"/>
  <c r="N160" i="4" s="1"/>
  <c r="C164" i="9"/>
  <c r="N162" i="4" s="1"/>
  <c r="C165" i="9"/>
  <c r="N163" i="4" s="1"/>
  <c r="C166" i="9"/>
  <c r="N164" i="4" s="1"/>
  <c r="C170" i="9"/>
  <c r="N168" i="4" s="1"/>
  <c r="C172" i="9"/>
  <c r="N170" i="4" s="1"/>
  <c r="C174" i="9"/>
  <c r="N172" i="4" s="1"/>
  <c r="C604" i="23" s="1"/>
  <c r="C178" i="9"/>
  <c r="N176" i="4" s="1"/>
  <c r="C179" i="9"/>
  <c r="N177" i="4" s="1"/>
  <c r="C180" i="9"/>
  <c r="N178" i="4" s="1"/>
  <c r="C181" i="9"/>
  <c r="N179" i="4" s="1"/>
  <c r="C182" i="9"/>
  <c r="N180" i="4" s="1"/>
  <c r="C183" i="9"/>
  <c r="N181" i="4" s="1"/>
  <c r="C186" i="9"/>
  <c r="N184" i="4" s="1"/>
  <c r="C646" i="23" s="1"/>
  <c r="C188" i="9"/>
  <c r="N186" i="4" s="1"/>
  <c r="C191" i="9"/>
  <c r="N189" i="4" s="1"/>
  <c r="C193" i="9"/>
  <c r="N191" i="4" s="1"/>
  <c r="C194" i="9"/>
  <c r="N192" i="4" s="1"/>
  <c r="C196" i="9"/>
  <c r="N194" i="4" s="1"/>
  <c r="C198" i="9"/>
  <c r="N196" i="4" s="1"/>
  <c r="C689" i="23" s="1"/>
  <c r="C201" i="9"/>
  <c r="N199" i="4" s="1"/>
  <c r="C202" i="9"/>
  <c r="N200" i="4" s="1"/>
  <c r="C204" i="9"/>
  <c r="N202" i="4" s="1"/>
  <c r="C206" i="9"/>
  <c r="N204" i="4" s="1"/>
  <c r="C210" i="9"/>
  <c r="N208" i="4" s="1"/>
  <c r="C212" i="9"/>
  <c r="N210" i="4" s="1"/>
  <c r="C213" i="9"/>
  <c r="N211" i="4" s="1"/>
  <c r="C214" i="9"/>
  <c r="N212" i="4" s="1"/>
  <c r="C218" i="9"/>
  <c r="N216" i="4" s="1"/>
  <c r="C220" i="9"/>
  <c r="N218" i="4" s="1"/>
  <c r="C226" i="9"/>
  <c r="N224" i="4" s="1"/>
  <c r="C227" i="9"/>
  <c r="N225" i="4" s="1"/>
  <c r="C228" i="9"/>
  <c r="N226" i="4" s="1"/>
  <c r="C229" i="9"/>
  <c r="N227" i="4" s="1"/>
  <c r="C230" i="9"/>
  <c r="N228" i="4" s="1"/>
  <c r="C234" i="9"/>
  <c r="N232" i="4" s="1"/>
  <c r="C236" i="9"/>
  <c r="N234" i="4" s="1"/>
  <c r="C237" i="9"/>
  <c r="N235" i="4" s="1"/>
  <c r="C238" i="9"/>
  <c r="N236" i="4" s="1"/>
  <c r="C241" i="9"/>
  <c r="N239" i="4" s="1"/>
  <c r="C242" i="9"/>
  <c r="N240" i="4" s="1"/>
  <c r="C243" i="9"/>
  <c r="N241" i="4" s="1"/>
  <c r="C244" i="9"/>
  <c r="N242" i="4" s="1"/>
  <c r="C245" i="9"/>
  <c r="N243" i="4" s="1"/>
  <c r="C246" i="9"/>
  <c r="N244" i="4" s="1"/>
  <c r="C247" i="9"/>
  <c r="N245" i="4" s="1"/>
  <c r="C250" i="9"/>
  <c r="N248" i="4" s="1"/>
  <c r="C252" i="9"/>
  <c r="N250" i="4" s="1"/>
  <c r="C254" i="9"/>
  <c r="N252" i="4" s="1"/>
  <c r="C255" i="9"/>
  <c r="N253" i="4" s="1"/>
  <c r="C258" i="9"/>
  <c r="N256" i="4" s="1"/>
  <c r="C260" i="9"/>
  <c r="N258" i="4" s="1"/>
  <c r="C905" i="23" s="1"/>
  <c r="C262" i="9"/>
  <c r="N260" i="4" s="1"/>
  <c r="C263" i="9"/>
  <c r="N261" i="4" s="1"/>
  <c r="C265" i="9"/>
  <c r="N263" i="4" s="1"/>
  <c r="C266" i="9"/>
  <c r="N264" i="4" s="1"/>
  <c r="C268" i="9"/>
  <c r="N266" i="4" s="1"/>
  <c r="C270" i="9"/>
  <c r="N268" i="4" s="1"/>
  <c r="C274" i="9"/>
  <c r="N272" i="4" s="1"/>
  <c r="C276" i="9"/>
  <c r="N274" i="4" s="1"/>
  <c r="C277" i="9"/>
  <c r="N275" i="4" s="1"/>
  <c r="C278" i="9"/>
  <c r="N276" i="4" s="1"/>
  <c r="C279" i="9"/>
  <c r="N277" i="4" s="1"/>
  <c r="C282" i="9"/>
  <c r="N280" i="4" s="1"/>
  <c r="C284" i="9"/>
  <c r="N282" i="4" s="1"/>
  <c r="C286" i="9"/>
  <c r="N284" i="4" s="1"/>
  <c r="C289" i="9"/>
  <c r="N287" i="4" s="1"/>
  <c r="C290" i="9"/>
  <c r="N288" i="4" s="1"/>
  <c r="C292" i="9"/>
  <c r="N290" i="4" s="1"/>
  <c r="C294" i="9"/>
  <c r="N292" i="4" s="1"/>
  <c r="C298" i="9"/>
  <c r="N296" i="4" s="1"/>
  <c r="C300" i="9"/>
  <c r="N298" i="4" s="1"/>
  <c r="C301" i="9"/>
  <c r="N299" i="4" s="1"/>
  <c r="C302" i="9"/>
  <c r="N300" i="4" s="1"/>
  <c r="C281" i="4"/>
  <c r="C283" i="4"/>
  <c r="C277" i="4"/>
  <c r="C279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C151" i="4"/>
  <c r="C149" i="4"/>
  <c r="C147" i="4"/>
  <c r="C145" i="4"/>
  <c r="C143" i="4"/>
  <c r="C141" i="4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C51" i="4"/>
  <c r="C49" i="4"/>
  <c r="C47" i="4"/>
  <c r="C45" i="4"/>
  <c r="C43" i="4"/>
  <c r="C41" i="4"/>
  <c r="C39" i="4"/>
  <c r="C37" i="4"/>
  <c r="C35" i="4"/>
  <c r="C33" i="4"/>
  <c r="C31" i="4"/>
  <c r="C29" i="4"/>
  <c r="C27" i="4"/>
  <c r="C25" i="4"/>
  <c r="C17" i="4"/>
  <c r="C19" i="4"/>
  <c r="C21" i="4"/>
  <c r="C23" i="4"/>
  <c r="C15" i="4"/>
  <c r="C13" i="4"/>
  <c r="D12" i="4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59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M12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D15" i="4" l="1"/>
  <c r="F50" i="23"/>
  <c r="F54" i="23"/>
  <c r="G50" i="23"/>
  <c r="G54" i="23"/>
  <c r="F51" i="23"/>
  <c r="G51" i="23"/>
  <c r="D47" i="4"/>
  <c r="F164" i="23"/>
  <c r="G164" i="23"/>
  <c r="F162" i="23"/>
  <c r="G162" i="23"/>
  <c r="F163" i="23"/>
  <c r="G163" i="23"/>
  <c r="D95" i="4"/>
  <c r="F333" i="23"/>
  <c r="G333" i="23"/>
  <c r="F330" i="23"/>
  <c r="G330" i="23"/>
  <c r="F335" i="23"/>
  <c r="G335" i="23"/>
  <c r="G159" i="4"/>
  <c r="F552" i="23"/>
  <c r="G552" i="23"/>
  <c r="F553" i="23"/>
  <c r="G553" i="23"/>
  <c r="F558" i="23"/>
  <c r="G558" i="23"/>
  <c r="F559" i="23"/>
  <c r="G559" i="23"/>
  <c r="F295" i="4"/>
  <c r="G1030" i="23"/>
  <c r="F1031" i="23"/>
  <c r="G1031" i="23"/>
  <c r="F1032" i="23"/>
  <c r="G1032" i="23"/>
  <c r="F1033" i="23"/>
  <c r="F1030" i="23"/>
  <c r="G1033" i="23"/>
  <c r="F311" i="4"/>
  <c r="G1086" i="23"/>
  <c r="G1090" i="23"/>
  <c r="F1083" i="23"/>
  <c r="F1087" i="23"/>
  <c r="G1083" i="23"/>
  <c r="G1087" i="23"/>
  <c r="F1084" i="23"/>
  <c r="G1084" i="23"/>
  <c r="F1085" i="23"/>
  <c r="F1086" i="23"/>
  <c r="F1090" i="23"/>
  <c r="G1085" i="23"/>
  <c r="F327" i="4"/>
  <c r="G1138" i="23"/>
  <c r="G1140" i="23"/>
  <c r="F1141" i="23"/>
  <c r="F1138" i="23"/>
  <c r="G1141" i="23"/>
  <c r="F1140" i="23"/>
  <c r="F343" i="4"/>
  <c r="G1194" i="23"/>
  <c r="G1198" i="23"/>
  <c r="F1194" i="23"/>
  <c r="F1198" i="23"/>
  <c r="F1197" i="23"/>
  <c r="G1197" i="23"/>
  <c r="F359" i="4"/>
  <c r="G1254" i="23"/>
  <c r="F1251" i="23"/>
  <c r="G1251" i="23"/>
  <c r="F1254" i="23"/>
  <c r="F1249" i="23"/>
  <c r="F1253" i="23"/>
  <c r="G1249" i="23"/>
  <c r="G1253" i="23"/>
  <c r="F375" i="4"/>
  <c r="G1314" i="23"/>
  <c r="F1307" i="23"/>
  <c r="F1311" i="23"/>
  <c r="F1315" i="23"/>
  <c r="G1307" i="23"/>
  <c r="G1311" i="23"/>
  <c r="G1315" i="23"/>
  <c r="F1314" i="23"/>
  <c r="F1309" i="23"/>
  <c r="G1309" i="23"/>
  <c r="F391" i="4"/>
  <c r="G1366" i="23"/>
  <c r="G1370" i="23"/>
  <c r="F1368" i="23"/>
  <c r="F1366" i="23"/>
  <c r="F1370" i="23"/>
  <c r="G1368" i="23"/>
  <c r="F1365" i="23"/>
  <c r="F1369" i="23"/>
  <c r="G1365" i="23"/>
  <c r="G1369" i="23"/>
  <c r="G31" i="4"/>
  <c r="F109" i="23"/>
  <c r="G109" i="23"/>
  <c r="D63" i="4"/>
  <c r="F225" i="23"/>
  <c r="G225" i="23"/>
  <c r="F222" i="23"/>
  <c r="G222" i="23"/>
  <c r="F219" i="23"/>
  <c r="F223" i="23"/>
  <c r="G223" i="23"/>
  <c r="G219" i="23"/>
  <c r="G79" i="4"/>
  <c r="F276" i="23"/>
  <c r="F280" i="23"/>
  <c r="G276" i="23"/>
  <c r="G280" i="23"/>
  <c r="F274" i="23"/>
  <c r="F278" i="23"/>
  <c r="G274" i="23"/>
  <c r="G278" i="23"/>
  <c r="F275" i="23"/>
  <c r="G275" i="23"/>
  <c r="G111" i="4"/>
  <c r="F389" i="23"/>
  <c r="G389" i="23"/>
  <c r="F386" i="23"/>
  <c r="F390" i="23"/>
  <c r="G386" i="23"/>
  <c r="G390" i="23"/>
  <c r="D127" i="4"/>
  <c r="F444" i="23"/>
  <c r="G444" i="23"/>
  <c r="F442" i="23"/>
  <c r="G442" i="23"/>
  <c r="F443" i="23"/>
  <c r="F447" i="23"/>
  <c r="G443" i="23"/>
  <c r="G447" i="23"/>
  <c r="G143" i="4"/>
  <c r="F496" i="23"/>
  <c r="F500" i="23"/>
  <c r="G496" i="23"/>
  <c r="G500" i="23"/>
  <c r="F498" i="23"/>
  <c r="G498" i="23"/>
  <c r="F495" i="23"/>
  <c r="F499" i="23"/>
  <c r="G495" i="23"/>
  <c r="G499" i="23"/>
  <c r="G175" i="4"/>
  <c r="F612" i="23"/>
  <c r="G612" i="23"/>
  <c r="F609" i="23"/>
  <c r="F613" i="23"/>
  <c r="F611" i="23"/>
  <c r="G609" i="23"/>
  <c r="G611" i="23"/>
  <c r="G613" i="23"/>
  <c r="G191" i="4"/>
  <c r="G662" i="23"/>
  <c r="G670" i="23"/>
  <c r="F667" i="23"/>
  <c r="G667" i="23"/>
  <c r="F668" i="23"/>
  <c r="F672" i="23"/>
  <c r="G668" i="23"/>
  <c r="G672" i="23"/>
  <c r="F665" i="23"/>
  <c r="F662" i="23"/>
  <c r="F670" i="23"/>
  <c r="G665" i="23"/>
  <c r="G207" i="4"/>
  <c r="G718" i="23"/>
  <c r="G722" i="23"/>
  <c r="F719" i="23"/>
  <c r="G719" i="23"/>
  <c r="F720" i="23"/>
  <c r="G720" i="23"/>
  <c r="F718" i="23"/>
  <c r="F722" i="23"/>
  <c r="G223" i="4"/>
  <c r="G778" i="23"/>
  <c r="F781" i="23"/>
  <c r="F778" i="23"/>
  <c r="G781" i="23"/>
  <c r="G239" i="4"/>
  <c r="G838" i="23"/>
  <c r="F835" i="23"/>
  <c r="F839" i="23"/>
  <c r="G835" i="23"/>
  <c r="G839" i="23"/>
  <c r="F832" i="23"/>
  <c r="G832" i="23"/>
  <c r="F838" i="23"/>
  <c r="G255" i="4"/>
  <c r="F891" i="23"/>
  <c r="G891" i="23"/>
  <c r="F892" i="23"/>
  <c r="G892" i="23"/>
  <c r="F893" i="23"/>
  <c r="G893" i="23"/>
  <c r="G271" i="4"/>
  <c r="F947" i="23"/>
  <c r="G947" i="23"/>
  <c r="G23" i="4"/>
  <c r="F81" i="23"/>
  <c r="G81" i="23"/>
  <c r="F82" i="23"/>
  <c r="G82" i="23"/>
  <c r="G33" i="4"/>
  <c r="F112" i="23"/>
  <c r="G112" i="23"/>
  <c r="F110" i="23"/>
  <c r="F114" i="23"/>
  <c r="F118" i="23"/>
  <c r="G110" i="23"/>
  <c r="G114" i="23"/>
  <c r="G118" i="23"/>
  <c r="F119" i="23"/>
  <c r="G119" i="23"/>
  <c r="G49" i="4"/>
  <c r="F172" i="23"/>
  <c r="G172" i="23"/>
  <c r="F173" i="23"/>
  <c r="G173" i="23"/>
  <c r="F174" i="23"/>
  <c r="G174" i="23"/>
  <c r="F167" i="23"/>
  <c r="F175" i="23"/>
  <c r="G167" i="23"/>
  <c r="G175" i="23"/>
  <c r="G65" i="4"/>
  <c r="F228" i="23"/>
  <c r="G228" i="23"/>
  <c r="F227" i="23"/>
  <c r="G227" i="23"/>
  <c r="G81" i="4"/>
  <c r="F282" i="23"/>
  <c r="F286" i="23"/>
  <c r="G282" i="23"/>
  <c r="G286" i="23"/>
  <c r="F287" i="23"/>
  <c r="G287" i="23"/>
  <c r="G97" i="4"/>
  <c r="F336" i="23"/>
  <c r="G336" i="23"/>
  <c r="F341" i="23"/>
  <c r="F345" i="23"/>
  <c r="G341" i="23"/>
  <c r="G345" i="23"/>
  <c r="F339" i="23"/>
  <c r="F343" i="23"/>
  <c r="G343" i="23"/>
  <c r="G339" i="23"/>
  <c r="G113" i="4"/>
  <c r="F397" i="23"/>
  <c r="G397" i="23"/>
  <c r="F394" i="23"/>
  <c r="G394" i="23"/>
  <c r="F395" i="23"/>
  <c r="G395" i="23"/>
  <c r="G129" i="4"/>
  <c r="F449" i="23"/>
  <c r="F453" i="23"/>
  <c r="G449" i="23"/>
  <c r="G453" i="23"/>
  <c r="F454" i="23"/>
  <c r="G454" i="23"/>
  <c r="F455" i="23"/>
  <c r="G455" i="23"/>
  <c r="G145" i="4"/>
  <c r="F504" i="23"/>
  <c r="F508" i="23"/>
  <c r="G504" i="23"/>
  <c r="G508" i="23"/>
  <c r="F509" i="23"/>
  <c r="G509" i="23"/>
  <c r="G161" i="4"/>
  <c r="F561" i="23"/>
  <c r="G561" i="23"/>
  <c r="F562" i="23"/>
  <c r="G562" i="23"/>
  <c r="F563" i="23"/>
  <c r="G563" i="23"/>
  <c r="G177" i="4"/>
  <c r="F620" i="23"/>
  <c r="G620" i="23"/>
  <c r="F617" i="23"/>
  <c r="F618" i="23"/>
  <c r="G618" i="23"/>
  <c r="F615" i="23"/>
  <c r="G615" i="23"/>
  <c r="G617" i="23"/>
  <c r="G193" i="4"/>
  <c r="F675" i="23"/>
  <c r="G675" i="23"/>
  <c r="F676" i="23"/>
  <c r="G676" i="23"/>
  <c r="G209" i="4"/>
  <c r="G726" i="23"/>
  <c r="G730" i="23"/>
  <c r="F727" i="23"/>
  <c r="F731" i="23"/>
  <c r="G727" i="23"/>
  <c r="G731" i="23"/>
  <c r="F726" i="23"/>
  <c r="F730" i="23"/>
  <c r="G225" i="4"/>
  <c r="G782" i="23"/>
  <c r="F784" i="23"/>
  <c r="G784" i="23"/>
  <c r="F785" i="23"/>
  <c r="F782" i="23"/>
  <c r="G785" i="23"/>
  <c r="G241" i="4"/>
  <c r="G842" i="23"/>
  <c r="F843" i="23"/>
  <c r="G843" i="23"/>
  <c r="F845" i="23"/>
  <c r="F842" i="23"/>
  <c r="G845" i="23"/>
  <c r="G257" i="4"/>
  <c r="F899" i="23"/>
  <c r="F903" i="23"/>
  <c r="G899" i="23"/>
  <c r="G903" i="23"/>
  <c r="F900" i="23"/>
  <c r="G900" i="23"/>
  <c r="F897" i="23"/>
  <c r="F901" i="23"/>
  <c r="G897" i="23"/>
  <c r="G901" i="23"/>
  <c r="G273" i="4"/>
  <c r="G950" i="23"/>
  <c r="G954" i="23"/>
  <c r="F951" i="23"/>
  <c r="F955" i="23"/>
  <c r="G951" i="23"/>
  <c r="G955" i="23"/>
  <c r="F950" i="23"/>
  <c r="F954" i="23"/>
  <c r="F297" i="4"/>
  <c r="F1035" i="23"/>
  <c r="F1039" i="23"/>
  <c r="G1035" i="23"/>
  <c r="G1039" i="23"/>
  <c r="F1040" i="23"/>
  <c r="G1040" i="23"/>
  <c r="F1041" i="23"/>
  <c r="G1041" i="23"/>
  <c r="F313" i="4"/>
  <c r="G1094" i="23"/>
  <c r="F1092" i="23"/>
  <c r="G1092" i="23"/>
  <c r="F1094" i="23"/>
  <c r="F329" i="4"/>
  <c r="G1150" i="23"/>
  <c r="F1147" i="23"/>
  <c r="G1147" i="23"/>
  <c r="G1148" i="23"/>
  <c r="F1149" i="23"/>
  <c r="F1150" i="23"/>
  <c r="F1148" i="23"/>
  <c r="G1149" i="23"/>
  <c r="F345" i="4"/>
  <c r="G1206" i="23"/>
  <c r="F1207" i="23"/>
  <c r="G1207" i="23"/>
  <c r="F1200" i="23"/>
  <c r="F1206" i="23"/>
  <c r="G1200" i="23"/>
  <c r="F1205" i="23"/>
  <c r="G1205" i="23"/>
  <c r="F361" i="4"/>
  <c r="F1259" i="23"/>
  <c r="G1259" i="23"/>
  <c r="F1260" i="23"/>
  <c r="G1260" i="23"/>
  <c r="F1261" i="23"/>
  <c r="G1261" i="23"/>
  <c r="F377" i="4"/>
  <c r="F1319" i="23"/>
  <c r="G1319" i="23"/>
  <c r="F1316" i="23"/>
  <c r="G1316" i="23"/>
  <c r="F393" i="4"/>
  <c r="F1372" i="23"/>
  <c r="G1372" i="23"/>
  <c r="F1373" i="23"/>
  <c r="G1373" i="23"/>
  <c r="M17" i="4"/>
  <c r="F60" i="23"/>
  <c r="G60" i="23"/>
  <c r="F57" i="23"/>
  <c r="F61" i="23"/>
  <c r="G57" i="23"/>
  <c r="G61" i="23"/>
  <c r="G39" i="4"/>
  <c r="F136" i="23"/>
  <c r="G136" i="23"/>
  <c r="F133" i="23"/>
  <c r="G133" i="23"/>
  <c r="F138" i="23"/>
  <c r="G138" i="23"/>
  <c r="F139" i="23"/>
  <c r="G139" i="23"/>
  <c r="D55" i="4"/>
  <c r="F192" i="23"/>
  <c r="G192" i="23"/>
  <c r="F195" i="23"/>
  <c r="G195" i="23"/>
  <c r="M71" i="4"/>
  <c r="F244" i="23"/>
  <c r="F252" i="23"/>
  <c r="G244" i="23"/>
  <c r="G252" i="23"/>
  <c r="F245" i="23"/>
  <c r="F253" i="23"/>
  <c r="G245" i="23"/>
  <c r="G253" i="23"/>
  <c r="F246" i="23"/>
  <c r="G246" i="23"/>
  <c r="M87" i="4"/>
  <c r="F300" i="23"/>
  <c r="G300" i="23"/>
  <c r="F302" i="23"/>
  <c r="G302" i="23"/>
  <c r="F303" i="23"/>
  <c r="F307" i="23"/>
  <c r="G307" i="23"/>
  <c r="G303" i="23"/>
  <c r="G103" i="4"/>
  <c r="F356" i="23"/>
  <c r="F360" i="23"/>
  <c r="G356" i="23"/>
  <c r="G360" i="23"/>
  <c r="F357" i="23"/>
  <c r="G357" i="23"/>
  <c r="F354" i="23"/>
  <c r="G354" i="23"/>
  <c r="F359" i="23"/>
  <c r="G359" i="23"/>
  <c r="D119" i="4"/>
  <c r="F416" i="23"/>
  <c r="G416" i="23"/>
  <c r="F414" i="23"/>
  <c r="F418" i="23"/>
  <c r="G414" i="23"/>
  <c r="G418" i="23"/>
  <c r="D135" i="4"/>
  <c r="F473" i="23"/>
  <c r="G473" i="23"/>
  <c r="F470" i="23"/>
  <c r="F474" i="23"/>
  <c r="G470" i="23"/>
  <c r="G474" i="23"/>
  <c r="F467" i="23"/>
  <c r="F475" i="23"/>
  <c r="G467" i="23"/>
  <c r="G475" i="23"/>
  <c r="D151" i="4"/>
  <c r="F524" i="23"/>
  <c r="F532" i="23"/>
  <c r="G524" i="23"/>
  <c r="G532" i="23"/>
  <c r="F529" i="23"/>
  <c r="F533" i="23"/>
  <c r="G529" i="23"/>
  <c r="G533" i="23"/>
  <c r="F523" i="23"/>
  <c r="F527" i="23"/>
  <c r="G527" i="23"/>
  <c r="G523" i="23"/>
  <c r="D167" i="4"/>
  <c r="F580" i="23"/>
  <c r="G580" i="23"/>
  <c r="F585" i="23"/>
  <c r="F582" i="23"/>
  <c r="F586" i="23"/>
  <c r="G582" i="23"/>
  <c r="G586" i="23"/>
  <c r="F587" i="23"/>
  <c r="G585" i="23"/>
  <c r="G587" i="23"/>
  <c r="D183" i="4"/>
  <c r="F636" i="23"/>
  <c r="F644" i="23"/>
  <c r="G636" i="23"/>
  <c r="G644" i="23"/>
  <c r="F641" i="23"/>
  <c r="F645" i="23"/>
  <c r="F643" i="23"/>
  <c r="G641" i="23"/>
  <c r="G645" i="23"/>
  <c r="G643" i="23"/>
  <c r="D199" i="4"/>
  <c r="G690" i="23"/>
  <c r="F695" i="23"/>
  <c r="G695" i="23"/>
  <c r="F693" i="23"/>
  <c r="F690" i="23"/>
  <c r="G693" i="23"/>
  <c r="D215" i="4"/>
  <c r="G750" i="23"/>
  <c r="F751" i="23"/>
  <c r="G751" i="23"/>
  <c r="F748" i="23"/>
  <c r="F752" i="23"/>
  <c r="G748" i="23"/>
  <c r="G752" i="23"/>
  <c r="F750" i="23"/>
  <c r="D231" i="4"/>
  <c r="F807" i="23"/>
  <c r="G807" i="23"/>
  <c r="F808" i="23"/>
  <c r="G808" i="23"/>
  <c r="F809" i="23"/>
  <c r="G809" i="23"/>
  <c r="D247" i="4"/>
  <c r="G866" i="23"/>
  <c r="F859" i="23"/>
  <c r="F867" i="23"/>
  <c r="G859" i="23"/>
  <c r="G867" i="23"/>
  <c r="F860" i="23"/>
  <c r="G860" i="23"/>
  <c r="F861" i="23"/>
  <c r="F866" i="23"/>
  <c r="G861" i="23"/>
  <c r="D263" i="4"/>
  <c r="G918" i="23"/>
  <c r="F915" i="23"/>
  <c r="G915" i="23"/>
  <c r="F916" i="23"/>
  <c r="G916" i="23"/>
  <c r="F917" i="23"/>
  <c r="F918" i="23"/>
  <c r="G917" i="23"/>
  <c r="M277" i="4"/>
  <c r="G970" i="23"/>
  <c r="F971" i="23"/>
  <c r="G971" i="23"/>
  <c r="F964" i="23"/>
  <c r="F972" i="23"/>
  <c r="G964" i="23"/>
  <c r="G972" i="23"/>
  <c r="F965" i="23"/>
  <c r="F970" i="23"/>
  <c r="G965" i="23"/>
  <c r="F299" i="4"/>
  <c r="G1046" i="23"/>
  <c r="F1047" i="23"/>
  <c r="G1047" i="23"/>
  <c r="F1044" i="23"/>
  <c r="G1044" i="23"/>
  <c r="F1046" i="23"/>
  <c r="D315" i="4"/>
  <c r="F1096" i="23"/>
  <c r="F1100" i="23"/>
  <c r="F1104" i="23"/>
  <c r="G1096" i="23"/>
  <c r="G1100" i="23"/>
  <c r="G1104" i="23"/>
  <c r="F1101" i="23"/>
  <c r="F1105" i="23"/>
  <c r="G1105" i="23"/>
  <c r="G1101" i="23"/>
  <c r="B331" i="4"/>
  <c r="G1158" i="23"/>
  <c r="G1152" i="23"/>
  <c r="F1158" i="23"/>
  <c r="G1153" i="23"/>
  <c r="G1157" i="23"/>
  <c r="F1153" i="23"/>
  <c r="F1157" i="23"/>
  <c r="F1152" i="23"/>
  <c r="B347" i="4"/>
  <c r="G1214" i="23"/>
  <c r="F1216" i="23"/>
  <c r="F1214" i="23"/>
  <c r="G1216" i="23"/>
  <c r="F1209" i="23"/>
  <c r="F1213" i="23"/>
  <c r="F1217" i="23"/>
  <c r="G1209" i="23"/>
  <c r="G1213" i="23"/>
  <c r="G1217" i="23"/>
  <c r="B363" i="4"/>
  <c r="G1270" i="23"/>
  <c r="F1271" i="23"/>
  <c r="G1271" i="23"/>
  <c r="F1264" i="23"/>
  <c r="F1268" i="23"/>
  <c r="F1270" i="23"/>
  <c r="G1264" i="23"/>
  <c r="G1268" i="23"/>
  <c r="F1269" i="23"/>
  <c r="G1269" i="23"/>
  <c r="B379" i="4"/>
  <c r="G1322" i="23"/>
  <c r="G1326" i="23"/>
  <c r="F1327" i="23"/>
  <c r="G1327" i="23"/>
  <c r="F1324" i="23"/>
  <c r="F1322" i="23"/>
  <c r="F1326" i="23"/>
  <c r="G1324" i="23"/>
  <c r="B395" i="4"/>
  <c r="G1378" i="23"/>
  <c r="G1382" i="23"/>
  <c r="F1380" i="23"/>
  <c r="F1378" i="23"/>
  <c r="F1382" i="23"/>
  <c r="G1380" i="23"/>
  <c r="F1377" i="23"/>
  <c r="G1377" i="23"/>
  <c r="G21" i="4"/>
  <c r="F76" i="23"/>
  <c r="G76" i="23"/>
  <c r="F77" i="23"/>
  <c r="G77" i="23"/>
  <c r="F74" i="23"/>
  <c r="F78" i="23"/>
  <c r="G74" i="23"/>
  <c r="G78" i="23"/>
  <c r="F71" i="23"/>
  <c r="F79" i="23"/>
  <c r="G71" i="23"/>
  <c r="G79" i="23"/>
  <c r="G35" i="4"/>
  <c r="F120" i="23"/>
  <c r="G120" i="23"/>
  <c r="F121" i="23"/>
  <c r="G121" i="23"/>
  <c r="F122" i="23"/>
  <c r="G122" i="23"/>
  <c r="G51" i="4"/>
  <c r="F176" i="23"/>
  <c r="F180" i="23"/>
  <c r="G176" i="23"/>
  <c r="G180" i="23"/>
  <c r="F179" i="23"/>
  <c r="G179" i="23"/>
  <c r="G67" i="4"/>
  <c r="F236" i="23"/>
  <c r="G236" i="23"/>
  <c r="F237" i="23"/>
  <c r="G237" i="23"/>
  <c r="F234" i="23"/>
  <c r="G234" i="23"/>
  <c r="F231" i="23"/>
  <c r="G231" i="23"/>
  <c r="G83" i="4"/>
  <c r="F288" i="23"/>
  <c r="G288" i="23"/>
  <c r="F289" i="23"/>
  <c r="G289" i="23"/>
  <c r="F291" i="23"/>
  <c r="G291" i="23"/>
  <c r="G99" i="4"/>
  <c r="F348" i="23"/>
  <c r="G348" i="23"/>
  <c r="F346" i="23"/>
  <c r="G346" i="23"/>
  <c r="G115" i="4"/>
  <c r="F398" i="23"/>
  <c r="F402" i="23"/>
  <c r="G398" i="23"/>
  <c r="G402" i="23"/>
  <c r="F399" i="23"/>
  <c r="G399" i="23"/>
  <c r="G131" i="4"/>
  <c r="F456" i="23"/>
  <c r="G456" i="23"/>
  <c r="F458" i="23"/>
  <c r="G458" i="23"/>
  <c r="G147" i="4"/>
  <c r="F510" i="23"/>
  <c r="F514" i="23"/>
  <c r="G510" i="23"/>
  <c r="G514" i="23"/>
  <c r="F515" i="23"/>
  <c r="G515" i="23"/>
  <c r="G163" i="4"/>
  <c r="F568" i="23"/>
  <c r="F572" i="23"/>
  <c r="G568" i="23"/>
  <c r="G572" i="23"/>
  <c r="F570" i="23"/>
  <c r="G570" i="23"/>
  <c r="F571" i="23"/>
  <c r="G571" i="23"/>
  <c r="G179" i="4"/>
  <c r="F625" i="23"/>
  <c r="F622" i="23"/>
  <c r="G622" i="23"/>
  <c r="F623" i="23"/>
  <c r="G623" i="23"/>
  <c r="G625" i="23"/>
  <c r="G195" i="4"/>
  <c r="G678" i="23"/>
  <c r="G686" i="23"/>
  <c r="F679" i="23"/>
  <c r="F683" i="23"/>
  <c r="F687" i="23"/>
  <c r="G679" i="23"/>
  <c r="G683" i="23"/>
  <c r="G687" i="23"/>
  <c r="F678" i="23"/>
  <c r="F686" i="23"/>
  <c r="G211" i="4"/>
  <c r="G734" i="23"/>
  <c r="G738" i="23"/>
  <c r="F736" i="23"/>
  <c r="G736" i="23"/>
  <c r="F734" i="23"/>
  <c r="F738" i="23"/>
  <c r="G227" i="4"/>
  <c r="F795" i="23"/>
  <c r="G795" i="23"/>
  <c r="F788" i="23"/>
  <c r="G788" i="23"/>
  <c r="F789" i="23"/>
  <c r="F793" i="23"/>
  <c r="F797" i="23"/>
  <c r="G797" i="23"/>
  <c r="G793" i="23"/>
  <c r="G789" i="23"/>
  <c r="G243" i="4"/>
  <c r="G850" i="23"/>
  <c r="F847" i="23"/>
  <c r="G847" i="23"/>
  <c r="F852" i="23"/>
  <c r="G852" i="23"/>
  <c r="F853" i="23"/>
  <c r="F850" i="23"/>
  <c r="G853" i="23"/>
  <c r="G259" i="4"/>
  <c r="F904" i="23"/>
  <c r="G904" i="23"/>
  <c r="G275" i="4"/>
  <c r="G958" i="23"/>
  <c r="G962" i="23"/>
  <c r="F960" i="23"/>
  <c r="G960" i="23"/>
  <c r="F961" i="23"/>
  <c r="F958" i="23"/>
  <c r="F962" i="23"/>
  <c r="G961" i="23"/>
  <c r="G19" i="4"/>
  <c r="F64" i="23"/>
  <c r="G64" i="23"/>
  <c r="F62" i="23"/>
  <c r="G62" i="23"/>
  <c r="F67" i="23"/>
  <c r="G67" i="23"/>
  <c r="G37" i="4"/>
  <c r="F128" i="23"/>
  <c r="G128" i="23"/>
  <c r="F126" i="23"/>
  <c r="F130" i="23"/>
  <c r="G126" i="23"/>
  <c r="G130" i="23"/>
  <c r="G53" i="4"/>
  <c r="F189" i="23"/>
  <c r="G189" i="23"/>
  <c r="F186" i="23"/>
  <c r="F190" i="23"/>
  <c r="G186" i="23"/>
  <c r="G190" i="23"/>
  <c r="F187" i="23"/>
  <c r="F191" i="23"/>
  <c r="G187" i="23"/>
  <c r="G191" i="23"/>
  <c r="G69" i="4"/>
  <c r="F238" i="23"/>
  <c r="F242" i="23"/>
  <c r="G238" i="23"/>
  <c r="G242" i="23"/>
  <c r="F243" i="23"/>
  <c r="G243" i="23"/>
  <c r="G85" i="4"/>
  <c r="F296" i="23"/>
  <c r="G296" i="23"/>
  <c r="F295" i="23"/>
  <c r="F299" i="23"/>
  <c r="G295" i="23"/>
  <c r="G299" i="23"/>
  <c r="G101" i="4"/>
  <c r="F352" i="23"/>
  <c r="G352" i="23"/>
  <c r="F350" i="23"/>
  <c r="G350" i="23"/>
  <c r="G117" i="4"/>
  <c r="F404" i="23"/>
  <c r="G404" i="23"/>
  <c r="F405" i="23"/>
  <c r="F413" i="23"/>
  <c r="G405" i="23"/>
  <c r="G413" i="23"/>
  <c r="F407" i="23"/>
  <c r="F411" i="23"/>
  <c r="G407" i="23"/>
  <c r="G411" i="23"/>
  <c r="G133" i="4"/>
  <c r="F460" i="23"/>
  <c r="G460" i="23"/>
  <c r="F462" i="23"/>
  <c r="G462" i="23"/>
  <c r="F463" i="23"/>
  <c r="G463" i="23"/>
  <c r="G149" i="4"/>
  <c r="F516" i="23"/>
  <c r="F520" i="23"/>
  <c r="G516" i="23"/>
  <c r="G520" i="23"/>
  <c r="F521" i="23"/>
  <c r="G521" i="23"/>
  <c r="G165" i="4"/>
  <c r="F577" i="23"/>
  <c r="G577" i="23"/>
  <c r="F578" i="23"/>
  <c r="G578" i="23"/>
  <c r="F575" i="23"/>
  <c r="G575" i="23"/>
  <c r="G181" i="4"/>
  <c r="F630" i="23"/>
  <c r="F634" i="23"/>
  <c r="G630" i="23"/>
  <c r="G634" i="23"/>
  <c r="F631" i="23"/>
  <c r="F635" i="23"/>
  <c r="G635" i="23"/>
  <c r="G631" i="23"/>
  <c r="G197" i="4"/>
  <c r="F688" i="23"/>
  <c r="G688" i="23"/>
  <c r="G213" i="4"/>
  <c r="G742" i="23"/>
  <c r="G746" i="23"/>
  <c r="F741" i="23"/>
  <c r="F745" i="23"/>
  <c r="F742" i="23"/>
  <c r="F746" i="23"/>
  <c r="G741" i="23"/>
  <c r="G745" i="23"/>
  <c r="G229" i="4"/>
  <c r="G798" i="23"/>
  <c r="G802" i="23"/>
  <c r="F800" i="23"/>
  <c r="G800" i="23"/>
  <c r="F798" i="23"/>
  <c r="F802" i="23"/>
  <c r="G245" i="4"/>
  <c r="F855" i="23"/>
  <c r="G855" i="23"/>
  <c r="F856" i="23"/>
  <c r="G856" i="23"/>
  <c r="G261" i="4"/>
  <c r="G906" i="23"/>
  <c r="F907" i="23"/>
  <c r="G907" i="23"/>
  <c r="F908" i="23"/>
  <c r="F912" i="23"/>
  <c r="G908" i="23"/>
  <c r="G912" i="23"/>
  <c r="F906" i="23"/>
  <c r="G279" i="4"/>
  <c r="F975" i="23"/>
  <c r="G975" i="23"/>
  <c r="F976" i="23"/>
  <c r="G976" i="23"/>
  <c r="F285" i="4"/>
  <c r="G990" i="23"/>
  <c r="F991" i="23"/>
  <c r="G991" i="23"/>
  <c r="F992" i="23"/>
  <c r="G992" i="23"/>
  <c r="F993" i="23"/>
  <c r="F990" i="23"/>
  <c r="G993" i="23"/>
  <c r="G301" i="4"/>
  <c r="F1051" i="23"/>
  <c r="G1051" i="23"/>
  <c r="F1048" i="23"/>
  <c r="F1052" i="23"/>
  <c r="G1048" i="23"/>
  <c r="G1052" i="23"/>
  <c r="F317" i="4"/>
  <c r="G1110" i="23"/>
  <c r="F1111" i="23"/>
  <c r="G1111" i="23"/>
  <c r="F1109" i="23"/>
  <c r="F1110" i="23"/>
  <c r="G1109" i="23"/>
  <c r="G333" i="4"/>
  <c r="G1162" i="23"/>
  <c r="F1164" i="23"/>
  <c r="F1162" i="23"/>
  <c r="G1164" i="23"/>
  <c r="F1165" i="23"/>
  <c r="G1165" i="23"/>
  <c r="F349" i="4"/>
  <c r="F1219" i="23"/>
  <c r="G1219" i="23"/>
  <c r="F1220" i="23"/>
  <c r="G1220" i="23"/>
  <c r="F365" i="4"/>
  <c r="F1275" i="23"/>
  <c r="G1275" i="23"/>
  <c r="F1272" i="23"/>
  <c r="G1272" i="23"/>
  <c r="F1277" i="23"/>
  <c r="G1277" i="23"/>
  <c r="F381" i="4"/>
  <c r="G1330" i="23"/>
  <c r="F1331" i="23"/>
  <c r="G1331" i="23"/>
  <c r="F1330" i="23"/>
  <c r="F397" i="4"/>
  <c r="G1386" i="23"/>
  <c r="F1384" i="23"/>
  <c r="F1386" i="23"/>
  <c r="G1384" i="23"/>
  <c r="F1385" i="23"/>
  <c r="F1389" i="23"/>
  <c r="G1385" i="23"/>
  <c r="G1389" i="23"/>
  <c r="F287" i="4"/>
  <c r="G1002" i="23"/>
  <c r="F999" i="23"/>
  <c r="G999" i="23"/>
  <c r="F1000" i="23"/>
  <c r="G1000" i="23"/>
  <c r="F1002" i="23"/>
  <c r="G303" i="4"/>
  <c r="G1054" i="23"/>
  <c r="F1055" i="23"/>
  <c r="G1055" i="23"/>
  <c r="F1060" i="23"/>
  <c r="G1060" i="23"/>
  <c r="F1061" i="23"/>
  <c r="F1054" i="23"/>
  <c r="G1061" i="23"/>
  <c r="G319" i="4"/>
  <c r="G1118" i="23"/>
  <c r="F1115" i="23"/>
  <c r="G1115" i="23"/>
  <c r="F1116" i="23"/>
  <c r="G1116" i="23"/>
  <c r="F1113" i="23"/>
  <c r="F1118" i="23"/>
  <c r="G1113" i="23"/>
  <c r="B335" i="4"/>
  <c r="G1166" i="23"/>
  <c r="F1167" i="23"/>
  <c r="F1171" i="23"/>
  <c r="G1167" i="23"/>
  <c r="G1171" i="23"/>
  <c r="F1172" i="23"/>
  <c r="F1166" i="23"/>
  <c r="G1172" i="23"/>
  <c r="B351" i="4"/>
  <c r="F1223" i="23"/>
  <c r="F1227" i="23"/>
  <c r="G1223" i="23"/>
  <c r="G1227" i="23"/>
  <c r="F1224" i="23"/>
  <c r="F1228" i="23"/>
  <c r="G1224" i="23"/>
  <c r="G1228" i="23"/>
  <c r="B367" i="4"/>
  <c r="G1278" i="23"/>
  <c r="G1286" i="23"/>
  <c r="F1279" i="23"/>
  <c r="G1279" i="23"/>
  <c r="F1280" i="23"/>
  <c r="F1278" i="23"/>
  <c r="F1286" i="23"/>
  <c r="G1280" i="23"/>
  <c r="F1285" i="23"/>
  <c r="G1285" i="23"/>
  <c r="M383" i="4"/>
  <c r="G1334" i="23"/>
  <c r="F1339" i="23"/>
  <c r="G1339" i="23"/>
  <c r="F1332" i="23"/>
  <c r="F1336" i="23"/>
  <c r="F1334" i="23"/>
  <c r="G1332" i="23"/>
  <c r="G1336" i="23"/>
  <c r="M399" i="4"/>
  <c r="G1394" i="23"/>
  <c r="G1398" i="23"/>
  <c r="G1402" i="23"/>
  <c r="G1414" i="23"/>
  <c r="G1418" i="23"/>
  <c r="G1422" i="23"/>
  <c r="G1426" i="23"/>
  <c r="G1430" i="23"/>
  <c r="G1434" i="23"/>
  <c r="G1438" i="23"/>
  <c r="G1442" i="23"/>
  <c r="G1446" i="23"/>
  <c r="G1454" i="23"/>
  <c r="G1458" i="23"/>
  <c r="G1462" i="23"/>
  <c r="G1466" i="23"/>
  <c r="G1474" i="23"/>
  <c r="G1482" i="23"/>
  <c r="F1427" i="23"/>
  <c r="F1431" i="23"/>
  <c r="F1439" i="23"/>
  <c r="F1447" i="23"/>
  <c r="F1451" i="23"/>
  <c r="F1455" i="23"/>
  <c r="F1459" i="23"/>
  <c r="F1471" i="23"/>
  <c r="F1483" i="23"/>
  <c r="G1427" i="23"/>
  <c r="G1431" i="23"/>
  <c r="G1439" i="23"/>
  <c r="G1447" i="23"/>
  <c r="G1451" i="23"/>
  <c r="G1455" i="23"/>
  <c r="G1459" i="23"/>
  <c r="G1471" i="23"/>
  <c r="G1483" i="23"/>
  <c r="F1404" i="23"/>
  <c r="F1416" i="23"/>
  <c r="F1428" i="23"/>
  <c r="F1432" i="23"/>
  <c r="F1436" i="23"/>
  <c r="F1444" i="23"/>
  <c r="F1448" i="23"/>
  <c r="F1452" i="23"/>
  <c r="F1456" i="23"/>
  <c r="F1460" i="23"/>
  <c r="F1484" i="23"/>
  <c r="F1488" i="23"/>
  <c r="F1394" i="23"/>
  <c r="F1398" i="23"/>
  <c r="F1402" i="23"/>
  <c r="F1414" i="23"/>
  <c r="F1418" i="23"/>
  <c r="F1422" i="23"/>
  <c r="F1426" i="23"/>
  <c r="F1430" i="23"/>
  <c r="F1434" i="23"/>
  <c r="F1438" i="23"/>
  <c r="F1442" i="23"/>
  <c r="F1446" i="23"/>
  <c r="F1454" i="23"/>
  <c r="F1458" i="23"/>
  <c r="F1462" i="23"/>
  <c r="F1466" i="23"/>
  <c r="F1474" i="23"/>
  <c r="F1482" i="23"/>
  <c r="G1404" i="23"/>
  <c r="G1416" i="23"/>
  <c r="G1428" i="23"/>
  <c r="G1432" i="23"/>
  <c r="G1436" i="23"/>
  <c r="G1444" i="23"/>
  <c r="G1448" i="23"/>
  <c r="G1452" i="23"/>
  <c r="G1456" i="23"/>
  <c r="G1460" i="23"/>
  <c r="G1484" i="23"/>
  <c r="G1488" i="23"/>
  <c r="F1397" i="23"/>
  <c r="F1405" i="23"/>
  <c r="F1409" i="23"/>
  <c r="F1417" i="23"/>
  <c r="F1421" i="23"/>
  <c r="F1429" i="23"/>
  <c r="F1433" i="23"/>
  <c r="F1441" i="23"/>
  <c r="F1445" i="23"/>
  <c r="F1449" i="23"/>
  <c r="F1457" i="23"/>
  <c r="F1461" i="23"/>
  <c r="F1485" i="23"/>
  <c r="G1397" i="23"/>
  <c r="G1405" i="23"/>
  <c r="G1409" i="23"/>
  <c r="G1417" i="23"/>
  <c r="G1421" i="23"/>
  <c r="G1429" i="23"/>
  <c r="G1433" i="23"/>
  <c r="G1441" i="23"/>
  <c r="G1445" i="23"/>
  <c r="G1449" i="23"/>
  <c r="G1457" i="23"/>
  <c r="G1461" i="23"/>
  <c r="G1485" i="23"/>
  <c r="G25" i="4"/>
  <c r="F84" i="23"/>
  <c r="F88" i="23"/>
  <c r="G84" i="23"/>
  <c r="G88" i="23"/>
  <c r="F85" i="23"/>
  <c r="G85" i="23"/>
  <c r="G41" i="4"/>
  <c r="F140" i="23"/>
  <c r="F144" i="23"/>
  <c r="G140" i="23"/>
  <c r="G144" i="23"/>
  <c r="F143" i="23"/>
  <c r="G143" i="23"/>
  <c r="G57" i="4"/>
  <c r="F200" i="23"/>
  <c r="G200" i="23"/>
  <c r="F201" i="23"/>
  <c r="G201" i="23"/>
  <c r="F198" i="23"/>
  <c r="G198" i="23"/>
  <c r="G73" i="4"/>
  <c r="F256" i="23"/>
  <c r="G256" i="23"/>
  <c r="F257" i="23"/>
  <c r="G257" i="23"/>
  <c r="G89" i="4"/>
  <c r="F309" i="23"/>
  <c r="F313" i="23"/>
  <c r="G309" i="23"/>
  <c r="G313" i="23"/>
  <c r="F311" i="23"/>
  <c r="F315" i="23"/>
  <c r="G315" i="23"/>
  <c r="G311" i="23"/>
  <c r="G105" i="4"/>
  <c r="F368" i="23"/>
  <c r="G368" i="23"/>
  <c r="F365" i="23"/>
  <c r="G365" i="23"/>
  <c r="F367" i="23"/>
  <c r="G367" i="23"/>
  <c r="G121" i="4"/>
  <c r="F424" i="23"/>
  <c r="G424" i="23"/>
  <c r="F425" i="23"/>
  <c r="G425" i="23"/>
  <c r="F423" i="23"/>
  <c r="G423" i="23"/>
  <c r="G137" i="4"/>
  <c r="F477" i="23"/>
  <c r="G477" i="23"/>
  <c r="F478" i="23"/>
  <c r="G478" i="23"/>
  <c r="G153" i="4"/>
  <c r="F534" i="23"/>
  <c r="G534" i="23"/>
  <c r="G169" i="4"/>
  <c r="F594" i="23"/>
  <c r="G594" i="23"/>
  <c r="F591" i="23"/>
  <c r="F595" i="23"/>
  <c r="G591" i="23"/>
  <c r="G595" i="23"/>
  <c r="G185" i="4"/>
  <c r="F647" i="23"/>
  <c r="G647" i="23"/>
  <c r="G201" i="4"/>
  <c r="G698" i="23"/>
  <c r="G702" i="23"/>
  <c r="F700" i="23"/>
  <c r="G700" i="23"/>
  <c r="F697" i="23"/>
  <c r="F701" i="23"/>
  <c r="F698" i="23"/>
  <c r="F702" i="23"/>
  <c r="G697" i="23"/>
  <c r="G701" i="23"/>
  <c r="G217" i="4"/>
  <c r="G762" i="23"/>
  <c r="F759" i="23"/>
  <c r="G759" i="23"/>
  <c r="F756" i="23"/>
  <c r="G756" i="23"/>
  <c r="F757" i="23"/>
  <c r="F762" i="23"/>
  <c r="G757" i="23"/>
  <c r="G233" i="4"/>
  <c r="G814" i="23"/>
  <c r="G818" i="23"/>
  <c r="F815" i="23"/>
  <c r="G815" i="23"/>
  <c r="F812" i="23"/>
  <c r="G812" i="23"/>
  <c r="F813" i="23"/>
  <c r="F814" i="23"/>
  <c r="F818" i="23"/>
  <c r="G813" i="23"/>
  <c r="G249" i="4"/>
  <c r="G870" i="23"/>
  <c r="F868" i="23"/>
  <c r="F872" i="23"/>
  <c r="G868" i="23"/>
  <c r="G872" i="23"/>
  <c r="F870" i="23"/>
  <c r="G265" i="4"/>
  <c r="G922" i="23"/>
  <c r="G930" i="23"/>
  <c r="F924" i="23"/>
  <c r="F928" i="23"/>
  <c r="G924" i="23"/>
  <c r="G928" i="23"/>
  <c r="F925" i="23"/>
  <c r="F922" i="23"/>
  <c r="F930" i="23"/>
  <c r="G925" i="23"/>
  <c r="G283" i="4"/>
  <c r="G986" i="23"/>
  <c r="F987" i="23"/>
  <c r="G987" i="23"/>
  <c r="F986" i="23"/>
  <c r="F289" i="4"/>
  <c r="G1010" i="23"/>
  <c r="F1007" i="23"/>
  <c r="G1007" i="23"/>
  <c r="F1008" i="23"/>
  <c r="G1008" i="23"/>
  <c r="F1005" i="23"/>
  <c r="F1010" i="23"/>
  <c r="G1005" i="23"/>
  <c r="D305" i="4"/>
  <c r="G1066" i="23"/>
  <c r="F1064" i="23"/>
  <c r="F1068" i="23"/>
  <c r="G1064" i="23"/>
  <c r="G1068" i="23"/>
  <c r="F1069" i="23"/>
  <c r="F1066" i="23"/>
  <c r="G1069" i="23"/>
  <c r="F321" i="4"/>
  <c r="F1120" i="23"/>
  <c r="G1120" i="23"/>
  <c r="F337" i="4"/>
  <c r="G1174" i="23"/>
  <c r="G1178" i="23"/>
  <c r="F1175" i="23"/>
  <c r="G1175" i="23"/>
  <c r="F1174" i="23"/>
  <c r="F1178" i="23"/>
  <c r="F353" i="4"/>
  <c r="G1230" i="23"/>
  <c r="F1232" i="23"/>
  <c r="F1230" i="23"/>
  <c r="G1232" i="23"/>
  <c r="F369" i="4"/>
  <c r="F1288" i="23"/>
  <c r="F1292" i="23"/>
  <c r="G1288" i="23"/>
  <c r="G1292" i="23"/>
  <c r="F1293" i="23"/>
  <c r="G1293" i="23"/>
  <c r="F385" i="4"/>
  <c r="F1343" i="23"/>
  <c r="G1343" i="23"/>
  <c r="F1340" i="23"/>
  <c r="F1344" i="23"/>
  <c r="G1340" i="23"/>
  <c r="G1344" i="23"/>
  <c r="F1341" i="23"/>
  <c r="G1341" i="23"/>
  <c r="F401" i="4"/>
  <c r="G1502" i="23"/>
  <c r="F1499" i="23"/>
  <c r="F1503" i="23"/>
  <c r="G1499" i="23"/>
  <c r="G1503" i="23"/>
  <c r="F1496" i="23"/>
  <c r="F1502" i="23"/>
  <c r="G1496" i="23"/>
  <c r="F1505" i="23"/>
  <c r="G1505" i="23"/>
  <c r="G291" i="4"/>
  <c r="F1015" i="23"/>
  <c r="G1015" i="23"/>
  <c r="F1012" i="23"/>
  <c r="F1016" i="23"/>
  <c r="G1012" i="23"/>
  <c r="G1016" i="23"/>
  <c r="F1013" i="23"/>
  <c r="G1013" i="23"/>
  <c r="F307" i="4"/>
  <c r="F1071" i="23"/>
  <c r="G1071" i="23"/>
  <c r="F1072" i="23"/>
  <c r="F1076" i="23"/>
  <c r="G1072" i="23"/>
  <c r="G1076" i="23"/>
  <c r="F1073" i="23"/>
  <c r="G1073" i="23"/>
  <c r="F323" i="4"/>
  <c r="G1122" i="23"/>
  <c r="G1126" i="23"/>
  <c r="G1130" i="23"/>
  <c r="F1123" i="23"/>
  <c r="F1127" i="23"/>
  <c r="G1123" i="23"/>
  <c r="G1127" i="23"/>
  <c r="F1128" i="23"/>
  <c r="G1128" i="23"/>
  <c r="F1122" i="23"/>
  <c r="F1126" i="23"/>
  <c r="F1130" i="23"/>
  <c r="F339" i="4"/>
  <c r="F1183" i="23"/>
  <c r="G1183" i="23"/>
  <c r="F1181" i="23"/>
  <c r="F1185" i="23"/>
  <c r="G1181" i="23"/>
  <c r="G1185" i="23"/>
  <c r="F355" i="4"/>
  <c r="G1234" i="23"/>
  <c r="G1238" i="23"/>
  <c r="F1235" i="23"/>
  <c r="F1243" i="23"/>
  <c r="G1235" i="23"/>
  <c r="G1243" i="23"/>
  <c r="F1240" i="23"/>
  <c r="F1234" i="23"/>
  <c r="F1238" i="23"/>
  <c r="G1240" i="23"/>
  <c r="F371" i="4"/>
  <c r="F1296" i="23"/>
  <c r="G1296" i="23"/>
  <c r="F1297" i="23"/>
  <c r="G1297" i="23"/>
  <c r="G387" i="4"/>
  <c r="F1351" i="23"/>
  <c r="F1355" i="23"/>
  <c r="G1351" i="23"/>
  <c r="G1355" i="23"/>
  <c r="F1349" i="23"/>
  <c r="F1353" i="23"/>
  <c r="G1349" i="23"/>
  <c r="G1353" i="23"/>
  <c r="D27" i="4"/>
  <c r="F90" i="23"/>
  <c r="F94" i="23"/>
  <c r="G90" i="23"/>
  <c r="G94" i="23"/>
  <c r="F91" i="23"/>
  <c r="F95" i="23"/>
  <c r="G91" i="23"/>
  <c r="G95" i="23"/>
  <c r="G43" i="4"/>
  <c r="F148" i="23"/>
  <c r="G148" i="23"/>
  <c r="F150" i="23"/>
  <c r="G150" i="23"/>
  <c r="F147" i="23"/>
  <c r="F151" i="23"/>
  <c r="F155" i="23"/>
  <c r="G147" i="23"/>
  <c r="G155" i="23"/>
  <c r="G151" i="23"/>
  <c r="G59" i="4"/>
  <c r="F208" i="23"/>
  <c r="G208" i="23"/>
  <c r="F205" i="23"/>
  <c r="G205" i="23"/>
  <c r="F206" i="23"/>
  <c r="G206" i="23"/>
  <c r="F207" i="23"/>
  <c r="G207" i="23"/>
  <c r="F75" i="4"/>
  <c r="F260" i="23"/>
  <c r="G260" i="23"/>
  <c r="F262" i="23"/>
  <c r="G262" i="23"/>
  <c r="F259" i="23"/>
  <c r="G259" i="23"/>
  <c r="D91" i="4"/>
  <c r="F316" i="23"/>
  <c r="G316" i="23"/>
  <c r="F318" i="23"/>
  <c r="G318" i="23"/>
  <c r="D107" i="4"/>
  <c r="F372" i="23"/>
  <c r="F376" i="23"/>
  <c r="G372" i="23"/>
  <c r="G376" i="23"/>
  <c r="F377" i="23"/>
  <c r="G377" i="23"/>
  <c r="F375" i="23"/>
  <c r="G375" i="23"/>
  <c r="D123" i="4"/>
  <c r="F432" i="23"/>
  <c r="G432" i="23"/>
  <c r="F433" i="23"/>
  <c r="G433" i="23"/>
  <c r="F426" i="23"/>
  <c r="F434" i="23"/>
  <c r="G426" i="23"/>
  <c r="G434" i="23"/>
  <c r="F435" i="23"/>
  <c r="G435" i="23"/>
  <c r="F139" i="4"/>
  <c r="F480" i="23"/>
  <c r="F484" i="23"/>
  <c r="F488" i="23"/>
  <c r="G480" i="23"/>
  <c r="G484" i="23"/>
  <c r="G488" i="23"/>
  <c r="F486" i="23"/>
  <c r="F490" i="23"/>
  <c r="G486" i="23"/>
  <c r="G490" i="23"/>
  <c r="F483" i="23"/>
  <c r="G483" i="23"/>
  <c r="F155" i="4"/>
  <c r="F540" i="23"/>
  <c r="G540" i="23"/>
  <c r="F541" i="23"/>
  <c r="G541" i="23"/>
  <c r="F542" i="23"/>
  <c r="G542" i="23"/>
  <c r="F543" i="23"/>
  <c r="G543" i="23"/>
  <c r="D171" i="4"/>
  <c r="F600" i="23"/>
  <c r="G600" i="23"/>
  <c r="F601" i="23"/>
  <c r="F598" i="23"/>
  <c r="G598" i="23"/>
  <c r="F599" i="23"/>
  <c r="G599" i="23"/>
  <c r="G601" i="23"/>
  <c r="D187" i="4"/>
  <c r="F648" i="23"/>
  <c r="G648" i="23"/>
  <c r="F650" i="23"/>
  <c r="F654" i="23"/>
  <c r="G650" i="23"/>
  <c r="G654" i="23"/>
  <c r="F655" i="23"/>
  <c r="G655" i="23"/>
  <c r="G203" i="4"/>
  <c r="G710" i="23"/>
  <c r="F707" i="23"/>
  <c r="F711" i="23"/>
  <c r="G707" i="23"/>
  <c r="G711" i="23"/>
  <c r="F708" i="23"/>
  <c r="G708" i="23"/>
  <c r="F710" i="23"/>
  <c r="F219" i="4"/>
  <c r="F767" i="23"/>
  <c r="G767" i="23"/>
  <c r="F764" i="23"/>
  <c r="G764" i="23"/>
  <c r="D235" i="4"/>
  <c r="F823" i="23"/>
  <c r="G823" i="23"/>
  <c r="F821" i="23"/>
  <c r="G821" i="23"/>
  <c r="F251" i="4"/>
  <c r="F875" i="23"/>
  <c r="G875" i="23"/>
  <c r="F876" i="23"/>
  <c r="G876" i="23"/>
  <c r="F267" i="4"/>
  <c r="F932" i="23"/>
  <c r="F936" i="23"/>
  <c r="G932" i="23"/>
  <c r="G936" i="23"/>
  <c r="F937" i="23"/>
  <c r="G937" i="23"/>
  <c r="G281" i="4"/>
  <c r="F979" i="23"/>
  <c r="F983" i="23"/>
  <c r="G979" i="23"/>
  <c r="G983" i="23"/>
  <c r="F980" i="23"/>
  <c r="F984" i="23"/>
  <c r="G980" i="23"/>
  <c r="G984" i="23"/>
  <c r="F13" i="4"/>
  <c r="F45" i="23"/>
  <c r="F49" i="23"/>
  <c r="G45" i="23"/>
  <c r="G49" i="23"/>
  <c r="F46" i="23"/>
  <c r="G46" i="23"/>
  <c r="F43" i="23"/>
  <c r="G43" i="23"/>
  <c r="G29" i="4"/>
  <c r="F100" i="23"/>
  <c r="F104" i="23"/>
  <c r="G100" i="23"/>
  <c r="G104" i="23"/>
  <c r="F101" i="23"/>
  <c r="G101" i="23"/>
  <c r="F98" i="23"/>
  <c r="F106" i="23"/>
  <c r="G98" i="23"/>
  <c r="G106" i="23"/>
  <c r="G45" i="4"/>
  <c r="F156" i="23"/>
  <c r="G156" i="23"/>
  <c r="F158" i="23"/>
  <c r="G158" i="23"/>
  <c r="G61" i="4"/>
  <c r="F212" i="23"/>
  <c r="F216" i="23"/>
  <c r="G212" i="23"/>
  <c r="G216" i="23"/>
  <c r="F213" i="23"/>
  <c r="G213" i="23"/>
  <c r="F215" i="23"/>
  <c r="G215" i="23"/>
  <c r="G77" i="4"/>
  <c r="F269" i="23"/>
  <c r="G269" i="23"/>
  <c r="F266" i="23"/>
  <c r="F270" i="23"/>
  <c r="G266" i="23"/>
  <c r="G270" i="23"/>
  <c r="F267" i="23"/>
  <c r="G267" i="23"/>
  <c r="G93" i="4"/>
  <c r="F328" i="23"/>
  <c r="G328" i="23"/>
  <c r="F321" i="23"/>
  <c r="F325" i="23"/>
  <c r="G321" i="23"/>
  <c r="G325" i="23"/>
  <c r="F322" i="23"/>
  <c r="G322" i="23"/>
  <c r="F323" i="23"/>
  <c r="G323" i="23"/>
  <c r="G109" i="4"/>
  <c r="F380" i="23"/>
  <c r="G380" i="23"/>
  <c r="F381" i="23"/>
  <c r="F385" i="23"/>
  <c r="G381" i="23"/>
  <c r="G385" i="23"/>
  <c r="F382" i="23"/>
  <c r="G382" i="23"/>
  <c r="G125" i="4"/>
  <c r="F437" i="23"/>
  <c r="G437" i="23"/>
  <c r="F438" i="23"/>
  <c r="G438" i="23"/>
  <c r="G141" i="4"/>
  <c r="F493" i="23"/>
  <c r="G493" i="23"/>
  <c r="G157" i="4"/>
  <c r="F548" i="23"/>
  <c r="G548" i="23"/>
  <c r="F545" i="23"/>
  <c r="G545" i="23"/>
  <c r="F550" i="23"/>
  <c r="G550" i="23"/>
  <c r="F551" i="23"/>
  <c r="G551" i="23"/>
  <c r="G173" i="4"/>
  <c r="F605" i="23"/>
  <c r="G605" i="23"/>
  <c r="G189" i="4"/>
  <c r="F659" i="23"/>
  <c r="G659" i="23"/>
  <c r="F660" i="23"/>
  <c r="F656" i="23"/>
  <c r="G660" i="23"/>
  <c r="G656" i="23"/>
  <c r="G205" i="4"/>
  <c r="G714" i="23"/>
  <c r="F717" i="23"/>
  <c r="F714" i="23"/>
  <c r="G717" i="23"/>
  <c r="G221" i="4"/>
  <c r="G770" i="23"/>
  <c r="G774" i="23"/>
  <c r="F771" i="23"/>
  <c r="G771" i="23"/>
  <c r="F772" i="23"/>
  <c r="G772" i="23"/>
  <c r="F769" i="23"/>
  <c r="F770" i="23"/>
  <c r="F774" i="23"/>
  <c r="G769" i="23"/>
  <c r="G237" i="4"/>
  <c r="G826" i="23"/>
  <c r="F827" i="23"/>
  <c r="G827" i="23"/>
  <c r="F824" i="23"/>
  <c r="G824" i="23"/>
  <c r="F825" i="23"/>
  <c r="F826" i="23"/>
  <c r="G825" i="23"/>
  <c r="G253" i="4"/>
  <c r="G882" i="23"/>
  <c r="G886" i="23"/>
  <c r="F883" i="23"/>
  <c r="G883" i="23"/>
  <c r="F884" i="23"/>
  <c r="G884" i="23"/>
  <c r="F881" i="23"/>
  <c r="F882" i="23"/>
  <c r="F886" i="23"/>
  <c r="G881" i="23"/>
  <c r="G269" i="4"/>
  <c r="G938" i="23"/>
  <c r="G942" i="23"/>
  <c r="F939" i="23"/>
  <c r="G939" i="23"/>
  <c r="F940" i="23"/>
  <c r="G940" i="23"/>
  <c r="F938" i="23"/>
  <c r="F942" i="23"/>
  <c r="F293" i="4"/>
  <c r="F1023" i="23"/>
  <c r="G1023" i="23"/>
  <c r="F1024" i="23"/>
  <c r="G1024" i="23"/>
  <c r="F1021" i="23"/>
  <c r="G1021" i="23"/>
  <c r="B309" i="4"/>
  <c r="F1079" i="23"/>
  <c r="G1079" i="23"/>
  <c r="F325" i="4"/>
  <c r="F1136" i="23"/>
  <c r="G1136" i="23"/>
  <c r="F1137" i="23"/>
  <c r="G1137" i="23"/>
  <c r="F341" i="4"/>
  <c r="G1186" i="23"/>
  <c r="G1190" i="23"/>
  <c r="F1187" i="23"/>
  <c r="F1191" i="23"/>
  <c r="G1187" i="23"/>
  <c r="G1191" i="23"/>
  <c r="F1186" i="23"/>
  <c r="F1190" i="23"/>
  <c r="F357" i="4"/>
  <c r="G1246" i="23"/>
  <c r="F1244" i="23"/>
  <c r="F1246" i="23"/>
  <c r="G1244" i="23"/>
  <c r="F373" i="4"/>
  <c r="G1298" i="23"/>
  <c r="F1299" i="23"/>
  <c r="F1303" i="23"/>
  <c r="G1299" i="23"/>
  <c r="G1303" i="23"/>
  <c r="F1298" i="23"/>
  <c r="F1305" i="23"/>
  <c r="G1305" i="23"/>
  <c r="F389" i="4"/>
  <c r="G1358" i="23"/>
  <c r="F1359" i="23"/>
  <c r="G1359" i="23"/>
  <c r="F1356" i="23"/>
  <c r="F1358" i="23"/>
  <c r="G1356" i="23"/>
  <c r="C1019" i="23"/>
  <c r="C1014" i="23"/>
  <c r="C1018" i="23"/>
  <c r="C1017" i="23"/>
  <c r="C690" i="23"/>
  <c r="C695" i="23"/>
  <c r="C693" i="23"/>
  <c r="C988" i="23"/>
  <c r="C989" i="23"/>
  <c r="C885" i="23"/>
  <c r="C878" i="23"/>
  <c r="C879" i="23"/>
  <c r="C887" i="23"/>
  <c r="C880" i="23"/>
  <c r="C794" i="23"/>
  <c r="C790" i="23"/>
  <c r="C791" i="23"/>
  <c r="C796" i="23"/>
  <c r="C792" i="23"/>
  <c r="C668" i="23"/>
  <c r="C670" i="23"/>
  <c r="C665" i="23"/>
  <c r="C667" i="23"/>
  <c r="C672" i="23"/>
  <c r="C662" i="23"/>
  <c r="C560" i="23"/>
  <c r="C565" i="23"/>
  <c r="C564" i="23"/>
  <c r="C436" i="23"/>
  <c r="C439" i="23"/>
  <c r="C314" i="23"/>
  <c r="C312" i="23"/>
  <c r="C308" i="23"/>
  <c r="C310" i="23"/>
  <c r="C146" i="23"/>
  <c r="C154" i="23"/>
  <c r="C152" i="23"/>
  <c r="C153" i="23"/>
  <c r="C149" i="23"/>
  <c r="C1012" i="23"/>
  <c r="C1013" i="23"/>
  <c r="C1015" i="23"/>
  <c r="C1016" i="23"/>
  <c r="C987" i="23"/>
  <c r="C986" i="23"/>
  <c r="C932" i="23"/>
  <c r="C936" i="23"/>
  <c r="C937" i="23"/>
  <c r="C875" i="23"/>
  <c r="C876" i="23"/>
  <c r="C707" i="23"/>
  <c r="C708" i="23"/>
  <c r="C710" i="23"/>
  <c r="C711" i="23"/>
  <c r="C650" i="23"/>
  <c r="C648" i="23"/>
  <c r="C654" i="23"/>
  <c r="C655" i="23"/>
  <c r="C540" i="23"/>
  <c r="C541" i="23"/>
  <c r="C542" i="23"/>
  <c r="C543" i="23"/>
  <c r="C458" i="23"/>
  <c r="C456" i="23"/>
  <c r="C376" i="23"/>
  <c r="C377" i="23"/>
  <c r="C372" i="23"/>
  <c r="C375" i="23"/>
  <c r="C316" i="23"/>
  <c r="C318" i="23"/>
  <c r="C259" i="23"/>
  <c r="C260" i="23"/>
  <c r="C262" i="23"/>
  <c r="C90" i="23"/>
  <c r="C91" i="23"/>
  <c r="C94" i="23"/>
  <c r="C95" i="23"/>
  <c r="C1388" i="23"/>
  <c r="C1390" i="23"/>
  <c r="C1391" i="23"/>
  <c r="C1387" i="23"/>
  <c r="C1357" i="23"/>
  <c r="C1360" i="23"/>
  <c r="C1361" i="23"/>
  <c r="C1342" i="23"/>
  <c r="C1347" i="23"/>
  <c r="C1345" i="23"/>
  <c r="C1346" i="23"/>
  <c r="C1289" i="23"/>
  <c r="C1290" i="23"/>
  <c r="C1291" i="23"/>
  <c r="C1247" i="23"/>
  <c r="C1245" i="23"/>
  <c r="C1221" i="23"/>
  <c r="C1218" i="23"/>
  <c r="C1188" i="23"/>
  <c r="C1189" i="23"/>
  <c r="C1192" i="23"/>
  <c r="C1193" i="23"/>
  <c r="C1179" i="23"/>
  <c r="C1176" i="23"/>
  <c r="C1177" i="23"/>
  <c r="C1160" i="23"/>
  <c r="C1161" i="23"/>
  <c r="C1163" i="23"/>
  <c r="C1151" i="23"/>
  <c r="C1144" i="23"/>
  <c r="C1146" i="23"/>
  <c r="C1145" i="23"/>
  <c r="C1134" i="23"/>
  <c r="C1135" i="23"/>
  <c r="C1107" i="23"/>
  <c r="C1108" i="23"/>
  <c r="C1106" i="23"/>
  <c r="C1093" i="23"/>
  <c r="C1095" i="23"/>
  <c r="C1067" i="23"/>
  <c r="C1062" i="23"/>
  <c r="C1063" i="23"/>
  <c r="C1065" i="23"/>
  <c r="C857" i="23"/>
  <c r="C854" i="23"/>
  <c r="C1044" i="23"/>
  <c r="C1046" i="23"/>
  <c r="C1047" i="23"/>
  <c r="C933" i="23"/>
  <c r="C934" i="23"/>
  <c r="C935" i="23"/>
  <c r="C841" i="23"/>
  <c r="C840" i="23"/>
  <c r="C844" i="23"/>
  <c r="C729" i="23"/>
  <c r="C733" i="23"/>
  <c r="C732" i="23"/>
  <c r="C728" i="23"/>
  <c r="C618" i="23"/>
  <c r="C617" i="23"/>
  <c r="C620" i="23"/>
  <c r="C615" i="23"/>
  <c r="C482" i="23"/>
  <c r="C491" i="23"/>
  <c r="C485" i="23"/>
  <c r="C481" i="23"/>
  <c r="C487" i="23"/>
  <c r="C489" i="23"/>
  <c r="C235" i="23"/>
  <c r="C230" i="23"/>
  <c r="C232" i="23"/>
  <c r="C233" i="23"/>
  <c r="C50" i="23"/>
  <c r="C51" i="23"/>
  <c r="C54" i="23"/>
  <c r="C764" i="23"/>
  <c r="C767" i="23"/>
  <c r="C686" i="23"/>
  <c r="C678" i="23"/>
  <c r="C687" i="23"/>
  <c r="C679" i="23"/>
  <c r="C683" i="23"/>
  <c r="C600" i="23"/>
  <c r="C601" i="23"/>
  <c r="C599" i="23"/>
  <c r="C598" i="23"/>
  <c r="C490" i="23"/>
  <c r="C483" i="23"/>
  <c r="C484" i="23"/>
  <c r="C486" i="23"/>
  <c r="C480" i="23"/>
  <c r="C488" i="23"/>
  <c r="C426" i="23"/>
  <c r="C434" i="23"/>
  <c r="C435" i="23"/>
  <c r="C432" i="23"/>
  <c r="C433" i="23"/>
  <c r="C346" i="23"/>
  <c r="C348" i="23"/>
  <c r="C291" i="23"/>
  <c r="C288" i="23"/>
  <c r="C289" i="23"/>
  <c r="C206" i="23"/>
  <c r="C207" i="23"/>
  <c r="C208" i="23"/>
  <c r="C205" i="23"/>
  <c r="C147" i="23"/>
  <c r="C155" i="23"/>
  <c r="C148" i="23"/>
  <c r="C151" i="23"/>
  <c r="C150" i="23"/>
  <c r="C1500" i="23"/>
  <c r="C1501" i="23"/>
  <c r="C1504" i="23"/>
  <c r="C1497" i="23"/>
  <c r="C1498" i="23"/>
  <c r="C1374" i="23"/>
  <c r="C1375" i="23"/>
  <c r="C1328" i="23"/>
  <c r="C1329" i="23"/>
  <c r="C1318" i="23"/>
  <c r="C1317" i="23"/>
  <c r="C1300" i="23"/>
  <c r="C1302" i="23"/>
  <c r="C1301" i="23"/>
  <c r="C1304" i="23"/>
  <c r="C1276" i="23"/>
  <c r="C1273" i="23"/>
  <c r="C1274" i="23"/>
  <c r="C1256" i="23"/>
  <c r="C1257" i="23"/>
  <c r="C1258" i="23"/>
  <c r="C1231" i="23"/>
  <c r="C1233" i="23"/>
  <c r="C1204" i="23"/>
  <c r="C1203" i="23"/>
  <c r="C1201" i="23"/>
  <c r="C1202" i="23"/>
  <c r="C1043" i="23"/>
  <c r="C1045" i="23"/>
  <c r="C1042" i="23"/>
  <c r="C981" i="23"/>
  <c r="C982" i="23"/>
  <c r="C978" i="23"/>
  <c r="C985" i="23"/>
  <c r="C923" i="23"/>
  <c r="C931" i="23"/>
  <c r="C926" i="23"/>
  <c r="C927" i="23"/>
  <c r="C929" i="23"/>
  <c r="C874" i="23"/>
  <c r="C877" i="23"/>
  <c r="C835" i="23"/>
  <c r="C838" i="23"/>
  <c r="C839" i="23"/>
  <c r="C832" i="23"/>
  <c r="C785" i="23"/>
  <c r="C784" i="23"/>
  <c r="C782" i="23"/>
  <c r="C715" i="23"/>
  <c r="C716" i="23"/>
  <c r="C659" i="23"/>
  <c r="C660" i="23"/>
  <c r="C656" i="23"/>
  <c r="C619" i="23"/>
  <c r="C614" i="23"/>
  <c r="C621" i="23"/>
  <c r="C616" i="23"/>
  <c r="C538" i="23"/>
  <c r="C539" i="23"/>
  <c r="C536" i="23"/>
  <c r="C537" i="23"/>
  <c r="C476" i="23"/>
  <c r="C479" i="23"/>
  <c r="C427" i="23"/>
  <c r="C430" i="23"/>
  <c r="C431" i="23"/>
  <c r="C429" i="23"/>
  <c r="C428" i="23"/>
  <c r="C378" i="23"/>
  <c r="C379" i="23"/>
  <c r="C383" i="23"/>
  <c r="C384" i="23"/>
  <c r="C290" i="23"/>
  <c r="C292" i="23"/>
  <c r="C293" i="23"/>
  <c r="C226" i="23"/>
  <c r="C229" i="23"/>
  <c r="C122" i="23"/>
  <c r="C120" i="23"/>
  <c r="C121" i="23"/>
  <c r="C83" i="23"/>
  <c r="C80" i="23"/>
  <c r="C52" i="23"/>
  <c r="C53" i="23"/>
  <c r="C55" i="23"/>
  <c r="C971" i="23"/>
  <c r="C964" i="23"/>
  <c r="C972" i="23"/>
  <c r="C965" i="23"/>
  <c r="C970" i="23"/>
  <c r="C873" i="23"/>
  <c r="C869" i="23"/>
  <c r="C871" i="23"/>
  <c r="C786" i="23"/>
  <c r="C787" i="23"/>
  <c r="C783" i="23"/>
  <c r="C649" i="23"/>
  <c r="C651" i="23"/>
  <c r="C652" i="23"/>
  <c r="C653" i="23"/>
  <c r="C420" i="23"/>
  <c r="C421" i="23"/>
  <c r="C422" i="23"/>
  <c r="C283" i="23"/>
  <c r="C284" i="23"/>
  <c r="C285" i="23"/>
  <c r="C123" i="23"/>
  <c r="C124" i="23"/>
  <c r="C125" i="23"/>
  <c r="C43" i="23"/>
  <c r="C46" i="23"/>
  <c r="C49" i="23"/>
  <c r="C45" i="23"/>
  <c r="C1005" i="23"/>
  <c r="C1007" i="23"/>
  <c r="C1008" i="23"/>
  <c r="C1010" i="23"/>
  <c r="C955" i="23"/>
  <c r="C950" i="23"/>
  <c r="C951" i="23"/>
  <c r="C954" i="23"/>
  <c r="C899" i="23"/>
  <c r="C900" i="23"/>
  <c r="C901" i="23"/>
  <c r="C903" i="23"/>
  <c r="C897" i="23"/>
  <c r="C818" i="23"/>
  <c r="C812" i="23"/>
  <c r="C813" i="23"/>
  <c r="C814" i="23"/>
  <c r="C815" i="23"/>
  <c r="C730" i="23"/>
  <c r="C731" i="23"/>
  <c r="C726" i="23"/>
  <c r="C727" i="23"/>
  <c r="C504" i="23"/>
  <c r="C508" i="23"/>
  <c r="C509" i="23"/>
  <c r="C477" i="23"/>
  <c r="C478" i="23"/>
  <c r="C453" i="23"/>
  <c r="C454" i="23"/>
  <c r="C449" i="23"/>
  <c r="C455" i="23"/>
  <c r="C423" i="23"/>
  <c r="C424" i="23"/>
  <c r="C425" i="23"/>
  <c r="C367" i="23"/>
  <c r="C368" i="23"/>
  <c r="C365" i="23"/>
  <c r="C315" i="23"/>
  <c r="C313" i="23"/>
  <c r="C309" i="23"/>
  <c r="C311" i="23"/>
  <c r="C257" i="23"/>
  <c r="C256" i="23"/>
  <c r="C198" i="23"/>
  <c r="C200" i="23"/>
  <c r="C201" i="23"/>
  <c r="C143" i="23"/>
  <c r="C144" i="23"/>
  <c r="C140" i="23"/>
  <c r="C88" i="23"/>
  <c r="C84" i="23"/>
  <c r="C85" i="23"/>
  <c r="C1404" i="23"/>
  <c r="C1428" i="23"/>
  <c r="C1436" i="23"/>
  <c r="C1444" i="23"/>
  <c r="C1452" i="23"/>
  <c r="C1460" i="23"/>
  <c r="C1484" i="23"/>
  <c r="C1421" i="23"/>
  <c r="C1398" i="23"/>
  <c r="C1414" i="23"/>
  <c r="C1422" i="23"/>
  <c r="C1430" i="23"/>
  <c r="C1438" i="23"/>
  <c r="C1446" i="23"/>
  <c r="C1454" i="23"/>
  <c r="C1462" i="23"/>
  <c r="C1466" i="23"/>
  <c r="C1483" i="23"/>
  <c r="C1405" i="23"/>
  <c r="C1431" i="23"/>
  <c r="C1439" i="23"/>
  <c r="C1447" i="23"/>
  <c r="C1455" i="23"/>
  <c r="C1471" i="23"/>
  <c r="C1482" i="23"/>
  <c r="C1459" i="23"/>
  <c r="C1416" i="23"/>
  <c r="C1432" i="23"/>
  <c r="C1448" i="23"/>
  <c r="C1456" i="23"/>
  <c r="C1488" i="23"/>
  <c r="C1474" i="23"/>
  <c r="C1427" i="23"/>
  <c r="C1429" i="23"/>
  <c r="C1485" i="23"/>
  <c r="C1409" i="23"/>
  <c r="C1417" i="23"/>
  <c r="C1433" i="23"/>
  <c r="C1441" i="23"/>
  <c r="C1449" i="23"/>
  <c r="C1457" i="23"/>
  <c r="C1458" i="23"/>
  <c r="C1451" i="23"/>
  <c r="C1461" i="23"/>
  <c r="C1394" i="23"/>
  <c r="C1402" i="23"/>
  <c r="C1418" i="23"/>
  <c r="C1426" i="23"/>
  <c r="C1434" i="23"/>
  <c r="C1442" i="23"/>
  <c r="C1397" i="23"/>
  <c r="C1445" i="23"/>
  <c r="C1380" i="23"/>
  <c r="C1382" i="23"/>
  <c r="C1377" i="23"/>
  <c r="C1378" i="23"/>
  <c r="C1366" i="23"/>
  <c r="C1368" i="23"/>
  <c r="C1369" i="23"/>
  <c r="C1365" i="23"/>
  <c r="C1370" i="23"/>
  <c r="C1351" i="23"/>
  <c r="C1349" i="23"/>
  <c r="C1353" i="23"/>
  <c r="C1355" i="23"/>
  <c r="C1332" i="23"/>
  <c r="C1334" i="23"/>
  <c r="C1336" i="23"/>
  <c r="C1339" i="23"/>
  <c r="C1324" i="23"/>
  <c r="C1326" i="23"/>
  <c r="C1327" i="23"/>
  <c r="C1322" i="23"/>
  <c r="C1309" i="23"/>
  <c r="C1311" i="23"/>
  <c r="C1307" i="23"/>
  <c r="C1315" i="23"/>
  <c r="C1314" i="23"/>
  <c r="C1296" i="23"/>
  <c r="C1297" i="23"/>
  <c r="C1285" i="23"/>
  <c r="C1278" i="23"/>
  <c r="C1286" i="23"/>
  <c r="C1279" i="23"/>
  <c r="C1280" i="23"/>
  <c r="C1268" i="23"/>
  <c r="C1270" i="23"/>
  <c r="C1271" i="23"/>
  <c r="C1264" i="23"/>
  <c r="C1269" i="23"/>
  <c r="C1254" i="23"/>
  <c r="C1253" i="23"/>
  <c r="C1249" i="23"/>
  <c r="C1251" i="23"/>
  <c r="C1238" i="23"/>
  <c r="C1243" i="23"/>
  <c r="C1240" i="23"/>
  <c r="C1235" i="23"/>
  <c r="C1234" i="23"/>
  <c r="C1228" i="23"/>
  <c r="C1223" i="23"/>
  <c r="C1224" i="23"/>
  <c r="C1227" i="23"/>
  <c r="C1214" i="23"/>
  <c r="C1216" i="23"/>
  <c r="C1209" i="23"/>
  <c r="C1217" i="23"/>
  <c r="C1213" i="23"/>
  <c r="C1197" i="23"/>
  <c r="C1198" i="23"/>
  <c r="C1194" i="23"/>
  <c r="C1181" i="23"/>
  <c r="C1183" i="23"/>
  <c r="C1185" i="23"/>
  <c r="C1167" i="23"/>
  <c r="C1172" i="23"/>
  <c r="C1166" i="23"/>
  <c r="C1171" i="23"/>
  <c r="C1157" i="23"/>
  <c r="C1158" i="23"/>
  <c r="C1152" i="23"/>
  <c r="C1153" i="23"/>
  <c r="C1140" i="23"/>
  <c r="C1141" i="23"/>
  <c r="C1138" i="23"/>
  <c r="C1123" i="23"/>
  <c r="C1126" i="23"/>
  <c r="C1127" i="23"/>
  <c r="C1128" i="23"/>
  <c r="C1122" i="23"/>
  <c r="C1130" i="23"/>
  <c r="C1115" i="23"/>
  <c r="C1116" i="23"/>
  <c r="C1118" i="23"/>
  <c r="C1113" i="23"/>
  <c r="C1100" i="23"/>
  <c r="C1101" i="23"/>
  <c r="C1096" i="23"/>
  <c r="C1104" i="23"/>
  <c r="C1105" i="23"/>
  <c r="C1083" i="23"/>
  <c r="C1084" i="23"/>
  <c r="C1085" i="23"/>
  <c r="C1086" i="23"/>
  <c r="C1087" i="23"/>
  <c r="C1090" i="23"/>
  <c r="C1076" i="23"/>
  <c r="C1071" i="23"/>
  <c r="C1072" i="23"/>
  <c r="C1073" i="23"/>
  <c r="C1060" i="23"/>
  <c r="C1061" i="23"/>
  <c r="C1054" i="23"/>
  <c r="C1055" i="23"/>
  <c r="C1036" i="23"/>
  <c r="C1037" i="23"/>
  <c r="C1038" i="23"/>
  <c r="C1034" i="23"/>
  <c r="C915" i="23"/>
  <c r="C916" i="23"/>
  <c r="C917" i="23"/>
  <c r="C918" i="23"/>
  <c r="C828" i="23"/>
  <c r="C829" i="23"/>
  <c r="C830" i="23"/>
  <c r="C831" i="23"/>
  <c r="C706" i="23"/>
  <c r="C713" i="23"/>
  <c r="C709" i="23"/>
  <c r="C712" i="23"/>
  <c r="C474" i="23"/>
  <c r="C467" i="23"/>
  <c r="C475" i="23"/>
  <c r="C473" i="23"/>
  <c r="C470" i="23"/>
  <c r="C370" i="23"/>
  <c r="C371" i="23"/>
  <c r="C373" i="23"/>
  <c r="C374" i="23"/>
  <c r="C219" i="23"/>
  <c r="C222" i="23"/>
  <c r="C223" i="23"/>
  <c r="C225" i="23"/>
  <c r="C74" i="23"/>
  <c r="C78" i="23"/>
  <c r="C79" i="23"/>
  <c r="C71" i="23"/>
  <c r="C76" i="23"/>
  <c r="C77" i="23"/>
  <c r="C1035" i="23"/>
  <c r="C1039" i="23"/>
  <c r="C1040" i="23"/>
  <c r="C1041" i="23"/>
  <c r="C979" i="23"/>
  <c r="C980" i="23"/>
  <c r="C983" i="23"/>
  <c r="C984" i="23"/>
  <c r="C924" i="23"/>
  <c r="C925" i="23"/>
  <c r="C928" i="23"/>
  <c r="C922" i="23"/>
  <c r="C930" i="23"/>
  <c r="C872" i="23"/>
  <c r="C868" i="23"/>
  <c r="C870" i="23"/>
  <c r="C762" i="23"/>
  <c r="C759" i="23"/>
  <c r="C757" i="23"/>
  <c r="C756" i="23"/>
  <c r="C698" i="23"/>
  <c r="C697" i="23"/>
  <c r="C700" i="23"/>
  <c r="C701" i="23"/>
  <c r="C702" i="23"/>
  <c r="C676" i="23"/>
  <c r="C675" i="23"/>
  <c r="C594" i="23"/>
  <c r="C595" i="23"/>
  <c r="C591" i="23"/>
  <c r="C562" i="23"/>
  <c r="C563" i="23"/>
  <c r="C561" i="23"/>
  <c r="C339" i="23"/>
  <c r="C345" i="23"/>
  <c r="C336" i="23"/>
  <c r="C341" i="23"/>
  <c r="C343" i="23"/>
  <c r="C282" i="23"/>
  <c r="C286" i="23"/>
  <c r="C287" i="23"/>
  <c r="C227" i="23"/>
  <c r="C228" i="23"/>
  <c r="C1020" i="23"/>
  <c r="C1022" i="23"/>
  <c r="C1025" i="23"/>
  <c r="C973" i="23"/>
  <c r="C966" i="23"/>
  <c r="C967" i="23"/>
  <c r="C968" i="23"/>
  <c r="C969" i="23"/>
  <c r="C907" i="23"/>
  <c r="C908" i="23"/>
  <c r="C912" i="23"/>
  <c r="C906" i="23"/>
  <c r="C855" i="23"/>
  <c r="C856" i="23"/>
  <c r="C823" i="23"/>
  <c r="C821" i="23"/>
  <c r="C765" i="23"/>
  <c r="C766" i="23"/>
  <c r="C704" i="23"/>
  <c r="C696" i="23"/>
  <c r="C705" i="23"/>
  <c r="C699" i="23"/>
  <c r="C703" i="23"/>
  <c r="C602" i="23"/>
  <c r="C603" i="23"/>
  <c r="C596" i="23"/>
  <c r="C597" i="23"/>
  <c r="C517" i="23"/>
  <c r="C518" i="23"/>
  <c r="C519" i="23"/>
  <c r="C464" i="23"/>
  <c r="C465" i="23"/>
  <c r="C461" i="23"/>
  <c r="C366" i="23"/>
  <c r="C369" i="23"/>
  <c r="C364" i="23"/>
  <c r="C271" i="23"/>
  <c r="C264" i="23"/>
  <c r="C265" i="23"/>
  <c r="C268" i="23"/>
  <c r="C202" i="23"/>
  <c r="C203" i="23"/>
  <c r="C204" i="23"/>
  <c r="C209" i="23"/>
  <c r="C114" i="23"/>
  <c r="C110" i="23"/>
  <c r="C112" i="23"/>
  <c r="C118" i="23"/>
  <c r="C119" i="23"/>
  <c r="C42" i="23"/>
  <c r="C47" i="23"/>
  <c r="C48" i="23"/>
  <c r="C44" i="23"/>
  <c r="C196" i="23"/>
  <c r="C197" i="23"/>
  <c r="C199" i="23"/>
  <c r="C142" i="23"/>
  <c r="C141" i="23"/>
  <c r="C145" i="23"/>
  <c r="C822" i="23"/>
  <c r="C820" i="23"/>
  <c r="C514" i="23"/>
  <c r="C515" i="23"/>
  <c r="C510" i="23"/>
  <c r="C459" i="23"/>
  <c r="C457" i="23"/>
  <c r="C351" i="23"/>
  <c r="C353" i="23"/>
  <c r="C258" i="23"/>
  <c r="C261" i="23"/>
  <c r="C263" i="23"/>
  <c r="C179" i="23"/>
  <c r="C176" i="23"/>
  <c r="C180" i="23"/>
  <c r="C115" i="23"/>
  <c r="C111" i="23"/>
  <c r="C116" i="23"/>
  <c r="C113" i="23"/>
  <c r="C117" i="23"/>
  <c r="C67" i="23"/>
  <c r="C62" i="23"/>
  <c r="C64" i="23"/>
  <c r="C1030" i="23"/>
  <c r="C1031" i="23"/>
  <c r="C1032" i="23"/>
  <c r="C1033" i="23"/>
  <c r="C975" i="23"/>
  <c r="C976" i="23"/>
  <c r="C891" i="23"/>
  <c r="C892" i="23"/>
  <c r="C893" i="23"/>
  <c r="C866" i="23"/>
  <c r="C859" i="23"/>
  <c r="C867" i="23"/>
  <c r="C861" i="23"/>
  <c r="C860" i="23"/>
  <c r="C809" i="23"/>
  <c r="C808" i="23"/>
  <c r="C807" i="23"/>
  <c r="C778" i="23"/>
  <c r="C781" i="23"/>
  <c r="C748" i="23"/>
  <c r="C750" i="23"/>
  <c r="C751" i="23"/>
  <c r="C752" i="23"/>
  <c r="C722" i="23"/>
  <c r="C719" i="23"/>
  <c r="C720" i="23"/>
  <c r="C718" i="23"/>
  <c r="C641" i="23"/>
  <c r="C643" i="23"/>
  <c r="C636" i="23"/>
  <c r="C644" i="23"/>
  <c r="C645" i="23"/>
  <c r="C611" i="23"/>
  <c r="C612" i="23"/>
  <c r="C613" i="23"/>
  <c r="C609" i="23"/>
  <c r="C586" i="23"/>
  <c r="C587" i="23"/>
  <c r="C580" i="23"/>
  <c r="C582" i="23"/>
  <c r="C585" i="23"/>
  <c r="C558" i="23"/>
  <c r="C559" i="23"/>
  <c r="C552" i="23"/>
  <c r="C553" i="23"/>
  <c r="C523" i="23"/>
  <c r="C527" i="23"/>
  <c r="C533" i="23"/>
  <c r="C524" i="23"/>
  <c r="C532" i="23"/>
  <c r="C529" i="23"/>
  <c r="C354" i="23"/>
  <c r="C356" i="23"/>
  <c r="C357" i="23"/>
  <c r="C360" i="23"/>
  <c r="C359" i="23"/>
  <c r="C330" i="23"/>
  <c r="C335" i="23"/>
  <c r="C333" i="23"/>
  <c r="C307" i="23"/>
  <c r="C302" i="23"/>
  <c r="C303" i="23"/>
  <c r="C300" i="23"/>
  <c r="C274" i="23"/>
  <c r="C275" i="23"/>
  <c r="C280" i="23"/>
  <c r="C276" i="23"/>
  <c r="C278" i="23"/>
  <c r="C252" i="23"/>
  <c r="C244" i="23"/>
  <c r="C245" i="23"/>
  <c r="C246" i="23"/>
  <c r="C253" i="23"/>
  <c r="C195" i="23"/>
  <c r="C192" i="23"/>
  <c r="C162" i="23"/>
  <c r="C163" i="23"/>
  <c r="C164" i="23"/>
  <c r="C138" i="23"/>
  <c r="C139" i="23"/>
  <c r="C133" i="23"/>
  <c r="C136" i="23"/>
  <c r="C82" i="23"/>
  <c r="C81" i="23"/>
  <c r="C1396" i="23"/>
  <c r="C1412" i="23"/>
  <c r="C1420" i="23"/>
  <c r="C1468" i="23"/>
  <c r="C1476" i="23"/>
  <c r="C1492" i="23"/>
  <c r="C1469" i="23"/>
  <c r="C1406" i="23"/>
  <c r="C1470" i="23"/>
  <c r="C1478" i="23"/>
  <c r="C1486" i="23"/>
  <c r="C1494" i="23"/>
  <c r="C1411" i="23"/>
  <c r="C1443" i="23"/>
  <c r="C1453" i="23"/>
  <c r="C1399" i="23"/>
  <c r="C1407" i="23"/>
  <c r="C1415" i="23"/>
  <c r="C1423" i="23"/>
  <c r="C1463" i="23"/>
  <c r="C1479" i="23"/>
  <c r="C1487" i="23"/>
  <c r="C1495" i="23"/>
  <c r="C1395" i="23"/>
  <c r="C1435" i="23"/>
  <c r="C1437" i="23"/>
  <c r="C1477" i="23"/>
  <c r="C1392" i="23"/>
  <c r="C1400" i="23"/>
  <c r="C1408" i="23"/>
  <c r="C1424" i="23"/>
  <c r="C1440" i="23"/>
  <c r="C1464" i="23"/>
  <c r="C1472" i="23"/>
  <c r="C1480" i="23"/>
  <c r="C1467" i="23"/>
  <c r="C1393" i="23"/>
  <c r="C1401" i="23"/>
  <c r="C1425" i="23"/>
  <c r="C1465" i="23"/>
  <c r="C1473" i="23"/>
  <c r="C1481" i="23"/>
  <c r="C1489" i="23"/>
  <c r="C1419" i="23"/>
  <c r="C1491" i="23"/>
  <c r="C1413" i="23"/>
  <c r="C1410" i="23"/>
  <c r="C1450" i="23"/>
  <c r="C1490" i="23"/>
  <c r="C1403" i="23"/>
  <c r="C1475" i="23"/>
  <c r="C1493" i="23"/>
  <c r="C1383" i="23"/>
  <c r="C1376" i="23"/>
  <c r="C1381" i="23"/>
  <c r="C1379" i="23"/>
  <c r="C1364" i="23"/>
  <c r="C1371" i="23"/>
  <c r="C1367" i="23"/>
  <c r="C1362" i="23"/>
  <c r="C1363" i="23"/>
  <c r="C1348" i="23"/>
  <c r="C1350" i="23"/>
  <c r="C1352" i="23"/>
  <c r="C1354" i="23"/>
  <c r="C1333" i="23"/>
  <c r="C1335" i="23"/>
  <c r="C1337" i="23"/>
  <c r="C1338" i="23"/>
  <c r="C1320" i="23"/>
  <c r="C1321" i="23"/>
  <c r="C1323" i="23"/>
  <c r="C1325" i="23"/>
  <c r="C1308" i="23"/>
  <c r="C1310" i="23"/>
  <c r="C1312" i="23"/>
  <c r="C1313" i="23"/>
  <c r="C1306" i="23"/>
  <c r="C1294" i="23"/>
  <c r="C1295" i="23"/>
  <c r="C1284" i="23"/>
  <c r="C1283" i="23"/>
  <c r="C1287" i="23"/>
  <c r="C1281" i="23"/>
  <c r="C1282" i="23"/>
  <c r="C1262" i="23"/>
  <c r="C1263" i="23"/>
  <c r="C1267" i="23"/>
  <c r="C1265" i="23"/>
  <c r="C1266" i="23"/>
  <c r="C1252" i="23"/>
  <c r="C1255" i="23"/>
  <c r="C1248" i="23"/>
  <c r="C1250" i="23"/>
  <c r="C1236" i="23"/>
  <c r="C1237" i="23"/>
  <c r="C1239" i="23"/>
  <c r="C1241" i="23"/>
  <c r="C1242" i="23"/>
  <c r="C1222" i="23"/>
  <c r="C1225" i="23"/>
  <c r="C1229" i="23"/>
  <c r="C1226" i="23"/>
  <c r="C1212" i="23"/>
  <c r="C1215" i="23"/>
  <c r="C1208" i="23"/>
  <c r="C1211" i="23"/>
  <c r="C1210" i="23"/>
  <c r="C1196" i="23"/>
  <c r="C1199" i="23"/>
  <c r="C1195" i="23"/>
  <c r="C1180" i="23"/>
  <c r="C1182" i="23"/>
  <c r="C1184" i="23"/>
  <c r="C1168" i="23"/>
  <c r="C1173" i="23"/>
  <c r="C1169" i="23"/>
  <c r="C1170" i="23"/>
  <c r="C1155" i="23"/>
  <c r="C1156" i="23"/>
  <c r="C1159" i="23"/>
  <c r="C1154" i="23"/>
  <c r="C1139" i="23"/>
  <c r="C1142" i="23"/>
  <c r="C1143" i="23"/>
  <c r="C1131" i="23"/>
  <c r="C1124" i="23"/>
  <c r="C1132" i="23"/>
  <c r="C1125" i="23"/>
  <c r="C1133" i="23"/>
  <c r="C1129" i="23"/>
  <c r="C1117" i="23"/>
  <c r="C1119" i="23"/>
  <c r="C1112" i="23"/>
  <c r="C1114" i="23"/>
  <c r="C1099" i="23"/>
  <c r="C1102" i="23"/>
  <c r="C1103" i="23"/>
  <c r="C1098" i="23"/>
  <c r="C1097" i="23"/>
  <c r="C1091" i="23"/>
  <c r="C1080" i="23"/>
  <c r="C1088" i="23"/>
  <c r="C1082" i="23"/>
  <c r="C1081" i="23"/>
  <c r="C1089" i="23"/>
  <c r="C1075" i="23"/>
  <c r="C1077" i="23"/>
  <c r="C1070" i="23"/>
  <c r="C1074" i="23"/>
  <c r="C1059" i="23"/>
  <c r="C1056" i="23"/>
  <c r="C1058" i="23"/>
  <c r="C1057" i="23"/>
  <c r="C761" i="23"/>
  <c r="C763" i="23"/>
  <c r="C758" i="23"/>
  <c r="C760" i="23"/>
  <c r="C963" i="23"/>
  <c r="C956" i="23"/>
  <c r="C957" i="23"/>
  <c r="C959" i="23"/>
  <c r="C850" i="23"/>
  <c r="C847" i="23"/>
  <c r="C852" i="23"/>
  <c r="C853" i="23"/>
  <c r="C817" i="23"/>
  <c r="C810" i="23"/>
  <c r="C811" i="23"/>
  <c r="C819" i="23"/>
  <c r="C816" i="23"/>
  <c r="C747" i="23"/>
  <c r="C744" i="23"/>
  <c r="C740" i="23"/>
  <c r="C743" i="23"/>
  <c r="C632" i="23"/>
  <c r="C633" i="23"/>
  <c r="C628" i="23"/>
  <c r="C629" i="23"/>
  <c r="C579" i="23"/>
  <c r="C574" i="23"/>
  <c r="C576" i="23"/>
  <c r="C513" i="23"/>
  <c r="C512" i="23"/>
  <c r="C511" i="23"/>
  <c r="C450" i="23"/>
  <c r="C451" i="23"/>
  <c r="C452" i="23"/>
  <c r="C448" i="23"/>
  <c r="C347" i="23"/>
  <c r="C349" i="23"/>
  <c r="C254" i="23"/>
  <c r="C255" i="23"/>
  <c r="C178" i="23"/>
  <c r="C177" i="23"/>
  <c r="C181" i="23"/>
  <c r="C99" i="23"/>
  <c r="C107" i="23"/>
  <c r="C102" i="23"/>
  <c r="C103" i="23"/>
  <c r="C105" i="23"/>
  <c r="C66" i="23"/>
  <c r="C63" i="23"/>
  <c r="C65" i="23"/>
  <c r="C1027" i="23"/>
  <c r="C1028" i="23"/>
  <c r="C1029" i="23"/>
  <c r="C1026" i="23"/>
  <c r="C1003" i="23"/>
  <c r="C998" i="23"/>
  <c r="C1001" i="23"/>
  <c r="C974" i="23"/>
  <c r="C977" i="23"/>
  <c r="C919" i="23"/>
  <c r="C920" i="23"/>
  <c r="C914" i="23"/>
  <c r="C921" i="23"/>
  <c r="C888" i="23"/>
  <c r="C890" i="23"/>
  <c r="C889" i="23"/>
  <c r="C865" i="23"/>
  <c r="C858" i="23"/>
  <c r="C862" i="23"/>
  <c r="C863" i="23"/>
  <c r="C864" i="23"/>
  <c r="C833" i="23"/>
  <c r="C834" i="23"/>
  <c r="C836" i="23"/>
  <c r="C837" i="23"/>
  <c r="C804" i="23"/>
  <c r="C805" i="23"/>
  <c r="C806" i="23"/>
  <c r="C779" i="23"/>
  <c r="C780" i="23"/>
  <c r="C753" i="23"/>
  <c r="C754" i="23"/>
  <c r="C755" i="23"/>
  <c r="C749" i="23"/>
  <c r="C721" i="23"/>
  <c r="C723" i="23"/>
  <c r="C724" i="23"/>
  <c r="C725" i="23"/>
  <c r="C692" i="23"/>
  <c r="C694" i="23"/>
  <c r="C691" i="23"/>
  <c r="C666" i="23"/>
  <c r="C669" i="23"/>
  <c r="C663" i="23"/>
  <c r="C664" i="23"/>
  <c r="C671" i="23"/>
  <c r="C673" i="23"/>
  <c r="C642" i="23"/>
  <c r="C640" i="23"/>
  <c r="C637" i="23"/>
  <c r="C638" i="23"/>
  <c r="C639" i="23"/>
  <c r="C610" i="23"/>
  <c r="C606" i="23"/>
  <c r="C607" i="23"/>
  <c r="C608" i="23"/>
  <c r="C581" i="23"/>
  <c r="C584" i="23"/>
  <c r="C588" i="23"/>
  <c r="C589" i="23"/>
  <c r="C583" i="23"/>
  <c r="C554" i="23"/>
  <c r="C555" i="23"/>
  <c r="C556" i="23"/>
  <c r="C557" i="23"/>
  <c r="C522" i="23"/>
  <c r="C530" i="23"/>
  <c r="C531" i="23"/>
  <c r="C526" i="23"/>
  <c r="C528" i="23"/>
  <c r="C525" i="23"/>
  <c r="C494" i="23"/>
  <c r="C501" i="23"/>
  <c r="C502" i="23"/>
  <c r="C503" i="23"/>
  <c r="C497" i="23"/>
  <c r="C466" i="23"/>
  <c r="C472" i="23"/>
  <c r="C468" i="23"/>
  <c r="C469" i="23"/>
  <c r="C471" i="23"/>
  <c r="C440" i="23"/>
  <c r="C441" i="23"/>
  <c r="C446" i="23"/>
  <c r="C445" i="23"/>
  <c r="C362" i="23"/>
  <c r="C355" i="23"/>
  <c r="C363" i="23"/>
  <c r="C358" i="23"/>
  <c r="C361" i="23"/>
  <c r="C331" i="23"/>
  <c r="C334" i="23"/>
  <c r="C332" i="23"/>
  <c r="C306" i="23"/>
  <c r="C304" i="23"/>
  <c r="C305" i="23"/>
  <c r="C301" i="23"/>
  <c r="C281" i="23"/>
  <c r="C272" i="23"/>
  <c r="C273" i="23"/>
  <c r="C277" i="23"/>
  <c r="C279" i="23"/>
  <c r="C250" i="23"/>
  <c r="C251" i="23"/>
  <c r="C248" i="23"/>
  <c r="C249" i="23"/>
  <c r="C247" i="23"/>
  <c r="C218" i="23"/>
  <c r="C220" i="23"/>
  <c r="C221" i="23"/>
  <c r="C224" i="23"/>
  <c r="C194" i="23"/>
  <c r="C193" i="23"/>
  <c r="C165" i="23"/>
  <c r="C160" i="23"/>
  <c r="C161" i="23"/>
  <c r="C132" i="23"/>
  <c r="C134" i="23"/>
  <c r="C135" i="23"/>
  <c r="C137" i="23"/>
  <c r="C75" i="23"/>
  <c r="C68" i="23"/>
  <c r="C69" i="23"/>
  <c r="C70" i="23"/>
  <c r="C72" i="23"/>
  <c r="C73" i="23"/>
  <c r="C909" i="23"/>
  <c r="C910" i="23"/>
  <c r="C911" i="23"/>
  <c r="C913" i="23"/>
  <c r="C590" i="23"/>
  <c r="C592" i="23"/>
  <c r="C593" i="23"/>
  <c r="C1011" i="23"/>
  <c r="C1004" i="23"/>
  <c r="C1006" i="23"/>
  <c r="C1009" i="23"/>
  <c r="C948" i="23"/>
  <c r="C949" i="23"/>
  <c r="C952" i="23"/>
  <c r="C953" i="23"/>
  <c r="C849" i="23"/>
  <c r="C851" i="23"/>
  <c r="C848" i="23"/>
  <c r="C846" i="23"/>
  <c r="C738" i="23"/>
  <c r="C734" i="23"/>
  <c r="C736" i="23"/>
  <c r="C622" i="23"/>
  <c r="C623" i="23"/>
  <c r="C625" i="23"/>
  <c r="C506" i="23"/>
  <c r="C507" i="23"/>
  <c r="C505" i="23"/>
  <c r="C242" i="23"/>
  <c r="C243" i="23"/>
  <c r="C238" i="23"/>
  <c r="C92" i="23"/>
  <c r="C93" i="23"/>
  <c r="C96" i="23"/>
  <c r="C97" i="23"/>
  <c r="C990" i="23"/>
  <c r="C991" i="23"/>
  <c r="C992" i="23"/>
  <c r="C993" i="23"/>
  <c r="C825" i="23"/>
  <c r="C826" i="23"/>
  <c r="C827" i="23"/>
  <c r="C824" i="23"/>
  <c r="C769" i="23"/>
  <c r="C770" i="23"/>
  <c r="C771" i="23"/>
  <c r="C772" i="23"/>
  <c r="C774" i="23"/>
  <c r="C714" i="23"/>
  <c r="C717" i="23"/>
  <c r="C548" i="23"/>
  <c r="C550" i="23"/>
  <c r="C551" i="23"/>
  <c r="C545" i="23"/>
  <c r="C462" i="23"/>
  <c r="C463" i="23"/>
  <c r="C460" i="23"/>
  <c r="C380" i="23"/>
  <c r="C382" i="23"/>
  <c r="C381" i="23"/>
  <c r="C385" i="23"/>
  <c r="C350" i="23"/>
  <c r="C352" i="23"/>
  <c r="C322" i="23"/>
  <c r="C323" i="23"/>
  <c r="C325" i="23"/>
  <c r="C328" i="23"/>
  <c r="C321" i="23"/>
  <c r="C299" i="23"/>
  <c r="C296" i="23"/>
  <c r="C295" i="23"/>
  <c r="C266" i="23"/>
  <c r="C267" i="23"/>
  <c r="C270" i="23"/>
  <c r="C269" i="23"/>
  <c r="C216" i="23"/>
  <c r="C212" i="23"/>
  <c r="C213" i="23"/>
  <c r="C215" i="23"/>
  <c r="C186" i="23"/>
  <c r="C187" i="23"/>
  <c r="C190" i="23"/>
  <c r="C189" i="23"/>
  <c r="C191" i="23"/>
  <c r="C156" i="23"/>
  <c r="C158" i="23"/>
  <c r="C130" i="23"/>
  <c r="C126" i="23"/>
  <c r="C128" i="23"/>
  <c r="C98" i="23"/>
  <c r="C106" i="23"/>
  <c r="C100" i="23"/>
  <c r="C101" i="23"/>
  <c r="C104" i="23"/>
  <c r="C1502" i="23"/>
  <c r="C1503" i="23"/>
  <c r="C1496" i="23"/>
  <c r="C1499" i="23"/>
  <c r="C1505" i="23"/>
  <c r="C1389" i="23"/>
  <c r="C1384" i="23"/>
  <c r="C1385" i="23"/>
  <c r="C1386" i="23"/>
  <c r="C1372" i="23"/>
  <c r="C1373" i="23"/>
  <c r="C1356" i="23"/>
  <c r="C1358" i="23"/>
  <c r="C1359" i="23"/>
  <c r="C1340" i="23"/>
  <c r="C1343" i="23"/>
  <c r="C1341" i="23"/>
  <c r="C1344" i="23"/>
  <c r="C1331" i="23"/>
  <c r="C1330" i="23"/>
  <c r="C1316" i="23"/>
  <c r="C1319" i="23"/>
  <c r="C1303" i="23"/>
  <c r="C1299" i="23"/>
  <c r="C1305" i="23"/>
  <c r="C1298" i="23"/>
  <c r="C1292" i="23"/>
  <c r="C1288" i="23"/>
  <c r="C1293" i="23"/>
  <c r="C1272" i="23"/>
  <c r="C1275" i="23"/>
  <c r="C1277" i="23"/>
  <c r="C1260" i="23"/>
  <c r="C1261" i="23"/>
  <c r="C1259" i="23"/>
  <c r="C1244" i="23"/>
  <c r="C1246" i="23"/>
  <c r="C1230" i="23"/>
  <c r="C1232" i="23"/>
  <c r="C1220" i="23"/>
  <c r="C1219" i="23"/>
  <c r="C1206" i="23"/>
  <c r="C1207" i="23"/>
  <c r="C1205" i="23"/>
  <c r="C1200" i="23"/>
  <c r="C1190" i="23"/>
  <c r="C1191" i="23"/>
  <c r="C1187" i="23"/>
  <c r="C1186" i="23"/>
  <c r="C1174" i="23"/>
  <c r="C1175" i="23"/>
  <c r="C1178" i="23"/>
  <c r="C1164" i="23"/>
  <c r="C1165" i="23"/>
  <c r="C1162" i="23"/>
  <c r="C1147" i="23"/>
  <c r="C1148" i="23"/>
  <c r="C1149" i="23"/>
  <c r="C1150" i="23"/>
  <c r="C1136" i="23"/>
  <c r="C1137" i="23"/>
  <c r="C1109" i="23"/>
  <c r="C1110" i="23"/>
  <c r="C1111" i="23"/>
  <c r="C1092" i="23"/>
  <c r="C1094" i="23"/>
  <c r="C1068" i="23"/>
  <c r="C1069" i="23"/>
  <c r="C1064" i="23"/>
  <c r="C1066" i="23"/>
  <c r="C1051" i="23"/>
  <c r="C1052" i="23"/>
  <c r="C1048" i="23"/>
  <c r="C958" i="23"/>
  <c r="C960" i="23"/>
  <c r="C962" i="23"/>
  <c r="C961" i="23"/>
  <c r="C634" i="23"/>
  <c r="C631" i="23"/>
  <c r="C635" i="23"/>
  <c r="C630" i="23"/>
  <c r="C999" i="23"/>
  <c r="C1000" i="23"/>
  <c r="C1002" i="23"/>
  <c r="C894" i="23"/>
  <c r="C902" i="23"/>
  <c r="C895" i="23"/>
  <c r="C896" i="23"/>
  <c r="C898" i="23"/>
  <c r="C801" i="23"/>
  <c r="C803" i="23"/>
  <c r="C799" i="23"/>
  <c r="C682" i="23"/>
  <c r="C680" i="23"/>
  <c r="C681" i="23"/>
  <c r="C684" i="23"/>
  <c r="C685" i="23"/>
  <c r="C570" i="23"/>
  <c r="C571" i="23"/>
  <c r="C568" i="23"/>
  <c r="C572" i="23"/>
  <c r="C442" i="23"/>
  <c r="C443" i="23"/>
  <c r="C444" i="23"/>
  <c r="C447" i="23"/>
  <c r="C338" i="23"/>
  <c r="C344" i="23"/>
  <c r="C340" i="23"/>
  <c r="C337" i="23"/>
  <c r="C342" i="23"/>
  <c r="C174" i="23"/>
  <c r="C175" i="23"/>
  <c r="C167" i="23"/>
  <c r="C173" i="23"/>
  <c r="C172" i="23"/>
  <c r="C57" i="23"/>
  <c r="C60" i="23"/>
  <c r="C61" i="23"/>
  <c r="C1021" i="23"/>
  <c r="C1023" i="23"/>
  <c r="C1024" i="23"/>
  <c r="C939" i="23"/>
  <c r="C940" i="23"/>
  <c r="C942" i="23"/>
  <c r="C938" i="23"/>
  <c r="C802" i="23"/>
  <c r="C798" i="23"/>
  <c r="C800" i="23"/>
  <c r="C745" i="23"/>
  <c r="C746" i="23"/>
  <c r="C741" i="23"/>
  <c r="C742" i="23"/>
  <c r="C578" i="23"/>
  <c r="C575" i="23"/>
  <c r="C577" i="23"/>
  <c r="C516" i="23"/>
  <c r="C520" i="23"/>
  <c r="C521" i="23"/>
  <c r="C1053" i="23"/>
  <c r="C1050" i="23"/>
  <c r="C1049" i="23"/>
  <c r="C995" i="23"/>
  <c r="C996" i="23"/>
  <c r="C997" i="23"/>
  <c r="C994" i="23"/>
  <c r="C941" i="23"/>
  <c r="C943" i="23"/>
  <c r="C944" i="23"/>
  <c r="C945" i="23"/>
  <c r="C883" i="23"/>
  <c r="C884" i="23"/>
  <c r="C886" i="23"/>
  <c r="C882" i="23"/>
  <c r="C881" i="23"/>
  <c r="C842" i="23"/>
  <c r="C843" i="23"/>
  <c r="C845" i="23"/>
  <c r="C793" i="23"/>
  <c r="C795" i="23"/>
  <c r="C797" i="23"/>
  <c r="C788" i="23"/>
  <c r="C789" i="23"/>
  <c r="C737" i="23"/>
  <c r="C739" i="23"/>
  <c r="C735" i="23"/>
  <c r="C674" i="23"/>
  <c r="C677" i="23"/>
  <c r="C626" i="23"/>
  <c r="C624" i="23"/>
  <c r="C627" i="23"/>
  <c r="C569" i="23"/>
  <c r="C566" i="23"/>
  <c r="C567" i="23"/>
  <c r="C573" i="23"/>
  <c r="C498" i="23"/>
  <c r="C499" i="23"/>
  <c r="C495" i="23"/>
  <c r="C496" i="23"/>
  <c r="C500" i="23"/>
  <c r="C437" i="23"/>
  <c r="C438" i="23"/>
  <c r="C317" i="23"/>
  <c r="C319" i="23"/>
  <c r="C234" i="23"/>
  <c r="C231" i="23"/>
  <c r="C237" i="23"/>
  <c r="C236" i="23"/>
  <c r="C170" i="23"/>
  <c r="C171" i="23"/>
  <c r="C166" i="23"/>
  <c r="C168" i="23"/>
  <c r="C169" i="23"/>
  <c r="C89" i="23"/>
  <c r="C87" i="23"/>
  <c r="C86" i="23"/>
  <c r="C58" i="23"/>
  <c r="C59" i="23"/>
  <c r="C56" i="23"/>
  <c r="C777" i="23"/>
  <c r="C773" i="23"/>
  <c r="C775" i="23"/>
  <c r="C776" i="23"/>
  <c r="C768" i="23"/>
  <c r="C658" i="23"/>
  <c r="C661" i="23"/>
  <c r="C657" i="23"/>
  <c r="C546" i="23"/>
  <c r="C547" i="23"/>
  <c r="C549" i="23"/>
  <c r="C544" i="23"/>
  <c r="C324" i="23"/>
  <c r="C326" i="23"/>
  <c r="C327" i="23"/>
  <c r="C329" i="23"/>
  <c r="C320" i="23"/>
  <c r="C298" i="23"/>
  <c r="C294" i="23"/>
  <c r="C297" i="23"/>
  <c r="C239" i="23"/>
  <c r="C240" i="23"/>
  <c r="C241" i="23"/>
  <c r="C210" i="23"/>
  <c r="C211" i="23"/>
  <c r="C217" i="23"/>
  <c r="C214" i="23"/>
  <c r="C184" i="23"/>
  <c r="C185" i="23"/>
  <c r="C188" i="23"/>
  <c r="C182" i="23"/>
  <c r="C183" i="23"/>
  <c r="C157" i="23"/>
  <c r="C159" i="23"/>
  <c r="C131" i="23"/>
  <c r="C127" i="23"/>
  <c r="C129" i="23"/>
  <c r="E3" i="2"/>
  <c r="A3" i="2" s="1"/>
  <c r="C3" i="2" s="1"/>
  <c r="E23" i="2"/>
  <c r="A23" i="2" s="1"/>
  <c r="C23" i="2" s="1"/>
  <c r="E9" i="2"/>
  <c r="A9" i="2" s="1"/>
  <c r="C9" i="2" s="1"/>
  <c r="E103" i="2"/>
  <c r="A103" i="2" s="1"/>
  <c r="C103" i="2" s="1"/>
  <c r="E87" i="2"/>
  <c r="A87" i="2" s="1"/>
  <c r="C87" i="2" s="1"/>
  <c r="E71" i="2"/>
  <c r="A71" i="2" s="1"/>
  <c r="C71" i="2" s="1"/>
  <c r="E55" i="2"/>
  <c r="A55" i="2" s="1"/>
  <c r="C55" i="2" s="1"/>
  <c r="E39" i="2"/>
  <c r="A39" i="2" s="1"/>
  <c r="C39" i="2" s="1"/>
  <c r="E101" i="2"/>
  <c r="A101" i="2" s="1"/>
  <c r="C101" i="2" s="1"/>
  <c r="E85" i="2"/>
  <c r="A85" i="2" s="1"/>
  <c r="C85" i="2" s="1"/>
  <c r="E69" i="2"/>
  <c r="A69" i="2" s="1"/>
  <c r="C69" i="2" s="1"/>
  <c r="E53" i="2"/>
  <c r="A53" i="2" s="1"/>
  <c r="C53" i="2" s="1"/>
  <c r="E37" i="2"/>
  <c r="A37" i="2" s="1"/>
  <c r="C37" i="2" s="1"/>
  <c r="E21" i="2"/>
  <c r="A21" i="2" s="1"/>
  <c r="C21" i="2" s="1"/>
  <c r="E99" i="2"/>
  <c r="A99" i="2" s="1"/>
  <c r="C99" i="2" s="1"/>
  <c r="E83" i="2"/>
  <c r="A83" i="2" s="1"/>
  <c r="C83" i="2" s="1"/>
  <c r="E67" i="2"/>
  <c r="A67" i="2" s="1"/>
  <c r="C67" i="2" s="1"/>
  <c r="E51" i="2"/>
  <c r="A51" i="2" s="1"/>
  <c r="C51" i="2" s="1"/>
  <c r="E35" i="2"/>
  <c r="A35" i="2" s="1"/>
  <c r="C35" i="2" s="1"/>
  <c r="E19" i="2"/>
  <c r="A19" i="2" s="1"/>
  <c r="C19" i="2" s="1"/>
  <c r="E97" i="2"/>
  <c r="A97" i="2" s="1"/>
  <c r="C97" i="2" s="1"/>
  <c r="E81" i="2"/>
  <c r="A81" i="2" s="1"/>
  <c r="C81" i="2" s="1"/>
  <c r="E65" i="2"/>
  <c r="A65" i="2" s="1"/>
  <c r="C65" i="2" s="1"/>
  <c r="E49" i="2"/>
  <c r="A49" i="2" s="1"/>
  <c r="C49" i="2" s="1"/>
  <c r="E33" i="2"/>
  <c r="A33" i="2" s="1"/>
  <c r="C33" i="2" s="1"/>
  <c r="E17" i="2"/>
  <c r="A17" i="2" s="1"/>
  <c r="C17" i="2" s="1"/>
  <c r="E95" i="2"/>
  <c r="A95" i="2" s="1"/>
  <c r="C95" i="2" s="1"/>
  <c r="E79" i="2"/>
  <c r="A79" i="2" s="1"/>
  <c r="C79" i="2" s="1"/>
  <c r="E63" i="2"/>
  <c r="A63" i="2" s="1"/>
  <c r="C63" i="2" s="1"/>
  <c r="E47" i="2"/>
  <c r="A47" i="2" s="1"/>
  <c r="C47" i="2" s="1"/>
  <c r="E31" i="2"/>
  <c r="A31" i="2" s="1"/>
  <c r="C31" i="2" s="1"/>
  <c r="E15" i="2"/>
  <c r="A15" i="2" s="1"/>
  <c r="C15" i="2" s="1"/>
  <c r="E93" i="2"/>
  <c r="A93" i="2" s="1"/>
  <c r="C93" i="2" s="1"/>
  <c r="E77" i="2"/>
  <c r="A77" i="2" s="1"/>
  <c r="C77" i="2" s="1"/>
  <c r="E61" i="2"/>
  <c r="A61" i="2" s="1"/>
  <c r="C61" i="2" s="1"/>
  <c r="E45" i="2"/>
  <c r="A45" i="2" s="1"/>
  <c r="C45" i="2" s="1"/>
  <c r="E29" i="2"/>
  <c r="A29" i="2" s="1"/>
  <c r="C29" i="2" s="1"/>
  <c r="E13" i="2"/>
  <c r="A13" i="2" s="1"/>
  <c r="C13" i="2" s="1"/>
  <c r="E91" i="2"/>
  <c r="A91" i="2" s="1"/>
  <c r="C91" i="2" s="1"/>
  <c r="E75" i="2"/>
  <c r="A75" i="2" s="1"/>
  <c r="C75" i="2" s="1"/>
  <c r="E59" i="2"/>
  <c r="A59" i="2" s="1"/>
  <c r="C59" i="2" s="1"/>
  <c r="E43" i="2"/>
  <c r="A43" i="2" s="1"/>
  <c r="C43" i="2" s="1"/>
  <c r="E27" i="2"/>
  <c r="A27" i="2" s="1"/>
  <c r="C27" i="2" s="1"/>
  <c r="E11" i="2"/>
  <c r="A11" i="2" s="1"/>
  <c r="C11" i="2" s="1"/>
  <c r="E89" i="2"/>
  <c r="A89" i="2" s="1"/>
  <c r="C89" i="2" s="1"/>
  <c r="E73" i="2"/>
  <c r="A73" i="2" s="1"/>
  <c r="C73" i="2" s="1"/>
  <c r="E57" i="2"/>
  <c r="A57" i="2" s="1"/>
  <c r="C57" i="2" s="1"/>
  <c r="E41" i="2"/>
  <c r="A41" i="2" s="1"/>
  <c r="C41" i="2" s="1"/>
  <c r="E25" i="2"/>
  <c r="A25" i="2" s="1"/>
  <c r="C25" i="2" s="1"/>
  <c r="E5" i="2"/>
  <c r="A5" i="2" s="1"/>
  <c r="C5" i="2" s="1"/>
  <c r="E7" i="2"/>
  <c r="A7" i="2" s="1"/>
  <c r="C7" i="2" s="1"/>
  <c r="E753" i="2"/>
  <c r="A753" i="2" s="1"/>
  <c r="C753" i="2" s="1"/>
  <c r="B22" i="2"/>
  <c r="B24" i="2" s="1"/>
  <c r="B26" i="2" s="1"/>
  <c r="B28" i="2" s="1"/>
  <c r="B30" i="2" s="1"/>
  <c r="B32" i="2" s="1"/>
  <c r="B34" i="2" s="1"/>
  <c r="B36" i="2" s="1"/>
  <c r="B38" i="2" s="1"/>
  <c r="B40" i="2" s="1"/>
  <c r="B42" i="2" s="1"/>
  <c r="B44" i="2" s="1"/>
  <c r="B46" i="2" s="1"/>
  <c r="B48" i="2" s="1"/>
  <c r="B50" i="2" s="1"/>
  <c r="B52" i="2" s="1"/>
  <c r="B54" i="2" s="1"/>
  <c r="B56" i="2" s="1"/>
  <c r="B58" i="2" s="1"/>
  <c r="B60" i="2" s="1"/>
  <c r="B62" i="2" s="1"/>
  <c r="B64" i="2" s="1"/>
  <c r="B66" i="2" s="1"/>
  <c r="B68" i="2" s="1"/>
  <c r="B70" i="2" s="1"/>
  <c r="B72" i="2" s="1"/>
  <c r="B74" i="2" s="1"/>
  <c r="B76" i="2" s="1"/>
  <c r="B78" i="2" s="1"/>
  <c r="B80" i="2" s="1"/>
  <c r="B82" i="2" s="1"/>
  <c r="B84" i="2" s="1"/>
  <c r="B86" i="2" s="1"/>
  <c r="B88" i="2" s="1"/>
  <c r="B90" i="2" s="1"/>
  <c r="B92" i="2" s="1"/>
  <c r="B94" i="2" s="1"/>
  <c r="B96" i="2" s="1"/>
  <c r="B98" i="2" s="1"/>
  <c r="B100" i="2" s="1"/>
  <c r="B102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637" i="2" s="1"/>
  <c r="B638" i="2" s="1"/>
  <c r="B639" i="2" s="1"/>
  <c r="B640" i="2" s="1"/>
  <c r="B641" i="2" s="1"/>
  <c r="B642" i="2" s="1"/>
  <c r="B643" i="2" s="1"/>
  <c r="B644" i="2" s="1"/>
  <c r="B645" i="2" s="1"/>
  <c r="B646" i="2" s="1"/>
  <c r="B647" i="2" s="1"/>
  <c r="B648" i="2" s="1"/>
  <c r="B649" i="2" s="1"/>
  <c r="B650" i="2" s="1"/>
  <c r="B651" i="2" s="1"/>
  <c r="B652" i="2" s="1"/>
  <c r="B653" i="2" s="1"/>
  <c r="B654" i="2" s="1"/>
  <c r="B655" i="2" s="1"/>
  <c r="B656" i="2" s="1"/>
  <c r="B657" i="2" s="1"/>
  <c r="B658" i="2" s="1"/>
  <c r="B659" i="2" s="1"/>
  <c r="B660" i="2" s="1"/>
  <c r="B661" i="2" s="1"/>
  <c r="B662" i="2" s="1"/>
  <c r="B663" i="2" s="1"/>
  <c r="B664" i="2" s="1"/>
  <c r="B665" i="2" s="1"/>
  <c r="B666" i="2" s="1"/>
  <c r="B667" i="2" s="1"/>
  <c r="B668" i="2" s="1"/>
  <c r="B669" i="2" s="1"/>
  <c r="B670" i="2" s="1"/>
  <c r="B671" i="2" s="1"/>
  <c r="B672" i="2" s="1"/>
  <c r="B673" i="2" s="1"/>
  <c r="B674" i="2" s="1"/>
  <c r="B675" i="2" s="1"/>
  <c r="B676" i="2" s="1"/>
  <c r="B677" i="2" s="1"/>
  <c r="B678" i="2" s="1"/>
  <c r="B679" i="2" s="1"/>
  <c r="B680" i="2" s="1"/>
  <c r="B681" i="2" s="1"/>
  <c r="B682" i="2" s="1"/>
  <c r="B683" i="2" s="1"/>
  <c r="B684" i="2" s="1"/>
  <c r="B685" i="2" s="1"/>
  <c r="B686" i="2" s="1"/>
  <c r="B687" i="2" s="1"/>
  <c r="B688" i="2" s="1"/>
  <c r="B689" i="2" s="1"/>
  <c r="B690" i="2" s="1"/>
  <c r="B691" i="2" s="1"/>
  <c r="B692" i="2" s="1"/>
  <c r="B693" i="2" s="1"/>
  <c r="B694" i="2" s="1"/>
  <c r="B695" i="2" s="1"/>
  <c r="B696" i="2" s="1"/>
  <c r="B697" i="2" s="1"/>
  <c r="B698" i="2" s="1"/>
  <c r="B699" i="2" s="1"/>
  <c r="B700" i="2" s="1"/>
  <c r="B701" i="2" s="1"/>
  <c r="B702" i="2" s="1"/>
  <c r="B703" i="2" s="1"/>
  <c r="B704" i="2" s="1"/>
  <c r="B705" i="2" s="1"/>
  <c r="B706" i="2" s="1"/>
  <c r="B707" i="2" s="1"/>
  <c r="B708" i="2" s="1"/>
  <c r="B709" i="2" s="1"/>
  <c r="B710" i="2" s="1"/>
  <c r="B711" i="2" s="1"/>
  <c r="B712" i="2" s="1"/>
  <c r="B713" i="2" s="1"/>
  <c r="B714" i="2" s="1"/>
  <c r="B715" i="2" s="1"/>
  <c r="B716" i="2" s="1"/>
  <c r="B717" i="2" s="1"/>
  <c r="B718" i="2" s="1"/>
  <c r="B719" i="2" s="1"/>
  <c r="B720" i="2" s="1"/>
  <c r="B721" i="2" s="1"/>
  <c r="B722" i="2" s="1"/>
  <c r="B723" i="2" s="1"/>
  <c r="B724" i="2" s="1"/>
  <c r="B725" i="2" s="1"/>
  <c r="B726" i="2" s="1"/>
  <c r="B727" i="2" s="1"/>
  <c r="B728" i="2" s="1"/>
  <c r="B729" i="2" s="1"/>
  <c r="B730" i="2" s="1"/>
  <c r="B731" i="2" s="1"/>
  <c r="B732" i="2" s="1"/>
  <c r="B733" i="2" s="1"/>
  <c r="B734" i="2" s="1"/>
  <c r="B735" i="2" s="1"/>
  <c r="B736" i="2" s="1"/>
  <c r="B737" i="2" s="1"/>
  <c r="B738" i="2" s="1"/>
  <c r="B739" i="2" s="1"/>
  <c r="B740" i="2" s="1"/>
  <c r="B741" i="2" s="1"/>
  <c r="B742" i="2" s="1"/>
  <c r="B743" i="2" s="1"/>
  <c r="B744" i="2" s="1"/>
  <c r="B745" i="2" s="1"/>
  <c r="B746" i="2" s="1"/>
  <c r="B747" i="2" s="1"/>
  <c r="B748" i="2" s="1"/>
  <c r="B749" i="2" s="1"/>
  <c r="B750" i="2" s="1"/>
  <c r="B751" i="2" s="1"/>
  <c r="B752" i="2" s="1"/>
  <c r="B753" i="2" s="1"/>
  <c r="E751" i="2"/>
  <c r="A751" i="2" s="1"/>
  <c r="E743" i="2"/>
  <c r="A743" i="2" s="1"/>
  <c r="C743" i="2" s="1"/>
  <c r="E735" i="2"/>
  <c r="A735" i="2" s="1"/>
  <c r="E727" i="2"/>
  <c r="A727" i="2" s="1"/>
  <c r="E719" i="2"/>
  <c r="A719" i="2" s="1"/>
  <c r="E711" i="2"/>
  <c r="A711" i="2" s="1"/>
  <c r="E703" i="2"/>
  <c r="A703" i="2" s="1"/>
  <c r="E695" i="2"/>
  <c r="A695" i="2" s="1"/>
  <c r="C695" i="2" s="1"/>
  <c r="E687" i="2"/>
  <c r="A687" i="2" s="1"/>
  <c r="E679" i="2"/>
  <c r="A679" i="2" s="1"/>
  <c r="C679" i="2" s="1"/>
  <c r="E671" i="2"/>
  <c r="A671" i="2" s="1"/>
  <c r="C671" i="2" s="1"/>
  <c r="E663" i="2"/>
  <c r="A663" i="2" s="1"/>
  <c r="C663" i="2" s="1"/>
  <c r="E655" i="2"/>
  <c r="A655" i="2" s="1"/>
  <c r="E647" i="2"/>
  <c r="A647" i="2" s="1"/>
  <c r="C647" i="2" s="1"/>
  <c r="E639" i="2"/>
  <c r="A639" i="2" s="1"/>
  <c r="C639" i="2" s="1"/>
  <c r="E631" i="2"/>
  <c r="A631" i="2" s="1"/>
  <c r="C631" i="2" s="1"/>
  <c r="E623" i="2"/>
  <c r="A623" i="2" s="1"/>
  <c r="E615" i="2"/>
  <c r="A615" i="2" s="1"/>
  <c r="C615" i="2" s="1"/>
  <c r="E607" i="2"/>
  <c r="A607" i="2" s="1"/>
  <c r="E599" i="2"/>
  <c r="A599" i="2" s="1"/>
  <c r="C599" i="2" s="1"/>
  <c r="E591" i="2"/>
  <c r="A591" i="2" s="1"/>
  <c r="E583" i="2"/>
  <c r="A583" i="2" s="1"/>
  <c r="C583" i="2" s="1"/>
  <c r="E575" i="2"/>
  <c r="A575" i="2" s="1"/>
  <c r="E567" i="2"/>
  <c r="A567" i="2" s="1"/>
  <c r="C567" i="2" s="1"/>
  <c r="E559" i="2"/>
  <c r="A559" i="2" s="1"/>
  <c r="E551" i="2"/>
  <c r="A551" i="2" s="1"/>
  <c r="C551" i="2" s="1"/>
  <c r="E543" i="2"/>
  <c r="A543" i="2" s="1"/>
  <c r="E535" i="2"/>
  <c r="A535" i="2" s="1"/>
  <c r="C535" i="2" s="1"/>
  <c r="E527" i="2"/>
  <c r="A527" i="2" s="1"/>
  <c r="E519" i="2"/>
  <c r="E511" i="2"/>
  <c r="A511" i="2" s="1"/>
  <c r="E503" i="2"/>
  <c r="A503" i="2" s="1"/>
  <c r="C503" i="2" s="1"/>
  <c r="E495" i="2"/>
  <c r="A495" i="2" s="1"/>
  <c r="E487" i="2"/>
  <c r="A487" i="2" s="1"/>
  <c r="C487" i="2" s="1"/>
  <c r="E479" i="2"/>
  <c r="A479" i="2" s="1"/>
  <c r="E471" i="2"/>
  <c r="A471" i="2" s="1"/>
  <c r="C471" i="2" s="1"/>
  <c r="E463" i="2"/>
  <c r="A463" i="2" s="1"/>
  <c r="E455" i="2"/>
  <c r="E447" i="2"/>
  <c r="A447" i="2" s="1"/>
  <c r="E439" i="2"/>
  <c r="A439" i="2" s="1"/>
  <c r="C439" i="2" s="1"/>
  <c r="E431" i="2"/>
  <c r="A431" i="2" s="1"/>
  <c r="E423" i="2"/>
  <c r="A423" i="2" s="1"/>
  <c r="E415" i="2"/>
  <c r="A415" i="2" s="1"/>
  <c r="C415" i="2" s="1"/>
  <c r="E407" i="2"/>
  <c r="A407" i="2" s="1"/>
  <c r="C407" i="2" s="1"/>
  <c r="E399" i="2"/>
  <c r="A399" i="2" s="1"/>
  <c r="E391" i="2"/>
  <c r="A391" i="2" s="1"/>
  <c r="E383" i="2"/>
  <c r="A383" i="2" s="1"/>
  <c r="E375" i="2"/>
  <c r="A375" i="2" s="1"/>
  <c r="C375" i="2" s="1"/>
  <c r="E367" i="2"/>
  <c r="A367" i="2" s="1"/>
  <c r="E359" i="2"/>
  <c r="A359" i="2" s="1"/>
  <c r="C359" i="2" s="1"/>
  <c r="E351" i="2"/>
  <c r="A351" i="2" s="1"/>
  <c r="E343" i="2"/>
  <c r="A343" i="2" s="1"/>
  <c r="C343" i="2" s="1"/>
  <c r="E335" i="2"/>
  <c r="A335" i="2" s="1"/>
  <c r="E327" i="2"/>
  <c r="E319" i="2"/>
  <c r="A319" i="2" s="1"/>
  <c r="E311" i="2"/>
  <c r="A311" i="2" s="1"/>
  <c r="E303" i="2"/>
  <c r="A303" i="2" s="1"/>
  <c r="E295" i="2"/>
  <c r="A295" i="2" s="1"/>
  <c r="C295" i="2" s="1"/>
  <c r="E287" i="2"/>
  <c r="A287" i="2" s="1"/>
  <c r="E279" i="2"/>
  <c r="A279" i="2" s="1"/>
  <c r="E271" i="2"/>
  <c r="A271" i="2" s="1"/>
  <c r="E263" i="2"/>
  <c r="A263" i="2" s="1"/>
  <c r="E255" i="2"/>
  <c r="A255" i="2" s="1"/>
  <c r="E247" i="2"/>
  <c r="A247" i="2" s="1"/>
  <c r="E239" i="2"/>
  <c r="A239" i="2" s="1"/>
  <c r="E231" i="2"/>
  <c r="A231" i="2" s="1"/>
  <c r="C231" i="2" s="1"/>
  <c r="E223" i="2"/>
  <c r="A223" i="2" s="1"/>
  <c r="E215" i="2"/>
  <c r="A215" i="2" s="1"/>
  <c r="E207" i="2"/>
  <c r="A207" i="2" s="1"/>
  <c r="E199" i="2"/>
  <c r="A199" i="2" s="1"/>
  <c r="E191" i="2"/>
  <c r="A191" i="2" s="1"/>
  <c r="C191" i="2" s="1"/>
  <c r="E183" i="2"/>
  <c r="A183" i="2" s="1"/>
  <c r="E175" i="2"/>
  <c r="A175" i="2" s="1"/>
  <c r="E167" i="2"/>
  <c r="A167" i="2" s="1"/>
  <c r="C167" i="2" s="1"/>
  <c r="E159" i="2"/>
  <c r="A159" i="2" s="1"/>
  <c r="E151" i="2"/>
  <c r="A151" i="2" s="1"/>
  <c r="E143" i="2"/>
  <c r="A143" i="2" s="1"/>
  <c r="E135" i="2"/>
  <c r="A135" i="2" s="1"/>
  <c r="C135" i="2" s="1"/>
  <c r="E127" i="2"/>
  <c r="A127" i="2" s="1"/>
  <c r="E119" i="2"/>
  <c r="A119" i="2" s="1"/>
  <c r="E111" i="2"/>
  <c r="A111" i="2" s="1"/>
  <c r="E102" i="2"/>
  <c r="A102" i="2" s="1"/>
  <c r="C102" i="2" s="1"/>
  <c r="E86" i="2"/>
  <c r="A86" i="2" s="1"/>
  <c r="E70" i="2"/>
  <c r="A70" i="2" s="1"/>
  <c r="C70" i="2" s="1"/>
  <c r="E54" i="2"/>
  <c r="A54" i="2" s="1"/>
  <c r="E38" i="2"/>
  <c r="A38" i="2" s="1"/>
  <c r="E22" i="2"/>
  <c r="A22" i="2" s="1"/>
  <c r="E6" i="2"/>
  <c r="A6" i="2" s="1"/>
  <c r="E148" i="2"/>
  <c r="A148" i="2" s="1"/>
  <c r="E276" i="2"/>
  <c r="A276" i="2" s="1"/>
  <c r="C276" i="2" s="1"/>
  <c r="E404" i="2"/>
  <c r="A404" i="2" s="1"/>
  <c r="E515" i="2"/>
  <c r="A515" i="2" s="1"/>
  <c r="E579" i="2"/>
  <c r="A579" i="2" s="1"/>
  <c r="E643" i="2"/>
  <c r="A643" i="2" s="1"/>
  <c r="E707" i="2"/>
  <c r="A707" i="2" s="1"/>
  <c r="C707" i="2" s="1"/>
  <c r="E531" i="2"/>
  <c r="A531" i="2" s="1"/>
  <c r="C531" i="2" s="1"/>
  <c r="E750" i="2"/>
  <c r="A750" i="2" s="1"/>
  <c r="E742" i="2"/>
  <c r="A742" i="2" s="1"/>
  <c r="E734" i="2"/>
  <c r="A734" i="2" s="1"/>
  <c r="E726" i="2"/>
  <c r="A726" i="2" s="1"/>
  <c r="C726" i="2" s="1"/>
  <c r="E718" i="2"/>
  <c r="A718" i="2" s="1"/>
  <c r="C718" i="2" s="1"/>
  <c r="E710" i="2"/>
  <c r="A710" i="2" s="1"/>
  <c r="E702" i="2"/>
  <c r="A702" i="2" s="1"/>
  <c r="E694" i="2"/>
  <c r="A694" i="2" s="1"/>
  <c r="C694" i="2" s="1"/>
  <c r="E686" i="2"/>
  <c r="A686" i="2" s="1"/>
  <c r="E678" i="2"/>
  <c r="A678" i="2" s="1"/>
  <c r="E670" i="2"/>
  <c r="A670" i="2" s="1"/>
  <c r="E662" i="2"/>
  <c r="A662" i="2" s="1"/>
  <c r="E654" i="2"/>
  <c r="A654" i="2" s="1"/>
  <c r="E646" i="2"/>
  <c r="A646" i="2" s="1"/>
  <c r="C646" i="2" s="1"/>
  <c r="E638" i="2"/>
  <c r="A638" i="2" s="1"/>
  <c r="E630" i="2"/>
  <c r="A630" i="2" s="1"/>
  <c r="E622" i="2"/>
  <c r="A622" i="2" s="1"/>
  <c r="E614" i="2"/>
  <c r="A614" i="2" s="1"/>
  <c r="C614" i="2" s="1"/>
  <c r="E606" i="2"/>
  <c r="A606" i="2" s="1"/>
  <c r="E598" i="2"/>
  <c r="A598" i="2" s="1"/>
  <c r="C598" i="2" s="1"/>
  <c r="E590" i="2"/>
  <c r="A590" i="2" s="1"/>
  <c r="E582" i="2"/>
  <c r="A582" i="2" s="1"/>
  <c r="E574" i="2"/>
  <c r="A574" i="2" s="1"/>
  <c r="E566" i="2"/>
  <c r="A566" i="2" s="1"/>
  <c r="E558" i="2"/>
  <c r="A558" i="2" s="1"/>
  <c r="E550" i="2"/>
  <c r="A550" i="2" s="1"/>
  <c r="E542" i="2"/>
  <c r="A542" i="2" s="1"/>
  <c r="C542" i="2" s="1"/>
  <c r="E534" i="2"/>
  <c r="A534" i="2" s="1"/>
  <c r="C534" i="2" s="1"/>
  <c r="E526" i="2"/>
  <c r="A526" i="2" s="1"/>
  <c r="E518" i="2"/>
  <c r="A518" i="2" s="1"/>
  <c r="C518" i="2" s="1"/>
  <c r="E510" i="2"/>
  <c r="A510" i="2" s="1"/>
  <c r="E502" i="2"/>
  <c r="A502" i="2" s="1"/>
  <c r="E494" i="2"/>
  <c r="A494" i="2" s="1"/>
  <c r="E486" i="2"/>
  <c r="A486" i="2" s="1"/>
  <c r="C486" i="2" s="1"/>
  <c r="E529" i="2"/>
  <c r="A529" i="2" s="1"/>
  <c r="C529" i="2" s="1"/>
  <c r="E749" i="2"/>
  <c r="A749" i="2" s="1"/>
  <c r="C749" i="2" s="1"/>
  <c r="E741" i="2"/>
  <c r="A741" i="2" s="1"/>
  <c r="C741" i="2" s="1"/>
  <c r="E733" i="2"/>
  <c r="E725" i="2"/>
  <c r="A725" i="2" s="1"/>
  <c r="C725" i="2" s="1"/>
  <c r="E717" i="2"/>
  <c r="A717" i="2" s="1"/>
  <c r="C717" i="2" s="1"/>
  <c r="E709" i="2"/>
  <c r="A709" i="2" s="1"/>
  <c r="E701" i="2"/>
  <c r="A701" i="2" s="1"/>
  <c r="C701" i="2" s="1"/>
  <c r="E693" i="2"/>
  <c r="A693" i="2" s="1"/>
  <c r="C693" i="2" s="1"/>
  <c r="E685" i="2"/>
  <c r="A685" i="2" s="1"/>
  <c r="E677" i="2"/>
  <c r="A677" i="2" s="1"/>
  <c r="E669" i="2"/>
  <c r="E661" i="2"/>
  <c r="A661" i="2" s="1"/>
  <c r="C661" i="2" s="1"/>
  <c r="E653" i="2"/>
  <c r="A653" i="2" s="1"/>
  <c r="C653" i="2" s="1"/>
  <c r="E645" i="2"/>
  <c r="A645" i="2" s="1"/>
  <c r="E637" i="2"/>
  <c r="A637" i="2" s="1"/>
  <c r="C637" i="2" s="1"/>
  <c r="E629" i="2"/>
  <c r="A629" i="2" s="1"/>
  <c r="E621" i="2"/>
  <c r="A621" i="2" s="1"/>
  <c r="C621" i="2" s="1"/>
  <c r="E613" i="2"/>
  <c r="A613" i="2" s="1"/>
  <c r="E605" i="2"/>
  <c r="E597" i="2"/>
  <c r="A597" i="2" s="1"/>
  <c r="C597" i="2" s="1"/>
  <c r="E589" i="2"/>
  <c r="A589" i="2" s="1"/>
  <c r="C589" i="2" s="1"/>
  <c r="E581" i="2"/>
  <c r="A581" i="2" s="1"/>
  <c r="E573" i="2"/>
  <c r="A573" i="2" s="1"/>
  <c r="C573" i="2" s="1"/>
  <c r="E565" i="2"/>
  <c r="A565" i="2" s="1"/>
  <c r="E557" i="2"/>
  <c r="A557" i="2" s="1"/>
  <c r="C557" i="2" s="1"/>
  <c r="E549" i="2"/>
  <c r="A549" i="2" s="1"/>
  <c r="E541" i="2"/>
  <c r="E533" i="2"/>
  <c r="A533" i="2" s="1"/>
  <c r="E525" i="2"/>
  <c r="A525" i="2" s="1"/>
  <c r="E517" i="2"/>
  <c r="A517" i="2" s="1"/>
  <c r="E509" i="2"/>
  <c r="A509" i="2" s="1"/>
  <c r="C509" i="2" s="1"/>
  <c r="E501" i="2"/>
  <c r="A501" i="2" s="1"/>
  <c r="E493" i="2"/>
  <c r="A493" i="2" s="1"/>
  <c r="C493" i="2" s="1"/>
  <c r="E485" i="2"/>
  <c r="A485" i="2" s="1"/>
  <c r="E477" i="2"/>
  <c r="A477" i="2" s="1"/>
  <c r="C477" i="2" s="1"/>
  <c r="E469" i="2"/>
  <c r="A469" i="2" s="1"/>
  <c r="C469" i="2" s="1"/>
  <c r="E461" i="2"/>
  <c r="A461" i="2" s="1"/>
  <c r="E453" i="2"/>
  <c r="A453" i="2" s="1"/>
  <c r="E445" i="2"/>
  <c r="A445" i="2" s="1"/>
  <c r="C445" i="2" s="1"/>
  <c r="E723" i="2"/>
  <c r="A723" i="2" s="1"/>
  <c r="C723" i="2" s="1"/>
  <c r="E436" i="2"/>
  <c r="A436" i="2" s="1"/>
  <c r="C436" i="2" s="1"/>
  <c r="E721" i="2"/>
  <c r="A721" i="2" s="1"/>
  <c r="E428" i="2"/>
  <c r="E659" i="2"/>
  <c r="A659" i="2" s="1"/>
  <c r="E308" i="2"/>
  <c r="A308" i="2" s="1"/>
  <c r="C308" i="2" s="1"/>
  <c r="E657" i="2"/>
  <c r="A657" i="2" s="1"/>
  <c r="E300" i="2"/>
  <c r="A300" i="2" s="1"/>
  <c r="C300" i="2" s="1"/>
  <c r="E108" i="2"/>
  <c r="A108" i="2" s="1"/>
  <c r="E705" i="2"/>
  <c r="A705" i="2" s="1"/>
  <c r="C705" i="2" s="1"/>
  <c r="E689" i="2"/>
  <c r="A689" i="2" s="1"/>
  <c r="E673" i="2"/>
  <c r="E641" i="2"/>
  <c r="A641" i="2" s="1"/>
  <c r="E625" i="2"/>
  <c r="A625" i="2" s="1"/>
  <c r="C625" i="2" s="1"/>
  <c r="E609" i="2"/>
  <c r="A609" i="2" s="1"/>
  <c r="E577" i="2"/>
  <c r="A577" i="2" s="1"/>
  <c r="C577" i="2" s="1"/>
  <c r="E561" i="2"/>
  <c r="A561" i="2" s="1"/>
  <c r="E545" i="2"/>
  <c r="A545" i="2" s="1"/>
  <c r="C545" i="2" s="1"/>
  <c r="E513" i="2"/>
  <c r="A513" i="2" s="1"/>
  <c r="C513" i="2" s="1"/>
  <c r="E595" i="2"/>
  <c r="A595" i="2" s="1"/>
  <c r="C595" i="2" s="1"/>
  <c r="E180" i="2"/>
  <c r="A180" i="2" s="1"/>
  <c r="E752" i="2"/>
  <c r="A752" i="2" s="1"/>
  <c r="C752" i="2" s="1"/>
  <c r="E744" i="2"/>
  <c r="A744" i="2" s="1"/>
  <c r="E736" i="2"/>
  <c r="A736" i="2" s="1"/>
  <c r="C736" i="2" s="1"/>
  <c r="E728" i="2"/>
  <c r="A728" i="2" s="1"/>
  <c r="E720" i="2"/>
  <c r="A720" i="2" s="1"/>
  <c r="C720" i="2" s="1"/>
  <c r="E712" i="2"/>
  <c r="A712" i="2" s="1"/>
  <c r="E704" i="2"/>
  <c r="A704" i="2" s="1"/>
  <c r="E696" i="2"/>
  <c r="A696" i="2" s="1"/>
  <c r="E688" i="2"/>
  <c r="A688" i="2" s="1"/>
  <c r="C688" i="2" s="1"/>
  <c r="E680" i="2"/>
  <c r="A680" i="2" s="1"/>
  <c r="E672" i="2"/>
  <c r="A672" i="2" s="1"/>
  <c r="C672" i="2" s="1"/>
  <c r="E593" i="2"/>
  <c r="A593" i="2" s="1"/>
  <c r="C593" i="2" s="1"/>
  <c r="E172" i="2"/>
  <c r="A172" i="2" s="1"/>
  <c r="C172" i="2" s="1"/>
  <c r="E748" i="2"/>
  <c r="A748" i="2" s="1"/>
  <c r="C748" i="2" s="1"/>
  <c r="E740" i="2"/>
  <c r="E732" i="2"/>
  <c r="A732" i="2" s="1"/>
  <c r="C732" i="2" s="1"/>
  <c r="E724" i="2"/>
  <c r="A724" i="2" s="1"/>
  <c r="C724" i="2" s="1"/>
  <c r="E716" i="2"/>
  <c r="A716" i="2" s="1"/>
  <c r="E708" i="2"/>
  <c r="A708" i="2" s="1"/>
  <c r="C708" i="2" s="1"/>
  <c r="E700" i="2"/>
  <c r="A700" i="2" s="1"/>
  <c r="E692" i="2"/>
  <c r="A692" i="2" s="1"/>
  <c r="C692" i="2" s="1"/>
  <c r="E684" i="2"/>
  <c r="A684" i="2" s="1"/>
  <c r="C684" i="2" s="1"/>
  <c r="E676" i="2"/>
  <c r="E668" i="2"/>
  <c r="A668" i="2" s="1"/>
  <c r="C668" i="2" s="1"/>
  <c r="E660" i="2"/>
  <c r="A660" i="2" s="1"/>
  <c r="C660" i="2" s="1"/>
  <c r="E652" i="2"/>
  <c r="A652" i="2" s="1"/>
  <c r="E644" i="2"/>
  <c r="A644" i="2" s="1"/>
  <c r="C644" i="2" s="1"/>
  <c r="E636" i="2"/>
  <c r="A636" i="2" s="1"/>
  <c r="C636" i="2" s="1"/>
  <c r="E628" i="2"/>
  <c r="A628" i="2" s="1"/>
  <c r="C628" i="2" s="1"/>
  <c r="E620" i="2"/>
  <c r="A620" i="2" s="1"/>
  <c r="E612" i="2"/>
  <c r="E604" i="2"/>
  <c r="A604" i="2" s="1"/>
  <c r="C604" i="2" s="1"/>
  <c r="E596" i="2"/>
  <c r="A596" i="2" s="1"/>
  <c r="C596" i="2" s="1"/>
  <c r="E588" i="2"/>
  <c r="A588" i="2" s="1"/>
  <c r="E580" i="2"/>
  <c r="A580" i="2" s="1"/>
  <c r="C580" i="2" s="1"/>
  <c r="E572" i="2"/>
  <c r="A572" i="2" s="1"/>
  <c r="E564" i="2"/>
  <c r="A564" i="2" s="1"/>
  <c r="C564" i="2" s="1"/>
  <c r="E556" i="2"/>
  <c r="A556" i="2" s="1"/>
  <c r="C556" i="2" s="1"/>
  <c r="E548" i="2"/>
  <c r="A548" i="2" s="1"/>
  <c r="C548" i="2" s="1"/>
  <c r="E540" i="2"/>
  <c r="A540" i="2" s="1"/>
  <c r="C540" i="2" s="1"/>
  <c r="E532" i="2"/>
  <c r="A532" i="2" s="1"/>
  <c r="C532" i="2" s="1"/>
  <c r="E524" i="2"/>
  <c r="A524" i="2" s="1"/>
  <c r="E516" i="2"/>
  <c r="A516" i="2" s="1"/>
  <c r="C516" i="2" s="1"/>
  <c r="E508" i="2"/>
  <c r="A508" i="2" s="1"/>
  <c r="E500" i="2"/>
  <c r="A500" i="2" s="1"/>
  <c r="C500" i="2" s="1"/>
  <c r="E484" i="2"/>
  <c r="A484" i="2" s="1"/>
  <c r="E476" i="2"/>
  <c r="A476" i="2" s="1"/>
  <c r="C476" i="2" s="1"/>
  <c r="E452" i="2"/>
  <c r="A452" i="2" s="1"/>
  <c r="C452" i="2" s="1"/>
  <c r="E444" i="2"/>
  <c r="A444" i="2" s="1"/>
  <c r="C444" i="2" s="1"/>
  <c r="E420" i="2"/>
  <c r="A420" i="2" s="1"/>
  <c r="E412" i="2"/>
  <c r="A412" i="2" s="1"/>
  <c r="C412" i="2" s="1"/>
  <c r="E388" i="2"/>
  <c r="A388" i="2" s="1"/>
  <c r="C388" i="2" s="1"/>
  <c r="E380" i="2"/>
  <c r="A380" i="2" s="1"/>
  <c r="C380" i="2" s="1"/>
  <c r="E356" i="2"/>
  <c r="A356" i="2" s="1"/>
  <c r="C356" i="2" s="1"/>
  <c r="E348" i="2"/>
  <c r="A348" i="2" s="1"/>
  <c r="C348" i="2" s="1"/>
  <c r="E324" i="2"/>
  <c r="A324" i="2" s="1"/>
  <c r="E316" i="2"/>
  <c r="A316" i="2" s="1"/>
  <c r="C316" i="2" s="1"/>
  <c r="E292" i="2"/>
  <c r="A292" i="2" s="1"/>
  <c r="E284" i="2"/>
  <c r="A284" i="2" s="1"/>
  <c r="C284" i="2" s="1"/>
  <c r="E260" i="2"/>
  <c r="A260" i="2" s="1"/>
  <c r="E252" i="2"/>
  <c r="A252" i="2" s="1"/>
  <c r="C252" i="2" s="1"/>
  <c r="E228" i="2"/>
  <c r="A228" i="2" s="1"/>
  <c r="E220" i="2"/>
  <c r="A220" i="2" s="1"/>
  <c r="C220" i="2" s="1"/>
  <c r="E196" i="2"/>
  <c r="A196" i="2" s="1"/>
  <c r="E188" i="2"/>
  <c r="A188" i="2" s="1"/>
  <c r="C188" i="2" s="1"/>
  <c r="E164" i="2"/>
  <c r="A164" i="2" s="1"/>
  <c r="E156" i="2"/>
  <c r="A156" i="2" s="1"/>
  <c r="C156" i="2" s="1"/>
  <c r="E132" i="2"/>
  <c r="A132" i="2" s="1"/>
  <c r="E124" i="2"/>
  <c r="A124" i="2" s="1"/>
  <c r="C124" i="2" s="1"/>
  <c r="E96" i="2"/>
  <c r="A96" i="2" s="1"/>
  <c r="E80" i="2"/>
  <c r="A80" i="2" s="1"/>
  <c r="C80" i="2" s="1"/>
  <c r="E32" i="2"/>
  <c r="A32" i="2" s="1"/>
  <c r="E16" i="2"/>
  <c r="A16" i="2" s="1"/>
  <c r="E747" i="2"/>
  <c r="A747" i="2" s="1"/>
  <c r="E396" i="2"/>
  <c r="A396" i="2" s="1"/>
  <c r="C396" i="2" s="1"/>
  <c r="E268" i="2"/>
  <c r="A268" i="2" s="1"/>
  <c r="E140" i="2"/>
  <c r="A140" i="2" s="1"/>
  <c r="C140" i="2" s="1"/>
  <c r="E715" i="2"/>
  <c r="A715" i="2" s="1"/>
  <c r="C715" i="2" s="1"/>
  <c r="E699" i="2"/>
  <c r="E683" i="2"/>
  <c r="A683" i="2" s="1"/>
  <c r="C683" i="2" s="1"/>
  <c r="E667" i="2"/>
  <c r="A667" i="2" s="1"/>
  <c r="C667" i="2" s="1"/>
  <c r="E651" i="2"/>
  <c r="A651" i="2" s="1"/>
  <c r="E635" i="2"/>
  <c r="A635" i="2" s="1"/>
  <c r="C635" i="2" s="1"/>
  <c r="E619" i="2"/>
  <c r="A619" i="2" s="1"/>
  <c r="E603" i="2"/>
  <c r="A603" i="2" s="1"/>
  <c r="C603" i="2" s="1"/>
  <c r="E587" i="2"/>
  <c r="A587" i="2" s="1"/>
  <c r="C587" i="2" s="1"/>
  <c r="E571" i="2"/>
  <c r="E555" i="2"/>
  <c r="A555" i="2" s="1"/>
  <c r="C555" i="2" s="1"/>
  <c r="E539" i="2"/>
  <c r="A539" i="2" s="1"/>
  <c r="C539" i="2" s="1"/>
  <c r="E523" i="2"/>
  <c r="A523" i="2" s="1"/>
  <c r="E507" i="2"/>
  <c r="A507" i="2" s="1"/>
  <c r="C507" i="2" s="1"/>
  <c r="E491" i="2"/>
  <c r="A491" i="2" s="1"/>
  <c r="E483" i="2"/>
  <c r="A483" i="2" s="1"/>
  <c r="C483" i="2" s="1"/>
  <c r="E475" i="2"/>
  <c r="A475" i="2" s="1"/>
  <c r="E467" i="2"/>
  <c r="A467" i="2" s="1"/>
  <c r="E459" i="2"/>
  <c r="A459" i="2" s="1"/>
  <c r="E451" i="2"/>
  <c r="A451" i="2" s="1"/>
  <c r="C451" i="2" s="1"/>
  <c r="E443" i="2"/>
  <c r="A443" i="2" s="1"/>
  <c r="E435" i="2"/>
  <c r="A435" i="2" s="1"/>
  <c r="C435" i="2" s="1"/>
  <c r="E427" i="2"/>
  <c r="A427" i="2" s="1"/>
  <c r="E419" i="2"/>
  <c r="A419" i="2" s="1"/>
  <c r="C419" i="2" s="1"/>
  <c r="E411" i="2"/>
  <c r="A411" i="2" s="1"/>
  <c r="C411" i="2" s="1"/>
  <c r="E403" i="2"/>
  <c r="A403" i="2" s="1"/>
  <c r="E395" i="2"/>
  <c r="A395" i="2" s="1"/>
  <c r="C395" i="2" s="1"/>
  <c r="E387" i="2"/>
  <c r="A387" i="2" s="1"/>
  <c r="C387" i="2" s="1"/>
  <c r="E379" i="2"/>
  <c r="A379" i="2" s="1"/>
  <c r="E371" i="2"/>
  <c r="A371" i="2" s="1"/>
  <c r="C371" i="2" s="1"/>
  <c r="E363" i="2"/>
  <c r="A363" i="2" s="1"/>
  <c r="E355" i="2"/>
  <c r="A355" i="2" s="1"/>
  <c r="C355" i="2" s="1"/>
  <c r="E347" i="2"/>
  <c r="A347" i="2" s="1"/>
  <c r="E339" i="2"/>
  <c r="A339" i="2" s="1"/>
  <c r="E331" i="2"/>
  <c r="A331" i="2" s="1"/>
  <c r="C331" i="2" s="1"/>
  <c r="E323" i="2"/>
  <c r="A323" i="2" s="1"/>
  <c r="C323" i="2" s="1"/>
  <c r="E315" i="2"/>
  <c r="A315" i="2" s="1"/>
  <c r="E307" i="2"/>
  <c r="A307" i="2" s="1"/>
  <c r="C307" i="2" s="1"/>
  <c r="E299" i="2"/>
  <c r="A299" i="2" s="1"/>
  <c r="E291" i="2"/>
  <c r="A291" i="2" s="1"/>
  <c r="C291" i="2" s="1"/>
  <c r="E283" i="2"/>
  <c r="A283" i="2" s="1"/>
  <c r="C283" i="2" s="1"/>
  <c r="E275" i="2"/>
  <c r="A275" i="2" s="1"/>
  <c r="C275" i="2" s="1"/>
  <c r="E267" i="2"/>
  <c r="A267" i="2" s="1"/>
  <c r="C267" i="2" s="1"/>
  <c r="E259" i="2"/>
  <c r="A259" i="2" s="1"/>
  <c r="C259" i="2" s="1"/>
  <c r="E251" i="2"/>
  <c r="A251" i="2" s="1"/>
  <c r="E243" i="2"/>
  <c r="A243" i="2" s="1"/>
  <c r="C243" i="2" s="1"/>
  <c r="E235" i="2"/>
  <c r="A235" i="2" s="1"/>
  <c r="E227" i="2"/>
  <c r="A227" i="2" s="1"/>
  <c r="C227" i="2" s="1"/>
  <c r="E219" i="2"/>
  <c r="A219" i="2" s="1"/>
  <c r="E211" i="2"/>
  <c r="A211" i="2" s="1"/>
  <c r="E203" i="2"/>
  <c r="A203" i="2" s="1"/>
  <c r="C203" i="2" s="1"/>
  <c r="E195" i="2"/>
  <c r="A195" i="2" s="1"/>
  <c r="E187" i="2"/>
  <c r="A187" i="2" s="1"/>
  <c r="E179" i="2"/>
  <c r="A179" i="2" s="1"/>
  <c r="C179" i="2" s="1"/>
  <c r="E171" i="2"/>
  <c r="A171" i="2" s="1"/>
  <c r="E163" i="2"/>
  <c r="A163" i="2" s="1"/>
  <c r="C163" i="2" s="1"/>
  <c r="E155" i="2"/>
  <c r="A155" i="2" s="1"/>
  <c r="E147" i="2"/>
  <c r="A147" i="2" s="1"/>
  <c r="E139" i="2"/>
  <c r="A139" i="2" s="1"/>
  <c r="E131" i="2"/>
  <c r="A131" i="2" s="1"/>
  <c r="C131" i="2" s="1"/>
  <c r="E123" i="2"/>
  <c r="A123" i="2" s="1"/>
  <c r="E115" i="2"/>
  <c r="A115" i="2" s="1"/>
  <c r="C115" i="2" s="1"/>
  <c r="E107" i="2"/>
  <c r="A107" i="2" s="1"/>
  <c r="E94" i="2"/>
  <c r="A94" i="2" s="1"/>
  <c r="C94" i="2" s="1"/>
  <c r="E78" i="2"/>
  <c r="A78" i="2" s="1"/>
  <c r="E62" i="2"/>
  <c r="A62" i="2" s="1"/>
  <c r="E46" i="2"/>
  <c r="A46" i="2" s="1"/>
  <c r="E30" i="2"/>
  <c r="A30" i="2" s="1"/>
  <c r="E14" i="2"/>
  <c r="A14" i="2" s="1"/>
  <c r="E691" i="2"/>
  <c r="A691" i="2" s="1"/>
  <c r="C691" i="2" s="1"/>
  <c r="E627" i="2"/>
  <c r="A627" i="2" s="1"/>
  <c r="E563" i="2"/>
  <c r="A563" i="2" s="1"/>
  <c r="C563" i="2" s="1"/>
  <c r="E499" i="2"/>
  <c r="A499" i="2" s="1"/>
  <c r="C499" i="2" s="1"/>
  <c r="E372" i="2"/>
  <c r="E244" i="2"/>
  <c r="A244" i="2" s="1"/>
  <c r="C244" i="2" s="1"/>
  <c r="E116" i="2"/>
  <c r="A116" i="2" s="1"/>
  <c r="E746" i="2"/>
  <c r="A746" i="2" s="1"/>
  <c r="E738" i="2"/>
  <c r="A738" i="2" s="1"/>
  <c r="C738" i="2" s="1"/>
  <c r="E730" i="2"/>
  <c r="A730" i="2" s="1"/>
  <c r="C730" i="2" s="1"/>
  <c r="E722" i="2"/>
  <c r="A722" i="2" s="1"/>
  <c r="C722" i="2" s="1"/>
  <c r="E714" i="2"/>
  <c r="A714" i="2" s="1"/>
  <c r="E706" i="2"/>
  <c r="A706" i="2" s="1"/>
  <c r="E698" i="2"/>
  <c r="A698" i="2" s="1"/>
  <c r="C698" i="2" s="1"/>
  <c r="E690" i="2"/>
  <c r="A690" i="2" s="1"/>
  <c r="C690" i="2" s="1"/>
  <c r="E682" i="2"/>
  <c r="A682" i="2" s="1"/>
  <c r="E674" i="2"/>
  <c r="A674" i="2" s="1"/>
  <c r="C674" i="2" s="1"/>
  <c r="E666" i="2"/>
  <c r="A666" i="2" s="1"/>
  <c r="E658" i="2"/>
  <c r="A658" i="2" s="1"/>
  <c r="C658" i="2" s="1"/>
  <c r="E650" i="2"/>
  <c r="A650" i="2" s="1"/>
  <c r="E642" i="2"/>
  <c r="A642" i="2" s="1"/>
  <c r="C642" i="2" s="1"/>
  <c r="E634" i="2"/>
  <c r="A634" i="2" s="1"/>
  <c r="E626" i="2"/>
  <c r="A626" i="2" s="1"/>
  <c r="C626" i="2" s="1"/>
  <c r="E618" i="2"/>
  <c r="A618" i="2" s="1"/>
  <c r="E610" i="2"/>
  <c r="A610" i="2" s="1"/>
  <c r="C610" i="2" s="1"/>
  <c r="E602" i="2"/>
  <c r="A602" i="2" s="1"/>
  <c r="E594" i="2"/>
  <c r="A594" i="2" s="1"/>
  <c r="C594" i="2" s="1"/>
  <c r="E586" i="2"/>
  <c r="A586" i="2" s="1"/>
  <c r="E578" i="2"/>
  <c r="A578" i="2" s="1"/>
  <c r="E570" i="2"/>
  <c r="A570" i="2" s="1"/>
  <c r="E562" i="2"/>
  <c r="A562" i="2" s="1"/>
  <c r="C562" i="2" s="1"/>
  <c r="E554" i="2"/>
  <c r="A554" i="2" s="1"/>
  <c r="E546" i="2"/>
  <c r="A546" i="2" s="1"/>
  <c r="C546" i="2" s="1"/>
  <c r="E538" i="2"/>
  <c r="A538" i="2" s="1"/>
  <c r="E530" i="2"/>
  <c r="A530" i="2" s="1"/>
  <c r="C530" i="2" s="1"/>
  <c r="E522" i="2"/>
  <c r="A522" i="2" s="1"/>
  <c r="C522" i="2" s="1"/>
  <c r="E514" i="2"/>
  <c r="A514" i="2" s="1"/>
  <c r="C514" i="2" s="1"/>
  <c r="E506" i="2"/>
  <c r="A506" i="2" s="1"/>
  <c r="C506" i="2" s="1"/>
  <c r="E498" i="2"/>
  <c r="A498" i="2" s="1"/>
  <c r="C498" i="2" s="1"/>
  <c r="E490" i="2"/>
  <c r="A490" i="2" s="1"/>
  <c r="E482" i="2"/>
  <c r="A482" i="2" s="1"/>
  <c r="C482" i="2" s="1"/>
  <c r="E474" i="2"/>
  <c r="A474" i="2" s="1"/>
  <c r="E466" i="2"/>
  <c r="A466" i="2" s="1"/>
  <c r="C466" i="2" s="1"/>
  <c r="E458" i="2"/>
  <c r="A458" i="2" s="1"/>
  <c r="E450" i="2"/>
  <c r="A450" i="2" s="1"/>
  <c r="C450" i="2" s="1"/>
  <c r="E442" i="2"/>
  <c r="A442" i="2" s="1"/>
  <c r="E434" i="2"/>
  <c r="A434" i="2" s="1"/>
  <c r="C434" i="2" s="1"/>
  <c r="E426" i="2"/>
  <c r="A426" i="2" s="1"/>
  <c r="C426" i="2" s="1"/>
  <c r="E418" i="2"/>
  <c r="A418" i="2" s="1"/>
  <c r="C418" i="2" s="1"/>
  <c r="E410" i="2"/>
  <c r="A410" i="2" s="1"/>
  <c r="E402" i="2"/>
  <c r="A402" i="2" s="1"/>
  <c r="C402" i="2" s="1"/>
  <c r="E394" i="2"/>
  <c r="A394" i="2" s="1"/>
  <c r="E386" i="2"/>
  <c r="A386" i="2" s="1"/>
  <c r="C386" i="2" s="1"/>
  <c r="E378" i="2"/>
  <c r="A378" i="2" s="1"/>
  <c r="C378" i="2" s="1"/>
  <c r="E370" i="2"/>
  <c r="A370" i="2" s="1"/>
  <c r="C370" i="2" s="1"/>
  <c r="E362" i="2"/>
  <c r="A362" i="2" s="1"/>
  <c r="E354" i="2"/>
  <c r="A354" i="2" s="1"/>
  <c r="C354" i="2" s="1"/>
  <c r="E346" i="2"/>
  <c r="A346" i="2" s="1"/>
  <c r="E338" i="2"/>
  <c r="A338" i="2" s="1"/>
  <c r="C338" i="2" s="1"/>
  <c r="E330" i="2"/>
  <c r="A330" i="2" s="1"/>
  <c r="E322" i="2"/>
  <c r="A322" i="2" s="1"/>
  <c r="C322" i="2" s="1"/>
  <c r="E314" i="2"/>
  <c r="A314" i="2" s="1"/>
  <c r="E306" i="2"/>
  <c r="A306" i="2" s="1"/>
  <c r="C306" i="2" s="1"/>
  <c r="E298" i="2"/>
  <c r="A298" i="2" s="1"/>
  <c r="E290" i="2"/>
  <c r="A290" i="2" s="1"/>
  <c r="C290" i="2" s="1"/>
  <c r="E282" i="2"/>
  <c r="A282" i="2" s="1"/>
  <c r="E274" i="2"/>
  <c r="A274" i="2" s="1"/>
  <c r="C274" i="2" s="1"/>
  <c r="E266" i="2"/>
  <c r="A266" i="2" s="1"/>
  <c r="E258" i="2"/>
  <c r="A258" i="2" s="1"/>
  <c r="E250" i="2"/>
  <c r="A250" i="2" s="1"/>
  <c r="E242" i="2"/>
  <c r="A242" i="2" s="1"/>
  <c r="C242" i="2" s="1"/>
  <c r="E234" i="2"/>
  <c r="A234" i="2" s="1"/>
  <c r="E226" i="2"/>
  <c r="A226" i="2" s="1"/>
  <c r="C226" i="2" s="1"/>
  <c r="E218" i="2"/>
  <c r="A218" i="2" s="1"/>
  <c r="E210" i="2"/>
  <c r="A210" i="2" s="1"/>
  <c r="C210" i="2" s="1"/>
  <c r="E202" i="2"/>
  <c r="A202" i="2" s="1"/>
  <c r="C202" i="2" s="1"/>
  <c r="E194" i="2"/>
  <c r="A194" i="2" s="1"/>
  <c r="C194" i="2" s="1"/>
  <c r="E186" i="2"/>
  <c r="A186" i="2" s="1"/>
  <c r="E178" i="2"/>
  <c r="A178" i="2" s="1"/>
  <c r="C178" i="2" s="1"/>
  <c r="E170" i="2"/>
  <c r="A170" i="2" s="1"/>
  <c r="E162" i="2"/>
  <c r="A162" i="2" s="1"/>
  <c r="C162" i="2" s="1"/>
  <c r="E154" i="2"/>
  <c r="A154" i="2" s="1"/>
  <c r="C154" i="2" s="1"/>
  <c r="E146" i="2"/>
  <c r="A146" i="2" s="1"/>
  <c r="C146" i="2" s="1"/>
  <c r="E138" i="2"/>
  <c r="A138" i="2" s="1"/>
  <c r="E130" i="2"/>
  <c r="A130" i="2" s="1"/>
  <c r="C130" i="2" s="1"/>
  <c r="E122" i="2"/>
  <c r="A122" i="2" s="1"/>
  <c r="C122" i="2" s="1"/>
  <c r="E114" i="2"/>
  <c r="A114" i="2" s="1"/>
  <c r="C114" i="2" s="1"/>
  <c r="E106" i="2"/>
  <c r="A106" i="2" s="1"/>
  <c r="E92" i="2"/>
  <c r="A92" i="2" s="1"/>
  <c r="C92" i="2" s="1"/>
  <c r="E76" i="2"/>
  <c r="A76" i="2" s="1"/>
  <c r="E60" i="2"/>
  <c r="A60" i="2" s="1"/>
  <c r="E44" i="2"/>
  <c r="A44" i="2" s="1"/>
  <c r="E28" i="2"/>
  <c r="A28" i="2" s="1"/>
  <c r="E12" i="2"/>
  <c r="A12" i="2" s="1"/>
  <c r="E739" i="2"/>
  <c r="A739" i="2" s="1"/>
  <c r="C739" i="2" s="1"/>
  <c r="E492" i="2"/>
  <c r="A492" i="2" s="1"/>
  <c r="E364" i="2"/>
  <c r="A364" i="2" s="1"/>
  <c r="C364" i="2" s="1"/>
  <c r="E236" i="2"/>
  <c r="A236" i="2" s="1"/>
  <c r="E2" i="2"/>
  <c r="A2" i="2" s="1"/>
  <c r="E745" i="2"/>
  <c r="A745" i="2" s="1"/>
  <c r="E737" i="2"/>
  <c r="E729" i="2"/>
  <c r="A729" i="2" s="1"/>
  <c r="C729" i="2" s="1"/>
  <c r="E713" i="2"/>
  <c r="A713" i="2" s="1"/>
  <c r="C713" i="2" s="1"/>
  <c r="E697" i="2"/>
  <c r="A697" i="2" s="1"/>
  <c r="E681" i="2"/>
  <c r="A681" i="2" s="1"/>
  <c r="C681" i="2" s="1"/>
  <c r="E665" i="2"/>
  <c r="A665" i="2" s="1"/>
  <c r="C665" i="2" s="1"/>
  <c r="E649" i="2"/>
  <c r="A649" i="2" s="1"/>
  <c r="C649" i="2" s="1"/>
  <c r="E633" i="2"/>
  <c r="A633" i="2" s="1"/>
  <c r="C633" i="2" s="1"/>
  <c r="E617" i="2"/>
  <c r="A617" i="2" s="1"/>
  <c r="C617" i="2" s="1"/>
  <c r="E601" i="2"/>
  <c r="A601" i="2" s="1"/>
  <c r="C601" i="2" s="1"/>
  <c r="E585" i="2"/>
  <c r="A585" i="2" s="1"/>
  <c r="C585" i="2" s="1"/>
  <c r="E569" i="2"/>
  <c r="A569" i="2" s="1"/>
  <c r="C569" i="2" s="1"/>
  <c r="E553" i="2"/>
  <c r="A553" i="2" s="1"/>
  <c r="C553" i="2" s="1"/>
  <c r="E537" i="2"/>
  <c r="A537" i="2" s="1"/>
  <c r="E521" i="2"/>
  <c r="A521" i="2" s="1"/>
  <c r="C521" i="2" s="1"/>
  <c r="E505" i="2"/>
  <c r="A505" i="2" s="1"/>
  <c r="E497" i="2"/>
  <c r="E489" i="2"/>
  <c r="A489" i="2" s="1"/>
  <c r="C489" i="2" s="1"/>
  <c r="E481" i="2"/>
  <c r="A481" i="2" s="1"/>
  <c r="C481" i="2" s="1"/>
  <c r="E473" i="2"/>
  <c r="A473" i="2" s="1"/>
  <c r="E465" i="2"/>
  <c r="A465" i="2" s="1"/>
  <c r="C465" i="2" s="1"/>
  <c r="E457" i="2"/>
  <c r="A457" i="2" s="1"/>
  <c r="C457" i="2" s="1"/>
  <c r="E449" i="2"/>
  <c r="A449" i="2" s="1"/>
  <c r="C449" i="2" s="1"/>
  <c r="E441" i="2"/>
  <c r="A441" i="2" s="1"/>
  <c r="C441" i="2" s="1"/>
  <c r="E433" i="2"/>
  <c r="E425" i="2"/>
  <c r="A425" i="2" s="1"/>
  <c r="C425" i="2" s="1"/>
  <c r="E417" i="2"/>
  <c r="A417" i="2" s="1"/>
  <c r="C417" i="2" s="1"/>
  <c r="E409" i="2"/>
  <c r="A409" i="2" s="1"/>
  <c r="E401" i="2"/>
  <c r="A401" i="2" s="1"/>
  <c r="C401" i="2" s="1"/>
  <c r="E393" i="2"/>
  <c r="A393" i="2" s="1"/>
  <c r="C393" i="2" s="1"/>
  <c r="E385" i="2"/>
  <c r="A385" i="2" s="1"/>
  <c r="C385" i="2" s="1"/>
  <c r="E377" i="2"/>
  <c r="A377" i="2" s="1"/>
  <c r="C377" i="2" s="1"/>
  <c r="E369" i="2"/>
  <c r="A369" i="2" s="1"/>
  <c r="C369" i="2" s="1"/>
  <c r="E361" i="2"/>
  <c r="A361" i="2" s="1"/>
  <c r="C361" i="2" s="1"/>
  <c r="E353" i="2"/>
  <c r="A353" i="2" s="1"/>
  <c r="C353" i="2" s="1"/>
  <c r="E345" i="2"/>
  <c r="A345" i="2" s="1"/>
  <c r="C345" i="2" s="1"/>
  <c r="E337" i="2"/>
  <c r="A337" i="2" s="1"/>
  <c r="C337" i="2" s="1"/>
  <c r="E329" i="2"/>
  <c r="A329" i="2" s="1"/>
  <c r="C329" i="2" s="1"/>
  <c r="E321" i="2"/>
  <c r="A321" i="2" s="1"/>
  <c r="C321" i="2" s="1"/>
  <c r="E313" i="2"/>
  <c r="A313" i="2" s="1"/>
  <c r="C313" i="2" s="1"/>
  <c r="E305" i="2"/>
  <c r="A305" i="2" s="1"/>
  <c r="C305" i="2" s="1"/>
  <c r="E297" i="2"/>
  <c r="A297" i="2" s="1"/>
  <c r="C297" i="2" s="1"/>
  <c r="E289" i="2"/>
  <c r="A289" i="2" s="1"/>
  <c r="C289" i="2" s="1"/>
  <c r="E281" i="2"/>
  <c r="A281" i="2" s="1"/>
  <c r="E273" i="2"/>
  <c r="A273" i="2" s="1"/>
  <c r="C273" i="2" s="1"/>
  <c r="E265" i="2"/>
  <c r="A265" i="2" s="1"/>
  <c r="E257" i="2"/>
  <c r="A257" i="2" s="1"/>
  <c r="C257" i="2" s="1"/>
  <c r="E249" i="2"/>
  <c r="A249" i="2" s="1"/>
  <c r="C249" i="2" s="1"/>
  <c r="E241" i="2"/>
  <c r="A241" i="2" s="1"/>
  <c r="C241" i="2" s="1"/>
  <c r="E233" i="2"/>
  <c r="A233" i="2" s="1"/>
  <c r="C233" i="2" s="1"/>
  <c r="E225" i="2"/>
  <c r="A225" i="2" s="1"/>
  <c r="C225" i="2" s="1"/>
  <c r="E217" i="2"/>
  <c r="A217" i="2" s="1"/>
  <c r="E209" i="2"/>
  <c r="A209" i="2" s="1"/>
  <c r="C209" i="2" s="1"/>
  <c r="E201" i="2"/>
  <c r="A201" i="2" s="1"/>
  <c r="E193" i="2"/>
  <c r="A193" i="2" s="1"/>
  <c r="C193" i="2" s="1"/>
  <c r="E185" i="2"/>
  <c r="A185" i="2" s="1"/>
  <c r="E177" i="2"/>
  <c r="A177" i="2" s="1"/>
  <c r="C177" i="2" s="1"/>
  <c r="E169" i="2"/>
  <c r="A169" i="2" s="1"/>
  <c r="C169" i="2" s="1"/>
  <c r="E161" i="2"/>
  <c r="A161" i="2" s="1"/>
  <c r="C161" i="2" s="1"/>
  <c r="E153" i="2"/>
  <c r="A153" i="2" s="1"/>
  <c r="E145" i="2"/>
  <c r="A145" i="2" s="1"/>
  <c r="C145" i="2" s="1"/>
  <c r="E137" i="2"/>
  <c r="A137" i="2" s="1"/>
  <c r="E129" i="2"/>
  <c r="A129" i="2" s="1"/>
  <c r="C129" i="2" s="1"/>
  <c r="E121" i="2"/>
  <c r="A121" i="2" s="1"/>
  <c r="E113" i="2"/>
  <c r="A113" i="2" s="1"/>
  <c r="C113" i="2" s="1"/>
  <c r="E105" i="2"/>
  <c r="A105" i="2" s="1"/>
  <c r="C105" i="2" s="1"/>
  <c r="E90" i="2"/>
  <c r="A90" i="2" s="1"/>
  <c r="C90" i="2" s="1"/>
  <c r="E74" i="2"/>
  <c r="A74" i="2" s="1"/>
  <c r="E58" i="2"/>
  <c r="A58" i="2" s="1"/>
  <c r="E675" i="2"/>
  <c r="A675" i="2" s="1"/>
  <c r="E611" i="2"/>
  <c r="A611" i="2" s="1"/>
  <c r="C611" i="2" s="1"/>
  <c r="E547" i="2"/>
  <c r="A547" i="2" s="1"/>
  <c r="C547" i="2" s="1"/>
  <c r="E468" i="2"/>
  <c r="E340" i="2"/>
  <c r="A340" i="2" s="1"/>
  <c r="C340" i="2" s="1"/>
  <c r="E212" i="2"/>
  <c r="A212" i="2" s="1"/>
  <c r="C212" i="2" s="1"/>
  <c r="E64" i="2"/>
  <c r="A64" i="2" s="1"/>
  <c r="E664" i="2"/>
  <c r="A664" i="2" s="1"/>
  <c r="C664" i="2" s="1"/>
  <c r="E656" i="2"/>
  <c r="A656" i="2" s="1"/>
  <c r="C656" i="2" s="1"/>
  <c r="E648" i="2"/>
  <c r="A648" i="2" s="1"/>
  <c r="C648" i="2" s="1"/>
  <c r="E640" i="2"/>
  <c r="A640" i="2" s="1"/>
  <c r="C640" i="2" s="1"/>
  <c r="E632" i="2"/>
  <c r="E624" i="2"/>
  <c r="A624" i="2" s="1"/>
  <c r="C624" i="2" s="1"/>
  <c r="E616" i="2"/>
  <c r="A616" i="2" s="1"/>
  <c r="C616" i="2" s="1"/>
  <c r="E608" i="2"/>
  <c r="A608" i="2" s="1"/>
  <c r="E600" i="2"/>
  <c r="A600" i="2" s="1"/>
  <c r="C600" i="2" s="1"/>
  <c r="E592" i="2"/>
  <c r="A592" i="2" s="1"/>
  <c r="E584" i="2"/>
  <c r="A584" i="2" s="1"/>
  <c r="C584" i="2" s="1"/>
  <c r="E576" i="2"/>
  <c r="A576" i="2" s="1"/>
  <c r="C576" i="2" s="1"/>
  <c r="E568" i="2"/>
  <c r="A568" i="2" s="1"/>
  <c r="C568" i="2" s="1"/>
  <c r="E560" i="2"/>
  <c r="A560" i="2" s="1"/>
  <c r="C560" i="2" s="1"/>
  <c r="E552" i="2"/>
  <c r="A552" i="2" s="1"/>
  <c r="C552" i="2" s="1"/>
  <c r="E544" i="2"/>
  <c r="A544" i="2" s="1"/>
  <c r="C544" i="2" s="1"/>
  <c r="E536" i="2"/>
  <c r="A536" i="2" s="1"/>
  <c r="C536" i="2" s="1"/>
  <c r="E528" i="2"/>
  <c r="A528" i="2" s="1"/>
  <c r="E520" i="2"/>
  <c r="A520" i="2" s="1"/>
  <c r="C520" i="2" s="1"/>
  <c r="E512" i="2"/>
  <c r="A512" i="2" s="1"/>
  <c r="C512" i="2" s="1"/>
  <c r="E504" i="2"/>
  <c r="E496" i="2"/>
  <c r="A496" i="2" s="1"/>
  <c r="C496" i="2" s="1"/>
  <c r="E488" i="2"/>
  <c r="A488" i="2" s="1"/>
  <c r="C488" i="2" s="1"/>
  <c r="E480" i="2"/>
  <c r="A480" i="2" s="1"/>
  <c r="E472" i="2"/>
  <c r="A472" i="2" s="1"/>
  <c r="C472" i="2" s="1"/>
  <c r="E464" i="2"/>
  <c r="A464" i="2" s="1"/>
  <c r="C464" i="2" s="1"/>
  <c r="E456" i="2"/>
  <c r="A456" i="2" s="1"/>
  <c r="C456" i="2" s="1"/>
  <c r="E448" i="2"/>
  <c r="A448" i="2" s="1"/>
  <c r="C448" i="2" s="1"/>
  <c r="E440" i="2"/>
  <c r="A440" i="2" s="1"/>
  <c r="C440" i="2" s="1"/>
  <c r="E432" i="2"/>
  <c r="A432" i="2" s="1"/>
  <c r="C432" i="2" s="1"/>
  <c r="E424" i="2"/>
  <c r="A424" i="2" s="1"/>
  <c r="C424" i="2" s="1"/>
  <c r="E416" i="2"/>
  <c r="A416" i="2" s="1"/>
  <c r="C416" i="2" s="1"/>
  <c r="E408" i="2"/>
  <c r="A408" i="2" s="1"/>
  <c r="C408" i="2" s="1"/>
  <c r="E400" i="2"/>
  <c r="A400" i="2" s="1"/>
  <c r="C400" i="2" s="1"/>
  <c r="E392" i="2"/>
  <c r="A392" i="2" s="1"/>
  <c r="C392" i="2" s="1"/>
  <c r="E384" i="2"/>
  <c r="A384" i="2" s="1"/>
  <c r="C384" i="2" s="1"/>
  <c r="E376" i="2"/>
  <c r="A376" i="2" s="1"/>
  <c r="C376" i="2" s="1"/>
  <c r="E368" i="2"/>
  <c r="A368" i="2" s="1"/>
  <c r="C368" i="2" s="1"/>
  <c r="E360" i="2"/>
  <c r="A360" i="2" s="1"/>
  <c r="C360" i="2" s="1"/>
  <c r="E352" i="2"/>
  <c r="A352" i="2" s="1"/>
  <c r="C352" i="2" s="1"/>
  <c r="E344" i="2"/>
  <c r="A344" i="2" s="1"/>
  <c r="C344" i="2" s="1"/>
  <c r="E336" i="2"/>
  <c r="A336" i="2" s="1"/>
  <c r="C336" i="2" s="1"/>
  <c r="E328" i="2"/>
  <c r="A328" i="2" s="1"/>
  <c r="C328" i="2" s="1"/>
  <c r="E320" i="2"/>
  <c r="A320" i="2" s="1"/>
  <c r="E312" i="2"/>
  <c r="A312" i="2" s="1"/>
  <c r="C312" i="2" s="1"/>
  <c r="E304" i="2"/>
  <c r="A304" i="2" s="1"/>
  <c r="C304" i="2" s="1"/>
  <c r="E296" i="2"/>
  <c r="A296" i="2" s="1"/>
  <c r="C296" i="2" s="1"/>
  <c r="E288" i="2"/>
  <c r="A288" i="2" s="1"/>
  <c r="C288" i="2" s="1"/>
  <c r="E280" i="2"/>
  <c r="A280" i="2" s="1"/>
  <c r="C280" i="2" s="1"/>
  <c r="E272" i="2"/>
  <c r="A272" i="2" s="1"/>
  <c r="C272" i="2" s="1"/>
  <c r="E264" i="2"/>
  <c r="A264" i="2" s="1"/>
  <c r="C264" i="2" s="1"/>
  <c r="E256" i="2"/>
  <c r="A256" i="2" s="1"/>
  <c r="C256" i="2" s="1"/>
  <c r="E248" i="2"/>
  <c r="A248" i="2" s="1"/>
  <c r="C248" i="2" s="1"/>
  <c r="E240" i="2"/>
  <c r="A240" i="2" s="1"/>
  <c r="C240" i="2" s="1"/>
  <c r="E232" i="2"/>
  <c r="A232" i="2" s="1"/>
  <c r="C232" i="2" s="1"/>
  <c r="E224" i="2"/>
  <c r="A224" i="2" s="1"/>
  <c r="C224" i="2" s="1"/>
  <c r="E216" i="2"/>
  <c r="A216" i="2" s="1"/>
  <c r="C216" i="2" s="1"/>
  <c r="E208" i="2"/>
  <c r="A208" i="2" s="1"/>
  <c r="C208" i="2" s="1"/>
  <c r="E200" i="2"/>
  <c r="A200" i="2" s="1"/>
  <c r="C200" i="2" s="1"/>
  <c r="E192" i="2"/>
  <c r="A192" i="2" s="1"/>
  <c r="C192" i="2" s="1"/>
  <c r="E184" i="2"/>
  <c r="A184" i="2" s="1"/>
  <c r="C184" i="2" s="1"/>
  <c r="E176" i="2"/>
  <c r="A176" i="2" s="1"/>
  <c r="C176" i="2" s="1"/>
  <c r="E168" i="2"/>
  <c r="A168" i="2" s="1"/>
  <c r="C168" i="2" s="1"/>
  <c r="E160" i="2"/>
  <c r="A160" i="2" s="1"/>
  <c r="E152" i="2"/>
  <c r="A152" i="2" s="1"/>
  <c r="C152" i="2" s="1"/>
  <c r="E144" i="2"/>
  <c r="A144" i="2" s="1"/>
  <c r="E136" i="2"/>
  <c r="A136" i="2" s="1"/>
  <c r="C136" i="2" s="1"/>
  <c r="E128" i="2"/>
  <c r="A128" i="2" s="1"/>
  <c r="E120" i="2"/>
  <c r="A120" i="2" s="1"/>
  <c r="C120" i="2" s="1"/>
  <c r="E112" i="2"/>
  <c r="A112" i="2" s="1"/>
  <c r="C112" i="2" s="1"/>
  <c r="E104" i="2"/>
  <c r="A104" i="2" s="1"/>
  <c r="C104" i="2" s="1"/>
  <c r="E88" i="2"/>
  <c r="A88" i="2" s="1"/>
  <c r="C88" i="2" s="1"/>
  <c r="E72" i="2"/>
  <c r="A72" i="2" s="1"/>
  <c r="C72" i="2" s="1"/>
  <c r="E56" i="2"/>
  <c r="A56" i="2" s="1"/>
  <c r="E40" i="2"/>
  <c r="A40" i="2" s="1"/>
  <c r="E24" i="2"/>
  <c r="A24" i="2" s="1"/>
  <c r="E8" i="2"/>
  <c r="A8" i="2" s="1"/>
  <c r="E731" i="2"/>
  <c r="A731" i="2" s="1"/>
  <c r="C731" i="2" s="1"/>
  <c r="E460" i="2"/>
  <c r="A460" i="2" s="1"/>
  <c r="C460" i="2" s="1"/>
  <c r="E332" i="2"/>
  <c r="A332" i="2" s="1"/>
  <c r="E204" i="2"/>
  <c r="A204" i="2" s="1"/>
  <c r="C204" i="2" s="1"/>
  <c r="E48" i="2"/>
  <c r="A48" i="2" s="1"/>
  <c r="E42" i="2"/>
  <c r="A42" i="2" s="1"/>
  <c r="E26" i="2"/>
  <c r="A26" i="2" s="1"/>
  <c r="E10" i="2"/>
  <c r="A10" i="2" s="1"/>
  <c r="E478" i="2"/>
  <c r="A478" i="2" s="1"/>
  <c r="C478" i="2" s="1"/>
  <c r="E470" i="2"/>
  <c r="A470" i="2" s="1"/>
  <c r="C470" i="2" s="1"/>
  <c r="E462" i="2"/>
  <c r="A462" i="2" s="1"/>
  <c r="E454" i="2"/>
  <c r="A454" i="2" s="1"/>
  <c r="C454" i="2" s="1"/>
  <c r="E446" i="2"/>
  <c r="A446" i="2" s="1"/>
  <c r="E438" i="2"/>
  <c r="A438" i="2" s="1"/>
  <c r="C438" i="2" s="1"/>
  <c r="E430" i="2"/>
  <c r="A430" i="2" s="1"/>
  <c r="E422" i="2"/>
  <c r="E414" i="2"/>
  <c r="A414" i="2" s="1"/>
  <c r="C414" i="2" s="1"/>
  <c r="E406" i="2"/>
  <c r="A406" i="2" s="1"/>
  <c r="C406" i="2" s="1"/>
  <c r="E398" i="2"/>
  <c r="A398" i="2" s="1"/>
  <c r="E390" i="2"/>
  <c r="A390" i="2" s="1"/>
  <c r="C390" i="2" s="1"/>
  <c r="E382" i="2"/>
  <c r="A382" i="2" s="1"/>
  <c r="C382" i="2" s="1"/>
  <c r="E374" i="2"/>
  <c r="A374" i="2" s="1"/>
  <c r="C374" i="2" s="1"/>
  <c r="E366" i="2"/>
  <c r="A366" i="2" s="1"/>
  <c r="E358" i="2"/>
  <c r="E350" i="2"/>
  <c r="A350" i="2" s="1"/>
  <c r="C350" i="2" s="1"/>
  <c r="E342" i="2"/>
  <c r="A342" i="2" s="1"/>
  <c r="C342" i="2" s="1"/>
  <c r="E334" i="2"/>
  <c r="A334" i="2" s="1"/>
  <c r="E326" i="2"/>
  <c r="A326" i="2" s="1"/>
  <c r="C326" i="2" s="1"/>
  <c r="E318" i="2"/>
  <c r="A318" i="2" s="1"/>
  <c r="E310" i="2"/>
  <c r="A310" i="2" s="1"/>
  <c r="C310" i="2" s="1"/>
  <c r="E302" i="2"/>
  <c r="A302" i="2" s="1"/>
  <c r="C302" i="2" s="1"/>
  <c r="E294" i="2"/>
  <c r="E286" i="2"/>
  <c r="A286" i="2" s="1"/>
  <c r="C286" i="2" s="1"/>
  <c r="E278" i="2"/>
  <c r="A278" i="2" s="1"/>
  <c r="C278" i="2" s="1"/>
  <c r="E270" i="2"/>
  <c r="A270" i="2" s="1"/>
  <c r="E262" i="2"/>
  <c r="A262" i="2" s="1"/>
  <c r="C262" i="2" s="1"/>
  <c r="E254" i="2"/>
  <c r="A254" i="2" s="1"/>
  <c r="E246" i="2"/>
  <c r="A246" i="2" s="1"/>
  <c r="C246" i="2" s="1"/>
  <c r="E238" i="2"/>
  <c r="A238" i="2" s="1"/>
  <c r="E230" i="2"/>
  <c r="E222" i="2"/>
  <c r="A222" i="2" s="1"/>
  <c r="C222" i="2" s="1"/>
  <c r="E214" i="2"/>
  <c r="A214" i="2" s="1"/>
  <c r="C214" i="2" s="1"/>
  <c r="E206" i="2"/>
  <c r="A206" i="2" s="1"/>
  <c r="C206" i="2" s="1"/>
  <c r="E198" i="2"/>
  <c r="A198" i="2" s="1"/>
  <c r="C198" i="2" s="1"/>
  <c r="E190" i="2"/>
  <c r="A190" i="2" s="1"/>
  <c r="C190" i="2" s="1"/>
  <c r="E182" i="2"/>
  <c r="A182" i="2" s="1"/>
  <c r="C182" i="2" s="1"/>
  <c r="E174" i="2"/>
  <c r="A174" i="2" s="1"/>
  <c r="E166" i="2"/>
  <c r="E158" i="2"/>
  <c r="A158" i="2" s="1"/>
  <c r="C158" i="2" s="1"/>
  <c r="E150" i="2"/>
  <c r="A150" i="2" s="1"/>
  <c r="C150" i="2" s="1"/>
  <c r="E142" i="2"/>
  <c r="A142" i="2" s="1"/>
  <c r="E134" i="2"/>
  <c r="A134" i="2" s="1"/>
  <c r="C134" i="2" s="1"/>
  <c r="E126" i="2"/>
  <c r="A126" i="2" s="1"/>
  <c r="E118" i="2"/>
  <c r="A118" i="2" s="1"/>
  <c r="C118" i="2" s="1"/>
  <c r="E110" i="2"/>
  <c r="A110" i="2" s="1"/>
  <c r="E100" i="2"/>
  <c r="E84" i="2"/>
  <c r="A84" i="2" s="1"/>
  <c r="C84" i="2" s="1"/>
  <c r="E68" i="2"/>
  <c r="A68" i="2" s="1"/>
  <c r="C68" i="2" s="1"/>
  <c r="E52" i="2"/>
  <c r="A52" i="2" s="1"/>
  <c r="E36" i="2"/>
  <c r="A36" i="2" s="1"/>
  <c r="E20" i="2"/>
  <c r="A20" i="2" s="1"/>
  <c r="E4" i="2"/>
  <c r="A4" i="2" s="1"/>
  <c r="E437" i="2"/>
  <c r="A437" i="2" s="1"/>
  <c r="E429" i="2"/>
  <c r="A429" i="2" s="1"/>
  <c r="C429" i="2" s="1"/>
  <c r="E421" i="2"/>
  <c r="A421" i="2" s="1"/>
  <c r="C421" i="2" s="1"/>
  <c r="E413" i="2"/>
  <c r="A413" i="2" s="1"/>
  <c r="C413" i="2" s="1"/>
  <c r="E405" i="2"/>
  <c r="A405" i="2" s="1"/>
  <c r="E397" i="2"/>
  <c r="A397" i="2" s="1"/>
  <c r="C397" i="2" s="1"/>
  <c r="E389" i="2"/>
  <c r="A389" i="2" s="1"/>
  <c r="C389" i="2" s="1"/>
  <c r="E381" i="2"/>
  <c r="A381" i="2" s="1"/>
  <c r="C381" i="2" s="1"/>
  <c r="E373" i="2"/>
  <c r="A373" i="2" s="1"/>
  <c r="E365" i="2"/>
  <c r="E357" i="2"/>
  <c r="A357" i="2" s="1"/>
  <c r="C357" i="2" s="1"/>
  <c r="E349" i="2"/>
  <c r="A349" i="2" s="1"/>
  <c r="C349" i="2" s="1"/>
  <c r="E341" i="2"/>
  <c r="A341" i="2" s="1"/>
  <c r="E333" i="2"/>
  <c r="A333" i="2" s="1"/>
  <c r="C333" i="2" s="1"/>
  <c r="E325" i="2"/>
  <c r="A325" i="2" s="1"/>
  <c r="C325" i="2" s="1"/>
  <c r="E317" i="2"/>
  <c r="A317" i="2" s="1"/>
  <c r="C317" i="2" s="1"/>
  <c r="E309" i="2"/>
  <c r="A309" i="2" s="1"/>
  <c r="C309" i="2" s="1"/>
  <c r="E301" i="2"/>
  <c r="A301" i="2" s="1"/>
  <c r="C301" i="2" s="1"/>
  <c r="E293" i="2"/>
  <c r="A293" i="2" s="1"/>
  <c r="C293" i="2" s="1"/>
  <c r="E285" i="2"/>
  <c r="A285" i="2" s="1"/>
  <c r="C285" i="2" s="1"/>
  <c r="E277" i="2"/>
  <c r="A277" i="2" s="1"/>
  <c r="E269" i="2"/>
  <c r="A269" i="2" s="1"/>
  <c r="C269" i="2" s="1"/>
  <c r="E261" i="2"/>
  <c r="A261" i="2" s="1"/>
  <c r="E253" i="2"/>
  <c r="E245" i="2"/>
  <c r="A245" i="2" s="1"/>
  <c r="C245" i="2" s="1"/>
  <c r="E237" i="2"/>
  <c r="E229" i="2"/>
  <c r="A229" i="2" s="1"/>
  <c r="C229" i="2" s="1"/>
  <c r="E221" i="2"/>
  <c r="A221" i="2" s="1"/>
  <c r="C221" i="2" s="1"/>
  <c r="E213" i="2"/>
  <c r="A213" i="2" s="1"/>
  <c r="C213" i="2" s="1"/>
  <c r="E205" i="2"/>
  <c r="A205" i="2" s="1"/>
  <c r="C205" i="2" s="1"/>
  <c r="E197" i="2"/>
  <c r="A197" i="2" s="1"/>
  <c r="E189" i="2"/>
  <c r="A189" i="2" s="1"/>
  <c r="C189" i="2" s="1"/>
  <c r="E181" i="2"/>
  <c r="A181" i="2" s="1"/>
  <c r="E173" i="2"/>
  <c r="E165" i="2"/>
  <c r="A165" i="2" s="1"/>
  <c r="C165" i="2" s="1"/>
  <c r="E157" i="2"/>
  <c r="A157" i="2" s="1"/>
  <c r="C157" i="2" s="1"/>
  <c r="E149" i="2"/>
  <c r="A149" i="2" s="1"/>
  <c r="E141" i="2"/>
  <c r="A141" i="2" s="1"/>
  <c r="C141" i="2" s="1"/>
  <c r="E133" i="2"/>
  <c r="A133" i="2" s="1"/>
  <c r="C133" i="2" s="1"/>
  <c r="E125" i="2"/>
  <c r="A125" i="2" s="1"/>
  <c r="C125" i="2" s="1"/>
  <c r="E117" i="2"/>
  <c r="A117" i="2" s="1"/>
  <c r="C117" i="2" s="1"/>
  <c r="E109" i="2"/>
  <c r="A109" i="2" s="1"/>
  <c r="C109" i="2" s="1"/>
  <c r="E98" i="2"/>
  <c r="A98" i="2" s="1"/>
  <c r="C98" i="2" s="1"/>
  <c r="E82" i="2"/>
  <c r="A82" i="2" s="1"/>
  <c r="C82" i="2" s="1"/>
  <c r="E66" i="2"/>
  <c r="A66" i="2" s="1"/>
  <c r="E50" i="2"/>
  <c r="A50" i="2" s="1"/>
  <c r="E34" i="2"/>
  <c r="A34" i="2" s="1"/>
  <c r="E18" i="2"/>
  <c r="A18" i="2" s="1"/>
  <c r="C592" i="2"/>
  <c r="C528" i="2"/>
  <c r="C655" i="2"/>
  <c r="C645" i="2"/>
  <c r="C549" i="2"/>
  <c r="C629" i="2"/>
  <c r="C404" i="2"/>
  <c r="C607" i="2"/>
  <c r="C559" i="2"/>
  <c r="C527" i="2"/>
  <c r="C463" i="2"/>
  <c r="C335" i="2"/>
  <c r="C287" i="2"/>
  <c r="C223" i="2"/>
  <c r="C207" i="2"/>
  <c r="C86" i="2"/>
  <c r="C622" i="2"/>
  <c r="C558" i="2"/>
  <c r="C494" i="2"/>
  <c r="C318" i="2"/>
  <c r="C751" i="2"/>
  <c r="C572" i="2"/>
  <c r="C735" i="2"/>
  <c r="C687" i="2"/>
  <c r="C591" i="2"/>
  <c r="C431" i="2"/>
  <c r="C523" i="2"/>
  <c r="C459" i="2"/>
  <c r="C379" i="2"/>
  <c r="C251" i="2"/>
  <c r="C714" i="2"/>
  <c r="C650" i="2"/>
  <c r="C618" i="2"/>
  <c r="C554" i="2"/>
  <c r="C721" i="2"/>
  <c r="C697" i="2"/>
  <c r="C689" i="2"/>
  <c r="C657" i="2"/>
  <c r="C641" i="2"/>
  <c r="C561" i="2"/>
  <c r="C505" i="2"/>
  <c r="C744" i="2"/>
  <c r="C728" i="2"/>
  <c r="C712" i="2"/>
  <c r="C696" i="2"/>
  <c r="C239" i="2"/>
  <c r="C750" i="2"/>
  <c r="C747" i="2"/>
  <c r="C742" i="2"/>
  <c r="C686" i="2"/>
  <c r="C652" i="2"/>
  <c r="C627" i="2"/>
  <c r="C588" i="2"/>
  <c r="C581" i="2"/>
  <c r="C565" i="2"/>
  <c r="C517" i="2"/>
  <c r="C268" i="2"/>
  <c r="D97" i="14"/>
  <c r="D89" i="14"/>
  <c r="D81" i="14"/>
  <c r="D73" i="14"/>
  <c r="D65" i="14"/>
  <c r="D57" i="14"/>
  <c r="D49" i="14"/>
  <c r="D41" i="14"/>
  <c r="D33" i="14"/>
  <c r="D25" i="14"/>
  <c r="D17" i="14"/>
  <c r="D9" i="14"/>
  <c r="D95" i="14"/>
  <c r="D87" i="14"/>
  <c r="D79" i="14"/>
  <c r="D71" i="14"/>
  <c r="D63" i="14"/>
  <c r="D55" i="14"/>
  <c r="D47" i="14"/>
  <c r="D39" i="14"/>
  <c r="D31" i="14"/>
  <c r="D23" i="14"/>
  <c r="D15" i="14"/>
  <c r="D7" i="14"/>
  <c r="E95" i="13"/>
  <c r="E87" i="13"/>
  <c r="E79" i="13"/>
  <c r="E71" i="13"/>
  <c r="E63" i="13"/>
  <c r="E55" i="13"/>
  <c r="E47" i="13"/>
  <c r="E39" i="13"/>
  <c r="E31" i="13"/>
  <c r="E23" i="13"/>
  <c r="E15" i="13"/>
  <c r="E7" i="13"/>
  <c r="D96" i="13"/>
  <c r="E96" i="13" s="1"/>
  <c r="D88" i="13"/>
  <c r="E88" i="13" s="1"/>
  <c r="D80" i="13"/>
  <c r="E80" i="13" s="1"/>
  <c r="D72" i="13"/>
  <c r="E72" i="13" s="1"/>
  <c r="D64" i="13"/>
  <c r="E64" i="13" s="1"/>
  <c r="D56" i="13"/>
  <c r="E56" i="14" s="1"/>
  <c r="D48" i="13"/>
  <c r="E48" i="13" s="1"/>
  <c r="D40" i="13"/>
  <c r="E40" i="14" s="1"/>
  <c r="D32" i="13"/>
  <c r="E32" i="13" s="1"/>
  <c r="D24" i="13"/>
  <c r="E24" i="13" s="1"/>
  <c r="D16" i="13"/>
  <c r="E16" i="13" s="1"/>
  <c r="D8" i="13"/>
  <c r="E8" i="13" s="1"/>
  <c r="D94" i="13"/>
  <c r="E94" i="13" s="1"/>
  <c r="D86" i="13"/>
  <c r="E86" i="14" s="1"/>
  <c r="D78" i="13"/>
  <c r="E78" i="13" s="1"/>
  <c r="D70" i="13"/>
  <c r="E70" i="14" s="1"/>
  <c r="D62" i="13"/>
  <c r="E62" i="13" s="1"/>
  <c r="D54" i="13"/>
  <c r="E54" i="13" s="1"/>
  <c r="D46" i="13"/>
  <c r="E46" i="13" s="1"/>
  <c r="D38" i="13"/>
  <c r="E38" i="13" s="1"/>
  <c r="D30" i="13"/>
  <c r="E30" i="13" s="1"/>
  <c r="D22" i="13"/>
  <c r="E22" i="14" s="1"/>
  <c r="D14" i="13"/>
  <c r="E14" i="13" s="1"/>
  <c r="D6" i="13"/>
  <c r="E6" i="14" s="1"/>
  <c r="D93" i="13"/>
  <c r="E93" i="14" s="1"/>
  <c r="D85" i="13"/>
  <c r="E85" i="14" s="1"/>
  <c r="D77" i="13"/>
  <c r="E77" i="13" s="1"/>
  <c r="D69" i="13"/>
  <c r="E69" i="13" s="1"/>
  <c r="D61" i="13"/>
  <c r="E61" i="13" s="1"/>
  <c r="D53" i="13"/>
  <c r="E53" i="13" s="1"/>
  <c r="D45" i="13"/>
  <c r="E45" i="13" s="1"/>
  <c r="D37" i="13"/>
  <c r="E37" i="13" s="1"/>
  <c r="D29" i="13"/>
  <c r="E29" i="14" s="1"/>
  <c r="D21" i="13"/>
  <c r="E21" i="14" s="1"/>
  <c r="D13" i="13"/>
  <c r="E13" i="14" s="1"/>
  <c r="D5" i="13"/>
  <c r="E5" i="13" s="1"/>
  <c r="D100" i="13"/>
  <c r="E100" i="13" s="1"/>
  <c r="D92" i="13"/>
  <c r="E92" i="13" s="1"/>
  <c r="D84" i="13"/>
  <c r="E84" i="13" s="1"/>
  <c r="D76" i="13"/>
  <c r="E76" i="13" s="1"/>
  <c r="D68" i="13"/>
  <c r="E68" i="13" s="1"/>
  <c r="D60" i="13"/>
  <c r="E60" i="13" s="1"/>
  <c r="D52" i="13"/>
  <c r="E52" i="13" s="1"/>
  <c r="D44" i="13"/>
  <c r="E44" i="14" s="1"/>
  <c r="D36" i="13"/>
  <c r="E36" i="13" s="1"/>
  <c r="D28" i="13"/>
  <c r="E28" i="13" s="1"/>
  <c r="D20" i="13"/>
  <c r="E20" i="13" s="1"/>
  <c r="D12" i="13"/>
  <c r="E12" i="13" s="1"/>
  <c r="D4" i="13"/>
  <c r="E4" i="13" s="1"/>
  <c r="D99" i="13"/>
  <c r="E99" i="13" s="1"/>
  <c r="D91" i="13"/>
  <c r="E91" i="13" s="1"/>
  <c r="D83" i="13"/>
  <c r="E83" i="13" s="1"/>
  <c r="D75" i="13"/>
  <c r="E75" i="13" s="1"/>
  <c r="D67" i="13"/>
  <c r="E67" i="13" s="1"/>
  <c r="D59" i="13"/>
  <c r="E59" i="14" s="1"/>
  <c r="D51" i="13"/>
  <c r="E51" i="13" s="1"/>
  <c r="D43" i="13"/>
  <c r="E43" i="14" s="1"/>
  <c r="D35" i="13"/>
  <c r="E35" i="13" s="1"/>
  <c r="D27" i="13"/>
  <c r="E27" i="13" s="1"/>
  <c r="D19" i="13"/>
  <c r="E19" i="13" s="1"/>
  <c r="D11" i="13"/>
  <c r="E11" i="13" s="1"/>
  <c r="D3" i="13"/>
  <c r="E3" i="13" s="1"/>
  <c r="E97" i="14"/>
  <c r="E89" i="14"/>
  <c r="E81" i="14"/>
  <c r="E73" i="14"/>
  <c r="E65" i="13"/>
  <c r="E57" i="13"/>
  <c r="E49" i="13"/>
  <c r="E41" i="13"/>
  <c r="E33" i="14"/>
  <c r="E25" i="14"/>
  <c r="E17" i="14"/>
  <c r="E9" i="14"/>
  <c r="D98" i="13"/>
  <c r="E98" i="13" s="1"/>
  <c r="D90" i="13"/>
  <c r="E90" i="13" s="1"/>
  <c r="D82" i="13"/>
  <c r="E82" i="14" s="1"/>
  <c r="D74" i="13"/>
  <c r="E74" i="13" s="1"/>
  <c r="D66" i="13"/>
  <c r="E66" i="14" s="1"/>
  <c r="D58" i="13"/>
  <c r="E58" i="13" s="1"/>
  <c r="D50" i="13"/>
  <c r="E50" i="13" s="1"/>
  <c r="D42" i="13"/>
  <c r="E42" i="13" s="1"/>
  <c r="D34" i="13"/>
  <c r="E34" i="13" s="1"/>
  <c r="D26" i="13"/>
  <c r="E26" i="13" s="1"/>
  <c r="D18" i="13"/>
  <c r="E18" i="13" s="1"/>
  <c r="D10" i="13"/>
  <c r="E10" i="13" s="1"/>
  <c r="D2" i="13"/>
  <c r="E2" i="14" s="1"/>
  <c r="E97" i="13"/>
  <c r="E33" i="13"/>
  <c r="E89" i="13"/>
  <c r="E25" i="13"/>
  <c r="E81" i="13"/>
  <c r="E17" i="13"/>
  <c r="E73" i="13"/>
  <c r="E9" i="13"/>
  <c r="E7" i="14"/>
  <c r="E15" i="14"/>
  <c r="E23" i="14"/>
  <c r="E31" i="14"/>
  <c r="E39" i="14"/>
  <c r="E41" i="14"/>
  <c r="E47" i="14"/>
  <c r="E49" i="14"/>
  <c r="E55" i="14"/>
  <c r="E57" i="14"/>
  <c r="E63" i="14"/>
  <c r="E65" i="14"/>
  <c r="E71" i="14"/>
  <c r="E79" i="14"/>
  <c r="E87" i="14"/>
  <c r="E95" i="14"/>
  <c r="C716" i="2"/>
  <c r="C704" i="2"/>
  <c r="C700" i="2"/>
  <c r="C680" i="2"/>
  <c r="C620" i="2"/>
  <c r="C524" i="2"/>
  <c r="C508" i="2"/>
  <c r="C492" i="2"/>
  <c r="C484" i="2"/>
  <c r="C480" i="2"/>
  <c r="C420" i="2"/>
  <c r="C727" i="2"/>
  <c r="C719" i="2"/>
  <c r="C711" i="2"/>
  <c r="C703" i="2"/>
  <c r="C675" i="2"/>
  <c r="C659" i="2"/>
  <c r="C651" i="2"/>
  <c r="C643" i="2"/>
  <c r="C623" i="2"/>
  <c r="C619" i="2"/>
  <c r="C579" i="2"/>
  <c r="C575" i="2"/>
  <c r="C543" i="2"/>
  <c r="C515" i="2"/>
  <c r="C511" i="2"/>
  <c r="C495" i="2"/>
  <c r="C491" i="2"/>
  <c r="C479" i="2"/>
  <c r="C475" i="2"/>
  <c r="C447" i="2"/>
  <c r="C745" i="2"/>
  <c r="C709" i="2"/>
  <c r="C685" i="2"/>
  <c r="C677" i="2"/>
  <c r="C613" i="2"/>
  <c r="C609" i="2"/>
  <c r="C332" i="2"/>
  <c r="C324" i="2"/>
  <c r="C320" i="2"/>
  <c r="C292" i="2"/>
  <c r="C260" i="2"/>
  <c r="C236" i="2"/>
  <c r="C228" i="2"/>
  <c r="C196" i="2"/>
  <c r="C537" i="2"/>
  <c r="C533" i="2"/>
  <c r="C525" i="2"/>
  <c r="C501" i="2"/>
  <c r="C485" i="2"/>
  <c r="C473" i="2"/>
  <c r="C461" i="2"/>
  <c r="C453" i="2"/>
  <c r="C437" i="2"/>
  <c r="C409" i="2"/>
  <c r="C373" i="2"/>
  <c r="C341" i="2"/>
  <c r="C443" i="2"/>
  <c r="C281" i="2"/>
  <c r="C277" i="2"/>
  <c r="C265" i="2"/>
  <c r="C261" i="2"/>
  <c r="C217" i="2"/>
  <c r="C746" i="2"/>
  <c r="C734" i="2"/>
  <c r="C710" i="2"/>
  <c r="C702" i="2"/>
  <c r="C682" i="2"/>
  <c r="C678" i="2"/>
  <c r="C670" i="2"/>
  <c r="C666" i="2"/>
  <c r="C662" i="2"/>
  <c r="C654" i="2"/>
  <c r="C638" i="2"/>
  <c r="C634" i="2"/>
  <c r="C630" i="2"/>
  <c r="C606" i="2"/>
  <c r="C602" i="2"/>
  <c r="C590" i="2"/>
  <c r="C586" i="2"/>
  <c r="C582" i="2"/>
  <c r="C574" i="2"/>
  <c r="C570" i="2"/>
  <c r="C566" i="2"/>
  <c r="C550" i="2"/>
  <c r="C427" i="2"/>
  <c r="C423" i="2"/>
  <c r="C403" i="2"/>
  <c r="C399" i="2"/>
  <c r="C391" i="2"/>
  <c r="C383" i="2"/>
  <c r="C367" i="2"/>
  <c r="C363" i="2"/>
  <c r="C351" i="2"/>
  <c r="C347" i="2"/>
  <c r="C339" i="2"/>
  <c r="C319" i="2"/>
  <c r="C315" i="2"/>
  <c r="C311" i="2"/>
  <c r="C303" i="2"/>
  <c r="C299" i="2"/>
  <c r="C279" i="2"/>
  <c r="C271" i="2"/>
  <c r="C263" i="2"/>
  <c r="C255" i="2"/>
  <c r="C247" i="2"/>
  <c r="C235" i="2"/>
  <c r="C180" i="2"/>
  <c r="C164" i="2"/>
  <c r="C160" i="2"/>
  <c r="C148" i="2"/>
  <c r="C144" i="2"/>
  <c r="C132" i="2"/>
  <c r="C128" i="2"/>
  <c r="C116" i="2"/>
  <c r="C108" i="2"/>
  <c r="C96" i="2"/>
  <c r="C538" i="2"/>
  <c r="C526" i="2"/>
  <c r="C510" i="2"/>
  <c r="C502" i="2"/>
  <c r="C490" i="2"/>
  <c r="C474" i="2"/>
  <c r="C462" i="2"/>
  <c r="C458" i="2"/>
  <c r="C446" i="2"/>
  <c r="C442" i="2"/>
  <c r="C430" i="2"/>
  <c r="C410" i="2"/>
  <c r="C398" i="2"/>
  <c r="C394" i="2"/>
  <c r="C366" i="2"/>
  <c r="C362" i="2"/>
  <c r="C346" i="2"/>
  <c r="C334" i="2"/>
  <c r="C330" i="2"/>
  <c r="C201" i="2"/>
  <c r="C197" i="2"/>
  <c r="C185" i="2"/>
  <c r="C181" i="2"/>
  <c r="C153" i="2"/>
  <c r="C149" i="2"/>
  <c r="C314" i="2"/>
  <c r="C137" i="2"/>
  <c r="C121" i="2"/>
  <c r="C298" i="2"/>
  <c r="C282" i="2"/>
  <c r="C270" i="2"/>
  <c r="C266" i="2"/>
  <c r="C258" i="2"/>
  <c r="C254" i="2"/>
  <c r="C250" i="2"/>
  <c r="C238" i="2"/>
  <c r="C234" i="2"/>
  <c r="C218" i="2"/>
  <c r="C186" i="2"/>
  <c r="C174" i="2"/>
  <c r="C170" i="2"/>
  <c r="C142" i="2"/>
  <c r="C138" i="2"/>
  <c r="C126" i="2"/>
  <c r="C219" i="2"/>
  <c r="C215" i="2"/>
  <c r="C199" i="2"/>
  <c r="C195" i="2"/>
  <c r="C187" i="2"/>
  <c r="C183" i="2"/>
  <c r="C175" i="2"/>
  <c r="C171" i="2"/>
  <c r="C159" i="2"/>
  <c r="C155" i="2"/>
  <c r="C151" i="2"/>
  <c r="C147" i="2"/>
  <c r="C143" i="2"/>
  <c r="C139" i="2"/>
  <c r="C127" i="2"/>
  <c r="C123" i="2"/>
  <c r="C119" i="2"/>
  <c r="C111" i="2"/>
  <c r="C107" i="2"/>
  <c r="C78" i="2"/>
  <c r="G702" i="5"/>
  <c r="G701" i="5"/>
  <c r="D391" i="4"/>
  <c r="G674" i="5"/>
  <c r="G610" i="5"/>
  <c r="G546" i="5"/>
  <c r="G482" i="5"/>
  <c r="G418" i="5"/>
  <c r="G354" i="5"/>
  <c r="G290" i="5"/>
  <c r="G226" i="5"/>
  <c r="G162" i="5"/>
  <c r="G98" i="5"/>
  <c r="G666" i="5"/>
  <c r="G602" i="5"/>
  <c r="G538" i="5"/>
  <c r="G474" i="5"/>
  <c r="G410" i="5"/>
  <c r="G346" i="5"/>
  <c r="G282" i="5"/>
  <c r="G218" i="5"/>
  <c r="G154" i="5"/>
  <c r="G90" i="5"/>
  <c r="G658" i="5"/>
  <c r="G594" i="5"/>
  <c r="G530" i="5"/>
  <c r="G466" i="5"/>
  <c r="G402" i="5"/>
  <c r="G338" i="5"/>
  <c r="G274" i="5"/>
  <c r="G210" i="5"/>
  <c r="G146" i="5"/>
  <c r="G35" i="5"/>
  <c r="G43" i="5"/>
  <c r="G51" i="5"/>
  <c r="G59" i="5"/>
  <c r="G67" i="5"/>
  <c r="G75" i="5"/>
  <c r="G83" i="5"/>
  <c r="G91" i="5"/>
  <c r="G99" i="5"/>
  <c r="G107" i="5"/>
  <c r="G115" i="5"/>
  <c r="G123" i="5"/>
  <c r="G131" i="5"/>
  <c r="G139" i="5"/>
  <c r="G147" i="5"/>
  <c r="G155" i="5"/>
  <c r="G163" i="5"/>
  <c r="G171" i="5"/>
  <c r="G179" i="5"/>
  <c r="G187" i="5"/>
  <c r="G195" i="5"/>
  <c r="G203" i="5"/>
  <c r="G211" i="5"/>
  <c r="G219" i="5"/>
  <c r="G227" i="5"/>
  <c r="G235" i="5"/>
  <c r="G243" i="5"/>
  <c r="G251" i="5"/>
  <c r="G259" i="5"/>
  <c r="G267" i="5"/>
  <c r="G275" i="5"/>
  <c r="G283" i="5"/>
  <c r="G291" i="5"/>
  <c r="G299" i="5"/>
  <c r="G307" i="5"/>
  <c r="G315" i="5"/>
  <c r="G323" i="5"/>
  <c r="G331" i="5"/>
  <c r="G339" i="5"/>
  <c r="G347" i="5"/>
  <c r="G355" i="5"/>
  <c r="G363" i="5"/>
  <c r="G371" i="5"/>
  <c r="G379" i="5"/>
  <c r="G387" i="5"/>
  <c r="G395" i="5"/>
  <c r="G403" i="5"/>
  <c r="G411" i="5"/>
  <c r="G419" i="5"/>
  <c r="G427" i="5"/>
  <c r="G435" i="5"/>
  <c r="G443" i="5"/>
  <c r="G451" i="5"/>
  <c r="G459" i="5"/>
  <c r="G467" i="5"/>
  <c r="G475" i="5"/>
  <c r="G483" i="5"/>
  <c r="G491" i="5"/>
  <c r="G499" i="5"/>
  <c r="G507" i="5"/>
  <c r="G515" i="5"/>
  <c r="G523" i="5"/>
  <c r="G531" i="5"/>
  <c r="G539" i="5"/>
  <c r="G547" i="5"/>
  <c r="G555" i="5"/>
  <c r="G563" i="5"/>
  <c r="G571" i="5"/>
  <c r="G579" i="5"/>
  <c r="G587" i="5"/>
  <c r="G595" i="5"/>
  <c r="G603" i="5"/>
  <c r="G611" i="5"/>
  <c r="G619" i="5"/>
  <c r="G627" i="5"/>
  <c r="G635" i="5"/>
  <c r="G643" i="5"/>
  <c r="G651" i="5"/>
  <c r="G659" i="5"/>
  <c r="G667" i="5"/>
  <c r="G675" i="5"/>
  <c r="G683" i="5"/>
  <c r="G691" i="5"/>
  <c r="G699" i="5"/>
  <c r="G36" i="5"/>
  <c r="G44" i="5"/>
  <c r="G52" i="5"/>
  <c r="G60" i="5"/>
  <c r="G68" i="5"/>
  <c r="G76" i="5"/>
  <c r="G84" i="5"/>
  <c r="G92" i="5"/>
  <c r="G100" i="5"/>
  <c r="G108" i="5"/>
  <c r="G116" i="5"/>
  <c r="G124" i="5"/>
  <c r="G132" i="5"/>
  <c r="G140" i="5"/>
  <c r="G148" i="5"/>
  <c r="G156" i="5"/>
  <c r="G164" i="5"/>
  <c r="G172" i="5"/>
  <c r="G180" i="5"/>
  <c r="G188" i="5"/>
  <c r="G196" i="5"/>
  <c r="G204" i="5"/>
  <c r="G212" i="5"/>
  <c r="G220" i="5"/>
  <c r="G228" i="5"/>
  <c r="G236" i="5"/>
  <c r="G244" i="5"/>
  <c r="G252" i="5"/>
  <c r="G260" i="5"/>
  <c r="G268" i="5"/>
  <c r="G276" i="5"/>
  <c r="G284" i="5"/>
  <c r="G292" i="5"/>
  <c r="G300" i="5"/>
  <c r="G308" i="5"/>
  <c r="G316" i="5"/>
  <c r="G324" i="5"/>
  <c r="G332" i="5"/>
  <c r="G340" i="5"/>
  <c r="G348" i="5"/>
  <c r="G356" i="5"/>
  <c r="G364" i="5"/>
  <c r="G372" i="5"/>
  <c r="G380" i="5"/>
  <c r="G388" i="5"/>
  <c r="G396" i="5"/>
  <c r="G404" i="5"/>
  <c r="G412" i="5"/>
  <c r="G420" i="5"/>
  <c r="G428" i="5"/>
  <c r="G436" i="5"/>
  <c r="G444" i="5"/>
  <c r="G452" i="5"/>
  <c r="G460" i="5"/>
  <c r="G468" i="5"/>
  <c r="G476" i="5"/>
  <c r="G484" i="5"/>
  <c r="G492" i="5"/>
  <c r="G500" i="5"/>
  <c r="G508" i="5"/>
  <c r="G516" i="5"/>
  <c r="G524" i="5"/>
  <c r="G532" i="5"/>
  <c r="G540" i="5"/>
  <c r="G548" i="5"/>
  <c r="G556" i="5"/>
  <c r="G564" i="5"/>
  <c r="G572" i="5"/>
  <c r="G580" i="5"/>
  <c r="G588" i="5"/>
  <c r="G596" i="5"/>
  <c r="G604" i="5"/>
  <c r="G612" i="5"/>
  <c r="G620" i="5"/>
  <c r="G628" i="5"/>
  <c r="G636" i="5"/>
  <c r="G644" i="5"/>
  <c r="G652" i="5"/>
  <c r="G660" i="5"/>
  <c r="G668" i="5"/>
  <c r="G676" i="5"/>
  <c r="G684" i="5"/>
  <c r="G692" i="5"/>
  <c r="G700" i="5"/>
  <c r="G37" i="5"/>
  <c r="G45" i="5"/>
  <c r="G53" i="5"/>
  <c r="G61" i="5"/>
  <c r="G69" i="5"/>
  <c r="G77" i="5"/>
  <c r="G85" i="5"/>
  <c r="G93" i="5"/>
  <c r="G101" i="5"/>
  <c r="G109" i="5"/>
  <c r="G117" i="5"/>
  <c r="G125" i="5"/>
  <c r="G133" i="5"/>
  <c r="G141" i="5"/>
  <c r="G149" i="5"/>
  <c r="G157" i="5"/>
  <c r="G165" i="5"/>
  <c r="G173" i="5"/>
  <c r="G181" i="5"/>
  <c r="G189" i="5"/>
  <c r="G197" i="5"/>
  <c r="G205" i="5"/>
  <c r="G213" i="5"/>
  <c r="G221" i="5"/>
  <c r="G229" i="5"/>
  <c r="G237" i="5"/>
  <c r="G245" i="5"/>
  <c r="G253" i="5"/>
  <c r="G261" i="5"/>
  <c r="G269" i="5"/>
  <c r="G277" i="5"/>
  <c r="G285" i="5"/>
  <c r="G293" i="5"/>
  <c r="G301" i="5"/>
  <c r="G309" i="5"/>
  <c r="G317" i="5"/>
  <c r="G325" i="5"/>
  <c r="G333" i="5"/>
  <c r="G341" i="5"/>
  <c r="G349" i="5"/>
  <c r="G357" i="5"/>
  <c r="G365" i="5"/>
  <c r="G373" i="5"/>
  <c r="G381" i="5"/>
  <c r="G389" i="5"/>
  <c r="G397" i="5"/>
  <c r="G405" i="5"/>
  <c r="G413" i="5"/>
  <c r="G421" i="5"/>
  <c r="G429" i="5"/>
  <c r="G437" i="5"/>
  <c r="G445" i="5"/>
  <c r="G453" i="5"/>
  <c r="G461" i="5"/>
  <c r="G469" i="5"/>
  <c r="G477" i="5"/>
  <c r="G485" i="5"/>
  <c r="G493" i="5"/>
  <c r="G501" i="5"/>
  <c r="G509" i="5"/>
  <c r="G517" i="5"/>
  <c r="G525" i="5"/>
  <c r="G533" i="5"/>
  <c r="G541" i="5"/>
  <c r="G549" i="5"/>
  <c r="G557" i="5"/>
  <c r="G565" i="5"/>
  <c r="G573" i="5"/>
  <c r="G581" i="5"/>
  <c r="G589" i="5"/>
  <c r="G597" i="5"/>
  <c r="G605" i="5"/>
  <c r="G613" i="5"/>
  <c r="G621" i="5"/>
  <c r="G629" i="5"/>
  <c r="G637" i="5"/>
  <c r="G645" i="5"/>
  <c r="G653" i="5"/>
  <c r="G661" i="5"/>
  <c r="G669" i="5"/>
  <c r="G677" i="5"/>
  <c r="G685" i="5"/>
  <c r="G693" i="5"/>
  <c r="G38" i="5"/>
  <c r="G46" i="5"/>
  <c r="G54" i="5"/>
  <c r="G62" i="5"/>
  <c r="G70" i="5"/>
  <c r="G78" i="5"/>
  <c r="G86" i="5"/>
  <c r="G94" i="5"/>
  <c r="G102" i="5"/>
  <c r="G110" i="5"/>
  <c r="G118" i="5"/>
  <c r="G126" i="5"/>
  <c r="G134" i="5"/>
  <c r="G142" i="5"/>
  <c r="G150" i="5"/>
  <c r="G158" i="5"/>
  <c r="G166" i="5"/>
  <c r="G174" i="5"/>
  <c r="G182" i="5"/>
  <c r="G190" i="5"/>
  <c r="G198" i="5"/>
  <c r="G206" i="5"/>
  <c r="G214" i="5"/>
  <c r="G222" i="5"/>
  <c r="G230" i="5"/>
  <c r="G238" i="5"/>
  <c r="G246" i="5"/>
  <c r="G254" i="5"/>
  <c r="G262" i="5"/>
  <c r="G270" i="5"/>
  <c r="G278" i="5"/>
  <c r="G286" i="5"/>
  <c r="G294" i="5"/>
  <c r="G302" i="5"/>
  <c r="G310" i="5"/>
  <c r="G318" i="5"/>
  <c r="G326" i="5"/>
  <c r="G334" i="5"/>
  <c r="G342" i="5"/>
  <c r="G350" i="5"/>
  <c r="G358" i="5"/>
  <c r="G366" i="5"/>
  <c r="G374" i="5"/>
  <c r="G382" i="5"/>
  <c r="G390" i="5"/>
  <c r="G398" i="5"/>
  <c r="G406" i="5"/>
  <c r="G414" i="5"/>
  <c r="G422" i="5"/>
  <c r="G430" i="5"/>
  <c r="G438" i="5"/>
  <c r="G446" i="5"/>
  <c r="G454" i="5"/>
  <c r="G462" i="5"/>
  <c r="G470" i="5"/>
  <c r="G478" i="5"/>
  <c r="G486" i="5"/>
  <c r="G494" i="5"/>
  <c r="G502" i="5"/>
  <c r="G510" i="5"/>
  <c r="G518" i="5"/>
  <c r="G526" i="5"/>
  <c r="G534" i="5"/>
  <c r="G542" i="5"/>
  <c r="G550" i="5"/>
  <c r="G558" i="5"/>
  <c r="G566" i="5"/>
  <c r="G574" i="5"/>
  <c r="G582" i="5"/>
  <c r="G590" i="5"/>
  <c r="G598" i="5"/>
  <c r="G606" i="5"/>
  <c r="G614" i="5"/>
  <c r="G622" i="5"/>
  <c r="G630" i="5"/>
  <c r="G638" i="5"/>
  <c r="G646" i="5"/>
  <c r="G654" i="5"/>
  <c r="G662" i="5"/>
  <c r="G670" i="5"/>
  <c r="G678" i="5"/>
  <c r="G686" i="5"/>
  <c r="G694" i="5"/>
  <c r="G39" i="5"/>
  <c r="G47" i="5"/>
  <c r="G55" i="5"/>
  <c r="G63" i="5"/>
  <c r="G71" i="5"/>
  <c r="G79" i="5"/>
  <c r="G87" i="5"/>
  <c r="G95" i="5"/>
  <c r="G103" i="5"/>
  <c r="G111" i="5"/>
  <c r="G119" i="5"/>
  <c r="G127" i="5"/>
  <c r="G135" i="5"/>
  <c r="G143" i="5"/>
  <c r="G151" i="5"/>
  <c r="G159" i="5"/>
  <c r="G167" i="5"/>
  <c r="G175" i="5"/>
  <c r="G183" i="5"/>
  <c r="G191" i="5"/>
  <c r="G199" i="5"/>
  <c r="G207" i="5"/>
  <c r="G215" i="5"/>
  <c r="G223" i="5"/>
  <c r="G231" i="5"/>
  <c r="G239" i="5"/>
  <c r="G247" i="5"/>
  <c r="G255" i="5"/>
  <c r="G263" i="5"/>
  <c r="G271" i="5"/>
  <c r="G279" i="5"/>
  <c r="G287" i="5"/>
  <c r="G295" i="5"/>
  <c r="G303" i="5"/>
  <c r="G311" i="5"/>
  <c r="G319" i="5"/>
  <c r="G327" i="5"/>
  <c r="G335" i="5"/>
  <c r="G343" i="5"/>
  <c r="G351" i="5"/>
  <c r="G359" i="5"/>
  <c r="G367" i="5"/>
  <c r="G375" i="5"/>
  <c r="G383" i="5"/>
  <c r="G391" i="5"/>
  <c r="G399" i="5"/>
  <c r="G407" i="5"/>
  <c r="G415" i="5"/>
  <c r="G423" i="5"/>
  <c r="G431" i="5"/>
  <c r="G439" i="5"/>
  <c r="G447" i="5"/>
  <c r="G455" i="5"/>
  <c r="G463" i="5"/>
  <c r="G471" i="5"/>
  <c r="G479" i="5"/>
  <c r="G487" i="5"/>
  <c r="G495" i="5"/>
  <c r="G503" i="5"/>
  <c r="G511" i="5"/>
  <c r="G519" i="5"/>
  <c r="G527" i="5"/>
  <c r="G535" i="5"/>
  <c r="G543" i="5"/>
  <c r="G551" i="5"/>
  <c r="G559" i="5"/>
  <c r="G567" i="5"/>
  <c r="G575" i="5"/>
  <c r="G583" i="5"/>
  <c r="G591" i="5"/>
  <c r="G599" i="5"/>
  <c r="G607" i="5"/>
  <c r="G615" i="5"/>
  <c r="G623" i="5"/>
  <c r="G631" i="5"/>
  <c r="G639" i="5"/>
  <c r="G647" i="5"/>
  <c r="G655" i="5"/>
  <c r="G663" i="5"/>
  <c r="G671" i="5"/>
  <c r="G679" i="5"/>
  <c r="G687" i="5"/>
  <c r="G695" i="5"/>
  <c r="G40" i="5"/>
  <c r="G48" i="5"/>
  <c r="G56" i="5"/>
  <c r="G64" i="5"/>
  <c r="G72" i="5"/>
  <c r="G80" i="5"/>
  <c r="G88" i="5"/>
  <c r="G96" i="5"/>
  <c r="G104" i="5"/>
  <c r="G112" i="5"/>
  <c r="G120" i="5"/>
  <c r="G128" i="5"/>
  <c r="G136" i="5"/>
  <c r="G144" i="5"/>
  <c r="G152" i="5"/>
  <c r="G160" i="5"/>
  <c r="G168" i="5"/>
  <c r="G176" i="5"/>
  <c r="G184" i="5"/>
  <c r="G192" i="5"/>
  <c r="G200" i="5"/>
  <c r="G208" i="5"/>
  <c r="G216" i="5"/>
  <c r="G224" i="5"/>
  <c r="G232" i="5"/>
  <c r="G240" i="5"/>
  <c r="G248" i="5"/>
  <c r="G256" i="5"/>
  <c r="G264" i="5"/>
  <c r="G272" i="5"/>
  <c r="G280" i="5"/>
  <c r="G288" i="5"/>
  <c r="G296" i="5"/>
  <c r="G304" i="5"/>
  <c r="G312" i="5"/>
  <c r="G320" i="5"/>
  <c r="G328" i="5"/>
  <c r="G336" i="5"/>
  <c r="G344" i="5"/>
  <c r="G352" i="5"/>
  <c r="G360" i="5"/>
  <c r="G368" i="5"/>
  <c r="G376" i="5"/>
  <c r="G384" i="5"/>
  <c r="G392" i="5"/>
  <c r="G400" i="5"/>
  <c r="G408" i="5"/>
  <c r="G416" i="5"/>
  <c r="G424" i="5"/>
  <c r="G432" i="5"/>
  <c r="G440" i="5"/>
  <c r="G448" i="5"/>
  <c r="G456" i="5"/>
  <c r="G464" i="5"/>
  <c r="G472" i="5"/>
  <c r="G480" i="5"/>
  <c r="G488" i="5"/>
  <c r="G496" i="5"/>
  <c r="G504" i="5"/>
  <c r="G512" i="5"/>
  <c r="G520" i="5"/>
  <c r="G528" i="5"/>
  <c r="G536" i="5"/>
  <c r="G544" i="5"/>
  <c r="G552" i="5"/>
  <c r="G560" i="5"/>
  <c r="G568" i="5"/>
  <c r="G576" i="5"/>
  <c r="G584" i="5"/>
  <c r="G592" i="5"/>
  <c r="G600" i="5"/>
  <c r="G608" i="5"/>
  <c r="G616" i="5"/>
  <c r="G624" i="5"/>
  <c r="G632" i="5"/>
  <c r="G640" i="5"/>
  <c r="G648" i="5"/>
  <c r="G656" i="5"/>
  <c r="G664" i="5"/>
  <c r="G672" i="5"/>
  <c r="G680" i="5"/>
  <c r="G688" i="5"/>
  <c r="G696" i="5"/>
  <c r="G41" i="5"/>
  <c r="G49" i="5"/>
  <c r="G57" i="5"/>
  <c r="G65" i="5"/>
  <c r="G73" i="5"/>
  <c r="G81" i="5"/>
  <c r="G89" i="5"/>
  <c r="G97" i="5"/>
  <c r="G105" i="5"/>
  <c r="G113" i="5"/>
  <c r="G121" i="5"/>
  <c r="G129" i="5"/>
  <c r="G137" i="5"/>
  <c r="G145" i="5"/>
  <c r="G153" i="5"/>
  <c r="G161" i="5"/>
  <c r="G169" i="5"/>
  <c r="G177" i="5"/>
  <c r="G185" i="5"/>
  <c r="G193" i="5"/>
  <c r="G201" i="5"/>
  <c r="G209" i="5"/>
  <c r="G217" i="5"/>
  <c r="G225" i="5"/>
  <c r="G233" i="5"/>
  <c r="G241" i="5"/>
  <c r="G249" i="5"/>
  <c r="G257" i="5"/>
  <c r="G265" i="5"/>
  <c r="G273" i="5"/>
  <c r="G281" i="5"/>
  <c r="G289" i="5"/>
  <c r="G297" i="5"/>
  <c r="G305" i="5"/>
  <c r="G313" i="5"/>
  <c r="G321" i="5"/>
  <c r="G329" i="5"/>
  <c r="G337" i="5"/>
  <c r="G345" i="5"/>
  <c r="G353" i="5"/>
  <c r="G361" i="5"/>
  <c r="G369" i="5"/>
  <c r="G377" i="5"/>
  <c r="G385" i="5"/>
  <c r="G393" i="5"/>
  <c r="G401" i="5"/>
  <c r="G409" i="5"/>
  <c r="G417" i="5"/>
  <c r="G425" i="5"/>
  <c r="G433" i="5"/>
  <c r="G441" i="5"/>
  <c r="G449" i="5"/>
  <c r="G457" i="5"/>
  <c r="G465" i="5"/>
  <c r="G473" i="5"/>
  <c r="G481" i="5"/>
  <c r="G489" i="5"/>
  <c r="G497" i="5"/>
  <c r="G505" i="5"/>
  <c r="G513" i="5"/>
  <c r="G521" i="5"/>
  <c r="G529" i="5"/>
  <c r="G537" i="5"/>
  <c r="G545" i="5"/>
  <c r="G553" i="5"/>
  <c r="G561" i="5"/>
  <c r="G569" i="5"/>
  <c r="G577" i="5"/>
  <c r="G585" i="5"/>
  <c r="G593" i="5"/>
  <c r="G601" i="5"/>
  <c r="G609" i="5"/>
  <c r="G617" i="5"/>
  <c r="G625" i="5"/>
  <c r="G633" i="5"/>
  <c r="G641" i="5"/>
  <c r="G649" i="5"/>
  <c r="G657" i="5"/>
  <c r="G665" i="5"/>
  <c r="G673" i="5"/>
  <c r="G681" i="5"/>
  <c r="G689" i="5"/>
  <c r="G697" i="5"/>
  <c r="G650" i="5"/>
  <c r="G586" i="5"/>
  <c r="G522" i="5"/>
  <c r="G458" i="5"/>
  <c r="G394" i="5"/>
  <c r="G330" i="5"/>
  <c r="G266" i="5"/>
  <c r="G202" i="5"/>
  <c r="G138" i="5"/>
  <c r="G74" i="5"/>
  <c r="G642" i="5"/>
  <c r="G578" i="5"/>
  <c r="G514" i="5"/>
  <c r="G450" i="5"/>
  <c r="G386" i="5"/>
  <c r="G322" i="5"/>
  <c r="G258" i="5"/>
  <c r="G194" i="5"/>
  <c r="G130" i="5"/>
  <c r="G66" i="5"/>
  <c r="G698" i="5"/>
  <c r="G634" i="5"/>
  <c r="G570" i="5"/>
  <c r="G506" i="5"/>
  <c r="G442" i="5"/>
  <c r="G378" i="5"/>
  <c r="G314" i="5"/>
  <c r="G250" i="5"/>
  <c r="G186" i="5"/>
  <c r="G122" i="5"/>
  <c r="G58" i="5"/>
  <c r="G690" i="5"/>
  <c r="G626" i="5"/>
  <c r="G562" i="5"/>
  <c r="G498" i="5"/>
  <c r="G434" i="5"/>
  <c r="G370" i="5"/>
  <c r="G306" i="5"/>
  <c r="G242" i="5"/>
  <c r="G178" i="5"/>
  <c r="G114" i="5"/>
  <c r="G50" i="5"/>
  <c r="G682" i="5"/>
  <c r="G618" i="5"/>
  <c r="G554" i="5"/>
  <c r="G490" i="5"/>
  <c r="G426" i="5"/>
  <c r="G362" i="5"/>
  <c r="G298" i="5"/>
  <c r="G234" i="5"/>
  <c r="G170" i="5"/>
  <c r="G106" i="5"/>
  <c r="G42" i="5"/>
  <c r="C74" i="2"/>
  <c r="C110" i="2"/>
  <c r="C106" i="2"/>
  <c r="C76" i="2"/>
  <c r="F395" i="4"/>
  <c r="F387" i="4"/>
  <c r="H387" i="4" s="1"/>
  <c r="F379" i="4"/>
  <c r="F363" i="4"/>
  <c r="F347" i="4"/>
  <c r="F331" i="4"/>
  <c r="F315" i="4"/>
  <c r="F291" i="4"/>
  <c r="I291" i="4" s="1"/>
  <c r="F283" i="4"/>
  <c r="I283" i="4" s="1"/>
  <c r="F275" i="4"/>
  <c r="I275" i="4" s="1"/>
  <c r="F259" i="4"/>
  <c r="I259" i="4" s="1"/>
  <c r="F243" i="4"/>
  <c r="I243" i="4" s="1"/>
  <c r="F235" i="4"/>
  <c r="F227" i="4"/>
  <c r="H227" i="4" s="1"/>
  <c r="F211" i="4"/>
  <c r="H211" i="4" s="1"/>
  <c r="F203" i="4"/>
  <c r="I203" i="4" s="1"/>
  <c r="F195" i="4"/>
  <c r="I195" i="4" s="1"/>
  <c r="F187" i="4"/>
  <c r="F179" i="4"/>
  <c r="F171" i="4"/>
  <c r="F163" i="4"/>
  <c r="I163" i="4" s="1"/>
  <c r="F147" i="4"/>
  <c r="H147" i="4" s="1"/>
  <c r="F131" i="4"/>
  <c r="H131" i="4" s="1"/>
  <c r="F123" i="4"/>
  <c r="F115" i="4"/>
  <c r="I115" i="4" s="1"/>
  <c r="F107" i="4"/>
  <c r="F99" i="4"/>
  <c r="I99" i="4" s="1"/>
  <c r="F91" i="4"/>
  <c r="F83" i="4"/>
  <c r="H83" i="4" s="1"/>
  <c r="F67" i="4"/>
  <c r="I67" i="4" s="1"/>
  <c r="F59" i="4"/>
  <c r="I59" i="4" s="1"/>
  <c r="F51" i="4"/>
  <c r="H51" i="4" s="1"/>
  <c r="F43" i="4"/>
  <c r="I43" i="4" s="1"/>
  <c r="F35" i="4"/>
  <c r="I35" i="4" s="1"/>
  <c r="F27" i="4"/>
  <c r="F19" i="4"/>
  <c r="I19" i="4" s="1"/>
  <c r="F305" i="4"/>
  <c r="F281" i="4"/>
  <c r="I281" i="4" s="1"/>
  <c r="F273" i="4"/>
  <c r="I273" i="4" s="1"/>
  <c r="F265" i="4"/>
  <c r="H265" i="4" s="1"/>
  <c r="F257" i="4"/>
  <c r="H257" i="4" s="1"/>
  <c r="F249" i="4"/>
  <c r="H249" i="4" s="1"/>
  <c r="F241" i="4"/>
  <c r="H241" i="4" s="1"/>
  <c r="F233" i="4"/>
  <c r="I233" i="4" s="1"/>
  <c r="F225" i="4"/>
  <c r="H225" i="4" s="1"/>
  <c r="F217" i="4"/>
  <c r="I217" i="4" s="1"/>
  <c r="F209" i="4"/>
  <c r="I209" i="4" s="1"/>
  <c r="F201" i="4"/>
  <c r="I201" i="4" s="1"/>
  <c r="F193" i="4"/>
  <c r="I193" i="4" s="1"/>
  <c r="F185" i="4"/>
  <c r="I185" i="4" s="1"/>
  <c r="F177" i="4"/>
  <c r="I177" i="4" s="1"/>
  <c r="F169" i="4"/>
  <c r="I169" i="4" s="1"/>
  <c r="F161" i="4"/>
  <c r="I161" i="4" s="1"/>
  <c r="F153" i="4"/>
  <c r="I153" i="4" s="1"/>
  <c r="F145" i="4"/>
  <c r="I145" i="4" s="1"/>
  <c r="F137" i="4"/>
  <c r="I137" i="4" s="1"/>
  <c r="F129" i="4"/>
  <c r="I129" i="4" s="1"/>
  <c r="F121" i="4"/>
  <c r="I121" i="4" s="1"/>
  <c r="F113" i="4"/>
  <c r="I113" i="4" s="1"/>
  <c r="F105" i="4"/>
  <c r="I105" i="4" s="1"/>
  <c r="F97" i="4"/>
  <c r="H97" i="4" s="1"/>
  <c r="F89" i="4"/>
  <c r="I89" i="4" s="1"/>
  <c r="F81" i="4"/>
  <c r="H81" i="4" s="1"/>
  <c r="F73" i="4"/>
  <c r="I73" i="4" s="1"/>
  <c r="F65" i="4"/>
  <c r="I65" i="4" s="1"/>
  <c r="F57" i="4"/>
  <c r="I57" i="4" s="1"/>
  <c r="F49" i="4"/>
  <c r="I49" i="4" s="1"/>
  <c r="F41" i="4"/>
  <c r="H41" i="4" s="1"/>
  <c r="F33" i="4"/>
  <c r="H33" i="4" s="1"/>
  <c r="F25" i="4"/>
  <c r="H25" i="4" s="1"/>
  <c r="F17" i="4"/>
  <c r="F399" i="4"/>
  <c r="F383" i="4"/>
  <c r="F367" i="4"/>
  <c r="F351" i="4"/>
  <c r="F335" i="4"/>
  <c r="F319" i="4"/>
  <c r="H319" i="4" s="1"/>
  <c r="F303" i="4"/>
  <c r="I303" i="4" s="1"/>
  <c r="F279" i="4"/>
  <c r="I279" i="4" s="1"/>
  <c r="F271" i="4"/>
  <c r="F263" i="4"/>
  <c r="F255" i="4"/>
  <c r="I255" i="4" s="1"/>
  <c r="F247" i="4"/>
  <c r="F239" i="4"/>
  <c r="I239" i="4" s="1"/>
  <c r="F231" i="4"/>
  <c r="F223" i="4"/>
  <c r="I223" i="4" s="1"/>
  <c r="F215" i="4"/>
  <c r="F207" i="4"/>
  <c r="I207" i="4" s="1"/>
  <c r="F199" i="4"/>
  <c r="F191" i="4"/>
  <c r="I191" i="4" s="1"/>
  <c r="F183" i="4"/>
  <c r="F175" i="4"/>
  <c r="H175" i="4" s="1"/>
  <c r="F167" i="4"/>
  <c r="F159" i="4"/>
  <c r="I159" i="4" s="1"/>
  <c r="F151" i="4"/>
  <c r="F143" i="4"/>
  <c r="H143" i="4" s="1"/>
  <c r="F135" i="4"/>
  <c r="F127" i="4"/>
  <c r="F119" i="4"/>
  <c r="F111" i="4"/>
  <c r="I111" i="4" s="1"/>
  <c r="F103" i="4"/>
  <c r="I103" i="4" s="1"/>
  <c r="F95" i="4"/>
  <c r="F87" i="4"/>
  <c r="F79" i="4"/>
  <c r="I79" i="4" s="1"/>
  <c r="F71" i="4"/>
  <c r="F63" i="4"/>
  <c r="F55" i="4"/>
  <c r="F47" i="4"/>
  <c r="F39" i="4"/>
  <c r="I39" i="4" s="1"/>
  <c r="F31" i="4"/>
  <c r="H31" i="4" s="1"/>
  <c r="F23" i="4"/>
  <c r="I23" i="4" s="1"/>
  <c r="F15" i="4"/>
  <c r="F333" i="4"/>
  <c r="H333" i="4" s="1"/>
  <c r="F309" i="4"/>
  <c r="F301" i="4"/>
  <c r="I301" i="4" s="1"/>
  <c r="F277" i="4"/>
  <c r="F269" i="4"/>
  <c r="I269" i="4" s="1"/>
  <c r="F261" i="4"/>
  <c r="I261" i="4" s="1"/>
  <c r="F253" i="4"/>
  <c r="I253" i="4" s="1"/>
  <c r="F245" i="4"/>
  <c r="I245" i="4" s="1"/>
  <c r="F237" i="4"/>
  <c r="H237" i="4" s="1"/>
  <c r="F229" i="4"/>
  <c r="I229" i="4" s="1"/>
  <c r="F221" i="4"/>
  <c r="I221" i="4" s="1"/>
  <c r="F213" i="4"/>
  <c r="H213" i="4" s="1"/>
  <c r="F205" i="4"/>
  <c r="I205" i="4" s="1"/>
  <c r="F197" i="4"/>
  <c r="I197" i="4" s="1"/>
  <c r="F189" i="4"/>
  <c r="I189" i="4" s="1"/>
  <c r="F181" i="4"/>
  <c r="I181" i="4" s="1"/>
  <c r="F173" i="4"/>
  <c r="I173" i="4" s="1"/>
  <c r="F165" i="4"/>
  <c r="H165" i="4" s="1"/>
  <c r="F157" i="4"/>
  <c r="I157" i="4" s="1"/>
  <c r="F149" i="4"/>
  <c r="H149" i="4" s="1"/>
  <c r="F141" i="4"/>
  <c r="I141" i="4" s="1"/>
  <c r="F133" i="4"/>
  <c r="I133" i="4" s="1"/>
  <c r="F125" i="4"/>
  <c r="I125" i="4" s="1"/>
  <c r="F117" i="4"/>
  <c r="H117" i="4" s="1"/>
  <c r="F109" i="4"/>
  <c r="I109" i="4" s="1"/>
  <c r="F101" i="4"/>
  <c r="I101" i="4" s="1"/>
  <c r="F93" i="4"/>
  <c r="H93" i="4" s="1"/>
  <c r="F85" i="4"/>
  <c r="I85" i="4" s="1"/>
  <c r="F77" i="4"/>
  <c r="I77" i="4" s="1"/>
  <c r="F69" i="4"/>
  <c r="I69" i="4" s="1"/>
  <c r="F61" i="4"/>
  <c r="I61" i="4" s="1"/>
  <c r="F53" i="4"/>
  <c r="I53" i="4" s="1"/>
  <c r="F45" i="4"/>
  <c r="I45" i="4" s="1"/>
  <c r="F37" i="4"/>
  <c r="I37" i="4" s="1"/>
  <c r="F29" i="4"/>
  <c r="I29" i="4" s="1"/>
  <c r="F21" i="4"/>
  <c r="H21" i="4" s="1"/>
  <c r="G395" i="4"/>
  <c r="G379" i="4"/>
  <c r="G371" i="4"/>
  <c r="H371" i="4" s="1"/>
  <c r="G363" i="4"/>
  <c r="G355" i="4"/>
  <c r="H355" i="4" s="1"/>
  <c r="G347" i="4"/>
  <c r="G339" i="4"/>
  <c r="H339" i="4" s="1"/>
  <c r="G331" i="4"/>
  <c r="G323" i="4"/>
  <c r="H323" i="4" s="1"/>
  <c r="G315" i="4"/>
  <c r="G307" i="4"/>
  <c r="H307" i="4" s="1"/>
  <c r="G299" i="4"/>
  <c r="H299" i="4" s="1"/>
  <c r="G267" i="4"/>
  <c r="H267" i="4" s="1"/>
  <c r="G251" i="4"/>
  <c r="H251" i="4" s="1"/>
  <c r="G235" i="4"/>
  <c r="G219" i="4"/>
  <c r="G187" i="4"/>
  <c r="G171" i="4"/>
  <c r="G155" i="4"/>
  <c r="H155" i="4" s="1"/>
  <c r="G139" i="4"/>
  <c r="H139" i="4" s="1"/>
  <c r="G123" i="4"/>
  <c r="G107" i="4"/>
  <c r="H107" i="4" s="1"/>
  <c r="G91" i="4"/>
  <c r="G75" i="4"/>
  <c r="H75" i="4" s="1"/>
  <c r="G27" i="4"/>
  <c r="G401" i="4"/>
  <c r="H401" i="4" s="1"/>
  <c r="G393" i="4"/>
  <c r="H393" i="4" s="1"/>
  <c r="G385" i="4"/>
  <c r="H385" i="4" s="1"/>
  <c r="G377" i="4"/>
  <c r="H377" i="4" s="1"/>
  <c r="G369" i="4"/>
  <c r="H369" i="4" s="1"/>
  <c r="G361" i="4"/>
  <c r="H361" i="4" s="1"/>
  <c r="G353" i="4"/>
  <c r="H353" i="4" s="1"/>
  <c r="G345" i="4"/>
  <c r="H345" i="4" s="1"/>
  <c r="G337" i="4"/>
  <c r="H337" i="4" s="1"/>
  <c r="G329" i="4"/>
  <c r="H329" i="4" s="1"/>
  <c r="G321" i="4"/>
  <c r="H321" i="4" s="1"/>
  <c r="G313" i="4"/>
  <c r="H313" i="4" s="1"/>
  <c r="G305" i="4"/>
  <c r="G297" i="4"/>
  <c r="I297" i="4" s="1"/>
  <c r="G289" i="4"/>
  <c r="H289" i="4" s="1"/>
  <c r="G17" i="4"/>
  <c r="G399" i="4"/>
  <c r="G391" i="4"/>
  <c r="H391" i="4" s="1"/>
  <c r="G383" i="4"/>
  <c r="G375" i="4"/>
  <c r="H375" i="4" s="1"/>
  <c r="G367" i="4"/>
  <c r="H367" i="4" s="1"/>
  <c r="G359" i="4"/>
  <c r="H359" i="4" s="1"/>
  <c r="G351" i="4"/>
  <c r="G343" i="4"/>
  <c r="H343" i="4" s="1"/>
  <c r="G335" i="4"/>
  <c r="G327" i="4"/>
  <c r="H327" i="4" s="1"/>
  <c r="G311" i="4"/>
  <c r="H311" i="4" s="1"/>
  <c r="G295" i="4"/>
  <c r="I295" i="4" s="1"/>
  <c r="G287" i="4"/>
  <c r="H287" i="4" s="1"/>
  <c r="G263" i="4"/>
  <c r="G247" i="4"/>
  <c r="G231" i="4"/>
  <c r="H231" i="4" s="1"/>
  <c r="G215" i="4"/>
  <c r="G199" i="4"/>
  <c r="G183" i="4"/>
  <c r="G167" i="4"/>
  <c r="G151" i="4"/>
  <c r="G135" i="4"/>
  <c r="G127" i="4"/>
  <c r="G119" i="4"/>
  <c r="G95" i="4"/>
  <c r="G87" i="4"/>
  <c r="G71" i="4"/>
  <c r="G63" i="4"/>
  <c r="G55" i="4"/>
  <c r="G47" i="4"/>
  <c r="G15" i="4"/>
  <c r="G397" i="4"/>
  <c r="H397" i="4" s="1"/>
  <c r="G389" i="4"/>
  <c r="H389" i="4" s="1"/>
  <c r="G381" i="4"/>
  <c r="H381" i="4" s="1"/>
  <c r="G373" i="4"/>
  <c r="H373" i="4" s="1"/>
  <c r="G365" i="4"/>
  <c r="H365" i="4" s="1"/>
  <c r="G357" i="4"/>
  <c r="H357" i="4" s="1"/>
  <c r="G349" i="4"/>
  <c r="H349" i="4" s="1"/>
  <c r="G341" i="4"/>
  <c r="I341" i="4" s="1"/>
  <c r="G325" i="4"/>
  <c r="H325" i="4" s="1"/>
  <c r="G317" i="4"/>
  <c r="H317" i="4" s="1"/>
  <c r="G309" i="4"/>
  <c r="G293" i="4"/>
  <c r="H293" i="4" s="1"/>
  <c r="G285" i="4"/>
  <c r="H285" i="4" s="1"/>
  <c r="G277" i="4"/>
  <c r="G13" i="4"/>
  <c r="H13" i="4" s="1"/>
  <c r="H219" i="4"/>
  <c r="M377" i="4"/>
  <c r="M393" i="4"/>
  <c r="M345" i="4"/>
  <c r="M329" i="4"/>
  <c r="M313" i="4"/>
  <c r="M361" i="4"/>
  <c r="D311" i="4"/>
  <c r="I219" i="4"/>
  <c r="D359" i="4"/>
  <c r="D375" i="4"/>
  <c r="D343" i="4"/>
  <c r="D327" i="4"/>
  <c r="D369" i="4"/>
  <c r="D337" i="4"/>
  <c r="D401" i="4"/>
  <c r="D353" i="4"/>
  <c r="D385" i="4"/>
  <c r="D321" i="4"/>
  <c r="D287" i="4"/>
  <c r="D19" i="4"/>
  <c r="M37" i="4"/>
  <c r="M53" i="4"/>
  <c r="M69" i="4"/>
  <c r="D101" i="4"/>
  <c r="D181" i="4"/>
  <c r="D197" i="4"/>
  <c r="M229" i="4"/>
  <c r="M245" i="4"/>
  <c r="M261" i="4"/>
  <c r="D73" i="4"/>
  <c r="D89" i="4"/>
  <c r="D121" i="4"/>
  <c r="D137" i="4"/>
  <c r="D153" i="4"/>
  <c r="D185" i="4"/>
  <c r="D217" i="4"/>
  <c r="M233" i="4"/>
  <c r="D265" i="4"/>
  <c r="D23" i="4"/>
  <c r="D129" i="4"/>
  <c r="D145" i="4"/>
  <c r="D161" i="4"/>
  <c r="D177" i="4"/>
  <c r="D193" i="4"/>
  <c r="M209" i="4"/>
  <c r="M225" i="4"/>
  <c r="D273" i="4"/>
  <c r="D281" i="4"/>
  <c r="D13" i="4"/>
  <c r="D45" i="4"/>
  <c r="D109" i="4"/>
  <c r="D21" i="4"/>
  <c r="D35" i="4"/>
  <c r="M51" i="4"/>
  <c r="D131" i="4"/>
  <c r="D275" i="4"/>
  <c r="B325" i="4"/>
  <c r="B373" i="4"/>
  <c r="B341" i="4"/>
  <c r="B389" i="4"/>
  <c r="M303" i="4"/>
  <c r="D303" i="4"/>
  <c r="D319" i="4"/>
  <c r="D397" i="4"/>
  <c r="B303" i="4"/>
  <c r="D301" i="4"/>
  <c r="M395" i="4"/>
  <c r="M381" i="4"/>
  <c r="M353" i="4"/>
  <c r="M305" i="4"/>
  <c r="B343" i="4"/>
  <c r="M401" i="4"/>
  <c r="M385" i="4"/>
  <c r="M351" i="4"/>
  <c r="B375" i="4"/>
  <c r="D367" i="4"/>
  <c r="D351" i="4"/>
  <c r="M301" i="4"/>
  <c r="B399" i="4"/>
  <c r="B319" i="4"/>
  <c r="B383" i="4"/>
  <c r="B327" i="4"/>
  <c r="M363" i="4"/>
  <c r="B391" i="4"/>
  <c r="B311" i="4"/>
  <c r="D365" i="4"/>
  <c r="D349" i="4"/>
  <c r="M337" i="4"/>
  <c r="M379" i="4"/>
  <c r="M347" i="4"/>
  <c r="B401" i="4"/>
  <c r="B393" i="4"/>
  <c r="B385" i="4"/>
  <c r="B377" i="4"/>
  <c r="B369" i="4"/>
  <c r="B361" i="4"/>
  <c r="B353" i="4"/>
  <c r="B345" i="4"/>
  <c r="B337" i="4"/>
  <c r="B329" i="4"/>
  <c r="B321" i="4"/>
  <c r="B313" i="4"/>
  <c r="B305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M349" i="4"/>
  <c r="B359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97" i="4"/>
  <c r="B381" i="4"/>
  <c r="B365" i="4"/>
  <c r="B357" i="4"/>
  <c r="B349" i="4"/>
  <c r="B333" i="4"/>
  <c r="B317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B13" i="4"/>
  <c r="B387" i="4"/>
  <c r="B371" i="4"/>
  <c r="B355" i="4"/>
  <c r="B339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35" i="4"/>
  <c r="M333" i="4"/>
  <c r="M331" i="4"/>
  <c r="D383" i="4"/>
  <c r="D381" i="4"/>
  <c r="D335" i="4"/>
  <c r="D333" i="4"/>
  <c r="M321" i="4"/>
  <c r="M319" i="4"/>
  <c r="M369" i="4"/>
  <c r="M317" i="4"/>
  <c r="M315" i="4"/>
  <c r="M367" i="4"/>
  <c r="M365" i="4"/>
  <c r="D317" i="4"/>
  <c r="M389" i="4"/>
  <c r="D387" i="4"/>
  <c r="M373" i="4"/>
  <c r="D371" i="4"/>
  <c r="M357" i="4"/>
  <c r="D355" i="4"/>
  <c r="M341" i="4"/>
  <c r="D339" i="4"/>
  <c r="M325" i="4"/>
  <c r="D323" i="4"/>
  <c r="M309" i="4"/>
  <c r="D307" i="4"/>
  <c r="D393" i="4"/>
  <c r="D377" i="4"/>
  <c r="D361" i="4"/>
  <c r="D345" i="4"/>
  <c r="D329" i="4"/>
  <c r="D313" i="4"/>
  <c r="D39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M397" i="4"/>
  <c r="D395" i="4"/>
  <c r="D379" i="4"/>
  <c r="D363" i="4"/>
  <c r="D347" i="4"/>
  <c r="D331" i="4"/>
  <c r="M387" i="4"/>
  <c r="M371" i="4"/>
  <c r="M355" i="4"/>
  <c r="M339" i="4"/>
  <c r="M323" i="4"/>
  <c r="M307" i="4"/>
  <c r="M283" i="4"/>
  <c r="M253" i="4"/>
  <c r="M237" i="4"/>
  <c r="M203" i="4"/>
  <c r="M287" i="4"/>
  <c r="M267" i="4"/>
  <c r="M251" i="4"/>
  <c r="M297" i="4"/>
  <c r="M187" i="4"/>
  <c r="M171" i="4"/>
  <c r="M281" i="4"/>
  <c r="M139" i="4"/>
  <c r="M285" i="4"/>
  <c r="M91" i="4"/>
  <c r="M161" i="4"/>
  <c r="M255" i="4"/>
  <c r="M159" i="4"/>
  <c r="M241" i="4"/>
  <c r="M271" i="4"/>
  <c r="M273" i="4"/>
  <c r="M269" i="4"/>
  <c r="M175" i="4"/>
  <c r="M143" i="4"/>
  <c r="D297" i="4"/>
  <c r="D125" i="4"/>
  <c r="M235" i="4"/>
  <c r="M155" i="4"/>
  <c r="D299" i="4"/>
  <c r="M299" i="4"/>
  <c r="M219" i="4"/>
  <c r="D283" i="4"/>
  <c r="M123" i="4"/>
  <c r="M107" i="4"/>
  <c r="M75" i="4"/>
  <c r="D269" i="4"/>
  <c r="D255" i="4"/>
  <c r="M223" i="4"/>
  <c r="D143" i="4"/>
  <c r="M207" i="4"/>
  <c r="M47" i="4"/>
  <c r="M191" i="4"/>
  <c r="M239" i="4"/>
  <c r="M127" i="4"/>
  <c r="D271" i="4"/>
  <c r="D257" i="4"/>
  <c r="M193" i="4"/>
  <c r="D241" i="4"/>
  <c r="M145" i="4"/>
  <c r="M23" i="4"/>
  <c r="D225" i="4"/>
  <c r="M257" i="4"/>
  <c r="D209" i="4"/>
  <c r="M177" i="4"/>
  <c r="M33" i="4"/>
  <c r="M129" i="4"/>
  <c r="D279" i="4"/>
  <c r="D219" i="4"/>
  <c r="D139" i="4"/>
  <c r="M291" i="4"/>
  <c r="M289" i="4"/>
  <c r="D203" i="4"/>
  <c r="D75" i="4"/>
  <c r="D289" i="4"/>
  <c r="D267" i="4"/>
  <c r="D251" i="4"/>
  <c r="M293" i="4"/>
  <c r="M163" i="4"/>
  <c r="D155" i="4"/>
  <c r="M79" i="4"/>
  <c r="D285" i="4"/>
  <c r="D239" i="4"/>
  <c r="D295" i="4"/>
  <c r="D293" i="4"/>
  <c r="D237" i="4"/>
  <c r="M295" i="4"/>
  <c r="M133" i="4"/>
  <c r="M105" i="4"/>
  <c r="M153" i="4"/>
  <c r="M167" i="4"/>
  <c r="M59" i="4"/>
  <c r="D43" i="4"/>
  <c r="M43" i="4"/>
  <c r="M183" i="4"/>
  <c r="M27" i="4"/>
  <c r="D17" i="4"/>
  <c r="M99" i="4"/>
  <c r="D163" i="4"/>
  <c r="M211" i="4"/>
  <c r="M131" i="4"/>
  <c r="M35" i="4"/>
  <c r="D211" i="4"/>
  <c r="M179" i="4"/>
  <c r="M83" i="4"/>
  <c r="D243" i="4"/>
  <c r="D67" i="4"/>
  <c r="M259" i="4"/>
  <c r="D39" i="4"/>
  <c r="D25" i="4"/>
  <c r="M147" i="4"/>
  <c r="M243" i="4"/>
  <c r="M227" i="4"/>
  <c r="M195" i="4"/>
  <c r="M115" i="4"/>
  <c r="M67" i="4"/>
  <c r="M275" i="4"/>
  <c r="D291" i="4"/>
  <c r="D115" i="4"/>
  <c r="D51" i="4"/>
  <c r="M21" i="4"/>
  <c r="D195" i="4"/>
  <c r="D259" i="4"/>
  <c r="D147" i="4"/>
  <c r="D99" i="4"/>
  <c r="D227" i="4"/>
  <c r="D179" i="4"/>
  <c r="D83" i="4"/>
  <c r="D169" i="4"/>
  <c r="D213" i="4"/>
  <c r="D221" i="4"/>
  <c r="D201" i="4"/>
  <c r="D249" i="4"/>
  <c r="D233" i="4"/>
  <c r="M249" i="4"/>
  <c r="M201" i="4"/>
  <c r="M265" i="4"/>
  <c r="M89" i="4"/>
  <c r="M217" i="4"/>
  <c r="M169" i="4"/>
  <c r="M121" i="4"/>
  <c r="M185" i="4"/>
  <c r="D253" i="4"/>
  <c r="M137" i="4"/>
  <c r="M73" i="4"/>
  <c r="M199" i="4"/>
  <c r="M165" i="4"/>
  <c r="M103" i="4"/>
  <c r="M215" i="4"/>
  <c r="M181" i="4"/>
  <c r="D277" i="4"/>
  <c r="D261" i="4"/>
  <c r="D245" i="4"/>
  <c r="D229" i="4"/>
  <c r="M279" i="4"/>
  <c r="M263" i="4"/>
  <c r="M247" i="4"/>
  <c r="M231" i="4"/>
  <c r="M197" i="4"/>
  <c r="M55" i="4"/>
  <c r="M213" i="4"/>
  <c r="M119" i="4"/>
  <c r="D173" i="4"/>
  <c r="M149" i="4"/>
  <c r="M135" i="4"/>
  <c r="D189" i="4"/>
  <c r="M151" i="4"/>
  <c r="M117" i="4"/>
  <c r="D205" i="4"/>
  <c r="D105" i="4"/>
  <c r="M221" i="4"/>
  <c r="M205" i="4"/>
  <c r="M189" i="4"/>
  <c r="M173" i="4"/>
  <c r="M157" i="4"/>
  <c r="M141" i="4"/>
  <c r="M125" i="4"/>
  <c r="D79" i="4"/>
  <c r="D31" i="4"/>
  <c r="D141" i="4"/>
  <c r="D111" i="4"/>
  <c r="M95" i="4"/>
  <c r="M63" i="4"/>
  <c r="M31" i="4"/>
  <c r="D159" i="4"/>
  <c r="D223" i="4"/>
  <c r="D207" i="4"/>
  <c r="D191" i="4"/>
  <c r="D175" i="4"/>
  <c r="D157" i="4"/>
  <c r="D117" i="4"/>
  <c r="M111" i="4"/>
  <c r="D133" i="4"/>
  <c r="M85" i="4"/>
  <c r="D149" i="4"/>
  <c r="D165" i="4"/>
  <c r="D71" i="4"/>
  <c r="M101" i="4"/>
  <c r="D87" i="4"/>
  <c r="D69" i="4"/>
  <c r="M39" i="4"/>
  <c r="D103" i="4"/>
  <c r="D85" i="4"/>
  <c r="M61" i="4"/>
  <c r="M77" i="4"/>
  <c r="D61" i="4"/>
  <c r="M93" i="4"/>
  <c r="M109" i="4"/>
  <c r="D77" i="4"/>
  <c r="D37" i="4"/>
  <c r="D93" i="4"/>
  <c r="M45" i="4"/>
  <c r="D33" i="4"/>
  <c r="D49" i="4"/>
  <c r="D113" i="4"/>
  <c r="D97" i="4"/>
  <c r="D81" i="4"/>
  <c r="D65" i="4"/>
  <c r="M49" i="4"/>
  <c r="M113" i="4"/>
  <c r="M97" i="4"/>
  <c r="M81" i="4"/>
  <c r="M65" i="4"/>
  <c r="D53" i="4"/>
  <c r="M19" i="4"/>
  <c r="M57" i="4"/>
  <c r="M41" i="4"/>
  <c r="D57" i="4"/>
  <c r="D41" i="4"/>
  <c r="M29" i="4"/>
  <c r="M25" i="4"/>
  <c r="D29" i="4"/>
  <c r="M13" i="4"/>
  <c r="M15" i="4"/>
  <c r="G82" i="5" l="1"/>
  <c r="A173" i="2"/>
  <c r="C173" i="2" s="1"/>
  <c r="A237" i="2"/>
  <c r="C237" i="2" s="1"/>
  <c r="A365" i="2"/>
  <c r="C365" i="2" s="1"/>
  <c r="A100" i="2"/>
  <c r="A166" i="2"/>
  <c r="C166" i="2" s="1"/>
  <c r="A230" i="2"/>
  <c r="C230" i="2" s="1"/>
  <c r="A294" i="2"/>
  <c r="C294" i="2" s="1"/>
  <c r="A358" i="2"/>
  <c r="C358" i="2" s="1"/>
  <c r="A422" i="2"/>
  <c r="A504" i="2"/>
  <c r="C504" i="2" s="1"/>
  <c r="A632" i="2"/>
  <c r="C632" i="2" s="1"/>
  <c r="A468" i="2"/>
  <c r="C468" i="2" s="1"/>
  <c r="A433" i="2"/>
  <c r="C433" i="2" s="1"/>
  <c r="A497" i="2"/>
  <c r="C497" i="2" s="1"/>
  <c r="A737" i="2"/>
  <c r="C737" i="2" s="1"/>
  <c r="A372" i="2"/>
  <c r="C372" i="2" s="1"/>
  <c r="A571" i="2"/>
  <c r="C571" i="2" s="1"/>
  <c r="A699" i="2"/>
  <c r="C699" i="2" s="1"/>
  <c r="A612" i="2"/>
  <c r="C612" i="2" s="1"/>
  <c r="A676" i="2"/>
  <c r="C676" i="2" s="1"/>
  <c r="A740" i="2"/>
  <c r="C740" i="2" s="1"/>
  <c r="A673" i="2"/>
  <c r="C673" i="2" s="1"/>
  <c r="A428" i="2"/>
  <c r="C428" i="2" s="1"/>
  <c r="A541" i="2"/>
  <c r="C541" i="2" s="1"/>
  <c r="A605" i="2"/>
  <c r="C605" i="2" s="1"/>
  <c r="A669" i="2"/>
  <c r="C669" i="2" s="1"/>
  <c r="A733" i="2"/>
  <c r="C733" i="2" s="1"/>
  <c r="A327" i="2"/>
  <c r="C327" i="2" s="1"/>
  <c r="A455" i="2"/>
  <c r="C455" i="2" s="1"/>
  <c r="A519" i="2"/>
  <c r="C519" i="2" s="1"/>
  <c r="A253" i="2"/>
  <c r="C578" i="2"/>
  <c r="C706" i="2"/>
  <c r="C211" i="2"/>
  <c r="C405" i="2"/>
  <c r="C608" i="2"/>
  <c r="E30" i="14"/>
  <c r="E4" i="14"/>
  <c r="E14" i="14"/>
  <c r="E62" i="14"/>
  <c r="E45" i="14"/>
  <c r="E78" i="14"/>
  <c r="E48" i="14"/>
  <c r="E100" i="14"/>
  <c r="E53" i="14"/>
  <c r="E98" i="14"/>
  <c r="E88" i="14"/>
  <c r="E84" i="14"/>
  <c r="E91" i="14"/>
  <c r="E20" i="14"/>
  <c r="E74" i="14"/>
  <c r="E67" i="14"/>
  <c r="E10" i="14"/>
  <c r="E50" i="14"/>
  <c r="E96" i="14"/>
  <c r="E32" i="14"/>
  <c r="E68" i="14"/>
  <c r="E58" i="14"/>
  <c r="E37" i="14"/>
  <c r="E38" i="14"/>
  <c r="E8" i="14"/>
  <c r="E60" i="14"/>
  <c r="E99" i="14"/>
  <c r="E26" i="14"/>
  <c r="E54" i="14"/>
  <c r="E24" i="14"/>
  <c r="E35" i="14"/>
  <c r="E72" i="14"/>
  <c r="E42" i="14"/>
  <c r="E27" i="14"/>
  <c r="E80" i="14"/>
  <c r="E16" i="14"/>
  <c r="E34" i="14"/>
  <c r="E3" i="14"/>
  <c r="E69" i="14"/>
  <c r="E94" i="14"/>
  <c r="E90" i="14"/>
  <c r="E36" i="14"/>
  <c r="E5" i="14"/>
  <c r="E19" i="14"/>
  <c r="E44" i="13"/>
  <c r="E83" i="14"/>
  <c r="E51" i="14"/>
  <c r="E82" i="13"/>
  <c r="E76" i="14"/>
  <c r="E52" i="14"/>
  <c r="E12" i="14"/>
  <c r="E21" i="13"/>
  <c r="E85" i="13"/>
  <c r="E11" i="14"/>
  <c r="E46" i="14"/>
  <c r="E61" i="14"/>
  <c r="E18" i="14"/>
  <c r="E75" i="14"/>
  <c r="E2" i="13"/>
  <c r="E66" i="13"/>
  <c r="E64" i="14"/>
  <c r="E43" i="13"/>
  <c r="E29" i="13"/>
  <c r="E93" i="13"/>
  <c r="E40" i="13"/>
  <c r="E6" i="13"/>
  <c r="E70" i="13"/>
  <c r="E59" i="13"/>
  <c r="E56" i="13"/>
  <c r="E22" i="13"/>
  <c r="E86" i="13"/>
  <c r="E92" i="14"/>
  <c r="E28" i="14"/>
  <c r="E77" i="14"/>
  <c r="E13" i="13"/>
  <c r="H69" i="4"/>
  <c r="H49" i="4"/>
  <c r="H19" i="4"/>
  <c r="H229" i="4"/>
  <c r="H275" i="4"/>
  <c r="H37" i="4"/>
  <c r="I315" i="4"/>
  <c r="H57" i="4"/>
  <c r="H59" i="4"/>
  <c r="H23" i="4"/>
  <c r="H273" i="4"/>
  <c r="I377" i="4"/>
  <c r="I337" i="4"/>
  <c r="H129" i="4"/>
  <c r="H61" i="4"/>
  <c r="H239" i="4"/>
  <c r="H109" i="4"/>
  <c r="I359" i="4"/>
  <c r="I235" i="4"/>
  <c r="H193" i="4"/>
  <c r="I389" i="4"/>
  <c r="H45" i="4"/>
  <c r="I139" i="4"/>
  <c r="I321" i="4"/>
  <c r="H259" i="4"/>
  <c r="H17" i="4"/>
  <c r="I363" i="4"/>
  <c r="H209" i="4"/>
  <c r="H105" i="4"/>
  <c r="H233" i="4"/>
  <c r="I385" i="4"/>
  <c r="H191" i="4"/>
  <c r="I325" i="4"/>
  <c r="I251" i="4"/>
  <c r="I361" i="4"/>
  <c r="H177" i="4"/>
  <c r="H39" i="4"/>
  <c r="H157" i="4"/>
  <c r="H303" i="4"/>
  <c r="H215" i="4"/>
  <c r="I267" i="4"/>
  <c r="H27" i="4"/>
  <c r="H189" i="4"/>
  <c r="I75" i="4"/>
  <c r="I311" i="4"/>
  <c r="H199" i="4"/>
  <c r="I299" i="4"/>
  <c r="H301" i="4"/>
  <c r="H253" i="4"/>
  <c r="H55" i="4"/>
  <c r="I293" i="4"/>
  <c r="H153" i="4"/>
  <c r="H181" i="4"/>
  <c r="H255" i="4"/>
  <c r="I369" i="4"/>
  <c r="H35" i="4"/>
  <c r="I91" i="4"/>
  <c r="I353" i="4"/>
  <c r="I379" i="4"/>
  <c r="H161" i="4"/>
  <c r="I349" i="4"/>
  <c r="I165" i="4"/>
  <c r="I317" i="4"/>
  <c r="H111" i="4"/>
  <c r="H279" i="4"/>
  <c r="I329" i="4"/>
  <c r="I375" i="4"/>
  <c r="H195" i="4"/>
  <c r="H77" i="4"/>
  <c r="H103" i="4"/>
  <c r="H121" i="4"/>
  <c r="I93" i="4"/>
  <c r="I367" i="4"/>
  <c r="H395" i="4"/>
  <c r="H101" i="4"/>
  <c r="I55" i="4"/>
  <c r="I63" i="4"/>
  <c r="I199" i="4"/>
  <c r="I287" i="4"/>
  <c r="I225" i="4"/>
  <c r="I401" i="4"/>
  <c r="I183" i="4"/>
  <c r="I333" i="4"/>
  <c r="I355" i="4"/>
  <c r="H283" i="4"/>
  <c r="I107" i="4"/>
  <c r="H335" i="4"/>
  <c r="I313" i="4"/>
  <c r="I285" i="4"/>
  <c r="I127" i="4"/>
  <c r="I47" i="4"/>
  <c r="H235" i="4"/>
  <c r="I71" i="4"/>
  <c r="I383" i="4"/>
  <c r="I237" i="4"/>
  <c r="H171" i="4"/>
  <c r="H135" i="4"/>
  <c r="H243" i="4"/>
  <c r="H91" i="4"/>
  <c r="H65" i="4"/>
  <c r="I247" i="4"/>
  <c r="I309" i="4"/>
  <c r="I373" i="4"/>
  <c r="I339" i="4"/>
  <c r="I187" i="4"/>
  <c r="H95" i="4"/>
  <c r="H217" i="4"/>
  <c r="H291" i="4"/>
  <c r="H87" i="4"/>
  <c r="I345" i="4"/>
  <c r="H73" i="4"/>
  <c r="H167" i="4"/>
  <c r="H137" i="4"/>
  <c r="I211" i="4"/>
  <c r="H79" i="4"/>
  <c r="H399" i="4"/>
  <c r="I327" i="4"/>
  <c r="H53" i="4"/>
  <c r="I393" i="4"/>
  <c r="I323" i="4"/>
  <c r="I277" i="4"/>
  <c r="I371" i="4"/>
  <c r="I155" i="4"/>
  <c r="H261" i="4"/>
  <c r="I343" i="4"/>
  <c r="H89" i="4"/>
  <c r="I395" i="4"/>
  <c r="I307" i="4"/>
  <c r="H145" i="4"/>
  <c r="H245" i="4"/>
  <c r="I131" i="4"/>
  <c r="I397" i="4"/>
  <c r="I123" i="4"/>
  <c r="H201" i="4"/>
  <c r="I215" i="4"/>
  <c r="I51" i="4"/>
  <c r="I265" i="4"/>
  <c r="I25" i="4"/>
  <c r="I87" i="4"/>
  <c r="I17" i="4"/>
  <c r="H197" i="4"/>
  <c r="I305" i="4"/>
  <c r="I15" i="4"/>
  <c r="H63" i="4"/>
  <c r="I147" i="4"/>
  <c r="I365" i="4"/>
  <c r="H281" i="4"/>
  <c r="H223" i="4"/>
  <c r="H67" i="4"/>
  <c r="I95" i="4"/>
  <c r="I13" i="4"/>
  <c r="I151" i="4"/>
  <c r="I119" i="4"/>
  <c r="I249" i="4"/>
  <c r="I387" i="4"/>
  <c r="H15" i="4"/>
  <c r="H47" i="4"/>
  <c r="H127" i="4"/>
  <c r="H341" i="4"/>
  <c r="I171" i="4"/>
  <c r="H207" i="4"/>
  <c r="I381" i="4"/>
  <c r="I227" i="4"/>
  <c r="I391" i="4"/>
  <c r="I117" i="4"/>
  <c r="H295" i="4"/>
  <c r="H263" i="4"/>
  <c r="H43" i="4"/>
  <c r="H151" i="4"/>
  <c r="I347" i="4"/>
  <c r="I81" i="4"/>
  <c r="H85" i="4"/>
  <c r="H331" i="4"/>
  <c r="H119" i="4"/>
  <c r="H163" i="4"/>
  <c r="H99" i="4"/>
  <c r="H379" i="4"/>
  <c r="H71" i="4"/>
  <c r="H347" i="4"/>
  <c r="I399" i="4"/>
  <c r="I319" i="4"/>
  <c r="H351" i="4"/>
  <c r="H183" i="4"/>
  <c r="H123" i="4"/>
  <c r="H185" i="4"/>
  <c r="I231" i="4"/>
  <c r="H247" i="4"/>
  <c r="I263" i="4"/>
  <c r="I27" i="4"/>
  <c r="I213" i="4"/>
  <c r="H309" i="4"/>
  <c r="I149" i="4"/>
  <c r="H205" i="4"/>
  <c r="H305" i="4"/>
  <c r="H125" i="4"/>
  <c r="I135" i="4"/>
  <c r="I167" i="4"/>
  <c r="H297" i="4"/>
  <c r="I83" i="4"/>
  <c r="H115" i="4"/>
  <c r="H203" i="4"/>
  <c r="H169" i="4"/>
  <c r="I241" i="4"/>
  <c r="H277" i="4"/>
  <c r="I357" i="4"/>
  <c r="H221" i="4"/>
  <c r="I31" i="4"/>
  <c r="H159" i="4"/>
  <c r="H383" i="4"/>
  <c r="H113" i="4"/>
  <c r="I97" i="4"/>
  <c r="H179" i="4"/>
  <c r="H173" i="4"/>
  <c r="I289" i="4"/>
  <c r="I21" i="4"/>
  <c r="I33" i="4"/>
  <c r="I41" i="4"/>
  <c r="H133" i="4"/>
  <c r="I331" i="4"/>
  <c r="H141" i="4"/>
  <c r="I271" i="4"/>
  <c r="I351" i="4"/>
  <c r="H29" i="4"/>
  <c r="I179" i="4"/>
  <c r="I257" i="4"/>
  <c r="H187" i="4"/>
  <c r="H363" i="4"/>
  <c r="H271" i="4"/>
  <c r="H315" i="4"/>
  <c r="I335" i="4"/>
  <c r="I143" i="4"/>
  <c r="H269" i="4"/>
  <c r="I175" i="4"/>
  <c r="C13" i="19"/>
  <c r="C12" i="19"/>
  <c r="C9" i="19"/>
  <c r="C11" i="19"/>
  <c r="C26" i="18"/>
  <c r="C27" i="18"/>
  <c r="C28" i="18"/>
  <c r="C29" i="18"/>
  <c r="C30" i="18"/>
  <c r="C31" i="18"/>
  <c r="C32" i="18"/>
  <c r="C33" i="18"/>
  <c r="C34" i="18"/>
  <c r="C25" i="18"/>
  <c r="C24" i="18"/>
  <c r="C23" i="18"/>
  <c r="C22" i="18"/>
  <c r="C21" i="18"/>
  <c r="C20" i="18"/>
  <c r="C13" i="11"/>
  <c r="C12" i="11"/>
  <c r="C20" i="10"/>
  <c r="C19" i="10"/>
  <c r="C18" i="10"/>
  <c r="C17" i="10"/>
  <c r="G34" i="5"/>
  <c r="G33" i="5"/>
  <c r="C66" i="2"/>
  <c r="F31" i="12"/>
  <c r="G31" i="12"/>
  <c r="H31" i="12"/>
  <c r="F30" i="12"/>
  <c r="G30" i="12"/>
  <c r="H30" i="12"/>
  <c r="F29" i="12"/>
  <c r="G29" i="12"/>
  <c r="H29" i="12"/>
  <c r="F28" i="12"/>
  <c r="G28" i="12"/>
  <c r="H28" i="12"/>
  <c r="C64" i="2"/>
  <c r="C62" i="2"/>
  <c r="C60" i="2"/>
  <c r="A22" i="15"/>
  <c r="D35" i="1" l="1"/>
  <c r="D39" i="1"/>
  <c r="D177" i="1"/>
  <c r="D156" i="1"/>
  <c r="D129" i="1"/>
  <c r="D114" i="1"/>
  <c r="D116" i="1"/>
  <c r="D176" i="1"/>
  <c r="C422" i="2"/>
  <c r="D192" i="1"/>
  <c r="D85" i="1"/>
  <c r="D98" i="1"/>
  <c r="C253" i="2"/>
  <c r="D69" i="1"/>
  <c r="D57" i="1"/>
  <c r="D44" i="1"/>
  <c r="D106" i="1"/>
  <c r="D36" i="1"/>
  <c r="D165" i="1"/>
  <c r="D138" i="1"/>
  <c r="D27" i="1"/>
  <c r="D77" i="1"/>
  <c r="D200" i="1"/>
  <c r="D144" i="1"/>
  <c r="D75" i="1"/>
  <c r="C100" i="2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C467" i="2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C7" i="11"/>
  <c r="C8" i="19" l="1"/>
  <c r="C4" i="19"/>
  <c r="C10" i="19"/>
  <c r="C16" i="18"/>
  <c r="C17" i="18"/>
  <c r="C18" i="18"/>
  <c r="C19" i="18"/>
  <c r="C12" i="18"/>
  <c r="C13" i="18"/>
  <c r="C14" i="18"/>
  <c r="C15" i="18"/>
  <c r="C9" i="18"/>
  <c r="C10" i="18"/>
  <c r="C11" i="18"/>
  <c r="C8" i="18"/>
  <c r="C11" i="11"/>
  <c r="C10" i="11"/>
  <c r="C9" i="11"/>
  <c r="C8" i="11"/>
  <c r="C16" i="10"/>
  <c r="C15" i="10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G32" i="5" l="1"/>
  <c r="G31" i="5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H6" i="4" l="1"/>
  <c r="I6" i="4"/>
  <c r="G20" i="12"/>
  <c r="F22" i="12"/>
  <c r="G22" i="12"/>
  <c r="F20" i="12"/>
  <c r="G7" i="12"/>
  <c r="F17" i="12"/>
  <c r="G17" i="12"/>
  <c r="F7" i="12"/>
  <c r="H5" i="4"/>
  <c r="G11" i="12"/>
  <c r="I5" i="4"/>
  <c r="F11" i="12"/>
  <c r="H10" i="4"/>
  <c r="G26" i="12"/>
  <c r="F24" i="12"/>
  <c r="G24" i="12"/>
  <c r="F26" i="12"/>
  <c r="I10" i="4"/>
  <c r="G19" i="12"/>
  <c r="F9" i="12"/>
  <c r="I8" i="4"/>
  <c r="F19" i="12"/>
  <c r="H8" i="4"/>
  <c r="G13" i="12"/>
  <c r="F13" i="12"/>
  <c r="G9" i="12"/>
  <c r="G4" i="12"/>
  <c r="F4" i="12"/>
  <c r="G2" i="12"/>
  <c r="F14" i="12"/>
  <c r="G14" i="12"/>
  <c r="F2" i="12"/>
  <c r="I2" i="4"/>
  <c r="H2" i="4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I4" i="4"/>
  <c r="G3" i="12"/>
  <c r="G21" i="12"/>
  <c r="F27" i="12"/>
  <c r="G16" i="12"/>
  <c r="I7" i="4"/>
  <c r="I11" i="4"/>
  <c r="H9" i="4"/>
  <c r="G6" i="12"/>
  <c r="F5" i="12"/>
  <c r="F16" i="12"/>
  <c r="I9" i="4"/>
  <c r="H3" i="4"/>
  <c r="H7" i="4"/>
  <c r="H11" i="4"/>
  <c r="G10" i="12"/>
  <c r="G25" i="12"/>
  <c r="F15" i="12"/>
  <c r="F23" i="12"/>
  <c r="H4" i="4"/>
  <c r="G5" i="12"/>
  <c r="F6" i="12"/>
  <c r="I3" i="4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C602" i="21" s="1"/>
  <c r="A603" i="21"/>
  <c r="A604" i="21"/>
  <c r="A605" i="21"/>
  <c r="A606" i="21"/>
  <c r="A607" i="21"/>
  <c r="A608" i="21"/>
  <c r="A609" i="21"/>
  <c r="A610" i="21"/>
  <c r="C610" i="21" s="1"/>
  <c r="A611" i="21"/>
  <c r="A612" i="21"/>
  <c r="A613" i="21"/>
  <c r="A614" i="21"/>
  <c r="A615" i="21"/>
  <c r="A616" i="21"/>
  <c r="A617" i="21"/>
  <c r="A618" i="21"/>
  <c r="C618" i="21" s="1"/>
  <c r="A619" i="21"/>
  <c r="A620" i="21"/>
  <c r="A621" i="21"/>
  <c r="A622" i="21"/>
  <c r="A623" i="21"/>
  <c r="A624" i="21"/>
  <c r="A625" i="21"/>
  <c r="A626" i="21"/>
  <c r="C626" i="21" s="1"/>
  <c r="A627" i="21"/>
  <c r="A628" i="21"/>
  <c r="A629" i="21"/>
  <c r="A630" i="21"/>
  <c r="A631" i="21"/>
  <c r="A632" i="21"/>
  <c r="A633" i="21"/>
  <c r="A634" i="21"/>
  <c r="C634" i="21" s="1"/>
  <c r="A635" i="21"/>
  <c r="A636" i="21"/>
  <c r="A637" i="21"/>
  <c r="A638" i="21"/>
  <c r="A639" i="21"/>
  <c r="A640" i="21"/>
  <c r="A641" i="21"/>
  <c r="A642" i="21"/>
  <c r="C642" i="21" s="1"/>
  <c r="A643" i="21"/>
  <c r="A644" i="21"/>
  <c r="A645" i="21"/>
  <c r="A646" i="21"/>
  <c r="A647" i="21"/>
  <c r="A648" i="21"/>
  <c r="A649" i="21"/>
  <c r="A650" i="21"/>
  <c r="C650" i="21" s="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C864" i="21" s="1"/>
  <c r="A865" i="21"/>
  <c r="A866" i="21"/>
  <c r="C866" i="21" s="1"/>
  <c r="A867" i="21"/>
  <c r="A868" i="21"/>
  <c r="A869" i="21"/>
  <c r="A870" i="21"/>
  <c r="A871" i="21"/>
  <c r="A872" i="21"/>
  <c r="C872" i="21" s="1"/>
  <c r="A873" i="21"/>
  <c r="A874" i="21"/>
  <c r="C874" i="21" s="1"/>
  <c r="A875" i="21"/>
  <c r="A876" i="21"/>
  <c r="A877" i="21"/>
  <c r="A878" i="21"/>
  <c r="A879" i="21"/>
  <c r="A880" i="21"/>
  <c r="C880" i="21" s="1"/>
  <c r="A881" i="21"/>
  <c r="A882" i="21"/>
  <c r="C882" i="21" s="1"/>
  <c r="A883" i="21"/>
  <c r="A884" i="21"/>
  <c r="A885" i="21"/>
  <c r="A886" i="21"/>
  <c r="A887" i="21"/>
  <c r="A888" i="21"/>
  <c r="C888" i="21" s="1"/>
  <c r="A889" i="21"/>
  <c r="A890" i="21"/>
  <c r="C890" i="21" s="1"/>
  <c r="A891" i="21"/>
  <c r="A892" i="21"/>
  <c r="A893" i="21"/>
  <c r="A894" i="21"/>
  <c r="A895" i="21"/>
  <c r="A896" i="21"/>
  <c r="C896" i="21" s="1"/>
  <c r="A897" i="21"/>
  <c r="A898" i="21"/>
  <c r="C898" i="21" s="1"/>
  <c r="A899" i="21"/>
  <c r="A900" i="21"/>
  <c r="A901" i="21"/>
  <c r="A902" i="21"/>
  <c r="A903" i="21"/>
  <c r="A904" i="21"/>
  <c r="C904" i="21" s="1"/>
  <c r="A905" i="21"/>
  <c r="A906" i="21"/>
  <c r="C906" i="21" s="1"/>
  <c r="A907" i="21"/>
  <c r="A908" i="21"/>
  <c r="A909" i="21"/>
  <c r="A910" i="21"/>
  <c r="A911" i="21"/>
  <c r="A912" i="21"/>
  <c r="C912" i="21" s="1"/>
  <c r="A913" i="21"/>
  <c r="A914" i="21"/>
  <c r="C914" i="21" s="1"/>
  <c r="A915" i="21"/>
  <c r="A916" i="21"/>
  <c r="A917" i="21"/>
  <c r="A918" i="21"/>
  <c r="A919" i="21"/>
  <c r="A920" i="21"/>
  <c r="C920" i="21" s="1"/>
  <c r="A921" i="21"/>
  <c r="A922" i="21"/>
  <c r="C922" i="21" s="1"/>
  <c r="A923" i="21"/>
  <c r="A924" i="21"/>
  <c r="A925" i="21"/>
  <c r="A926" i="21"/>
  <c r="A927" i="21"/>
  <c r="A928" i="21"/>
  <c r="C928" i="21" s="1"/>
  <c r="A929" i="21"/>
  <c r="A930" i="21"/>
  <c r="C930" i="21" s="1"/>
  <c r="A931" i="21"/>
  <c r="A932" i="21"/>
  <c r="A933" i="21"/>
  <c r="A934" i="21"/>
  <c r="A935" i="21"/>
  <c r="A936" i="21"/>
  <c r="C936" i="21" s="1"/>
  <c r="A937" i="21"/>
  <c r="A938" i="21"/>
  <c r="C938" i="21" s="1"/>
  <c r="A939" i="21"/>
  <c r="A940" i="21"/>
  <c r="A941" i="21"/>
  <c r="A942" i="21"/>
  <c r="A943" i="21"/>
  <c r="A944" i="21"/>
  <c r="C944" i="21" s="1"/>
  <c r="A945" i="21"/>
  <c r="A946" i="21"/>
  <c r="C946" i="21" s="1"/>
  <c r="A947" i="21"/>
  <c r="A948" i="21"/>
  <c r="A949" i="21"/>
  <c r="A950" i="21"/>
  <c r="A951" i="21"/>
  <c r="A952" i="21"/>
  <c r="C952" i="21" s="1"/>
  <c r="A953" i="21"/>
  <c r="A954" i="21"/>
  <c r="C954" i="21" s="1"/>
  <c r="A955" i="21"/>
  <c r="A956" i="21"/>
  <c r="A957" i="21"/>
  <c r="A958" i="21"/>
  <c r="A959" i="21"/>
  <c r="A960" i="21"/>
  <c r="C960" i="21" s="1"/>
  <c r="A961" i="21"/>
  <c r="A962" i="21"/>
  <c r="C962" i="21" s="1"/>
  <c r="A963" i="21"/>
  <c r="A964" i="21"/>
  <c r="A965" i="21"/>
  <c r="A966" i="21"/>
  <c r="A967" i="21"/>
  <c r="A968" i="21"/>
  <c r="C968" i="21" s="1"/>
  <c r="A969" i="21"/>
  <c r="A970" i="21"/>
  <c r="C970" i="21" s="1"/>
  <c r="A971" i="21"/>
  <c r="A972" i="21"/>
  <c r="A973" i="21"/>
  <c r="A974" i="21"/>
  <c r="A975" i="21"/>
  <c r="A976" i="21"/>
  <c r="C976" i="21" s="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M2" i="4"/>
  <c r="M3" i="4"/>
  <c r="M4" i="4"/>
  <c r="M5" i="4"/>
  <c r="M6" i="4"/>
  <c r="M7" i="4"/>
  <c r="M8" i="4"/>
  <c r="M9" i="4"/>
  <c r="M10" i="4"/>
  <c r="M11" i="4"/>
  <c r="B14" i="8"/>
  <c r="B14" i="22" s="1"/>
  <c r="B15" i="8"/>
  <c r="B15" i="22" s="1"/>
  <c r="B17" i="8"/>
  <c r="B16" i="8"/>
  <c r="D3" i="4"/>
  <c r="D4" i="4"/>
  <c r="D5" i="4"/>
  <c r="D6" i="4"/>
  <c r="D7" i="4"/>
  <c r="D8" i="4"/>
  <c r="D9" i="4"/>
  <c r="D10" i="4"/>
  <c r="D11" i="4"/>
  <c r="C16" i="2"/>
  <c r="G30" i="5"/>
  <c r="G29" i="5"/>
  <c r="C14" i="2"/>
  <c r="C856" i="21" l="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D2" i="4"/>
  <c r="B11" i="22"/>
  <c r="C14" i="10" l="1"/>
  <c r="C13" i="10"/>
  <c r="C12" i="10"/>
  <c r="C11" i="10"/>
  <c r="C10" i="10"/>
  <c r="C9" i="10"/>
  <c r="C8" i="10"/>
  <c r="C7" i="10"/>
  <c r="C6" i="10"/>
  <c r="D2" i="6"/>
  <c r="C7" i="19" l="1"/>
  <c r="C6" i="19"/>
  <c r="C3" i="19"/>
  <c r="C2" i="19"/>
  <c r="C7" i="18"/>
  <c r="C6" i="18"/>
  <c r="C5" i="18"/>
  <c r="C4" i="18"/>
  <c r="C3" i="18"/>
  <c r="C2" i="18"/>
  <c r="C6" i="11"/>
  <c r="C5" i="11"/>
  <c r="C4" i="11"/>
  <c r="C3" i="11"/>
  <c r="C2" i="11"/>
  <c r="C5" i="10"/>
  <c r="C4" i="10"/>
  <c r="C3" i="10"/>
  <c r="C12" i="2" l="1"/>
  <c r="C6" i="2"/>
  <c r="C10" i="2"/>
  <c r="C8" i="2"/>
  <c r="C4" i="2"/>
  <c r="C2" i="2"/>
  <c r="G25" i="5"/>
  <c r="G26" i="5"/>
  <c r="G27" i="5"/>
  <c r="G28" i="5"/>
  <c r="G24" i="5"/>
  <c r="N110" i="4" l="1"/>
  <c r="N111" i="4"/>
  <c r="N112" i="4"/>
  <c r="N113" i="4"/>
  <c r="N114" i="4"/>
  <c r="N115" i="4"/>
  <c r="N116" i="4"/>
  <c r="N117" i="4"/>
  <c r="N118" i="4"/>
  <c r="N119" i="4"/>
  <c r="C402" i="23" l="1"/>
  <c r="C398" i="23"/>
  <c r="C399" i="23"/>
  <c r="C394" i="23"/>
  <c r="C395" i="23"/>
  <c r="C397" i="23"/>
  <c r="C392" i="23"/>
  <c r="C393" i="23"/>
  <c r="C396" i="23"/>
  <c r="C411" i="23"/>
  <c r="C404" i="23"/>
  <c r="C413" i="23"/>
  <c r="C405" i="23"/>
  <c r="C407" i="23"/>
  <c r="C403" i="23"/>
  <c r="C400" i="23"/>
  <c r="C401" i="23"/>
  <c r="C121" i="21"/>
  <c r="C418" i="23"/>
  <c r="C414" i="23"/>
  <c r="C416" i="23"/>
  <c r="C386" i="23"/>
  <c r="C389" i="23"/>
  <c r="C390" i="23"/>
  <c r="C410" i="23"/>
  <c r="C408" i="23"/>
  <c r="C409" i="23"/>
  <c r="C412" i="23"/>
  <c r="C406" i="23"/>
  <c r="C120" i="21"/>
  <c r="C419" i="23"/>
  <c r="C415" i="23"/>
  <c r="C417" i="23"/>
  <c r="C387" i="23"/>
  <c r="C388" i="23"/>
  <c r="C391" i="23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58" i="2"/>
  <c r="C28" i="2"/>
  <c r="C30" i="2"/>
  <c r="C38" i="2"/>
  <c r="C40" i="2"/>
  <c r="C42" i="2"/>
  <c r="C46" i="2"/>
  <c r="C48" i="2"/>
  <c r="C24" i="2"/>
  <c r="C32" i="2"/>
  <c r="C34" i="2"/>
  <c r="C44" i="2"/>
  <c r="C50" i="2"/>
  <c r="C52" i="2"/>
  <c r="C54" i="2"/>
  <c r="C56" i="2"/>
  <c r="C26" i="2"/>
  <c r="C22" i="2"/>
  <c r="C20" i="2"/>
  <c r="C18" i="2"/>
  <c r="G11" i="5" l="1"/>
  <c r="C5" i="19"/>
  <c r="C2" i="10"/>
  <c r="C2" i="9"/>
  <c r="C3" i="9"/>
  <c r="N3" i="4" s="1"/>
  <c r="C4" i="9"/>
  <c r="N4" i="4" s="1"/>
  <c r="C5" i="9"/>
  <c r="N5" i="4" s="1"/>
  <c r="C6" i="9"/>
  <c r="N6" i="4" s="1"/>
  <c r="C12" i="23" s="1"/>
  <c r="C7" i="9"/>
  <c r="N7" i="4" s="1"/>
  <c r="C8" i="9"/>
  <c r="N8" i="4" s="1"/>
  <c r="C9" i="9"/>
  <c r="N9" i="4" s="1"/>
  <c r="C10" i="9"/>
  <c r="N10" i="4" s="1"/>
  <c r="C34" i="23" s="1"/>
  <c r="N11" i="4"/>
  <c r="C36" i="2"/>
  <c r="G6" i="5"/>
  <c r="C29" i="23" l="1"/>
  <c r="C32" i="23"/>
  <c r="C33" i="23"/>
  <c r="C35" i="23"/>
  <c r="C10" i="23"/>
  <c r="C8" i="23"/>
  <c r="C9" i="23"/>
  <c r="C11" i="23"/>
  <c r="C6" i="23"/>
  <c r="C7" i="23"/>
  <c r="C3" i="23"/>
  <c r="C5" i="23"/>
  <c r="C20" i="23"/>
  <c r="C16" i="23"/>
  <c r="C18" i="23"/>
  <c r="C17" i="23"/>
  <c r="C28" i="23"/>
  <c r="C30" i="23"/>
  <c r="C31" i="23"/>
  <c r="C22" i="23"/>
  <c r="C23" i="23"/>
  <c r="C24" i="23"/>
  <c r="C27" i="23"/>
  <c r="C26" i="23"/>
  <c r="C25" i="23"/>
  <c r="C19" i="23"/>
  <c r="C13" i="23"/>
  <c r="C21" i="23"/>
  <c r="C14" i="23"/>
  <c r="C15" i="23"/>
  <c r="C31" i="12"/>
  <c r="C30" i="12"/>
  <c r="N2" i="4"/>
  <c r="C4" i="23" s="1"/>
  <c r="C9" i="21"/>
  <c r="C29" i="12"/>
  <c r="C8" i="21"/>
  <c r="C28" i="12"/>
  <c r="C10" i="21"/>
  <c r="C26" i="12"/>
  <c r="C24" i="12"/>
  <c r="C2" i="21"/>
  <c r="C5" i="21"/>
  <c r="C7" i="12"/>
  <c r="C11" i="12"/>
  <c r="C17" i="12"/>
  <c r="C6" i="21"/>
  <c r="C22" i="12"/>
  <c r="C20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G2" i="5"/>
  <c r="E3" i="7"/>
  <c r="E4" i="7"/>
  <c r="E5" i="7"/>
  <c r="E6" i="7"/>
  <c r="E7" i="7"/>
  <c r="E8" i="7"/>
  <c r="E9" i="7"/>
  <c r="E10" i="7"/>
  <c r="E11" i="7"/>
  <c r="E2" i="7"/>
  <c r="G3" i="5"/>
  <c r="G4" i="5"/>
  <c r="G5" i="5"/>
  <c r="G7" i="5"/>
  <c r="G8" i="5"/>
  <c r="G9" i="5"/>
  <c r="G10" i="5"/>
  <c r="G12" i="5"/>
  <c r="G13" i="5"/>
  <c r="G14" i="5"/>
  <c r="G15" i="5"/>
  <c r="G16" i="5"/>
  <c r="G17" i="5"/>
  <c r="G18" i="5"/>
  <c r="G19" i="5"/>
  <c r="G20" i="5"/>
  <c r="G21" i="5"/>
  <c r="G22" i="5"/>
  <c r="G23" i="5"/>
  <c r="C14" i="12" l="1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F2" i="23"/>
  <c r="C2" i="23"/>
  <c r="A2" i="23"/>
  <c r="G2" i="23"/>
</calcChain>
</file>

<file path=xl/connections.xml><?xml version="1.0" encoding="utf-8"?>
<connections xmlns="http://schemas.openxmlformats.org/spreadsheetml/2006/main">
  <connection id="1" keepAlive="1" name="Abfrage - dict_zul_Var_Meth" description="Verbindung mit der Abfrage 'dict_zul_Var_Meth' in der Arbeitsmappe." type="5" refreshedVersion="5" background="1" saveData="1">
    <dbPr connection="provider=Microsoft.Mashup.OleDb.1;data source=$EmbeddedMashup(953493a6-c256-4e5c-9e26-ad5dfdf9a0f3)$;location=dict_zul_Var_Meth;extended properties=&quot;UEsDBBQAAgAIACykc0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AspHN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LKRzTv6Tor0PAQAA5wEAABMAHABGb3JtdWxhcy9TZWN0aW9uMS5tIKIYACigFAAAAAAAAAAAAAAAAAAAAAAAAAAAAHWQ0UrDMBSG7wt9hxBvWigFQbwZu6pDdqGgK3oxRknbsy30NBlJWtTSt/FNfDFPV3Ss09wE8h3+/3yxUDipFVuN9/XM93zP7oWBkpWycNlHg9mLMNkDuD2bMwTne4zOUwOIQC+LtwIwThpjQLlXbapc6yoIu/WjqGHOL0L4pl8nWjma3kRj1hW/h69PVYJxYFj6fuCUm4ocIU6NUHarTZ1obGpFDGwwdkddx5d3Q64cRi2P2FK525t4GOojdqRDoy7/YFUrMBMk3QJBR88M9U4WAo9Y7pSmP8iovvzhqqlzMFNcnWf34a/UQrktGDJlq4NAEj5pPUOtWxidbHDpH00XnC50vkEf+p5U//fOvgFQSwECLQAUAAIACAAspHNO6Xeg+KsAAAD6AAAAEgAAAAAAAAAAAAAAAAAAAAAAQ29uZmlnL1BhY2thZ2UueG1sUEsBAi0AFAACAAgALKRzTg/K6aukAAAA6QAAABMAAAAAAAAAAAAAAAAA9wAAAFtDb250ZW50X1R5cGVzXS54bWxQSwECLQAUAAIACAAspHNO/pOivQ8BAADnAQAAEwAAAAAAAAAAAAAAAADoAQAARm9ybXVsYXMvU2VjdGlvbjEubVBLBQYAAAAAAwADAMIAAABEAwAAAAA=&quot;" command="SELECT * FROM [dict_zul_Var_Meth]"/>
  </connection>
  <connection id="2" keepAlive="1" name="Abfrage - dict_zuord_DQ_Meth" description="Verbindung mit der Abfrage 'dict_zuord_DQ_Meth' in der Arbeitsmappe." type="5" refreshedVersion="5" background="1" saveData="1">
    <dbPr connection="provider=Microsoft.Mashup.OleDb.1;data source=$EmbeddedMashup(953493a6-c256-4e5c-9e26-ad5dfdf9a0f3)$;location=dict_zuord_DQ_Meth;extended properties=UEsDBBQAAgAIACykc0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AspHN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LKRz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LKRzTul3oPirAAAA+gAAABIAAAAAAAAAAAAAAAAAAAAAAENvbmZpZy9QYWNrYWdlLnhtbFBLAQItABQAAgAIACykc04PyumrpAAAAOkAAAATAAAAAAAAAAAAAAAAAPcAAABbQ29udGVudF9UeXBlc10ueG1sUEsBAi0AFAACAAgALKRz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<sst xmlns="http://schemas.openxmlformats.org/spreadsheetml/2006/main" count="453" uniqueCount="376">
  <si>
    <t>ID</t>
  </si>
  <si>
    <t>name</t>
  </si>
  <si>
    <t>investcost</t>
  </si>
  <si>
    <t>position</t>
  </si>
  <si>
    <t>weight</t>
  </si>
  <si>
    <t>Messgröße 1</t>
  </si>
  <si>
    <t>Messgröße 2</t>
  </si>
  <si>
    <t>c(z)</t>
  </si>
  <si>
    <t>f(z)</t>
  </si>
  <si>
    <t>Messgröße 3</t>
  </si>
  <si>
    <t>Messgröße 4</t>
  </si>
  <si>
    <t>Person 1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</si>
  <si>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</si>
  <si>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</si>
  <si>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</si>
  <si>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</si>
  <si>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</si>
  <si>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</si>
  <si>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</si>
  <si>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</si>
  <si>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</si>
  <si>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</si>
  <si>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</si>
  <si>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</si>
  <si>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</si>
  <si>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</si>
  <si>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</si>
  <si>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</si>
  <si>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</si>
  <si>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</si>
  <si>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</si>
  <si>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</si>
  <si>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</si>
  <si>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</si>
  <si>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</si>
  <si>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</si>
  <si>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</si>
  <si>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</si>
  <si>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</si>
  <si>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</si>
  <si>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</si>
  <si>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</si>
  <si>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</si>
  <si>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</si>
  <si>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</si>
  <si>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</si>
  <si>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</si>
  <si>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</si>
  <si>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</si>
  <si>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</si>
  <si>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</si>
  <si>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</si>
  <si>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</si>
  <si>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</si>
  <si>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</si>
  <si>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</si>
  <si>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</si>
  <si>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</si>
  <si>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</si>
  <si>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</si>
  <si>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</si>
  <si>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</si>
  <si>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</si>
  <si>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</si>
  <si>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</si>
  <si>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</si>
  <si>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</si>
  <si>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</si>
  <si>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</si>
  <si>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</si>
  <si>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</si>
  <si>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</si>
  <si>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</si>
  <si>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</si>
  <si>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</si>
  <si>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</si>
  <si>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</si>
  <si>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</si>
  <si>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</si>
  <si>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</si>
  <si>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</si>
  <si>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dict_zuord_Meth_Pers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</si>
  <si>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</si>
  <si>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</si>
  <si>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</si>
  <si>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</si>
  <si>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</si>
  <si>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</si>
  <si>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</si>
  <si>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</si>
  <si>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</si>
  <si>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</si>
  <si>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</si>
  <si>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</si>
  <si>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</si>
  <si>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</si>
  <si>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</si>
  <si>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</si>
  <si>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Person 2</t>
  </si>
  <si>
    <t>Person 3</t>
  </si>
  <si>
    <t>Person 4</t>
  </si>
  <si>
    <t>Person 5</t>
  </si>
  <si>
    <t>Person 6</t>
  </si>
  <si>
    <t>Person 7</t>
  </si>
  <si>
    <t>Person 8</t>
  </si>
  <si>
    <t>Person 9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</si>
  <si>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</si>
  <si>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</si>
  <si>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</si>
  <si>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</si>
  <si>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</si>
  <si>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</si>
  <si>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</si>
  <si>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</si>
  <si>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</si>
  <si>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</si>
  <si>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</si>
  <si>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</si>
  <si>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</si>
  <si>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</si>
  <si>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</si>
  <si>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</si>
  <si>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</si>
  <si>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</si>
  <si>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</si>
  <si>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</si>
  <si>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</si>
  <si>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</si>
  <si>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</si>
  <si>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</si>
  <si>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</si>
  <si>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</si>
  <si>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</si>
  <si>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</si>
  <si>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</si>
  <si>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</si>
  <si>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</si>
  <si>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</si>
  <si>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</si>
  <si>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</si>
  <si>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</si>
  <si>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</si>
  <si>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</si>
  <si>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</si>
  <si>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</si>
  <si>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</si>
  <si>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</si>
  <si>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</si>
  <si>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</si>
  <si>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</si>
  <si>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</si>
  <si>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</si>
  <si>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</si>
  <si>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</si>
  <si>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</si>
  <si>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</si>
  <si>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</si>
  <si>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</si>
  <si>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</si>
  <si>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</si>
  <si>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</si>
  <si>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</si>
  <si>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</si>
  <si>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</si>
  <si>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</si>
  <si>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</si>
  <si>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</si>
  <si>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</si>
  <si>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</si>
  <si>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</si>
  <si>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</si>
  <si>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</si>
  <si>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</si>
  <si>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</si>
  <si>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</si>
  <si>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</si>
  <si>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</si>
  <si>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</si>
  <si>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</si>
  <si>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</si>
  <si>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</si>
  <si>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</si>
  <si>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</si>
  <si>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</si>
  <si>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</si>
  <si>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</si>
  <si>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</si>
  <si>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</si>
  <si>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</si>
  <si>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</si>
  <si>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</si>
  <si>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</si>
  <si>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</si>
  <si>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</si>
  <si>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</si>
  <si>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</si>
  <si>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</si>
  <si>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</si>
  <si>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</si>
  <si>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</si>
  <si>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</si>
  <si>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</si>
  <si>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</si>
  <si>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</si>
  <si>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</si>
  <si>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</si>
  <si>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</si>
  <si>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</si>
  <si>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</si>
  <si>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</si>
  <si>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</si>
  <si>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</si>
  <si>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</si>
  <si>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</si>
  <si>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</si>
  <si>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</si>
  <si>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</si>
  <si>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</si>
  <si>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</si>
  <si>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</si>
  <si>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</si>
  <si>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</si>
  <si>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</si>
  <si>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</si>
  <si>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</si>
  <si>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</si>
  <si>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</si>
  <si>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</si>
  <si>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</si>
  <si>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</si>
  <si>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</si>
  <si>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</si>
  <si>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</si>
  <si>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</si>
  <si>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</si>
  <si>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</si>
  <si>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</si>
  <si>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</si>
  <si>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</si>
  <si>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</si>
  <si>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</si>
  <si>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</si>
  <si>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</si>
  <si>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</si>
  <si>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</si>
  <si>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</si>
  <si>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</si>
  <si>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</si>
  <si>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</si>
  <si>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</si>
  <si>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</si>
  <si>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</si>
  <si>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</si>
  <si>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</si>
  <si>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</si>
  <si>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</si>
  <si>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</si>
  <si>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</si>
  <si>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</si>
  <si>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</si>
  <si>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</si>
  <si>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</si>
  <si>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</si>
  <si>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</si>
  <si>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</si>
  <si>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</si>
  <si>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</si>
  <si>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</si>
  <si>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</si>
  <si>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</si>
  <si>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</si>
  <si>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</si>
  <si>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</si>
  <si>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</si>
  <si>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</si>
  <si>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</si>
  <si>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</si>
  <si>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</si>
  <si>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</si>
  <si>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</si>
  <si>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</si>
  <si>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</si>
  <si>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</si>
  <si>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</si>
  <si>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</si>
  <si>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</si>
  <si>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</si>
  <si>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</si>
  <si>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</si>
  <si>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</si>
  <si>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</si>
  <si>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</si>
  <si>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</si>
  <si>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</si>
  <si>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</si>
  <si>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</si>
  <si>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</si>
  <si>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</si>
  <si>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</si>
  <si>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</si>
  <si>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</si>
  <si>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</si>
  <si>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</si>
  <si>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</si>
  <si>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</si>
  <si>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</si>
  <si>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</si>
  <si>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</si>
  <si>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</si>
  <si>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</si>
  <si>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</si>
  <si>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</si>
  <si>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</si>
  <si>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</si>
  <si>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</si>
  <si>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</si>
  <si>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</si>
  <si>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</si>
  <si>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</si>
  <si>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</si>
  <si>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</si>
  <si>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</si>
  <si>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</si>
  <si>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</si>
  <si>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</si>
  <si>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</si>
  <si>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</si>
  <si>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</si>
  <si>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</si>
  <si>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</si>
  <si>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</si>
  <si>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</si>
  <si>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</si>
  <si>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</si>
  <si>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</si>
  <si>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</si>
  <si>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</si>
  <si>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</si>
  <si>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</si>
  <si>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</si>
  <si>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</si>
  <si>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</si>
  <si>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</si>
  <si>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</si>
  <si>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</si>
  <si>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</si>
  <si>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</si>
  <si>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</si>
  <si>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</si>
  <si>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</si>
  <si>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</si>
  <si>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</si>
  <si>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</si>
  <si>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</si>
  <si>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Person 10</t>
  </si>
  <si>
    <t>Person 11</t>
  </si>
  <si>
    <t>Person 12</t>
  </si>
  <si>
    <t>Person 13</t>
  </si>
  <si>
    <t>Person 14</t>
  </si>
  <si>
    <t>Person 15</t>
  </si>
  <si>
    <t>Person 16</t>
  </si>
  <si>
    <t>Person 17</t>
  </si>
  <si>
    <t>Person 18</t>
  </si>
  <si>
    <t>Person 19</t>
  </si>
  <si>
    <t>Person 20</t>
  </si>
  <si>
    <t>Person 21</t>
  </si>
  <si>
    <t>Person 22</t>
  </si>
  <si>
    <t>Person 23</t>
  </si>
  <si>
    <t>Person 24</t>
  </si>
  <si>
    <t>Person 25</t>
  </si>
  <si>
    <t>Person 26</t>
  </si>
  <si>
    <t>Person 27</t>
  </si>
  <si>
    <t>ignored_rand</t>
  </si>
  <si>
    <t>ignored_rank</t>
  </si>
  <si>
    <t>ignored_help_ascending</t>
  </si>
  <si>
    <t>ignored_help_VarsID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</si>
</sst>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4" fillId="0" borderId="0" xfId="0" applyNumberFormat="1" applyFont="1" applyAlignment="1"/>
  </cellXfs>
  <cellStyles count="2">
    <cellStyle name="Link" xfId="1" builtinId="8"/>
    <cellStyle name="Standard" xfId="0" builtinId="0"/>
  </cellStyles>
  <dxfs count="66"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</dxfs>
  <tableStyles count="2" defaultTableStyle="TableStyleMedium2" defaultPivotStyle="PivotStyleLight16">
    <tableStyle name="TableStyleQueryPreview" pivot="0" count="3">
      <tableStyleElement type="wholeTable" dxfId="31"/>
      <tableStyleElement type="headerRow" dxfId="30"/>
      <tableStyleElement type="firstRowStripe" dxfId="29"/>
    </tableStyle>
    <tableStyle name="TableStyleQueryResult" pivot="0" count="3">
      <tableStyleElement type="wholeTable" dxfId="28"/>
      <tableStyleElement type="headerRow" dxfId="27"/>
      <tableStyleElement type="firstRowStripe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12" unboundColumnsRight="9">
    <queryTableFields count="11">
      <queryTableField id="1" name="ID_DataQualities" tableColumnId="12"/>
      <queryTableField id="2" name="ID_Methods" tableColumnId="13"/>
      <queryTableField id="11" dataBound="0" tableColumnId="14"/>
      <queryTableField id="10" dataBound="0" tableColumnId="15"/>
      <queryTableField id="9" dataBound="0" tableColumnId="16"/>
      <queryTableField id="8" dataBound="0" tableColumnId="17"/>
      <queryTableField id="7" dataBound="0" tableColumnId="18"/>
      <queryTableField id="6" dataBound="0" tableColumnId="19"/>
      <queryTableField id="5" dataBound="0" tableColumnId="20"/>
      <queryTableField id="4" dataBound="0" tableColumnId="21"/>
      <queryTableField id="3" dataBound="0" tableColumnId="22"/>
    </queryTableFields>
  </queryTableRefresh>
</queryTable>
</file>

<file path=xl/queryTables/queryTable2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2">
      <queryTableField id="1" name="ID_Variables" tableColumnId="15"/>
      <queryTableField id="2" name="ID_Methods" tableColumnId="16"/>
    </queryTableFields>
  </queryTableRefresh>
</queryTable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/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1" totalsRowShown="0">
  <autoFilter ref="A1:O401"/>
  <sortState ref="A2:I23">
    <sortCondition ref="A1:A23"/>
  </sortState>
  <tableColumns count="15">
    <tableColumn id="1" name="ID"/>
    <tableColumn id="2" name="name" dataDxfId="65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4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3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2">
      <calculatedColumnFormula>IF(VLOOKUP(table_DataQualities[[#This Row],[unit_ID]],table_Units[],5)&gt;0,table_DataQualities[[#This Row],[z_best]],IF(VLOOKUP(table_DataQualities[[#This Row],[unit_ID]],table_Units[],6)=1,table_DataQualities[[#This Row],[z_worst]]))</calculatedColumnFormula>
    </tableColumn>
    <tableColumn id="6" name="processcost_per_unit"/>
    <tableColumn id="9" name="weight_factor"/>
    <tableColumn id="7" name="quality_function"/>
    <tableColumn id="11" name="kval_Unit" dataDxfId="61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0">
      <calculatedColumnFormula>VLOOKUP(table_DataQualities[[#This Row],[ID]],dict_zuord_Var_DQ!B:C,2,FALSE)</calculatedColumnFormula>
    </tableColumn>
    <tableColumn id="15" name="func_factor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59">
      <calculatedColumnFormula>IF(table_Units[[#This Row],[unit_factor]]&gt;0,1,0)</calculatedColumnFormula>
    </tableColumn>
    <tableColumn id="6" name="direction_invers" dataDxfId="58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57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56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used" dataDxfId="55">
      <calculatedColumnFormula>COUNTIF(dict_zul_Var_Meth[ID_Methods], table_Methods[[#This Row],[ID]]) &gt; 0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D32" totalsRowShown="0">
  <autoFilter ref="A1:D32"/>
  <tableColumns count="4">
    <tableColumn id="1" name="ID"/>
    <tableColumn id="2" name="name"/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E202" totalsRowShown="0">
  <autoFilter ref="A1:E202"/>
  <tableColumns count="5">
    <tableColumn id="1" name="ID"/>
    <tableColumn id="2" name="position">
      <calculatedColumnFormula>CONCATENATE("Position ",table_Positions[[#This Row],[ID]])</calculatedColumnFormula>
    </tableColumn>
    <tableColumn id="4" name="temp_lb" dataDxfId="54">
      <calculatedColumnFormula>20+RANDBETWEEN(0,10)*RANDBETWEEN(0,10)-RANDBETWEEN(0,20)</calculatedColumnFormula>
    </tableColumn>
    <tableColumn id="5" name="temp_ub" dataDxfId="53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E202" totalsRowShown="0">
  <autoFilter ref="A1:E202"/>
  <tableColumns count="5">
    <tableColumn id="1" name="ID"/>
    <tableColumn id="2" name="name">
      <calculatedColumnFormula>CONCATENATE("Tranfer ",table_Transfers[[#This Row],[ID]])</calculatedColumnFormula>
    </tableColumn>
    <tableColumn id="3" name="bandwidth_ub" dataDxfId="52">
      <calculatedColumnFormula>2^RANDBETWEEN(6,12)*100*RANDBETWEEN(10,100)</calculatedColumnFormula>
    </tableColumn>
    <tableColumn id="4" name="investcost" dataDxfId="51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0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E100" totalsRowShown="0">
  <autoFilter ref="A1:E100"/>
  <tableColumns count="5">
    <tableColumn id="1" name="ID"/>
    <tableColumn id="2" name="name" dataDxfId="49">
      <calculatedColumnFormula>CONCATENATE("Storage ",table_Storages[[#This Row],[ID]])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12" name="dict_DQ_Meth_max" displayName="dict_DQ_Meth_max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46">
      <calculatedColumnFormula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calculatedColumnFormula>
    </tableColumn>
    <tableColumn id="8" name="z_J_worst"/>
    <tableColumn id="3" name="z_J_best"/>
    <tableColumn id="7" name="z_J_lb" dataDxfId="45">
      <calculatedColumnFormula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calculatedColumnFormula>
    </tableColumn>
    <tableColumn id="11" name="z_J_ub" dataDxfId="44">
      <calculatedColumnFormula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calculatedColumnFormula>
    </tableColumn>
    <tableColumn id="4" name="ignore_unit" dataDxfId="43">
      <calculatedColumnFormula>VLOOKUP(VLOOKUP(dict_DQ_Meth_max[[#This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0">
      <calculatedColumnFormula>VLOOKUP(dict_DQ_Meth_max[[#This Row],[ID_DataQualities]],table_DataQualities!$A:$I,8,FALSE)</calculatedColumnFormula>
    </tableColumn>
    <tableColumn id="15" name="Vergleich_ub" dataDxfId="42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53" totalsRowShown="0">
  <autoFilter ref="A1:E753"/>
  <sortState ref="A2:E753">
    <sortCondition ref="B1:B753"/>
  </sortState>
  <tableColumns count="5">
    <tableColumn id="1" name="ID_Variables" dataDxfId="41">
      <calculatedColumnFormula>VLOOKUP(dict_zul_Var_Meth[[#This Row],[ignored_rank]],help_zuord_Var_Meth[],2)</calculatedColumnFormula>
    </tableColumn>
    <tableColumn id="2" name="ID_Methods"/>
    <tableColumn id="6" name="kval_active" dataDxfId="40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39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>
      <calculatedColumnFormula>ROUNDUP(698/200*G2,0)+RANDBETWEEN(0,1)-RANDBETWEEN(0,1)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38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table_zuord_Meth_Pers" displayName="table_zuord_Meth_Pers" ref="A1:D20" totalsRowShown="0">
  <autoFilter ref="A1:D20"/>
  <tableColumns count="4">
    <tableColumn id="1" name="ID_Methods"/>
    <tableColumn id="2" name="ID_Persons"/>
    <tableColumn id="4" name="kval_active">
      <calculatedColumnFormula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calculatedColumnFormula>
    </tableColumn>
    <tableColumn id="3" name="time_in_minutes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C13" totalsRowShown="0">
  <autoFilter ref="A1:C13"/>
  <sortState ref="A2:C14">
    <sortCondition ref="A1:A14"/>
  </sortState>
  <tableColumns count="3">
    <tableColumn id="1" name="ID_Methods"/>
    <tableColumn id="2" name="ID_Positions"/>
    <tableColumn id="3" name="kval_active" dataDxfId="37">
      <calculatedColumnFormula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C34" totalsRowShown="0">
  <autoFilter ref="A1:C34"/>
  <tableColumns count="3">
    <tableColumn id="1" name="ID_Methods"/>
    <tableColumn id="2" name="ID_Transfers"/>
    <tableColumn id="3" name="kval_active" dataDxfId="36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Meth_Storages" displayName="dict_zuord_Meth_Storages" ref="A1:C13" totalsRowShown="0">
  <autoFilter ref="A1:C13"/>
  <sortState ref="A2:C13">
    <sortCondition ref="A1:A13"/>
  </sortState>
  <tableColumns count="3">
    <tableColumn id="1" name="ID_Transfers"/>
    <tableColumn id="2" name="ID_Storages"/>
    <tableColumn id="3" name="kval_active" dataDxfId="35">
      <calculatedColumnFormula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34">
      <calculatedColumnFormula>IFERROR(table_DataQualities[ID],"")</calculatedColumnFormula>
    </tableColumn>
    <tableColumn id="2" name="ID_Units" dataDxfId="33">
      <calculatedColumnFormula>IFERROR(table_DataQualities[unit_ID],"")</calculatedColumnFormula>
    </tableColumn>
    <tableColumn id="3" name="kval_active" dataDxfId="3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20" name="dict_zuord_DQ_Meth" displayName="dict_zuord_DQ_Meth" ref="A1:K1505" tableType="queryTable" totalsRowShown="0" headerRowDxfId="25" dataDxfId="24">
  <autoFilter ref="A1:K1505"/>
  <tableColumns count="11">
    <tableColumn id="12" uniqueName="12" name="ID_DataQualities" queryTableFieldId="1" dataDxfId="14"/>
    <tableColumn id="13" uniqueName="13" name="ID_Methods" queryTableFieldId="2" dataDxfId="13"/>
    <tableColumn id="14" uniqueName="14" name="kval_active" queryTableFieldId="11" dataDxfId="9">
      <calculatedColumnFormula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calculatedColumnFormula>
    </tableColumn>
    <tableColumn id="15" uniqueName="15" name="z_J_worst" queryTableFieldId="10" dataDxfId="8"/>
    <tableColumn id="16" uniqueName="16" name="z_J_best" queryTableFieldId="9" dataDxfId="7"/>
    <tableColumn id="17" uniqueName="17" name="z_J_lb" queryTableFieldId="8" dataDxfId="6">
      <calculatedColumnFormula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calculatedColumnFormula>
    </tableColumn>
    <tableColumn id="18" uniqueName="18" name="z_J_ub" queryTableFieldId="7" dataDxfId="5">
      <calculatedColumnFormula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calculatedColumnFormula>
    </tableColumn>
    <tableColumn id="19" uniqueName="19" name="ignore_unit" queryTableFieldId="6" dataDxfId="4">
      <calculatedColumnFormula>VLOOKUP(VLOOKUP(dict_DQ_Meth_max[[#This Row],[ID_DataQualities]],table_DataQualities[],3),table_Units[],2)</calculatedColumnFormula>
    </tableColumn>
    <tableColumn id="20" uniqueName="20" name="processcost_per_unit" queryTableFieldId="5" dataDxfId="3"/>
    <tableColumn id="21" uniqueName="21" name="bandwidth_fix" queryTableFieldId="4" dataDxfId="2"/>
    <tableColumn id="22" uniqueName="22" name="bandwidth_per_z" queryTableFieldId="3" dataDxfId="1"/>
  </tableColumns>
  <tableStyleInfo name="TableStyleQueryResult" showFirstColumn="0" showLastColumn="0" showRowStripes="1" showColumnStripes="0"/>
</table>
</file>

<file path=xl/tables/table21.xml><?xml version="1.0" encoding="utf-8"?>
<table xmlns="http://schemas.openxmlformats.org/spreadsheetml/2006/main" id="21" name="dict_zul_Var_Meth_2" displayName="dict_zul_Var_Meth_2" ref="A1:B753" tableType="queryTable" totalsRowShown="0" headerRowDxfId="18" dataDxfId="17">
  <autoFilter ref="A1:B753"/>
  <sortState ref="A2:E753">
    <sortCondition ref="A1:A753"/>
  </sortState>
  <tableColumns count="2">
    <tableColumn id="15" uniqueName="15" name="ID_Variables" queryTableFieldId="1" dataDxfId="16"/>
    <tableColumn id="16" uniqueName="16" name="ID_Methods" queryTableFieldId="2" dataDxfId="15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12</v>
      </c>
    </row>
    <row r="2" spans="1:6" x14ac:dyDescent="0.45">
      <c r="F2" t="s">
        <v>13</v>
      </c>
    </row>
    <row r="3" spans="1:6" x14ac:dyDescent="0.45">
      <c r="A3" t="s">
        <v>19</v>
      </c>
      <c r="D3">
        <v>5</v>
      </c>
      <c r="F3" t="s">
        <v>14</v>
      </c>
    </row>
    <row r="4" spans="1:6" x14ac:dyDescent="0.45">
      <c r="F4" t="s">
        <v>15</v>
      </c>
    </row>
    <row r="5" spans="1:6" x14ac:dyDescent="0.45">
      <c r="F5" t="s">
        <v>16</v>
      </c>
    </row>
    <row r="9" spans="1:6" x14ac:dyDescent="0.45">
      <c r="A9" t="s">
        <v>20</v>
      </c>
      <c r="B9" t="s">
        <v>22</v>
      </c>
    </row>
    <row r="10" spans="1:6" x14ac:dyDescent="0.45">
      <c r="B10" t="s">
        <v>21</v>
      </c>
    </row>
    <row r="11" spans="1:6" x14ac:dyDescent="0.45">
      <c r="B11" t="s">
        <v>23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25" x14ac:dyDescent="0.4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26"/>
  <sheetViews>
    <sheetView topLeftCell="A4" workbookViewId="0">
      <selection activeCell="A19" sqref="A19"/>
    </sheetView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35</v>
      </c>
      <c r="B1" t="s">
        <v>55</v>
      </c>
      <c r="C1" t="s">
        <v>54</v>
      </c>
    </row>
    <row r="2" spans="1:16384" x14ac:dyDescent="0.45">
      <c r="A2" t="s">
        <v>59</v>
      </c>
      <c r="B2" t="s">
        <v>59</v>
      </c>
    </row>
    <row r="3" spans="1:16384" s="6" customFormat="1" x14ac:dyDescent="0.45">
      <c r="A3" s="5" t="s">
        <v>131</v>
      </c>
      <c r="B3" s="5" t="s">
        <v>131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58</v>
      </c>
      <c r="B4" t="s">
        <v>58</v>
      </c>
    </row>
    <row r="5" spans="1:16384" x14ac:dyDescent="0.45">
      <c r="A5" t="s">
        <v>70</v>
      </c>
      <c r="B5" t="s">
        <v>36</v>
      </c>
      <c r="C5" t="s">
        <v>47</v>
      </c>
    </row>
    <row r="6" spans="1:16384" x14ac:dyDescent="0.45">
      <c r="A6" t="s">
        <v>71</v>
      </c>
      <c r="B6" t="s">
        <v>40</v>
      </c>
      <c r="C6" t="s">
        <v>48</v>
      </c>
    </row>
    <row r="7" spans="1:16384" x14ac:dyDescent="0.45">
      <c r="A7" t="s">
        <v>72</v>
      </c>
      <c r="B7" t="s">
        <v>135</v>
      </c>
      <c r="C7" t="s">
        <v>136</v>
      </c>
    </row>
    <row r="8" spans="1:16384" x14ac:dyDescent="0.45">
      <c r="A8" t="s">
        <v>73</v>
      </c>
      <c r="B8" t="s">
        <v>41</v>
      </c>
      <c r="C8" t="s">
        <v>49</v>
      </c>
    </row>
    <row r="9" spans="1:16384" x14ac:dyDescent="0.45">
      <c r="A9" t="s">
        <v>74</v>
      </c>
      <c r="B9" t="s">
        <v>42</v>
      </c>
      <c r="C9" t="s">
        <v>50</v>
      </c>
    </row>
    <row r="10" spans="1:16384" x14ac:dyDescent="0.45">
      <c r="A10" t="s">
        <v>75</v>
      </c>
      <c r="B10" t="s">
        <v>39</v>
      </c>
      <c r="C10" t="s">
        <v>51</v>
      </c>
    </row>
    <row r="11" spans="1:16384" x14ac:dyDescent="0.45">
      <c r="A11" t="s">
        <v>76</v>
      </c>
      <c r="B11" t="s">
        <v>37</v>
      </c>
      <c r="C11" t="s">
        <v>52</v>
      </c>
    </row>
    <row r="12" spans="1:16384" x14ac:dyDescent="0.45">
      <c r="A12" t="s">
        <v>77</v>
      </c>
      <c r="B12" t="s">
        <v>38</v>
      </c>
      <c r="C12" t="s">
        <v>53</v>
      </c>
    </row>
    <row r="13" spans="1:16384" x14ac:dyDescent="0.45">
      <c r="A13" t="s">
        <v>78</v>
      </c>
      <c r="B13" t="s">
        <v>152</v>
      </c>
      <c r="C13" t="s">
        <v>60</v>
      </c>
    </row>
    <row r="14" spans="1:16384" x14ac:dyDescent="0.45">
      <c r="A14" t="s">
        <v>79</v>
      </c>
      <c r="B14" t="s">
        <v>85</v>
      </c>
      <c r="C14" t="s">
        <v>44</v>
      </c>
    </row>
    <row r="15" spans="1:16384" x14ac:dyDescent="0.45">
      <c r="A15" t="s">
        <v>80</v>
      </c>
      <c r="B15" t="s">
        <v>84</v>
      </c>
      <c r="C15" t="s">
        <v>43</v>
      </c>
    </row>
    <row r="16" spans="1:16384" x14ac:dyDescent="0.45">
      <c r="A16" t="s">
        <v>81</v>
      </c>
      <c r="B16" t="s">
        <v>89</v>
      </c>
      <c r="C16" t="s">
        <v>45</v>
      </c>
    </row>
    <row r="17" spans="1:3" x14ac:dyDescent="0.45">
      <c r="A17" t="s">
        <v>82</v>
      </c>
      <c r="B17" t="s">
        <v>86</v>
      </c>
      <c r="C17" t="s">
        <v>46</v>
      </c>
    </row>
    <row r="18" spans="1:3" x14ac:dyDescent="0.45">
      <c r="A18" t="s">
        <v>83</v>
      </c>
      <c r="B18" t="s">
        <v>87</v>
      </c>
      <c r="C18" t="s">
        <v>67</v>
      </c>
    </row>
    <row r="19" spans="1:3" x14ac:dyDescent="0.45">
      <c r="A19" t="s">
        <v>155</v>
      </c>
      <c r="B19" t="s">
        <v>88</v>
      </c>
      <c r="C19" t="s">
        <v>68</v>
      </c>
    </row>
    <row r="20" spans="1:3" x14ac:dyDescent="0.45">
      <c r="A20" s="5" t="s">
        <v>132</v>
      </c>
      <c r="B20" t="s">
        <v>134</v>
      </c>
      <c r="C20" t="s">
        <v>133</v>
      </c>
    </row>
    <row r="21" spans="1:3" x14ac:dyDescent="0.45">
      <c r="A21" s="5" t="s">
        <v>139</v>
      </c>
      <c r="B21" t="s">
        <v>138</v>
      </c>
      <c r="C21" t="s">
        <v>136</v>
      </c>
    </row>
    <row r="22" spans="1:3" x14ac:dyDescent="0.45">
      <c r="A22" s="4" t="str">
        <f ca="1">IF(ROW(A21)&gt;COUNTA(x),"",HYPERLINK("#'"&amp;INDEX(x,ROW(A21))&amp;"'!A1",MID(INDEX(x,ROW(A21)),FIND("]",INDEX(x,ROW(A21)))+1,31)))</f>
        <v>help_DQ_Meth</v>
      </c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8 A2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C206" sqref="C206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56</v>
      </c>
    </row>
    <row r="2" spans="1:4" x14ac:dyDescent="0.45">
      <c r="A2">
        <v>0</v>
      </c>
      <c r="B2" t="s">
        <v>17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9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10</v>
      </c>
      <c r="C6">
        <v>0.22600000000000001</v>
      </c>
      <c r="D6" t="b">
        <f ca="1">COUNTIF(dict_zul_Var_Meth[ID_Variables], table_Variables[[#This Row],[ID]]) &gt; 0</f>
        <v>1</v>
      </c>
    </row>
    <row r="7" spans="1:4" x14ac:dyDescent="0.45">
      <c r="A7">
        <v>5</v>
      </c>
      <c r="B7" t="s">
        <v>157</v>
      </c>
      <c r="C7">
        <v>0.48599999999999999</v>
      </c>
      <c r="D7" t="b">
        <f ca="1">COUNTIF(dict_zul_Var_Meth[ID_Variables], table_Variables[[#This Row],[ID]]) &gt; 0</f>
        <v>1</v>
      </c>
    </row>
    <row r="8" spans="1:4" x14ac:dyDescent="0.45">
      <c r="A8">
        <v>6</v>
      </c>
      <c r="B8" t="s">
        <v>158</v>
      </c>
      <c r="C8">
        <v>0.33300000000000002</v>
      </c>
      <c r="D8" t="b">
        <f ca="1">COUNTIF(dict_zul_Var_Meth[ID_Variables], table_Variables[[#This Row],[ID]]) &gt; 0</f>
        <v>1</v>
      </c>
    </row>
    <row r="9" spans="1:4" x14ac:dyDescent="0.45">
      <c r="A9">
        <v>7</v>
      </c>
      <c r="B9" t="s">
        <v>159</v>
      </c>
      <c r="C9">
        <v>0.435</v>
      </c>
      <c r="D9" t="b">
        <f ca="1">COUNTIF(dict_zul_Var_Meth[ID_Variables], table_Variables[[#This Row],[ID]]) &gt; 0</f>
        <v>1</v>
      </c>
    </row>
    <row r="10" spans="1:4" x14ac:dyDescent="0.45">
      <c r="A10">
        <v>8</v>
      </c>
      <c r="B10" t="s">
        <v>160</v>
      </c>
      <c r="C10">
        <v>0.443</v>
      </c>
      <c r="D10" t="b">
        <f ca="1">COUNTIF(dict_zul_Var_Meth[ID_Variables], table_Variables[[#This Row],[ID]]) &gt; 0</f>
        <v>1</v>
      </c>
    </row>
    <row r="11" spans="1:4" x14ac:dyDescent="0.45">
      <c r="A11">
        <v>9</v>
      </c>
      <c r="B11" t="s">
        <v>161</v>
      </c>
      <c r="C11">
        <v>0.76300000000000001</v>
      </c>
      <c r="D11" t="b">
        <f ca="1">COUNTIF(dict_zul_Var_Meth[ID_Variables], table_Variables[[#This Row],[ID]]) &gt; 0</f>
        <v>1</v>
      </c>
    </row>
    <row r="12" spans="1:4" x14ac:dyDescent="0.45">
      <c r="A12">
        <v>10</v>
      </c>
      <c r="B12" t="s">
        <v>162</v>
      </c>
      <c r="C12">
        <v>0.17599999999999999</v>
      </c>
      <c r="D12" t="b">
        <f ca="1">COUNTIF(dict_zul_Var_Meth[ID_Variables], table_Variables[[#This Row],[ID]]) &gt; 0</f>
        <v>1</v>
      </c>
    </row>
    <row r="13" spans="1:4" x14ac:dyDescent="0.45">
      <c r="A13">
        <v>11</v>
      </c>
      <c r="B13" t="s">
        <v>163</v>
      </c>
      <c r="C13">
        <v>0.68400000000000005</v>
      </c>
      <c r="D13" t="b">
        <f ca="1">COUNTIF(dict_zul_Var_Meth[ID_Variables], table_Variables[[#This Row],[ID]]) &gt; 0</f>
        <v>1</v>
      </c>
    </row>
    <row r="14" spans="1:4" x14ac:dyDescent="0.45">
      <c r="A14">
        <v>12</v>
      </c>
      <c r="B14" t="s">
        <v>164</v>
      </c>
      <c r="C14">
        <v>0.158</v>
      </c>
      <c r="D14" t="b">
        <f ca="1">COUNTIF(dict_zul_Var_Meth[ID_Variables], table_Variables[[#This Row],[ID]]) &gt; 0</f>
        <v>1</v>
      </c>
    </row>
    <row r="15" spans="1:4" x14ac:dyDescent="0.45">
      <c r="A15">
        <v>13</v>
      </c>
      <c r="B15" t="s">
        <v>165</v>
      </c>
      <c r="C15">
        <v>0.19400000000000001</v>
      </c>
      <c r="D15" t="b">
        <f ca="1">COUNTIF(dict_zul_Var_Meth[ID_Variables], table_Variables[[#This Row],[ID]]) &gt; 0</f>
        <v>1</v>
      </c>
    </row>
    <row r="16" spans="1:4" x14ac:dyDescent="0.45">
      <c r="A16">
        <v>14</v>
      </c>
      <c r="B16" t="s">
        <v>166</v>
      </c>
      <c r="C16">
        <v>4.1000000000000002E-2</v>
      </c>
      <c r="D16" t="b">
        <f ca="1">COUNTIF(dict_zul_Var_Meth[ID_Variables], table_Variables[[#This Row],[ID]]) &gt; 0</f>
        <v>1</v>
      </c>
    </row>
    <row r="17" spans="1:4" x14ac:dyDescent="0.45">
      <c r="A17">
        <v>15</v>
      </c>
      <c r="B17" t="s">
        <v>167</v>
      </c>
      <c r="C17">
        <v>0.71</v>
      </c>
      <c r="D17" t="b">
        <f ca="1">COUNTIF(dict_zul_Var_Meth[ID_Variables], table_Variables[[#This Row],[ID]]) &gt; 0</f>
        <v>1</v>
      </c>
    </row>
    <row r="18" spans="1:4" x14ac:dyDescent="0.45">
      <c r="A18">
        <v>16</v>
      </c>
      <c r="B18" t="s">
        <v>168</v>
      </c>
      <c r="C18">
        <v>0.36799999999999999</v>
      </c>
      <c r="D18" t="b">
        <f ca="1">COUNTIF(dict_zul_Var_Meth[ID_Variables], table_Variables[[#This Row],[ID]]) &gt; 0</f>
        <v>1</v>
      </c>
    </row>
    <row r="19" spans="1:4" x14ac:dyDescent="0.45">
      <c r="A19">
        <v>17</v>
      </c>
      <c r="B19" t="s">
        <v>169</v>
      </c>
      <c r="C19">
        <v>0.98</v>
      </c>
      <c r="D19" t="b">
        <f ca="1">COUNTIF(dict_zul_Var_Meth[ID_Variables], table_Variables[[#This Row],[ID]]) &gt; 0</f>
        <v>1</v>
      </c>
    </row>
    <row r="20" spans="1:4" x14ac:dyDescent="0.45">
      <c r="A20">
        <v>18</v>
      </c>
      <c r="B20" t="s">
        <v>170</v>
      </c>
      <c r="C20">
        <v>0.30299999999999999</v>
      </c>
      <c r="D20" t="b">
        <f ca="1">COUNTIF(dict_zul_Var_Meth[ID_Variables], table_Variables[[#This Row],[ID]]) &gt; 0</f>
        <v>1</v>
      </c>
    </row>
    <row r="21" spans="1:4" x14ac:dyDescent="0.45">
      <c r="A21">
        <v>19</v>
      </c>
      <c r="B21" t="s">
        <v>171</v>
      </c>
      <c r="C21">
        <v>0.72399999999999998</v>
      </c>
      <c r="D21" t="b">
        <f ca="1">COUNTIF(dict_zul_Var_Meth[ID_Variables], table_Variables[[#This Row],[ID]]) &gt; 0</f>
        <v>1</v>
      </c>
    </row>
    <row r="22" spans="1:4" x14ac:dyDescent="0.45">
      <c r="A22">
        <v>20</v>
      </c>
      <c r="B22" t="s">
        <v>172</v>
      </c>
      <c r="C22">
        <v>0.13500000000000001</v>
      </c>
      <c r="D22" t="b">
        <f ca="1">COUNTIF(dict_zul_Var_Meth[ID_Variables], table_Variables[[#This Row],[ID]]) &gt; 0</f>
        <v>1</v>
      </c>
    </row>
    <row r="23" spans="1:4" x14ac:dyDescent="0.45">
      <c r="A23">
        <v>21</v>
      </c>
      <c r="B23" t="s">
        <v>173</v>
      </c>
      <c r="C23">
        <v>0.70899999999999996</v>
      </c>
      <c r="D23" t="b">
        <f ca="1">COUNTIF(dict_zul_Var_Meth[ID_Variables], table_Variables[[#This Row],[ID]]) &gt; 0</f>
        <v>1</v>
      </c>
    </row>
    <row r="24" spans="1:4" x14ac:dyDescent="0.45">
      <c r="A24">
        <v>22</v>
      </c>
      <c r="B24" t="s">
        <v>174</v>
      </c>
      <c r="C24">
        <v>0.95299999999999996</v>
      </c>
      <c r="D24" t="b">
        <f ca="1">COUNTIF(dict_zul_Var_Meth[ID_Variables], table_Variables[[#This Row],[ID]]) &gt; 0</f>
        <v>1</v>
      </c>
    </row>
    <row r="25" spans="1:4" x14ac:dyDescent="0.45">
      <c r="A25">
        <v>23</v>
      </c>
      <c r="B25" t="s">
        <v>175</v>
      </c>
      <c r="C25">
        <v>0.64500000000000002</v>
      </c>
      <c r="D25" t="b">
        <f ca="1">COUNTIF(dict_zul_Var_Meth[ID_Variables], table_Variables[[#This Row],[ID]]) &gt; 0</f>
        <v>1</v>
      </c>
    </row>
    <row r="26" spans="1:4" x14ac:dyDescent="0.45">
      <c r="A26">
        <v>24</v>
      </c>
      <c r="B26" t="s">
        <v>176</v>
      </c>
      <c r="C26">
        <v>0.17299999999999999</v>
      </c>
      <c r="D26" t="b">
        <f ca="1">COUNTIF(dict_zul_Var_Meth[ID_Variables], table_Variables[[#This Row],[ID]]) &gt; 0</f>
        <v>1</v>
      </c>
    </row>
    <row r="27" spans="1:4" x14ac:dyDescent="0.45">
      <c r="A27">
        <v>25</v>
      </c>
      <c r="B27" t="s">
        <v>177</v>
      </c>
      <c r="C27">
        <v>0.60299999999999998</v>
      </c>
      <c r="D27" t="b">
        <f ca="1">COUNTIF(dict_zul_Var_Meth[ID_Variables], table_Variables[[#This Row],[ID]]) &gt; 0</f>
        <v>1</v>
      </c>
    </row>
    <row r="28" spans="1:4" x14ac:dyDescent="0.45">
      <c r="A28">
        <v>26</v>
      </c>
      <c r="B28" t="s">
        <v>178</v>
      </c>
      <c r="C28">
        <v>0.84499999999999997</v>
      </c>
      <c r="D28" t="b">
        <f ca="1">COUNTIF(dict_zul_Var_Meth[ID_Variables], table_Variables[[#This Row],[ID]]) &gt; 0</f>
        <v>1</v>
      </c>
    </row>
    <row r="29" spans="1:4" x14ac:dyDescent="0.45">
      <c r="A29">
        <v>27</v>
      </c>
      <c r="B29" t="s">
        <v>179</v>
      </c>
      <c r="C29">
        <v>0.32200000000000001</v>
      </c>
      <c r="D29" t="b">
        <f ca="1">COUNTIF(dict_zul_Var_Meth[ID_Variables], table_Variables[[#This Row],[ID]]) &gt; 0</f>
        <v>1</v>
      </c>
    </row>
    <row r="30" spans="1:4" x14ac:dyDescent="0.45">
      <c r="A30">
        <v>28</v>
      </c>
      <c r="B30" t="s">
        <v>180</v>
      </c>
      <c r="C30">
        <v>0.87</v>
      </c>
      <c r="D30" t="b">
        <f ca="1">COUNTIF(dict_zul_Var_Meth[ID_Variables], table_Variables[[#This Row],[ID]]) &gt; 0</f>
        <v>1</v>
      </c>
    </row>
    <row r="31" spans="1:4" x14ac:dyDescent="0.45">
      <c r="A31">
        <v>29</v>
      </c>
      <c r="B31" t="s">
        <v>181</v>
      </c>
      <c r="C31">
        <v>0.86</v>
      </c>
      <c r="D31" t="b">
        <f ca="1">COUNTIF(dict_zul_Var_Meth[ID_Variables], table_Variables[[#This Row],[ID]]) &gt; 0</f>
        <v>1</v>
      </c>
    </row>
    <row r="32" spans="1:4" x14ac:dyDescent="0.45">
      <c r="A32">
        <v>30</v>
      </c>
      <c r="B32" t="s">
        <v>182</v>
      </c>
      <c r="C32">
        <v>0.66700000000000004</v>
      </c>
      <c r="D32" t="b">
        <f ca="1">COUNTIF(dict_zul_Var_Meth[ID_Variables], table_Variables[[#This Row],[ID]]) &gt; 0</f>
        <v>1</v>
      </c>
    </row>
    <row r="33" spans="1:4" x14ac:dyDescent="0.45">
      <c r="A33">
        <v>31</v>
      </c>
      <c r="B33" t="s">
        <v>183</v>
      </c>
      <c r="C33">
        <v>0.29099999999999998</v>
      </c>
      <c r="D33" t="b">
        <f ca="1">COUNTIF(dict_zul_Var_Meth[ID_Variables], table_Variables[[#This Row],[ID]]) &gt; 0</f>
        <v>1</v>
      </c>
    </row>
    <row r="34" spans="1:4" x14ac:dyDescent="0.45">
      <c r="A34">
        <v>32</v>
      </c>
      <c r="B34" t="s">
        <v>184</v>
      </c>
      <c r="C34">
        <v>0.63400000000000001</v>
      </c>
      <c r="D34" t="b">
        <f ca="1">COUNTIF(dict_zul_Var_Meth[ID_Variables], table_Variables[[#This Row],[ID]]) &gt; 0</f>
        <v>1</v>
      </c>
    </row>
    <row r="35" spans="1:4" x14ac:dyDescent="0.45">
      <c r="A35">
        <v>33</v>
      </c>
      <c r="B35" t="s">
        <v>185</v>
      </c>
      <c r="C35">
        <v>0.23699999999999999</v>
      </c>
      <c r="D35" t="b">
        <f ca="1">COUNTIF(dict_zul_Var_Meth[ID_Variables], table_Variables[[#This Row],[ID]]) &gt; 0</f>
        <v>1</v>
      </c>
    </row>
    <row r="36" spans="1:4" x14ac:dyDescent="0.45">
      <c r="A36">
        <v>34</v>
      </c>
      <c r="B36" t="s">
        <v>186</v>
      </c>
      <c r="C36">
        <v>0.39600000000000002</v>
      </c>
      <c r="D36" t="b">
        <f ca="1">COUNTIF(dict_zul_Var_Meth[ID_Variables], table_Variables[[#This Row],[ID]]) &gt; 0</f>
        <v>1</v>
      </c>
    </row>
    <row r="37" spans="1:4" x14ac:dyDescent="0.45">
      <c r="A37">
        <v>35</v>
      </c>
      <c r="B37" t="s">
        <v>187</v>
      </c>
      <c r="C37">
        <v>0.81899999999999995</v>
      </c>
      <c r="D37" t="b">
        <f ca="1">COUNTIF(dict_zul_Var_Meth[ID_Variables], table_Variables[[#This Row],[ID]]) &gt; 0</f>
        <v>1</v>
      </c>
    </row>
    <row r="38" spans="1:4" x14ac:dyDescent="0.45">
      <c r="A38">
        <v>36</v>
      </c>
      <c r="B38" t="s">
        <v>188</v>
      </c>
      <c r="C38">
        <v>5.2999999999999999E-2</v>
      </c>
      <c r="D38" t="b">
        <f ca="1">COUNTIF(dict_zul_Var_Meth[ID_Variables], table_Variables[[#This Row],[ID]]) &gt; 0</f>
        <v>1</v>
      </c>
    </row>
    <row r="39" spans="1:4" x14ac:dyDescent="0.45">
      <c r="A39">
        <v>37</v>
      </c>
      <c r="B39" t="s">
        <v>189</v>
      </c>
      <c r="C39">
        <v>0.68300000000000005</v>
      </c>
      <c r="D39" t="b">
        <f ca="1">COUNTIF(dict_zul_Var_Meth[ID_Variables], table_Variables[[#This Row],[ID]]) &gt; 0</f>
        <v>1</v>
      </c>
    </row>
    <row r="40" spans="1:4" x14ac:dyDescent="0.45">
      <c r="A40">
        <v>38</v>
      </c>
      <c r="B40" t="s">
        <v>190</v>
      </c>
      <c r="C40">
        <v>0.13200000000000001</v>
      </c>
      <c r="D40" t="b">
        <f ca="1">COUNTIF(dict_zul_Var_Meth[ID_Variables], table_Variables[[#This Row],[ID]]) &gt; 0</f>
        <v>1</v>
      </c>
    </row>
    <row r="41" spans="1:4" x14ac:dyDescent="0.45">
      <c r="A41">
        <v>39</v>
      </c>
      <c r="B41" t="s">
        <v>191</v>
      </c>
      <c r="C41">
        <v>5.0999999999999997E-2</v>
      </c>
      <c r="D41" t="b">
        <f ca="1">COUNTIF(dict_zul_Var_Meth[ID_Variables], table_Variables[[#This Row],[ID]]) &gt; 0</f>
        <v>1</v>
      </c>
    </row>
    <row r="42" spans="1:4" x14ac:dyDescent="0.45">
      <c r="A42">
        <v>40</v>
      </c>
      <c r="B42" t="s">
        <v>192</v>
      </c>
      <c r="C42">
        <v>0.88200000000000001</v>
      </c>
      <c r="D42" t="b">
        <f ca="1">COUNTIF(dict_zul_Var_Meth[ID_Variables], table_Variables[[#This Row],[ID]]) &gt; 0</f>
        <v>1</v>
      </c>
    </row>
    <row r="43" spans="1:4" x14ac:dyDescent="0.45">
      <c r="A43">
        <v>41</v>
      </c>
      <c r="B43" t="s">
        <v>193</v>
      </c>
      <c r="C43">
        <v>0.28899999999999998</v>
      </c>
      <c r="D43" t="b">
        <f ca="1">COUNTIF(dict_zul_Var_Meth[ID_Variables], table_Variables[[#This Row],[ID]]) &gt; 0</f>
        <v>1</v>
      </c>
    </row>
    <row r="44" spans="1:4" x14ac:dyDescent="0.45">
      <c r="A44">
        <v>42</v>
      </c>
      <c r="B44" t="s">
        <v>194</v>
      </c>
      <c r="C44">
        <v>0.214</v>
      </c>
      <c r="D44" t="b">
        <f ca="1">COUNTIF(dict_zul_Var_Meth[ID_Variables], table_Variables[[#This Row],[ID]]) &gt; 0</f>
        <v>1</v>
      </c>
    </row>
    <row r="45" spans="1:4" x14ac:dyDescent="0.45">
      <c r="A45">
        <v>43</v>
      </c>
      <c r="B45" t="s">
        <v>195</v>
      </c>
      <c r="C45">
        <v>4.3999999999999997E-2</v>
      </c>
      <c r="D45" t="b">
        <f ca="1">COUNTIF(dict_zul_Var_Meth[ID_Variables], table_Variables[[#This Row],[ID]]) &gt; 0</f>
        <v>1</v>
      </c>
    </row>
    <row r="46" spans="1:4" x14ac:dyDescent="0.45">
      <c r="A46">
        <v>44</v>
      </c>
      <c r="B46" t="s">
        <v>196</v>
      </c>
      <c r="C46">
        <v>0.28000000000000003</v>
      </c>
      <c r="D46" t="b">
        <f ca="1">COUNTIF(dict_zul_Var_Meth[ID_Variables], table_Variables[[#This Row],[ID]]) &gt; 0</f>
        <v>1</v>
      </c>
    </row>
    <row r="47" spans="1:4" x14ac:dyDescent="0.45">
      <c r="A47">
        <v>45</v>
      </c>
      <c r="B47" t="s">
        <v>197</v>
      </c>
      <c r="C47">
        <v>0.104</v>
      </c>
      <c r="D47" t="b">
        <f ca="1">COUNTIF(dict_zul_Var_Meth[ID_Variables], table_Variables[[#This Row],[ID]]) &gt; 0</f>
        <v>1</v>
      </c>
    </row>
    <row r="48" spans="1:4" x14ac:dyDescent="0.45">
      <c r="A48">
        <v>46</v>
      </c>
      <c r="B48" t="s">
        <v>198</v>
      </c>
      <c r="C48">
        <v>0.19700000000000001</v>
      </c>
      <c r="D48" t="b">
        <f ca="1">COUNTIF(dict_zul_Var_Meth[ID_Variables], table_Variables[[#This Row],[ID]]) &gt; 0</f>
        <v>1</v>
      </c>
    </row>
    <row r="49" spans="1:4" x14ac:dyDescent="0.45">
      <c r="A49">
        <v>47</v>
      </c>
      <c r="B49" t="s">
        <v>199</v>
      </c>
      <c r="C49">
        <v>0.67500000000000004</v>
      </c>
      <c r="D49" t="b">
        <f ca="1">COUNTIF(dict_zul_Var_Meth[ID_Variables], table_Variables[[#This Row],[ID]]) &gt; 0</f>
        <v>1</v>
      </c>
    </row>
    <row r="50" spans="1:4" x14ac:dyDescent="0.45">
      <c r="A50">
        <v>48</v>
      </c>
      <c r="B50" t="s">
        <v>200</v>
      </c>
      <c r="C50">
        <v>4.1000000000000002E-2</v>
      </c>
      <c r="D50" t="b">
        <f ca="1">COUNTIF(dict_zul_Var_Meth[ID_Variables], table_Variables[[#This Row],[ID]]) &gt; 0</f>
        <v>1</v>
      </c>
    </row>
    <row r="51" spans="1:4" x14ac:dyDescent="0.45">
      <c r="A51">
        <v>49</v>
      </c>
      <c r="B51" t="s">
        <v>201</v>
      </c>
      <c r="C51">
        <v>0.92600000000000005</v>
      </c>
      <c r="D51" t="b">
        <f ca="1">COUNTIF(dict_zul_Var_Meth[ID_Variables], table_Variables[[#This Row],[ID]]) &gt; 0</f>
        <v>1</v>
      </c>
    </row>
    <row r="52" spans="1:4" x14ac:dyDescent="0.45">
      <c r="A52">
        <v>50</v>
      </c>
      <c r="B52" t="s">
        <v>202</v>
      </c>
      <c r="C52">
        <v>0.83599999999999997</v>
      </c>
      <c r="D52" t="b">
        <f ca="1">COUNTIF(dict_zul_Var_Meth[ID_Variables], table_Variables[[#This Row],[ID]]) &gt; 0</f>
        <v>1</v>
      </c>
    </row>
    <row r="53" spans="1:4" x14ac:dyDescent="0.45">
      <c r="A53">
        <v>51</v>
      </c>
      <c r="B53" t="s">
        <v>203</v>
      </c>
      <c r="C53">
        <v>0.16600000000000001</v>
      </c>
      <c r="D53" t="b">
        <f ca="1">COUNTIF(dict_zul_Var_Meth[ID_Variables], table_Variables[[#This Row],[ID]]) &gt; 0</f>
        <v>1</v>
      </c>
    </row>
    <row r="54" spans="1:4" x14ac:dyDescent="0.45">
      <c r="A54">
        <v>52</v>
      </c>
      <c r="B54" t="s">
        <v>204</v>
      </c>
      <c r="C54">
        <v>0.59199999999999997</v>
      </c>
      <c r="D54" t="b">
        <f ca="1">COUNTIF(dict_zul_Var_Meth[ID_Variables], table_Variables[[#This Row],[ID]]) &gt; 0</f>
        <v>1</v>
      </c>
    </row>
    <row r="55" spans="1:4" x14ac:dyDescent="0.45">
      <c r="A55">
        <v>53</v>
      </c>
      <c r="B55" t="s">
        <v>205</v>
      </c>
      <c r="C55">
        <v>0.29299999999999998</v>
      </c>
      <c r="D55" t="b">
        <f ca="1">COUNTIF(dict_zul_Var_Meth[ID_Variables], table_Variables[[#This Row],[ID]]) &gt; 0</f>
        <v>1</v>
      </c>
    </row>
    <row r="56" spans="1:4" x14ac:dyDescent="0.45">
      <c r="A56">
        <v>54</v>
      </c>
      <c r="B56" t="s">
        <v>206</v>
      </c>
      <c r="C56">
        <v>0.95799999999999996</v>
      </c>
      <c r="D56" t="b">
        <f ca="1">COUNTIF(dict_zul_Var_Meth[ID_Variables], table_Variables[[#This Row],[ID]]) &gt; 0</f>
        <v>1</v>
      </c>
    </row>
    <row r="57" spans="1:4" x14ac:dyDescent="0.45">
      <c r="A57">
        <v>55</v>
      </c>
      <c r="B57" t="s">
        <v>207</v>
      </c>
      <c r="C57">
        <v>0.27500000000000002</v>
      </c>
      <c r="D57" t="b">
        <f ca="1">COUNTIF(dict_zul_Var_Meth[ID_Variables], table_Variables[[#This Row],[ID]]) &gt; 0</f>
        <v>1</v>
      </c>
    </row>
    <row r="58" spans="1:4" x14ac:dyDescent="0.45">
      <c r="A58">
        <v>56</v>
      </c>
      <c r="B58" t="s">
        <v>208</v>
      </c>
      <c r="C58">
        <v>0.34499999999999997</v>
      </c>
      <c r="D58" t="b">
        <f ca="1">COUNTIF(dict_zul_Var_Meth[ID_Variables], table_Variables[[#This Row],[ID]]) &gt; 0</f>
        <v>1</v>
      </c>
    </row>
    <row r="59" spans="1:4" x14ac:dyDescent="0.45">
      <c r="A59">
        <v>57</v>
      </c>
      <c r="B59" t="s">
        <v>209</v>
      </c>
      <c r="C59">
        <v>0.91600000000000004</v>
      </c>
      <c r="D59" t="b">
        <f ca="1">COUNTIF(dict_zul_Var_Meth[ID_Variables], table_Variables[[#This Row],[ID]]) &gt; 0</f>
        <v>1</v>
      </c>
    </row>
    <row r="60" spans="1:4" x14ac:dyDescent="0.45">
      <c r="A60">
        <v>58</v>
      </c>
      <c r="B60" t="s">
        <v>210</v>
      </c>
      <c r="C60">
        <v>0.11899999999999999</v>
      </c>
      <c r="D60" t="b">
        <f ca="1">COUNTIF(dict_zul_Var_Meth[ID_Variables], table_Variables[[#This Row],[ID]]) &gt; 0</f>
        <v>1</v>
      </c>
    </row>
    <row r="61" spans="1:4" x14ac:dyDescent="0.45">
      <c r="A61">
        <v>59</v>
      </c>
      <c r="B61" t="s">
        <v>211</v>
      </c>
      <c r="C61">
        <v>0.77800000000000002</v>
      </c>
      <c r="D61" t="b">
        <f ca="1">COUNTIF(dict_zul_Var_Meth[ID_Variables], table_Variables[[#This Row],[ID]]) &gt; 0</f>
        <v>1</v>
      </c>
    </row>
    <row r="62" spans="1:4" x14ac:dyDescent="0.45">
      <c r="A62">
        <v>60</v>
      </c>
      <c r="B62" t="s">
        <v>212</v>
      </c>
      <c r="C62">
        <v>0.63600000000000001</v>
      </c>
      <c r="D62" t="b">
        <f ca="1">COUNTIF(dict_zul_Var_Meth[ID_Variables], table_Variables[[#This Row],[ID]]) &gt; 0</f>
        <v>1</v>
      </c>
    </row>
    <row r="63" spans="1:4" x14ac:dyDescent="0.45">
      <c r="A63">
        <v>61</v>
      </c>
      <c r="B63" t="s">
        <v>213</v>
      </c>
      <c r="C63">
        <v>0.97599999999999998</v>
      </c>
      <c r="D63" t="b">
        <f ca="1">COUNTIF(dict_zul_Var_Meth[ID_Variables], table_Variables[[#This Row],[ID]]) &gt; 0</f>
        <v>1</v>
      </c>
    </row>
    <row r="64" spans="1:4" x14ac:dyDescent="0.45">
      <c r="A64">
        <v>62</v>
      </c>
      <c r="B64" t="s">
        <v>214</v>
      </c>
      <c r="C64">
        <v>0.88400000000000001</v>
      </c>
      <c r="D64" t="b">
        <f ca="1">COUNTIF(dict_zul_Var_Meth[ID_Variables], table_Variables[[#This Row],[ID]]) &gt; 0</f>
        <v>1</v>
      </c>
    </row>
    <row r="65" spans="1:4" x14ac:dyDescent="0.45">
      <c r="A65">
        <v>63</v>
      </c>
      <c r="B65" t="s">
        <v>215</v>
      </c>
      <c r="C65">
        <v>0.19700000000000001</v>
      </c>
      <c r="D65" t="b">
        <f ca="1">COUNTIF(dict_zul_Var_Meth[ID_Variables], table_Variables[[#This Row],[ID]]) &gt; 0</f>
        <v>1</v>
      </c>
    </row>
    <row r="66" spans="1:4" x14ac:dyDescent="0.45">
      <c r="A66">
        <v>64</v>
      </c>
      <c r="B66" t="s">
        <v>216</v>
      </c>
      <c r="C66">
        <v>0.75</v>
      </c>
      <c r="D66" t="b">
        <f ca="1">COUNTIF(dict_zul_Var_Meth[ID_Variables], table_Variables[[#This Row],[ID]]) &gt; 0</f>
        <v>1</v>
      </c>
    </row>
    <row r="67" spans="1:4" x14ac:dyDescent="0.45">
      <c r="A67">
        <v>65</v>
      </c>
      <c r="B67" t="s">
        <v>217</v>
      </c>
      <c r="C67">
        <v>0.89500000000000002</v>
      </c>
      <c r="D67" t="b">
        <f ca="1">COUNTIF(dict_zul_Var_Meth[ID_Variables], table_Variables[[#This Row],[ID]]) &gt; 0</f>
        <v>1</v>
      </c>
    </row>
    <row r="68" spans="1:4" x14ac:dyDescent="0.45">
      <c r="A68">
        <v>66</v>
      </c>
      <c r="B68" t="s">
        <v>218</v>
      </c>
      <c r="C68">
        <v>0.78500000000000003</v>
      </c>
      <c r="D68" t="b">
        <f ca="1">COUNTIF(dict_zul_Var_Meth[ID_Variables], table_Variables[[#This Row],[ID]]) &gt; 0</f>
        <v>1</v>
      </c>
    </row>
    <row r="69" spans="1:4" x14ac:dyDescent="0.45">
      <c r="A69">
        <v>67</v>
      </c>
      <c r="B69" t="s">
        <v>219</v>
      </c>
      <c r="C69">
        <v>0.626</v>
      </c>
      <c r="D69" t="b">
        <f ca="1">COUNTIF(dict_zul_Var_Meth[ID_Variables], table_Variables[[#This Row],[ID]]) &gt; 0</f>
        <v>1</v>
      </c>
    </row>
    <row r="70" spans="1:4" x14ac:dyDescent="0.45">
      <c r="A70">
        <v>68</v>
      </c>
      <c r="B70" t="s">
        <v>220</v>
      </c>
      <c r="C70">
        <v>0.378</v>
      </c>
      <c r="D70" t="b">
        <f ca="1">COUNTIF(dict_zul_Var_Meth[ID_Variables], table_Variables[[#This Row],[ID]]) &gt; 0</f>
        <v>1</v>
      </c>
    </row>
    <row r="71" spans="1:4" x14ac:dyDescent="0.45">
      <c r="A71">
        <v>69</v>
      </c>
      <c r="B71" t="s">
        <v>221</v>
      </c>
      <c r="C71">
        <v>0.29599999999999999</v>
      </c>
      <c r="D71" t="b">
        <f ca="1">COUNTIF(dict_zul_Var_Meth[ID_Variables], table_Variables[[#This Row],[ID]]) &gt; 0</f>
        <v>1</v>
      </c>
    </row>
    <row r="72" spans="1:4" x14ac:dyDescent="0.45">
      <c r="A72">
        <v>70</v>
      </c>
      <c r="B72" t="s">
        <v>222</v>
      </c>
      <c r="C72">
        <v>0.68500000000000005</v>
      </c>
      <c r="D72" t="b">
        <f ca="1">COUNTIF(dict_zul_Var_Meth[ID_Variables], table_Variables[[#This Row],[ID]]) &gt; 0</f>
        <v>1</v>
      </c>
    </row>
    <row r="73" spans="1:4" x14ac:dyDescent="0.45">
      <c r="A73">
        <v>71</v>
      </c>
      <c r="B73" t="s">
        <v>223</v>
      </c>
      <c r="C73">
        <v>0.38400000000000001</v>
      </c>
      <c r="D73" t="b">
        <f ca="1">COUNTIF(dict_zul_Var_Meth[ID_Variables], table_Variables[[#This Row],[ID]]) &gt; 0</f>
        <v>1</v>
      </c>
    </row>
    <row r="74" spans="1:4" x14ac:dyDescent="0.45">
      <c r="A74">
        <v>72</v>
      </c>
      <c r="B74" t="s">
        <v>224</v>
      </c>
      <c r="C74">
        <v>0.996</v>
      </c>
      <c r="D74" t="b">
        <f ca="1">COUNTIF(dict_zul_Var_Meth[ID_Variables], table_Variables[[#This Row],[ID]]) &gt; 0</f>
        <v>1</v>
      </c>
    </row>
    <row r="75" spans="1:4" x14ac:dyDescent="0.45">
      <c r="A75">
        <v>73</v>
      </c>
      <c r="B75" t="s">
        <v>225</v>
      </c>
      <c r="C75">
        <v>0.79600000000000004</v>
      </c>
      <c r="D75" t="b">
        <f ca="1">COUNTIF(dict_zul_Var_Meth[ID_Variables], table_Variables[[#This Row],[ID]]) &gt; 0</f>
        <v>1</v>
      </c>
    </row>
    <row r="76" spans="1:4" x14ac:dyDescent="0.45">
      <c r="A76">
        <v>74</v>
      </c>
      <c r="B76" t="s">
        <v>226</v>
      </c>
      <c r="C76">
        <v>0.93100000000000005</v>
      </c>
      <c r="D76" t="b">
        <f ca="1">COUNTIF(dict_zul_Var_Meth[ID_Variables], table_Variables[[#This Row],[ID]]) &gt; 0</f>
        <v>1</v>
      </c>
    </row>
    <row r="77" spans="1:4" x14ac:dyDescent="0.45">
      <c r="A77">
        <v>75</v>
      </c>
      <c r="B77" t="s">
        <v>227</v>
      </c>
      <c r="C77">
        <v>0.27500000000000002</v>
      </c>
      <c r="D77" t="b">
        <f ca="1">COUNTIF(dict_zul_Var_Meth[ID_Variables], table_Variables[[#This Row],[ID]]) &gt; 0</f>
        <v>1</v>
      </c>
    </row>
    <row r="78" spans="1:4" x14ac:dyDescent="0.45">
      <c r="A78">
        <v>76</v>
      </c>
      <c r="B78" t="s">
        <v>228</v>
      </c>
      <c r="C78">
        <v>0.38500000000000001</v>
      </c>
      <c r="D78" t="b">
        <f ca="1">COUNTIF(dict_zul_Var_Meth[ID_Variables], table_Variables[[#This Row],[ID]]) &gt; 0</f>
        <v>1</v>
      </c>
    </row>
    <row r="79" spans="1:4" x14ac:dyDescent="0.45">
      <c r="A79">
        <v>77</v>
      </c>
      <c r="B79" t="s">
        <v>229</v>
      </c>
      <c r="C79">
        <v>0.17599999999999999</v>
      </c>
      <c r="D79" t="b">
        <f ca="1">COUNTIF(dict_zul_Var_Meth[ID_Variables], table_Variables[[#This Row],[ID]]) &gt; 0</f>
        <v>1</v>
      </c>
    </row>
    <row r="80" spans="1:4" x14ac:dyDescent="0.45">
      <c r="A80">
        <v>78</v>
      </c>
      <c r="B80" t="s">
        <v>230</v>
      </c>
      <c r="C80">
        <v>0.53400000000000003</v>
      </c>
      <c r="D80" t="b">
        <f ca="1">COUNTIF(dict_zul_Var_Meth[ID_Variables], table_Variables[[#This Row],[ID]]) &gt; 0</f>
        <v>1</v>
      </c>
    </row>
    <row r="81" spans="1:4" x14ac:dyDescent="0.45">
      <c r="A81">
        <v>79</v>
      </c>
      <c r="B81" t="s">
        <v>231</v>
      </c>
      <c r="C81">
        <v>0.67400000000000004</v>
      </c>
      <c r="D81" t="b">
        <f ca="1">COUNTIF(dict_zul_Var_Meth[ID_Variables], table_Variables[[#This Row],[ID]]) &gt; 0</f>
        <v>1</v>
      </c>
    </row>
    <row r="82" spans="1:4" x14ac:dyDescent="0.45">
      <c r="A82">
        <v>80</v>
      </c>
      <c r="B82" t="s">
        <v>232</v>
      </c>
      <c r="C82">
        <v>0.69599999999999995</v>
      </c>
      <c r="D82" t="b">
        <f ca="1">COUNTIF(dict_zul_Var_Meth[ID_Variables], table_Variables[[#This Row],[ID]]) &gt; 0</f>
        <v>1</v>
      </c>
    </row>
    <row r="83" spans="1:4" x14ac:dyDescent="0.45">
      <c r="A83">
        <v>81</v>
      </c>
      <c r="B83" t="s">
        <v>233</v>
      </c>
      <c r="C83">
        <v>4.2999999999999997E-2</v>
      </c>
      <c r="D83" t="b">
        <f ca="1">COUNTIF(dict_zul_Var_Meth[ID_Variables], table_Variables[[#This Row],[ID]]) &gt; 0</f>
        <v>1</v>
      </c>
    </row>
    <row r="84" spans="1:4" x14ac:dyDescent="0.45">
      <c r="A84">
        <v>82</v>
      </c>
      <c r="B84" t="s">
        <v>234</v>
      </c>
      <c r="C84">
        <v>0.443</v>
      </c>
      <c r="D84" t="b">
        <f ca="1">COUNTIF(dict_zul_Var_Meth[ID_Variables], table_Variables[[#This Row],[ID]]) &gt; 0</f>
        <v>1</v>
      </c>
    </row>
    <row r="85" spans="1:4" x14ac:dyDescent="0.45">
      <c r="A85">
        <v>83</v>
      </c>
      <c r="B85" t="s">
        <v>235</v>
      </c>
      <c r="C85">
        <v>0.53900000000000003</v>
      </c>
      <c r="D85" t="b">
        <f ca="1">COUNTIF(dict_zul_Var_Meth[ID_Variables], table_Variables[[#This Row],[ID]]) &gt; 0</f>
        <v>1</v>
      </c>
    </row>
    <row r="86" spans="1:4" x14ac:dyDescent="0.45">
      <c r="A86">
        <v>84</v>
      </c>
      <c r="B86" t="s">
        <v>236</v>
      </c>
      <c r="C86">
        <v>0.52100000000000002</v>
      </c>
      <c r="D86" t="b">
        <f ca="1">COUNTIF(dict_zul_Var_Meth[ID_Variables], table_Variables[[#This Row],[ID]]) &gt; 0</f>
        <v>1</v>
      </c>
    </row>
    <row r="87" spans="1:4" x14ac:dyDescent="0.45">
      <c r="A87">
        <v>85</v>
      </c>
      <c r="B87" t="s">
        <v>237</v>
      </c>
      <c r="C87">
        <v>0.622</v>
      </c>
      <c r="D87" t="b">
        <f ca="1">COUNTIF(dict_zul_Var_Meth[ID_Variables], table_Variables[[#This Row],[ID]]) &gt; 0</f>
        <v>1</v>
      </c>
    </row>
    <row r="88" spans="1:4" x14ac:dyDescent="0.45">
      <c r="A88">
        <v>86</v>
      </c>
      <c r="B88" t="s">
        <v>238</v>
      </c>
      <c r="C88">
        <v>0.46200000000000002</v>
      </c>
      <c r="D88" t="b">
        <f ca="1">COUNTIF(dict_zul_Var_Meth[ID_Variables], table_Variables[[#This Row],[ID]]) &gt; 0</f>
        <v>1</v>
      </c>
    </row>
    <row r="89" spans="1:4" x14ac:dyDescent="0.45">
      <c r="A89">
        <v>87</v>
      </c>
      <c r="B89" t="s">
        <v>239</v>
      </c>
      <c r="C89">
        <v>0.64300000000000002</v>
      </c>
      <c r="D89" t="b">
        <f ca="1">COUNTIF(dict_zul_Var_Meth[ID_Variables], table_Variables[[#This Row],[ID]]) &gt; 0</f>
        <v>1</v>
      </c>
    </row>
    <row r="90" spans="1:4" x14ac:dyDescent="0.45">
      <c r="A90">
        <v>88</v>
      </c>
      <c r="B90" t="s">
        <v>240</v>
      </c>
      <c r="C90">
        <v>0.47899999999999998</v>
      </c>
      <c r="D90" t="b">
        <f ca="1">COUNTIF(dict_zul_Var_Meth[ID_Variables], table_Variables[[#This Row],[ID]]) &gt; 0</f>
        <v>1</v>
      </c>
    </row>
    <row r="91" spans="1:4" x14ac:dyDescent="0.45">
      <c r="A91">
        <v>89</v>
      </c>
      <c r="B91" t="s">
        <v>241</v>
      </c>
      <c r="C91">
        <v>0.65</v>
      </c>
      <c r="D91" t="b">
        <f ca="1">COUNTIF(dict_zul_Var_Meth[ID_Variables], table_Variables[[#This Row],[ID]]) &gt; 0</f>
        <v>1</v>
      </c>
    </row>
    <row r="92" spans="1:4" x14ac:dyDescent="0.45">
      <c r="A92">
        <v>90</v>
      </c>
      <c r="B92" t="s">
        <v>242</v>
      </c>
      <c r="C92">
        <v>0.43</v>
      </c>
      <c r="D92" t="b">
        <f ca="1">COUNTIF(dict_zul_Var_Meth[ID_Variables], table_Variables[[#This Row],[ID]]) &gt; 0</f>
        <v>1</v>
      </c>
    </row>
    <row r="93" spans="1:4" x14ac:dyDescent="0.45">
      <c r="A93">
        <v>91</v>
      </c>
      <c r="B93" t="s">
        <v>243</v>
      </c>
      <c r="C93">
        <v>0.63500000000000001</v>
      </c>
      <c r="D93" t="b">
        <f ca="1">COUNTIF(dict_zul_Var_Meth[ID_Variables], table_Variables[[#This Row],[ID]]) &gt; 0</f>
        <v>1</v>
      </c>
    </row>
    <row r="94" spans="1:4" x14ac:dyDescent="0.45">
      <c r="A94">
        <v>92</v>
      </c>
      <c r="B94" t="s">
        <v>244</v>
      </c>
      <c r="C94">
        <v>0.217</v>
      </c>
      <c r="D94" t="b">
        <f ca="1">COUNTIF(dict_zul_Var_Meth[ID_Variables], table_Variables[[#This Row],[ID]]) &gt; 0</f>
        <v>1</v>
      </c>
    </row>
    <row r="95" spans="1:4" x14ac:dyDescent="0.45">
      <c r="A95">
        <v>93</v>
      </c>
      <c r="B95" t="s">
        <v>245</v>
      </c>
      <c r="C95">
        <v>0.96799999999999997</v>
      </c>
      <c r="D95" t="b">
        <f ca="1">COUNTIF(dict_zul_Var_Meth[ID_Variables], table_Variables[[#This Row],[ID]]) &gt; 0</f>
        <v>1</v>
      </c>
    </row>
    <row r="96" spans="1:4" x14ac:dyDescent="0.45">
      <c r="A96">
        <v>94</v>
      </c>
      <c r="B96" t="s">
        <v>246</v>
      </c>
      <c r="C96">
        <v>0.39800000000000002</v>
      </c>
      <c r="D96" t="b">
        <f ca="1">COUNTIF(dict_zul_Var_Meth[ID_Variables], table_Variables[[#This Row],[ID]]) &gt; 0</f>
        <v>1</v>
      </c>
    </row>
    <row r="97" spans="1:4" x14ac:dyDescent="0.45">
      <c r="A97">
        <v>95</v>
      </c>
      <c r="B97" t="s">
        <v>247</v>
      </c>
      <c r="C97">
        <v>0.49399999999999999</v>
      </c>
      <c r="D97" t="b">
        <f ca="1">COUNTIF(dict_zul_Var_Meth[ID_Variables], table_Variables[[#This Row],[ID]]) &gt; 0</f>
        <v>1</v>
      </c>
    </row>
    <row r="98" spans="1:4" x14ac:dyDescent="0.45">
      <c r="A98">
        <v>96</v>
      </c>
      <c r="B98" t="s">
        <v>248</v>
      </c>
      <c r="C98">
        <v>0.26</v>
      </c>
      <c r="D98" t="b">
        <f ca="1">COUNTIF(dict_zul_Var_Meth[ID_Variables], table_Variables[[#This Row],[ID]]) &gt; 0</f>
        <v>1</v>
      </c>
    </row>
    <row r="99" spans="1:4" x14ac:dyDescent="0.45">
      <c r="A99">
        <v>97</v>
      </c>
      <c r="B99" t="s">
        <v>249</v>
      </c>
      <c r="C99">
        <v>0.79600000000000004</v>
      </c>
      <c r="D99" t="b">
        <f ca="1">COUNTIF(dict_zul_Var_Meth[ID_Variables], table_Variables[[#This Row],[ID]]) &gt; 0</f>
        <v>1</v>
      </c>
    </row>
    <row r="100" spans="1:4" x14ac:dyDescent="0.45">
      <c r="A100">
        <v>98</v>
      </c>
      <c r="B100" t="s">
        <v>250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x14ac:dyDescent="0.45">
      <c r="A101">
        <v>99</v>
      </c>
      <c r="B101" t="s">
        <v>251</v>
      </c>
      <c r="C101">
        <v>0.57199999999999995</v>
      </c>
      <c r="D101" t="b">
        <f ca="1">COUNTIF(dict_zul_Var_Meth[ID_Variables], table_Variables[[#This Row],[ID]]) &gt; 0</f>
        <v>1</v>
      </c>
    </row>
    <row r="102" spans="1:4" x14ac:dyDescent="0.45">
      <c r="A102">
        <v>100</v>
      </c>
      <c r="B102" t="s">
        <v>252</v>
      </c>
      <c r="C102">
        <v>0.80300000000000005</v>
      </c>
      <c r="D102" t="b">
        <f ca="1">COUNTIF(dict_zul_Var_Meth[ID_Variables], table_Variables[[#This Row],[ID]]) &gt; 0</f>
        <v>1</v>
      </c>
    </row>
    <row r="103" spans="1:4" x14ac:dyDescent="0.45">
      <c r="A103">
        <v>101</v>
      </c>
      <c r="B103" t="s">
        <v>253</v>
      </c>
      <c r="C103">
        <v>0.61</v>
      </c>
      <c r="D103" t="b">
        <f ca="1">COUNTIF(dict_zul_Var_Meth[ID_Variables], table_Variables[[#This Row],[ID]]) &gt; 0</f>
        <v>1</v>
      </c>
    </row>
    <row r="104" spans="1:4" x14ac:dyDescent="0.45">
      <c r="A104">
        <v>102</v>
      </c>
      <c r="B104" t="s">
        <v>254</v>
      </c>
      <c r="C104">
        <v>0.70599999999999996</v>
      </c>
      <c r="D104" t="b">
        <f ca="1">COUNTIF(dict_zul_Var_Meth[ID_Variables], table_Variables[[#This Row],[ID]]) &gt; 0</f>
        <v>1</v>
      </c>
    </row>
    <row r="105" spans="1:4" x14ac:dyDescent="0.45">
      <c r="A105">
        <v>103</v>
      </c>
      <c r="B105" t="s">
        <v>255</v>
      </c>
      <c r="C105">
        <v>0.83799999999999997</v>
      </c>
      <c r="D105" t="b">
        <f ca="1">COUNTIF(dict_zul_Var_Meth[ID_Variables], table_Variables[[#This Row],[ID]]) &gt; 0</f>
        <v>1</v>
      </c>
    </row>
    <row r="106" spans="1:4" x14ac:dyDescent="0.45">
      <c r="A106">
        <v>104</v>
      </c>
      <c r="B106" t="s">
        <v>256</v>
      </c>
      <c r="C106">
        <v>0.108</v>
      </c>
      <c r="D106" t="b">
        <f ca="1">COUNTIF(dict_zul_Var_Meth[ID_Variables], table_Variables[[#This Row],[ID]]) &gt; 0</f>
        <v>1</v>
      </c>
    </row>
    <row r="107" spans="1:4" x14ac:dyDescent="0.45">
      <c r="A107">
        <v>105</v>
      </c>
      <c r="B107" t="s">
        <v>257</v>
      </c>
      <c r="C107">
        <v>0.84099999999999997</v>
      </c>
      <c r="D107" t="b">
        <f ca="1">COUNTIF(dict_zul_Var_Meth[ID_Variables], table_Variables[[#This Row],[ID]]) &gt; 0</f>
        <v>1</v>
      </c>
    </row>
    <row r="108" spans="1:4" x14ac:dyDescent="0.45">
      <c r="A108">
        <v>106</v>
      </c>
      <c r="B108" t="s">
        <v>258</v>
      </c>
      <c r="C108">
        <v>0.94099999999999995</v>
      </c>
      <c r="D108" t="b">
        <f ca="1">COUNTIF(dict_zul_Var_Meth[ID_Variables], table_Variables[[#This Row],[ID]]) &gt; 0</f>
        <v>1</v>
      </c>
    </row>
    <row r="109" spans="1:4" x14ac:dyDescent="0.45">
      <c r="A109">
        <v>107</v>
      </c>
      <c r="B109" t="s">
        <v>259</v>
      </c>
      <c r="C109">
        <v>0.84699999999999998</v>
      </c>
      <c r="D109" t="b">
        <f ca="1">COUNTIF(dict_zul_Var_Meth[ID_Variables], table_Variables[[#This Row],[ID]]) &gt; 0</f>
        <v>1</v>
      </c>
    </row>
    <row r="110" spans="1:4" x14ac:dyDescent="0.45">
      <c r="A110">
        <v>108</v>
      </c>
      <c r="B110" t="s">
        <v>260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x14ac:dyDescent="0.45">
      <c r="A111">
        <v>109</v>
      </c>
      <c r="B111" t="s">
        <v>261</v>
      </c>
      <c r="C111">
        <v>0.221</v>
      </c>
      <c r="D111" t="b">
        <f ca="1">COUNTIF(dict_zul_Var_Meth[ID_Variables], table_Variables[[#This Row],[ID]]) &gt; 0</f>
        <v>1</v>
      </c>
    </row>
    <row r="112" spans="1:4" x14ac:dyDescent="0.45">
      <c r="A112">
        <v>110</v>
      </c>
      <c r="B112" t="s">
        <v>262</v>
      </c>
      <c r="C112">
        <v>0.79800000000000004</v>
      </c>
      <c r="D112" t="b">
        <f ca="1">COUNTIF(dict_zul_Var_Meth[ID_Variables], table_Variables[[#This Row],[ID]]) &gt; 0</f>
        <v>1</v>
      </c>
    </row>
    <row r="113" spans="1:4" x14ac:dyDescent="0.45">
      <c r="A113">
        <v>111</v>
      </c>
      <c r="B113" t="s">
        <v>263</v>
      </c>
      <c r="C113">
        <v>0.23100000000000001</v>
      </c>
      <c r="D113" t="b">
        <f ca="1">COUNTIF(dict_zul_Var_Meth[ID_Variables], table_Variables[[#This Row],[ID]]) &gt; 0</f>
        <v>1</v>
      </c>
    </row>
    <row r="114" spans="1:4" x14ac:dyDescent="0.45">
      <c r="A114">
        <v>112</v>
      </c>
      <c r="B114" t="s">
        <v>264</v>
      </c>
      <c r="C114">
        <v>0.54500000000000004</v>
      </c>
      <c r="D114" t="b">
        <f ca="1">COUNTIF(dict_zul_Var_Meth[ID_Variables], table_Variables[[#This Row],[ID]]) &gt; 0</f>
        <v>1</v>
      </c>
    </row>
    <row r="115" spans="1:4" x14ac:dyDescent="0.45">
      <c r="A115">
        <v>113</v>
      </c>
      <c r="B115" t="s">
        <v>265</v>
      </c>
      <c r="C115">
        <v>0.34300000000000003</v>
      </c>
      <c r="D115" t="b">
        <f ca="1">COUNTIF(dict_zul_Var_Meth[ID_Variables], table_Variables[[#This Row],[ID]]) &gt; 0</f>
        <v>1</v>
      </c>
    </row>
    <row r="116" spans="1:4" x14ac:dyDescent="0.45">
      <c r="A116">
        <v>114</v>
      </c>
      <c r="B116" t="s">
        <v>266</v>
      </c>
      <c r="C116">
        <v>0.23400000000000001</v>
      </c>
      <c r="D116" t="b">
        <f ca="1">COUNTIF(dict_zul_Var_Meth[ID_Variables], table_Variables[[#This Row],[ID]]) &gt; 0</f>
        <v>1</v>
      </c>
    </row>
    <row r="117" spans="1:4" x14ac:dyDescent="0.45">
      <c r="A117">
        <v>115</v>
      </c>
      <c r="B117" t="s">
        <v>267</v>
      </c>
      <c r="C117">
        <v>0.11600000000000001</v>
      </c>
      <c r="D117" t="b">
        <f ca="1">COUNTIF(dict_zul_Var_Meth[ID_Variables], table_Variables[[#This Row],[ID]]) &gt; 0</f>
        <v>1</v>
      </c>
    </row>
    <row r="118" spans="1:4" x14ac:dyDescent="0.45">
      <c r="A118">
        <v>116</v>
      </c>
      <c r="B118" t="s">
        <v>268</v>
      </c>
      <c r="C118">
        <v>0.67900000000000005</v>
      </c>
      <c r="D118" t="b">
        <f ca="1">COUNTIF(dict_zul_Var_Meth[ID_Variables], table_Variables[[#This Row],[ID]]) &gt; 0</f>
        <v>1</v>
      </c>
    </row>
    <row r="119" spans="1:4" x14ac:dyDescent="0.45">
      <c r="A119">
        <v>117</v>
      </c>
      <c r="B119" t="s">
        <v>269</v>
      </c>
      <c r="C119">
        <v>0.94499999999999995</v>
      </c>
      <c r="D119" t="b">
        <f ca="1">COUNTIF(dict_zul_Var_Meth[ID_Variables], table_Variables[[#This Row],[ID]]) &gt; 0</f>
        <v>1</v>
      </c>
    </row>
    <row r="120" spans="1:4" x14ac:dyDescent="0.45">
      <c r="A120">
        <v>118</v>
      </c>
      <c r="B120" t="s">
        <v>270</v>
      </c>
      <c r="C120">
        <v>0.45</v>
      </c>
      <c r="D120" t="b">
        <f ca="1">COUNTIF(dict_zul_Var_Meth[ID_Variables], table_Variables[[#This Row],[ID]]) &gt; 0</f>
        <v>1</v>
      </c>
    </row>
    <row r="121" spans="1:4" x14ac:dyDescent="0.45">
      <c r="A121">
        <v>119</v>
      </c>
      <c r="B121" t="s">
        <v>271</v>
      </c>
      <c r="C121">
        <v>0.74</v>
      </c>
      <c r="D121" t="b">
        <f ca="1">COUNTIF(dict_zul_Var_Meth[ID_Variables], table_Variables[[#This Row],[ID]]) &gt; 0</f>
        <v>1</v>
      </c>
    </row>
    <row r="122" spans="1:4" x14ac:dyDescent="0.45">
      <c r="A122">
        <v>120</v>
      </c>
      <c r="B122" t="s">
        <v>272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x14ac:dyDescent="0.45">
      <c r="A123">
        <v>121</v>
      </c>
      <c r="B123" t="s">
        <v>273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x14ac:dyDescent="0.45">
      <c r="A124">
        <v>122</v>
      </c>
      <c r="B124" t="s">
        <v>274</v>
      </c>
      <c r="C124">
        <v>0.9</v>
      </c>
      <c r="D124" t="b">
        <f ca="1">COUNTIF(dict_zul_Var_Meth[ID_Variables], table_Variables[[#This Row],[ID]]) &gt; 0</f>
        <v>1</v>
      </c>
    </row>
    <row r="125" spans="1:4" x14ac:dyDescent="0.45">
      <c r="A125">
        <v>123</v>
      </c>
      <c r="B125" t="s">
        <v>275</v>
      </c>
      <c r="C125">
        <v>0.54200000000000004</v>
      </c>
      <c r="D125" t="b">
        <f ca="1">COUNTIF(dict_zul_Var_Meth[ID_Variables], table_Variables[[#This Row],[ID]]) &gt; 0</f>
        <v>1</v>
      </c>
    </row>
    <row r="126" spans="1:4" x14ac:dyDescent="0.45">
      <c r="A126">
        <v>124</v>
      </c>
      <c r="B126" t="s">
        <v>276</v>
      </c>
      <c r="C126">
        <v>0.187</v>
      </c>
      <c r="D126" t="b">
        <f ca="1">COUNTIF(dict_zul_Var_Meth[ID_Variables], table_Variables[[#This Row],[ID]]) &gt; 0</f>
        <v>1</v>
      </c>
    </row>
    <row r="127" spans="1:4" x14ac:dyDescent="0.45">
      <c r="A127">
        <v>125</v>
      </c>
      <c r="B127" t="s">
        <v>277</v>
      </c>
      <c r="C127">
        <v>0.20499999999999999</v>
      </c>
      <c r="D127" t="b">
        <f ca="1">COUNTIF(dict_zul_Var_Meth[ID_Variables], table_Variables[[#This Row],[ID]]) &gt; 0</f>
        <v>1</v>
      </c>
    </row>
    <row r="128" spans="1:4" x14ac:dyDescent="0.45">
      <c r="A128">
        <v>126</v>
      </c>
      <c r="B128" t="s">
        <v>278</v>
      </c>
      <c r="C128">
        <v>0.98899999999999999</v>
      </c>
      <c r="D128" t="b">
        <f ca="1">COUNTIF(dict_zul_Var_Meth[ID_Variables], table_Variables[[#This Row],[ID]]) &gt; 0</f>
        <v>1</v>
      </c>
    </row>
    <row r="129" spans="1:4" x14ac:dyDescent="0.45">
      <c r="A129">
        <v>127</v>
      </c>
      <c r="B129" t="s">
        <v>279</v>
      </c>
      <c r="C129">
        <v>0.72399999999999998</v>
      </c>
      <c r="D129" t="b">
        <f ca="1">COUNTIF(dict_zul_Var_Meth[ID_Variables], table_Variables[[#This Row],[ID]]) &gt; 0</f>
        <v>1</v>
      </c>
    </row>
    <row r="130" spans="1:4" x14ac:dyDescent="0.45">
      <c r="A130">
        <v>128</v>
      </c>
      <c r="B130" t="s">
        <v>280</v>
      </c>
      <c r="C130">
        <v>0.442</v>
      </c>
      <c r="D130" t="b">
        <f ca="1">COUNTIF(dict_zul_Var_Meth[ID_Variables], table_Variables[[#This Row],[ID]]) &gt; 0</f>
        <v>1</v>
      </c>
    </row>
    <row r="131" spans="1:4" x14ac:dyDescent="0.45">
      <c r="A131">
        <v>129</v>
      </c>
      <c r="B131" t="s">
        <v>281</v>
      </c>
      <c r="C131">
        <v>0.68300000000000005</v>
      </c>
      <c r="D131" t="b">
        <f ca="1">COUNTIF(dict_zul_Var_Meth[ID_Variables], table_Variables[[#This Row],[ID]]) &gt; 0</f>
        <v>1</v>
      </c>
    </row>
    <row r="132" spans="1:4" x14ac:dyDescent="0.45">
      <c r="A132">
        <v>130</v>
      </c>
      <c r="B132" t="s">
        <v>282</v>
      </c>
      <c r="C132">
        <v>0.16500000000000001</v>
      </c>
      <c r="D132" t="b">
        <f ca="1">COUNTIF(dict_zul_Var_Meth[ID_Variables], table_Variables[[#This Row],[ID]]) &gt; 0</f>
        <v>1</v>
      </c>
    </row>
    <row r="133" spans="1:4" x14ac:dyDescent="0.45">
      <c r="A133">
        <v>131</v>
      </c>
      <c r="B133" t="s">
        <v>283</v>
      </c>
      <c r="C133">
        <v>0.61499999999999999</v>
      </c>
      <c r="D133" t="b">
        <f ca="1">COUNTIF(dict_zul_Var_Meth[ID_Variables], table_Variables[[#This Row],[ID]]) &gt; 0</f>
        <v>1</v>
      </c>
    </row>
    <row r="134" spans="1:4" x14ac:dyDescent="0.45">
      <c r="A134">
        <v>132</v>
      </c>
      <c r="B134" t="s">
        <v>284</v>
      </c>
      <c r="C134">
        <v>0.373</v>
      </c>
      <c r="D134" t="b">
        <f ca="1">COUNTIF(dict_zul_Var_Meth[ID_Variables], table_Variables[[#This Row],[ID]]) &gt; 0</f>
        <v>1</v>
      </c>
    </row>
    <row r="135" spans="1:4" x14ac:dyDescent="0.45">
      <c r="A135">
        <v>133</v>
      </c>
      <c r="B135" t="s">
        <v>285</v>
      </c>
      <c r="C135">
        <v>0.67200000000000004</v>
      </c>
      <c r="D135" t="b">
        <f ca="1">COUNTIF(dict_zul_Var_Meth[ID_Variables], table_Variables[[#This Row],[ID]]) &gt; 0</f>
        <v>1</v>
      </c>
    </row>
    <row r="136" spans="1:4" x14ac:dyDescent="0.45">
      <c r="A136">
        <v>134</v>
      </c>
      <c r="B136" t="s">
        <v>286</v>
      </c>
      <c r="C136">
        <v>0.83399999999999996</v>
      </c>
      <c r="D136" t="b">
        <f ca="1">COUNTIF(dict_zul_Var_Meth[ID_Variables], table_Variables[[#This Row],[ID]]) &gt; 0</f>
        <v>1</v>
      </c>
    </row>
    <row r="137" spans="1:4" x14ac:dyDescent="0.45">
      <c r="A137">
        <v>135</v>
      </c>
      <c r="B137" t="s">
        <v>287</v>
      </c>
      <c r="C137">
        <v>0.82099999999999995</v>
      </c>
      <c r="D137" t="b">
        <f ca="1">COUNTIF(dict_zul_Var_Meth[ID_Variables], table_Variables[[#This Row],[ID]]) &gt; 0</f>
        <v>1</v>
      </c>
    </row>
    <row r="138" spans="1:4" x14ac:dyDescent="0.45">
      <c r="A138">
        <v>136</v>
      </c>
      <c r="B138" t="s">
        <v>288</v>
      </c>
      <c r="C138">
        <v>0.23</v>
      </c>
      <c r="D138" t="b">
        <f ca="1">COUNTIF(dict_zul_Var_Meth[ID_Variables], table_Variables[[#This Row],[ID]]) &gt; 0</f>
        <v>1</v>
      </c>
    </row>
    <row r="139" spans="1:4" x14ac:dyDescent="0.45">
      <c r="A139">
        <v>137</v>
      </c>
      <c r="B139" t="s">
        <v>289</v>
      </c>
      <c r="C139">
        <v>0.106</v>
      </c>
      <c r="D139" t="b">
        <f ca="1">COUNTIF(dict_zul_Var_Meth[ID_Variables], table_Variables[[#This Row],[ID]]) &gt; 0</f>
        <v>1</v>
      </c>
    </row>
    <row r="140" spans="1:4" x14ac:dyDescent="0.45">
      <c r="A140">
        <v>138</v>
      </c>
      <c r="B140" t="s">
        <v>290</v>
      </c>
      <c r="C140">
        <v>0.29899999999999999</v>
      </c>
      <c r="D140" t="b">
        <f ca="1">COUNTIF(dict_zul_Var_Meth[ID_Variables], table_Variables[[#This Row],[ID]]) &gt; 0</f>
        <v>1</v>
      </c>
    </row>
    <row r="141" spans="1:4" x14ac:dyDescent="0.45">
      <c r="A141">
        <v>139</v>
      </c>
      <c r="B141" t="s">
        <v>291</v>
      </c>
      <c r="C141">
        <v>0.54300000000000004</v>
      </c>
      <c r="D141" t="b">
        <f ca="1">COUNTIF(dict_zul_Var_Meth[ID_Variables], table_Variables[[#This Row],[ID]]) &gt; 0</f>
        <v>1</v>
      </c>
    </row>
    <row r="142" spans="1:4" x14ac:dyDescent="0.45">
      <c r="A142">
        <v>140</v>
      </c>
      <c r="B142" t="s">
        <v>292</v>
      </c>
      <c r="C142">
        <v>0.125</v>
      </c>
      <c r="D142" t="b">
        <f ca="1">COUNTIF(dict_zul_Var_Meth[ID_Variables], table_Variables[[#This Row],[ID]]) &gt; 0</f>
        <v>1</v>
      </c>
    </row>
    <row r="143" spans="1:4" x14ac:dyDescent="0.45">
      <c r="A143">
        <v>141</v>
      </c>
      <c r="B143" t="s">
        <v>293</v>
      </c>
      <c r="C143">
        <v>0.90600000000000003</v>
      </c>
      <c r="D143" t="b">
        <f ca="1">COUNTIF(dict_zul_Var_Meth[ID_Variables], table_Variables[[#This Row],[ID]]) &gt; 0</f>
        <v>1</v>
      </c>
    </row>
    <row r="144" spans="1:4" x14ac:dyDescent="0.45">
      <c r="A144">
        <v>142</v>
      </c>
      <c r="B144" t="s">
        <v>294</v>
      </c>
      <c r="C144">
        <v>0.247</v>
      </c>
      <c r="D144" t="b">
        <f ca="1">COUNTIF(dict_zul_Var_Meth[ID_Variables], table_Variables[[#This Row],[ID]]) &gt; 0</f>
        <v>1</v>
      </c>
    </row>
    <row r="145" spans="1:4" x14ac:dyDescent="0.45">
      <c r="A145">
        <v>143</v>
      </c>
      <c r="B145" t="s">
        <v>295</v>
      </c>
      <c r="C145">
        <v>0.24</v>
      </c>
      <c r="D145" t="b">
        <f ca="1">COUNTIF(dict_zul_Var_Meth[ID_Variables], table_Variables[[#This Row],[ID]]) &gt; 0</f>
        <v>1</v>
      </c>
    </row>
    <row r="146" spans="1:4" x14ac:dyDescent="0.45">
      <c r="A146">
        <v>144</v>
      </c>
      <c r="B146" t="s">
        <v>296</v>
      </c>
      <c r="C146">
        <v>0.41499999999999998</v>
      </c>
      <c r="D146" t="b">
        <f ca="1">COUNTIF(dict_zul_Var_Meth[ID_Variables], table_Variables[[#This Row],[ID]]) &gt; 0</f>
        <v>1</v>
      </c>
    </row>
    <row r="147" spans="1:4" x14ac:dyDescent="0.45">
      <c r="A147">
        <v>145</v>
      </c>
      <c r="B147" t="s">
        <v>297</v>
      </c>
      <c r="C147">
        <v>0.20699999999999999</v>
      </c>
      <c r="D147" t="b">
        <f ca="1">COUNTIF(dict_zul_Var_Meth[ID_Variables], table_Variables[[#This Row],[ID]]) &gt; 0</f>
        <v>1</v>
      </c>
    </row>
    <row r="148" spans="1:4" x14ac:dyDescent="0.45">
      <c r="A148">
        <v>146</v>
      </c>
      <c r="B148" t="s">
        <v>298</v>
      </c>
      <c r="C148">
        <v>0.11799999999999999</v>
      </c>
      <c r="D148" t="b">
        <f ca="1">COUNTIF(dict_zul_Var_Meth[ID_Variables], table_Variables[[#This Row],[ID]]) &gt; 0</f>
        <v>1</v>
      </c>
    </row>
    <row r="149" spans="1:4" x14ac:dyDescent="0.45">
      <c r="A149">
        <v>147</v>
      </c>
      <c r="B149" t="s">
        <v>299</v>
      </c>
      <c r="C149">
        <v>0.26200000000000001</v>
      </c>
      <c r="D149" t="b">
        <f ca="1">COUNTIF(dict_zul_Var_Meth[ID_Variables], table_Variables[[#This Row],[ID]]) &gt; 0</f>
        <v>1</v>
      </c>
    </row>
    <row r="150" spans="1:4" x14ac:dyDescent="0.45">
      <c r="A150">
        <v>148</v>
      </c>
      <c r="B150" t="s">
        <v>300</v>
      </c>
      <c r="C150">
        <v>0.438</v>
      </c>
      <c r="D150" t="b">
        <f ca="1">COUNTIF(dict_zul_Var_Meth[ID_Variables], table_Variables[[#This Row],[ID]]) &gt; 0</f>
        <v>1</v>
      </c>
    </row>
    <row r="151" spans="1:4" x14ac:dyDescent="0.45">
      <c r="A151">
        <v>149</v>
      </c>
      <c r="B151" t="s">
        <v>301</v>
      </c>
      <c r="C151">
        <v>0.80700000000000005</v>
      </c>
      <c r="D151" t="b">
        <f ca="1">COUNTIF(dict_zul_Var_Meth[ID_Variables], table_Variables[[#This Row],[ID]]) &gt; 0</f>
        <v>1</v>
      </c>
    </row>
    <row r="152" spans="1:4" x14ac:dyDescent="0.45">
      <c r="A152">
        <v>150</v>
      </c>
      <c r="B152" t="s">
        <v>302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x14ac:dyDescent="0.45">
      <c r="A153">
        <v>151</v>
      </c>
      <c r="B153" t="s">
        <v>303</v>
      </c>
      <c r="C153">
        <v>0.68400000000000005</v>
      </c>
      <c r="D153" t="b">
        <f ca="1">COUNTIF(dict_zul_Var_Meth[ID_Variables], table_Variables[[#This Row],[ID]]) &gt; 0</f>
        <v>1</v>
      </c>
    </row>
    <row r="154" spans="1:4" x14ac:dyDescent="0.45">
      <c r="A154">
        <v>152</v>
      </c>
      <c r="B154" t="s">
        <v>304</v>
      </c>
      <c r="C154">
        <v>0.93799999999999994</v>
      </c>
      <c r="D154" t="b">
        <f ca="1">COUNTIF(dict_zul_Var_Meth[ID_Variables], table_Variables[[#This Row],[ID]]) &gt; 0</f>
        <v>1</v>
      </c>
    </row>
    <row r="155" spans="1:4" x14ac:dyDescent="0.45">
      <c r="A155">
        <v>153</v>
      </c>
      <c r="B155" t="s">
        <v>305</v>
      </c>
      <c r="C155">
        <v>0.46300000000000002</v>
      </c>
      <c r="D155" t="b">
        <f ca="1">COUNTIF(dict_zul_Var_Meth[ID_Variables], table_Variables[[#This Row],[ID]]) &gt; 0</f>
        <v>1</v>
      </c>
    </row>
    <row r="156" spans="1:4" x14ac:dyDescent="0.45">
      <c r="A156">
        <v>154</v>
      </c>
      <c r="B156" t="s">
        <v>306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x14ac:dyDescent="0.45">
      <c r="A157">
        <v>155</v>
      </c>
      <c r="B157" t="s">
        <v>307</v>
      </c>
      <c r="C157">
        <v>0.10299999999999999</v>
      </c>
      <c r="D157" t="b">
        <f ca="1">COUNTIF(dict_zul_Var_Meth[ID_Variables], table_Variables[[#This Row],[ID]]) &gt; 0</f>
        <v>1</v>
      </c>
    </row>
    <row r="158" spans="1:4" x14ac:dyDescent="0.45">
      <c r="A158">
        <v>156</v>
      </c>
      <c r="B158" t="s">
        <v>308</v>
      </c>
      <c r="C158">
        <v>0.52100000000000002</v>
      </c>
      <c r="D158" t="b">
        <f ca="1">COUNTIF(dict_zul_Var_Meth[ID_Variables], table_Variables[[#This Row],[ID]]) &gt; 0</f>
        <v>1</v>
      </c>
    </row>
    <row r="159" spans="1:4" x14ac:dyDescent="0.45">
      <c r="A159">
        <v>157</v>
      </c>
      <c r="B159" t="s">
        <v>309</v>
      </c>
      <c r="C159">
        <v>0.75900000000000001</v>
      </c>
      <c r="D159" t="b">
        <f ca="1">COUNTIF(dict_zul_Var_Meth[ID_Variables], table_Variables[[#This Row],[ID]]) &gt; 0</f>
        <v>1</v>
      </c>
    </row>
    <row r="160" spans="1:4" x14ac:dyDescent="0.45">
      <c r="A160">
        <v>158</v>
      </c>
      <c r="B160" t="s">
        <v>310</v>
      </c>
      <c r="C160">
        <v>0.442</v>
      </c>
      <c r="D160" t="b">
        <f ca="1">COUNTIF(dict_zul_Var_Meth[ID_Variables], table_Variables[[#This Row],[ID]]) &gt; 0</f>
        <v>1</v>
      </c>
    </row>
    <row r="161" spans="1:4" x14ac:dyDescent="0.45">
      <c r="A161">
        <v>159</v>
      </c>
      <c r="B161" t="s">
        <v>311</v>
      </c>
      <c r="C161">
        <v>0.61299999999999999</v>
      </c>
      <c r="D161" t="b">
        <f ca="1">COUNTIF(dict_zul_Var_Meth[ID_Variables], table_Variables[[#This Row],[ID]]) &gt; 0</f>
        <v>1</v>
      </c>
    </row>
    <row r="162" spans="1:4" x14ac:dyDescent="0.45">
      <c r="A162">
        <v>160</v>
      </c>
      <c r="B162" t="s">
        <v>312</v>
      </c>
      <c r="C162">
        <v>0.436</v>
      </c>
      <c r="D162" t="b">
        <f ca="1">COUNTIF(dict_zul_Var_Meth[ID_Variables], table_Variables[[#This Row],[ID]]) &gt; 0</f>
        <v>1</v>
      </c>
    </row>
    <row r="163" spans="1:4" x14ac:dyDescent="0.45">
      <c r="A163">
        <v>161</v>
      </c>
      <c r="B163" t="s">
        <v>313</v>
      </c>
      <c r="C163">
        <v>0.63200000000000001</v>
      </c>
      <c r="D163" t="b">
        <f ca="1">COUNTIF(dict_zul_Var_Meth[ID_Variables], table_Variables[[#This Row],[ID]]) &gt; 0</f>
        <v>1</v>
      </c>
    </row>
    <row r="164" spans="1:4" x14ac:dyDescent="0.45">
      <c r="A164">
        <v>162</v>
      </c>
      <c r="B164" t="s">
        <v>314</v>
      </c>
      <c r="C164">
        <v>0.109</v>
      </c>
      <c r="D164" t="b">
        <f ca="1">COUNTIF(dict_zul_Var_Meth[ID_Variables], table_Variables[[#This Row],[ID]]) &gt; 0</f>
        <v>1</v>
      </c>
    </row>
    <row r="165" spans="1:4" x14ac:dyDescent="0.45">
      <c r="A165">
        <v>163</v>
      </c>
      <c r="B165" t="s">
        <v>315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x14ac:dyDescent="0.45">
      <c r="A166">
        <v>164</v>
      </c>
      <c r="B166" t="s">
        <v>316</v>
      </c>
      <c r="C166">
        <v>0.69299999999999995</v>
      </c>
      <c r="D166" t="b">
        <f ca="1">COUNTIF(dict_zul_Var_Meth[ID_Variables], table_Variables[[#This Row],[ID]]) &gt; 0</f>
        <v>1</v>
      </c>
    </row>
    <row r="167" spans="1:4" x14ac:dyDescent="0.45">
      <c r="A167">
        <v>165</v>
      </c>
      <c r="B167" t="s">
        <v>317</v>
      </c>
      <c r="C167">
        <v>0.57699999999999996</v>
      </c>
      <c r="D167" t="b">
        <f ca="1">COUNTIF(dict_zul_Var_Meth[ID_Variables], table_Variables[[#This Row],[ID]]) &gt; 0</f>
        <v>1</v>
      </c>
    </row>
    <row r="168" spans="1:4" x14ac:dyDescent="0.45">
      <c r="A168">
        <v>166</v>
      </c>
      <c r="B168" t="s">
        <v>318</v>
      </c>
      <c r="C168">
        <v>0.879</v>
      </c>
      <c r="D168" t="b">
        <f ca="1">COUNTIF(dict_zul_Var_Meth[ID_Variables], table_Variables[[#This Row],[ID]]) &gt; 0</f>
        <v>1</v>
      </c>
    </row>
    <row r="169" spans="1:4" x14ac:dyDescent="0.45">
      <c r="A169">
        <v>167</v>
      </c>
      <c r="B169" t="s">
        <v>319</v>
      </c>
      <c r="C169">
        <v>0.83199999999999996</v>
      </c>
      <c r="D169" t="b">
        <f ca="1">COUNTIF(dict_zul_Var_Meth[ID_Variables], table_Variables[[#This Row],[ID]]) &gt; 0</f>
        <v>1</v>
      </c>
    </row>
    <row r="170" spans="1:4" x14ac:dyDescent="0.45">
      <c r="A170">
        <v>168</v>
      </c>
      <c r="B170" t="s">
        <v>320</v>
      </c>
      <c r="C170">
        <v>0.94299999999999995</v>
      </c>
      <c r="D170" t="b">
        <f ca="1">COUNTIF(dict_zul_Var_Meth[ID_Variables], table_Variables[[#This Row],[ID]]) &gt; 0</f>
        <v>1</v>
      </c>
    </row>
    <row r="171" spans="1:4" x14ac:dyDescent="0.45">
      <c r="A171">
        <v>169</v>
      </c>
      <c r="B171" t="s">
        <v>321</v>
      </c>
      <c r="C171">
        <v>0.78200000000000003</v>
      </c>
      <c r="D171" t="b">
        <f ca="1">COUNTIF(dict_zul_Var_Meth[ID_Variables], table_Variables[[#This Row],[ID]]) &gt; 0</f>
        <v>1</v>
      </c>
    </row>
    <row r="172" spans="1:4" x14ac:dyDescent="0.45">
      <c r="A172">
        <v>170</v>
      </c>
      <c r="B172" t="s">
        <v>322</v>
      </c>
      <c r="C172">
        <v>0.245</v>
      </c>
      <c r="D172" t="b">
        <f ca="1">COUNTIF(dict_zul_Var_Meth[ID_Variables], table_Variables[[#This Row],[ID]]) &gt; 0</f>
        <v>1</v>
      </c>
    </row>
    <row r="173" spans="1:4" x14ac:dyDescent="0.45">
      <c r="A173">
        <v>171</v>
      </c>
      <c r="B173" t="s">
        <v>323</v>
      </c>
      <c r="C173">
        <v>0.65300000000000002</v>
      </c>
      <c r="D173" t="b">
        <f ca="1">COUNTIF(dict_zul_Var_Meth[ID_Variables], table_Variables[[#This Row],[ID]]) &gt; 0</f>
        <v>1</v>
      </c>
    </row>
    <row r="174" spans="1:4" x14ac:dyDescent="0.45">
      <c r="A174">
        <v>172</v>
      </c>
      <c r="B174" t="s">
        <v>324</v>
      </c>
      <c r="C174">
        <v>0.61</v>
      </c>
      <c r="D174" t="b">
        <f ca="1">COUNTIF(dict_zul_Var_Meth[ID_Variables], table_Variables[[#This Row],[ID]]) &gt; 0</f>
        <v>1</v>
      </c>
    </row>
    <row r="175" spans="1:4" x14ac:dyDescent="0.45">
      <c r="A175">
        <v>173</v>
      </c>
      <c r="B175" t="s">
        <v>325</v>
      </c>
      <c r="C175">
        <v>0.85499999999999998</v>
      </c>
      <c r="D175" t="b">
        <f ca="1">COUNTIF(dict_zul_Var_Meth[ID_Variables], table_Variables[[#This Row],[ID]]) &gt; 0</f>
        <v>1</v>
      </c>
    </row>
    <row r="176" spans="1:4" x14ac:dyDescent="0.45">
      <c r="A176">
        <v>174</v>
      </c>
      <c r="B176" t="s">
        <v>326</v>
      </c>
      <c r="C176">
        <v>0.17599999999999999</v>
      </c>
      <c r="D176" t="b">
        <f ca="1">COUNTIF(dict_zul_Var_Meth[ID_Variables], table_Variables[[#This Row],[ID]]) &gt; 0</f>
        <v>1</v>
      </c>
    </row>
    <row r="177" spans="1:4" x14ac:dyDescent="0.45">
      <c r="A177">
        <v>175</v>
      </c>
      <c r="B177" t="s">
        <v>327</v>
      </c>
      <c r="C177">
        <v>0.93799999999999994</v>
      </c>
      <c r="D177" t="b">
        <f ca="1">COUNTIF(dict_zul_Var_Meth[ID_Variables], table_Variables[[#This Row],[ID]]) &gt; 0</f>
        <v>1</v>
      </c>
    </row>
    <row r="178" spans="1:4" x14ac:dyDescent="0.45">
      <c r="A178">
        <v>176</v>
      </c>
      <c r="B178" t="s">
        <v>328</v>
      </c>
      <c r="C178">
        <v>0.436</v>
      </c>
      <c r="D178" t="b">
        <f ca="1">COUNTIF(dict_zul_Var_Meth[ID_Variables], table_Variables[[#This Row],[ID]]) &gt; 0</f>
        <v>1</v>
      </c>
    </row>
    <row r="179" spans="1:4" x14ac:dyDescent="0.45">
      <c r="A179">
        <v>177</v>
      </c>
      <c r="B179" t="s">
        <v>329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x14ac:dyDescent="0.45">
      <c r="A180">
        <v>178</v>
      </c>
      <c r="B180" t="s">
        <v>330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x14ac:dyDescent="0.45">
      <c r="A181">
        <v>179</v>
      </c>
      <c r="B181" t="s">
        <v>331</v>
      </c>
      <c r="C181">
        <v>0.27900000000000003</v>
      </c>
      <c r="D181" t="b">
        <f ca="1">COUNTIF(dict_zul_Var_Meth[ID_Variables], table_Variables[[#This Row],[ID]]) &gt; 0</f>
        <v>1</v>
      </c>
    </row>
    <row r="182" spans="1:4" x14ac:dyDescent="0.45">
      <c r="A182">
        <v>180</v>
      </c>
      <c r="B182" t="s">
        <v>332</v>
      </c>
      <c r="C182">
        <v>0.94199999999999995</v>
      </c>
      <c r="D182" t="b">
        <f ca="1">COUNTIF(dict_zul_Var_Meth[ID_Variables], table_Variables[[#This Row],[ID]]) &gt; 0</f>
        <v>1</v>
      </c>
    </row>
    <row r="183" spans="1:4" x14ac:dyDescent="0.45">
      <c r="A183">
        <v>181</v>
      </c>
      <c r="B183" t="s">
        <v>333</v>
      </c>
      <c r="C183">
        <v>0.20300000000000001</v>
      </c>
      <c r="D183" t="b">
        <f ca="1">COUNTIF(dict_zul_Var_Meth[ID_Variables], table_Variables[[#This Row],[ID]]) &gt; 0</f>
        <v>1</v>
      </c>
    </row>
    <row r="184" spans="1:4" x14ac:dyDescent="0.45">
      <c r="A184">
        <v>182</v>
      </c>
      <c r="B184" t="s">
        <v>334</v>
      </c>
      <c r="C184">
        <v>0.66800000000000004</v>
      </c>
      <c r="D184" t="b">
        <f ca="1">COUNTIF(dict_zul_Var_Meth[ID_Variables], table_Variables[[#This Row],[ID]]) &gt; 0</f>
        <v>1</v>
      </c>
    </row>
    <row r="185" spans="1:4" x14ac:dyDescent="0.45">
      <c r="A185">
        <v>183</v>
      </c>
      <c r="B185" t="s">
        <v>335</v>
      </c>
      <c r="C185">
        <v>0.52600000000000002</v>
      </c>
      <c r="D185" t="b">
        <f ca="1">COUNTIF(dict_zul_Var_Meth[ID_Variables], table_Variables[[#This Row],[ID]]) &gt; 0</f>
        <v>1</v>
      </c>
    </row>
    <row r="186" spans="1:4" x14ac:dyDescent="0.45">
      <c r="A186">
        <v>184</v>
      </c>
      <c r="B186" t="s">
        <v>336</v>
      </c>
      <c r="C186">
        <v>0.91</v>
      </c>
      <c r="D186" t="b">
        <f ca="1">COUNTIF(dict_zul_Var_Meth[ID_Variables], table_Variables[[#This Row],[ID]]) &gt; 0</f>
        <v>1</v>
      </c>
    </row>
    <row r="187" spans="1:4" x14ac:dyDescent="0.45">
      <c r="A187">
        <v>185</v>
      </c>
      <c r="B187" t="s">
        <v>337</v>
      </c>
      <c r="C187">
        <v>0.67500000000000004</v>
      </c>
      <c r="D187" t="b">
        <f ca="1">COUNTIF(dict_zul_Var_Meth[ID_Variables], table_Variables[[#This Row],[ID]]) &gt; 0</f>
        <v>1</v>
      </c>
    </row>
    <row r="188" spans="1:4" x14ac:dyDescent="0.45">
      <c r="A188">
        <v>186</v>
      </c>
      <c r="B188" t="s">
        <v>338</v>
      </c>
      <c r="C188">
        <v>0.51800000000000002</v>
      </c>
      <c r="D188" t="b">
        <f ca="1">COUNTIF(dict_zul_Var_Meth[ID_Variables], table_Variables[[#This Row],[ID]]) &gt; 0</f>
        <v>1</v>
      </c>
    </row>
    <row r="189" spans="1:4" x14ac:dyDescent="0.45">
      <c r="A189">
        <v>187</v>
      </c>
      <c r="B189" t="s">
        <v>339</v>
      </c>
      <c r="C189">
        <v>0.82099999999999995</v>
      </c>
      <c r="D189" t="b">
        <f ca="1">COUNTIF(dict_zul_Var_Meth[ID_Variables], table_Variables[[#This Row],[ID]]) &gt; 0</f>
        <v>1</v>
      </c>
    </row>
    <row r="190" spans="1:4" x14ac:dyDescent="0.45">
      <c r="A190">
        <v>188</v>
      </c>
      <c r="B190" t="s">
        <v>340</v>
      </c>
      <c r="C190">
        <v>0.379</v>
      </c>
      <c r="D190" t="b">
        <f ca="1">COUNTIF(dict_zul_Var_Meth[ID_Variables], table_Variables[[#This Row],[ID]]) &gt; 0</f>
        <v>1</v>
      </c>
    </row>
    <row r="191" spans="1:4" x14ac:dyDescent="0.45">
      <c r="A191">
        <v>189</v>
      </c>
      <c r="B191" t="s">
        <v>341</v>
      </c>
      <c r="C191">
        <v>3.1E-2</v>
      </c>
      <c r="D191" t="b">
        <f ca="1">COUNTIF(dict_zul_Var_Meth[ID_Variables], table_Variables[[#This Row],[ID]]) &gt; 0</f>
        <v>1</v>
      </c>
    </row>
    <row r="192" spans="1:4" x14ac:dyDescent="0.45">
      <c r="A192">
        <v>190</v>
      </c>
      <c r="B192" t="s">
        <v>342</v>
      </c>
      <c r="C192">
        <v>0.05</v>
      </c>
      <c r="D192" t="b">
        <f ca="1">COUNTIF(dict_zul_Var_Meth[ID_Variables], table_Variables[[#This Row],[ID]]) &gt; 0</f>
        <v>1</v>
      </c>
    </row>
    <row r="193" spans="1:4" x14ac:dyDescent="0.45">
      <c r="A193">
        <v>191</v>
      </c>
      <c r="B193" t="s">
        <v>343</v>
      </c>
      <c r="C193">
        <v>0.254</v>
      </c>
      <c r="D193" t="b">
        <f ca="1">COUNTIF(dict_zul_Var_Meth[ID_Variables], table_Variables[[#This Row],[ID]]) &gt; 0</f>
        <v>1</v>
      </c>
    </row>
    <row r="194" spans="1:4" x14ac:dyDescent="0.45">
      <c r="A194">
        <v>192</v>
      </c>
      <c r="B194" t="s">
        <v>344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x14ac:dyDescent="0.45">
      <c r="A195">
        <v>193</v>
      </c>
      <c r="B195" t="s">
        <v>345</v>
      </c>
      <c r="C195">
        <v>0.313</v>
      </c>
      <c r="D195" t="b">
        <f ca="1">COUNTIF(dict_zul_Var_Meth[ID_Variables], table_Variables[[#This Row],[ID]]) &gt; 0</f>
        <v>1</v>
      </c>
    </row>
    <row r="196" spans="1:4" x14ac:dyDescent="0.45">
      <c r="A196">
        <v>194</v>
      </c>
      <c r="B196" t="s">
        <v>346</v>
      </c>
      <c r="C196">
        <v>0.41099999999999998</v>
      </c>
      <c r="D196" t="b">
        <f ca="1">COUNTIF(dict_zul_Var_Meth[ID_Variables], table_Variables[[#This Row],[ID]]) &gt; 0</f>
        <v>1</v>
      </c>
    </row>
    <row r="197" spans="1:4" x14ac:dyDescent="0.45">
      <c r="A197">
        <v>195</v>
      </c>
      <c r="B197" t="s">
        <v>347</v>
      </c>
      <c r="C197">
        <v>0.55600000000000005</v>
      </c>
      <c r="D197" t="b">
        <f ca="1">COUNTIF(dict_zul_Var_Meth[ID_Variables], table_Variables[[#This Row],[ID]]) &gt; 0</f>
        <v>1</v>
      </c>
    </row>
    <row r="198" spans="1:4" x14ac:dyDescent="0.45">
      <c r="A198">
        <v>196</v>
      </c>
      <c r="B198" t="s">
        <v>348</v>
      </c>
      <c r="C198">
        <v>0.16</v>
      </c>
      <c r="D198" t="b">
        <f ca="1">COUNTIF(dict_zul_Var_Meth[ID_Variables], table_Variables[[#This Row],[ID]]) &gt; 0</f>
        <v>1</v>
      </c>
    </row>
    <row r="199" spans="1:4" x14ac:dyDescent="0.45">
      <c r="A199">
        <v>197</v>
      </c>
      <c r="B199" t="s">
        <v>349</v>
      </c>
      <c r="C199">
        <v>2.7E-2</v>
      </c>
      <c r="D199" t="b">
        <f ca="1">COUNTIF(dict_zul_Var_Meth[ID_Variables], table_Variables[[#This Row],[ID]]) &gt; 0</f>
        <v>1</v>
      </c>
    </row>
    <row r="200" spans="1:4" x14ac:dyDescent="0.45">
      <c r="A200">
        <v>198</v>
      </c>
      <c r="B200" t="s">
        <v>350</v>
      </c>
      <c r="C200">
        <v>0.84899999999999998</v>
      </c>
      <c r="D200" t="b">
        <f ca="1">COUNTIF(dict_zul_Var_Meth[ID_Variables], table_Variables[[#This Row],[ID]]) &gt; 0</f>
        <v>1</v>
      </c>
    </row>
    <row r="201" spans="1:4" x14ac:dyDescent="0.45">
      <c r="A201">
        <v>199</v>
      </c>
      <c r="B201" t="s">
        <v>351</v>
      </c>
      <c r="C201">
        <v>1.849</v>
      </c>
      <c r="D201" t="b">
        <f ca="1">COUNTIF(dict_zul_Var_Meth[ID_Variables], table_Variables[[#This Row],[ID]]) &gt; 0</f>
        <v>1</v>
      </c>
    </row>
    <row r="202" spans="1:4" x14ac:dyDescent="0.45">
      <c r="A202">
        <v>200</v>
      </c>
      <c r="B202" t="s">
        <v>352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O401"/>
  <sheetViews>
    <sheetView workbookViewId="0">
      <selection activeCell="O12" sqref="O12:O401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18</v>
      </c>
      <c r="D1" t="s">
        <v>128</v>
      </c>
      <c r="E1" s="1" t="s">
        <v>26</v>
      </c>
      <c r="F1" t="s">
        <v>146</v>
      </c>
      <c r="G1" t="s">
        <v>147</v>
      </c>
      <c r="H1" s="7" t="s">
        <v>144</v>
      </c>
      <c r="I1" s="7" t="s">
        <v>145</v>
      </c>
      <c r="J1" t="s">
        <v>27</v>
      </c>
      <c r="K1" t="s">
        <v>90</v>
      </c>
      <c r="L1" t="s">
        <v>28</v>
      </c>
      <c r="M1" t="s">
        <v>129</v>
      </c>
      <c r="N1" t="s">
        <v>69</v>
      </c>
      <c r="O1" t="s">
        <v>156</v>
      </c>
    </row>
    <row r="2" spans="1:15" x14ac:dyDescent="0.45">
      <c r="A2">
        <v>0</v>
      </c>
      <c r="B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0_Temperaturmessgenauigkeit °C</v>
      </c>
      <c r="C2">
        <v>500</v>
      </c>
      <c r="D2" t="str">
        <f>VLOOKUP(table_DataQualities[[#This Row],[unit_ID]],table_Units[#All],2)</f>
        <v>+/- °C</v>
      </c>
      <c r="E2">
        <v>1</v>
      </c>
      <c r="F2">
        <v>50</v>
      </c>
      <c r="G2">
        <v>1E-3</v>
      </c>
      <c r="H2" s="8">
        <f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2" s="8">
        <f>IF(VLOOKUP(table_DataQualities[[#This Row],[unit_ID]],table_Units[],5)&gt;0,table_DataQualities[[#This Row],[z_best]],IF(VLOOKUP(table_DataQualities[[#This Row],[unit_ID]],table_Units[],6)=1,table_DataQualities[[#This Row],[z_worst]]))</f>
        <v>50</v>
      </c>
      <c r="J2" t="s">
        <v>7</v>
      </c>
      <c r="K2">
        <v>0.1</v>
      </c>
      <c r="L2" t="s">
        <v>8</v>
      </c>
      <c r="M2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t="b">
        <f ca="1">VLOOKUP(table_DataQualities[[#This Row],[ID]],dict_zuord_Var_DQ!B:C,2,FALSE)</f>
        <v>1</v>
      </c>
      <c r="O2">
        <v>2</v>
      </c>
    </row>
    <row r="3" spans="1:15" x14ac:dyDescent="0.45">
      <c r="A3">
        <v>1</v>
      </c>
      <c r="B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3">
        <v>100</v>
      </c>
      <c r="D3" t="str">
        <f>VLOOKUP(table_DataQualities[[#This Row],[unit_ID]],table_Units[#All],2)</f>
        <v>Hz</v>
      </c>
      <c r="F3">
        <v>1.0000000000000001E-5</v>
      </c>
      <c r="G3">
        <v>100000</v>
      </c>
      <c r="H3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3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3" t="s">
        <v>7</v>
      </c>
      <c r="K3">
        <v>0.9</v>
      </c>
      <c r="L3" t="s">
        <v>8</v>
      </c>
      <c r="M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t="b">
        <f ca="1">VLOOKUP(table_DataQualities[[#This Row],[ID]],dict_zuord_Var_DQ!B:C,2,FALSE)</f>
        <v>1</v>
      </c>
      <c r="O3">
        <v>10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t="str">
        <f>VLOOKUP(table_DataQualities[[#This Row],[unit_ID]],table_Units[#All],2)</f>
        <v>Hz</v>
      </c>
      <c r="F4">
        <v>1.0000000000000001E-5</v>
      </c>
      <c r="G4">
        <v>100000</v>
      </c>
      <c r="H4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4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4" t="s">
        <v>7</v>
      </c>
      <c r="K4">
        <v>0.95</v>
      </c>
      <c r="L4" t="s">
        <v>8</v>
      </c>
      <c r="M4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t="b">
        <f ca="1">VLOOKUP(table_DataQualities[[#This Row],[ID]],dict_zuord_Var_DQ!B:C,2,FALSE)</f>
        <v>1</v>
      </c>
      <c r="O4">
        <v>2</v>
      </c>
    </row>
    <row r="5" spans="1:15" x14ac:dyDescent="0.45">
      <c r="A5">
        <v>3</v>
      </c>
      <c r="B5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1_Bildgröße</v>
      </c>
      <c r="C5">
        <v>1000</v>
      </c>
      <c r="D5" t="str">
        <f>VLOOKUP(table_DataQualities[[#This Row],[unit_ID]],table_Units[#All],2)</f>
        <v>bit</v>
      </c>
      <c r="F5">
        <v>1.0000000000000001E-5</v>
      </c>
      <c r="G5">
        <v>100000</v>
      </c>
      <c r="H5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5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5" t="s">
        <v>7</v>
      </c>
      <c r="K5">
        <v>0.8</v>
      </c>
      <c r="L5" t="s">
        <v>8</v>
      </c>
      <c r="M5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t="b">
        <f ca="1">VLOOKUP(table_DataQualities[[#This Row],[ID]],dict_zuord_Var_DQ!B:C,2,FALSE)</f>
        <v>1</v>
      </c>
      <c r="O5">
        <v>2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2_Längenmessgenauigkeit mm</v>
      </c>
      <c r="C6">
        <v>900</v>
      </c>
      <c r="D6" t="str">
        <f>VLOOKUP(table_DataQualities[[#This Row],[unit_ID]],table_Units[#All],2)</f>
        <v>+/- mm</v>
      </c>
      <c r="F6">
        <v>3</v>
      </c>
      <c r="G6">
        <v>1.0000000000000001E-5</v>
      </c>
      <c r="H6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6" s="8">
        <f>IF(VLOOKUP(table_DataQualities[[#This Row],[unit_ID]],table_Units[],5)&gt;0,table_DataQualities[[#This Row],[z_best]],IF(VLOOKUP(table_DataQualities[[#This Row],[unit_ID]],table_Units[],6)=1,table_DataQualities[[#This Row],[z_worst]]))</f>
        <v>3</v>
      </c>
      <c r="J6" t="s">
        <v>7</v>
      </c>
      <c r="K6">
        <v>0.1</v>
      </c>
      <c r="L6" t="s">
        <v>8</v>
      </c>
      <c r="M6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t="b">
        <f ca="1">VLOOKUP(table_DataQualities[[#This Row],[ID]],dict_zuord_Var_DQ!B:C,2,FALSE)</f>
        <v>1</v>
      </c>
      <c r="O6">
        <v>10</v>
      </c>
    </row>
    <row r="7" spans="1:15" x14ac:dyDescent="0.45">
      <c r="A7">
        <v>5</v>
      </c>
      <c r="B7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7">
        <v>100</v>
      </c>
      <c r="D7" t="str">
        <f>VLOOKUP(table_DataQualities[[#This Row],[unit_ID]],table_Units[#All],2)</f>
        <v>Hz</v>
      </c>
      <c r="F7">
        <v>1.0000000000000001E-5</v>
      </c>
      <c r="G7">
        <v>50000</v>
      </c>
      <c r="H7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7" s="8">
        <f>IF(VLOOKUP(table_DataQualities[[#This Row],[unit_ID]],table_Units[],5)&gt;0,table_DataQualities[[#This Row],[z_best]],IF(VLOOKUP(table_DataQualities[[#This Row],[unit_ID]],table_Units[],6)=1,table_DataQualities[[#This Row],[z_worst]]))</f>
        <v>50000</v>
      </c>
      <c r="J7" t="s">
        <v>7</v>
      </c>
      <c r="K7">
        <v>0.9</v>
      </c>
      <c r="L7" t="s">
        <v>8</v>
      </c>
      <c r="M7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t="b">
        <f ca="1">VLOOKUP(table_DataQualities[[#This Row],[ID]],dict_zuord_Var_DQ!B:C,2,FALSE)</f>
        <v>1</v>
      </c>
      <c r="O7">
        <v>2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3_Fläche mm²</v>
      </c>
      <c r="C8">
        <v>400</v>
      </c>
      <c r="D8" t="str">
        <f>VLOOKUP(table_DataQualities[[#This Row],[unit_ID]],table_Units[#All],2)</f>
        <v>mm²</v>
      </c>
      <c r="F8">
        <v>1.0000000000000001E-5</v>
      </c>
      <c r="G8">
        <v>100000</v>
      </c>
      <c r="H8" s="8">
        <f>IF(VLOOKUP(table_DataQualities[[#This Row],[unit_ID]],table_Units[],5)&gt;0,table_DataQualities[[#This Row],[z_worst]],IF(VLOOKUP(table_DataQualities[[#This Row],[unit_ID]],table_Units[],6)=1,table_DataQualities[[#This Row],[z_best]]))</f>
        <v>1.0000000000000001E-5</v>
      </c>
      <c r="I8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8" t="s">
        <v>7</v>
      </c>
      <c r="K8">
        <v>0.95</v>
      </c>
      <c r="L8" t="s">
        <v>8</v>
      </c>
      <c r="M8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t="b">
        <f ca="1">VLOOKUP(table_DataQualities[[#This Row],[ID]],dict_zuord_Var_DQ!B:C,2,FALSE)</f>
        <v>1</v>
      </c>
      <c r="O8">
        <v>10</v>
      </c>
    </row>
    <row r="9" spans="1:15" x14ac:dyDescent="0.45">
      <c r="A9">
        <v>7</v>
      </c>
      <c r="B9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9">
        <v>100</v>
      </c>
      <c r="D9" t="str">
        <f>VLOOKUP(table_DataQualities[[#This Row],[unit_ID]],table_Units[#All],2)</f>
        <v>Hz</v>
      </c>
      <c r="F9">
        <v>1</v>
      </c>
      <c r="G9">
        <v>100000</v>
      </c>
      <c r="H9" s="8">
        <f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9" s="8">
        <f>IF(VLOOKUP(table_DataQualities[[#This Row],[unit_ID]],table_Units[],5)&gt;0,table_DataQualities[[#This Row],[z_best]],IF(VLOOKUP(table_DataQualities[[#This Row],[unit_ID]],table_Units[],6)=1,table_DataQualities[[#This Row],[z_worst]]))</f>
        <v>100000</v>
      </c>
      <c r="J9" t="s">
        <v>7</v>
      </c>
      <c r="K9">
        <v>0.8</v>
      </c>
      <c r="L9" t="s">
        <v>8</v>
      </c>
      <c r="M9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t="b">
        <f ca="1">VLOOKUP(table_DataQualities[[#This Row],[ID]],dict_zuord_Var_DQ!B:C,2,FALSE)</f>
        <v>1</v>
      </c>
      <c r="O9">
        <v>2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4_Bildgröße</v>
      </c>
      <c r="C10">
        <v>1000</v>
      </c>
      <c r="D10" t="str">
        <f>VLOOKUP(table_DataQualities[[#This Row],[unit_ID]],table_Units[#All],2)</f>
        <v>bit</v>
      </c>
      <c r="F10">
        <v>1</v>
      </c>
      <c r="G10">
        <v>200000</v>
      </c>
      <c r="H10" s="8">
        <f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0" s="8">
        <f>IF(VLOOKUP(table_DataQualities[[#This Row],[unit_ID]],table_Units[],5)&gt;0,table_DataQualities[[#This Row],[z_best]],IF(VLOOKUP(table_DataQualities[[#This Row],[unit_ID]],table_Units[],6)=1,table_DataQualities[[#This Row],[z_worst]]))</f>
        <v>200000</v>
      </c>
      <c r="J10" t="s">
        <v>7</v>
      </c>
      <c r="K10">
        <v>0.1</v>
      </c>
      <c r="L10" t="s">
        <v>8</v>
      </c>
      <c r="M10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t="b">
        <f ca="1">VLOOKUP(table_DataQualities[[#This Row],[ID]],dict_zuord_Var_DQ!B:C,2,FALSE)</f>
        <v>1</v>
      </c>
      <c r="O10">
        <v>10</v>
      </c>
    </row>
    <row r="11" spans="1:15" x14ac:dyDescent="0.45">
      <c r="A11">
        <v>9</v>
      </c>
      <c r="B11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1">
        <v>100</v>
      </c>
      <c r="D11" t="str">
        <f>VLOOKUP(table_DataQualities[[#This Row],[unit_ID]],table_Units[#All],2)</f>
        <v>Hz</v>
      </c>
      <c r="F11">
        <v>1E-3</v>
      </c>
      <c r="G11">
        <v>500</v>
      </c>
      <c r="H11" s="8">
        <f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11" s="8">
        <f>IF(VLOOKUP(table_DataQualities[[#This Row],[unit_ID]],table_Units[],5)&gt;0,table_DataQualities[[#This Row],[z_best]],IF(VLOOKUP(table_DataQualities[[#This Row],[unit_ID]],table_Units[],6)=1,table_DataQualities[[#This Row],[z_worst]]))</f>
        <v>500</v>
      </c>
      <c r="J11" t="s">
        <v>7</v>
      </c>
      <c r="K11">
        <v>0.9</v>
      </c>
      <c r="L11" t="s">
        <v>8</v>
      </c>
      <c r="M11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t="b">
        <f ca="1">VLOOKUP(table_DataQualities[[#This Row],[ID]],dict_zuord_Var_DQ!B:C,2,FALSE)</f>
        <v>1</v>
      </c>
      <c r="O11">
        <v>2</v>
      </c>
    </row>
    <row r="12" spans="1:15" x14ac:dyDescent="0.45">
      <c r="A12">
        <v>12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1.7000000000000001E-2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5623.5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12" s="9">
        <f ca="1">IF(VLOOKUP(table_DataQualities[[#This Row],[unit_ID]],table_Units[],5)&gt;0,table_DataQualities[[#This Row],[z_best]],IF(VLOOKUP(table_DataQualities[[#This Row],[unit_ID]],table_Units[],6)=1,table_DataQualities[[#This Row],[z_worst]]))</f>
        <v>5623.5</v>
      </c>
      <c r="K12">
        <f ca="1">ROUND(RAND(),2)</f>
        <v>0.64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1</v>
      </c>
      <c r="O12">
        <f ca="1">RANDBETWEEN(1,5)</f>
        <v>5</v>
      </c>
    </row>
    <row r="13" spans="1:15" x14ac:dyDescent="0.45">
      <c r="A13">
        <v>13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6_Bildgröße</v>
      </c>
      <c r="C13">
        <f ca="1">RANDBETWEEN(5,10)*100</f>
        <v>1000</v>
      </c>
      <c r="D13" s="3" t="str">
        <f ca="1">VLOOKUP(table_DataQualities[[#This Row],[unit_ID]],table_Units[#All],2)</f>
        <v>bit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80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6334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80</v>
      </c>
      <c r="I13" s="9">
        <f ca="1">IF(VLOOKUP(table_DataQualities[[#This Row],[unit_ID]],table_Units[],5)&gt;0,table_DataQualities[[#This Row],[z_best]],IF(VLOOKUP(table_DataQualities[[#This Row],[unit_ID]],table_Units[],6)=1,table_DataQualities[[#This Row],[z_worst]]))</f>
        <v>6334</v>
      </c>
      <c r="K13">
        <f t="shared" ref="K13:K76" ca="1" si="0">ROUND(RAND(),2)</f>
        <v>0.56999999999999995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1</v>
      </c>
      <c r="O13">
        <f t="shared" ref="O13:O76" ca="1" si="1">RANDBETWEEN(1,5)</f>
        <v>1</v>
      </c>
    </row>
    <row r="14" spans="1:15" x14ac:dyDescent="0.45">
      <c r="A14">
        <v>14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0.82499999999999996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2466.5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0.82499999999999996</v>
      </c>
      <c r="I14" s="9">
        <f ca="1">IF(VLOOKUP(table_DataQualities[[#This Row],[unit_ID]],table_Units[],5)&gt;0,table_DataQualities[[#This Row],[z_best]],IF(VLOOKUP(table_DataQualities[[#This Row],[unit_ID]],table_Units[],6)=1,table_DataQualities[[#This Row],[z_worst]]))</f>
        <v>2466.5</v>
      </c>
      <c r="K14">
        <f t="shared" ca="1" si="0"/>
        <v>0.44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1</v>
      </c>
      <c r="O14">
        <f t="shared" ca="1" si="1"/>
        <v>2</v>
      </c>
    </row>
    <row r="15" spans="1:15" x14ac:dyDescent="0.45">
      <c r="A15">
        <v>15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7_Bildgröße</v>
      </c>
      <c r="C15">
        <f t="shared" ref="C15:C25" ca="1" si="2">RANDBETWEEN(5,10)*100</f>
        <v>1000</v>
      </c>
      <c r="D15" s="3" t="str">
        <f ca="1">VLOOKUP(table_DataQualities[[#This Row],[unit_ID]],table_Units[#All],2)</f>
        <v>bit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91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7555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91</v>
      </c>
      <c r="I15" s="9">
        <f ca="1">IF(VLOOKUP(table_DataQualities[[#This Row],[unit_ID]],table_Units[],5)&gt;0,table_DataQualities[[#This Row],[z_best]],IF(VLOOKUP(table_DataQualities[[#This Row],[unit_ID]],table_Units[],6)=1,table_DataQualities[[#This Row],[z_worst]]))</f>
        <v>7555</v>
      </c>
      <c r="K15">
        <f t="shared" ca="1" si="0"/>
        <v>0.3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1</v>
      </c>
      <c r="O15">
        <f t="shared" ca="1" si="1"/>
        <v>2</v>
      </c>
    </row>
    <row r="16" spans="1:15" x14ac:dyDescent="0.45">
      <c r="A16">
        <v>16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7389.8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</v>
      </c>
      <c r="I16" s="9">
        <f ca="1">IF(VLOOKUP(table_DataQualities[[#This Row],[unit_ID]],table_Units[],5)&gt;0,table_DataQualities[[#This Row],[z_best]],IF(VLOOKUP(table_DataQualities[[#This Row],[unit_ID]],table_Units[],6)=1,table_DataQualities[[#This Row],[z_worst]]))</f>
        <v>7389.8</v>
      </c>
      <c r="K16">
        <f t="shared" ca="1" si="0"/>
        <v>0.36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1</v>
      </c>
      <c r="O16">
        <f t="shared" ca="1" si="1"/>
        <v>1</v>
      </c>
    </row>
    <row r="17" spans="1:15" x14ac:dyDescent="0.45">
      <c r="A17">
        <v>17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8_Durchflussmessgenauigkeit cm³/s</v>
      </c>
      <c r="C17">
        <f t="shared" ref="C17" ca="1" si="3">RANDBETWEEN(5,10)*100</f>
        <v>800</v>
      </c>
      <c r="D17" s="3" t="str">
        <f ca="1">VLOOKUP(table_DataQualities[[#This Row],[unit_ID]],table_Units[#All],2)</f>
        <v>+/- cm³/s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0.91900000000000004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6.1000000000000004E-3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6.1000000000000004E-3</v>
      </c>
      <c r="I17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0.91900000000000004</v>
      </c>
      <c r="K17">
        <f t="shared" ca="1" si="0"/>
        <v>0.94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1</v>
      </c>
      <c r="O17">
        <f t="shared" ca="1" si="1"/>
        <v>2</v>
      </c>
    </row>
    <row r="18" spans="1:15" x14ac:dyDescent="0.45">
      <c r="A18">
        <v>18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0.317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1010.9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0.317</v>
      </c>
      <c r="I18" s="9">
        <f ca="1">IF(VLOOKUP(table_DataQualities[[#This Row],[unit_ID]],table_Units[],5)&gt;0,table_DataQualities[[#This Row],[z_best]],IF(VLOOKUP(table_DataQualities[[#This Row],[unit_ID]],table_Units[],6)=1,table_DataQualities[[#This Row],[z_worst]]))</f>
        <v>1010.9</v>
      </c>
      <c r="K18">
        <f t="shared" ca="1" si="0"/>
        <v>0.65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1</v>
      </c>
      <c r="O18">
        <f t="shared" ca="1" si="1"/>
        <v>2</v>
      </c>
    </row>
    <row r="19" spans="1:15" x14ac:dyDescent="0.45">
      <c r="A19">
        <v>19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9_Bildgröße</v>
      </c>
      <c r="C19">
        <f t="shared" ca="1" si="2"/>
        <v>1000</v>
      </c>
      <c r="D19" s="3" t="str">
        <f ca="1">VLOOKUP(table_DataQualities[[#This Row],[unit_ID]],table_Units[#All],2)</f>
        <v>bit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28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8288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28</v>
      </c>
      <c r="I19" s="9">
        <f ca="1">IF(VLOOKUP(table_DataQualities[[#This Row],[unit_ID]],table_Units[],5)&gt;0,table_DataQualities[[#This Row],[z_best]],IF(VLOOKUP(table_DataQualities[[#This Row],[unit_ID]],table_Units[],6)=1,table_DataQualities[[#This Row],[z_worst]]))</f>
        <v>8288</v>
      </c>
      <c r="K19">
        <f t="shared" ca="1" si="0"/>
        <v>0.93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1</v>
      </c>
      <c r="O19">
        <f t="shared" ca="1" si="1"/>
        <v>1</v>
      </c>
    </row>
    <row r="20" spans="1:15" x14ac:dyDescent="0.45">
      <c r="A20">
        <v>20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0.17499999999999999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5408.7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0.17499999999999999</v>
      </c>
      <c r="I20" s="9">
        <f ca="1">IF(VLOOKUP(table_DataQualities[[#This Row],[unit_ID]],table_Units[],5)&gt;0,table_DataQualities[[#This Row],[z_best]],IF(VLOOKUP(table_DataQualities[[#This Row],[unit_ID]],table_Units[],6)=1,table_DataQualities[[#This Row],[z_worst]]))</f>
        <v>5408.7</v>
      </c>
      <c r="K20">
        <f t="shared" ca="1" si="0"/>
        <v>0.62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1</v>
      </c>
      <c r="O20">
        <f t="shared" ca="1" si="1"/>
        <v>3</v>
      </c>
    </row>
    <row r="21" spans="1:15" x14ac:dyDescent="0.45">
      <c r="A21">
        <v>21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10_Bildgröße</v>
      </c>
      <c r="C21">
        <f t="shared" ref="C21" ca="1" si="4">RANDBETWEEN(5,10)*100</f>
        <v>1000</v>
      </c>
      <c r="D21" s="3" t="str">
        <f ca="1">VLOOKUP(table_DataQualities[[#This Row],[unit_ID]],table_Units[#All],2)</f>
        <v>bit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87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2520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87</v>
      </c>
      <c r="I21" s="9">
        <f ca="1">IF(VLOOKUP(table_DataQualities[[#This Row],[unit_ID]],table_Units[],5)&gt;0,table_DataQualities[[#This Row],[z_best]],IF(VLOOKUP(table_DataQualities[[#This Row],[unit_ID]],table_Units[],6)=1,table_DataQualities[[#This Row],[z_worst]]))</f>
        <v>2520</v>
      </c>
      <c r="K21">
        <f t="shared" ca="1" si="0"/>
        <v>0.25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1</v>
      </c>
      <c r="O21">
        <f t="shared" ca="1" si="1"/>
        <v>5</v>
      </c>
    </row>
    <row r="22" spans="1:15" x14ac:dyDescent="0.45">
      <c r="A22">
        <v>22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0.94899999999999995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1995.6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0.94899999999999995</v>
      </c>
      <c r="I22" s="9">
        <f ca="1">IF(VLOOKUP(table_DataQualities[[#This Row],[unit_ID]],table_Units[],5)&gt;0,table_DataQualities[[#This Row],[z_best]],IF(VLOOKUP(table_DataQualities[[#This Row],[unit_ID]],table_Units[],6)=1,table_DataQualities[[#This Row],[z_worst]]))</f>
        <v>1995.6</v>
      </c>
      <c r="K22">
        <f t="shared" ca="1" si="0"/>
        <v>0.38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1</v>
      </c>
      <c r="O22">
        <f t="shared" ca="1" si="1"/>
        <v>5</v>
      </c>
    </row>
    <row r="23" spans="1:15" x14ac:dyDescent="0.45">
      <c r="A23">
        <v>23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11_Bildgröße</v>
      </c>
      <c r="C23">
        <f t="shared" ca="1" si="2"/>
        <v>1000</v>
      </c>
      <c r="D23" s="3" t="str">
        <f ca="1">VLOOKUP(table_DataQualities[[#This Row],[unit_ID]],table_Units[#All],2)</f>
        <v>bit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26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6712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26</v>
      </c>
      <c r="I23" s="9">
        <f ca="1">IF(VLOOKUP(table_DataQualities[[#This Row],[unit_ID]],table_Units[],5)&gt;0,table_DataQualities[[#This Row],[z_best]],IF(VLOOKUP(table_DataQualities[[#This Row],[unit_ID]],table_Units[],6)=1,table_DataQualities[[#This Row],[z_worst]]))</f>
        <v>6712</v>
      </c>
      <c r="K23">
        <f t="shared" ca="1" si="0"/>
        <v>0.41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1</v>
      </c>
      <c r="O23">
        <f t="shared" ca="1" si="1"/>
        <v>2</v>
      </c>
    </row>
    <row r="24" spans="1:15" x14ac:dyDescent="0.45">
      <c r="A24">
        <v>24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0.84399999999999997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3708.6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0.84399999999999997</v>
      </c>
      <c r="I24" s="9">
        <f ca="1">IF(VLOOKUP(table_DataQualities[[#This Row],[unit_ID]],table_Units[],5)&gt;0,table_DataQualities[[#This Row],[z_best]],IF(VLOOKUP(table_DataQualities[[#This Row],[unit_ID]],table_Units[],6)=1,table_DataQualities[[#This Row],[z_worst]]))</f>
        <v>3708.6</v>
      </c>
      <c r="K24">
        <f t="shared" ca="1" si="0"/>
        <v>0.45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1</v>
      </c>
      <c r="O24">
        <f t="shared" ca="1" si="1"/>
        <v>5</v>
      </c>
    </row>
    <row r="25" spans="1:15" x14ac:dyDescent="0.45">
      <c r="A25">
        <v>25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12_Bildgröße</v>
      </c>
      <c r="C25">
        <f t="shared" ca="1" si="2"/>
        <v>1000</v>
      </c>
      <c r="D25" s="3" t="str">
        <f ca="1">VLOOKUP(table_DataQualities[[#This Row],[unit_ID]],table_Units[#All],2)</f>
        <v>bit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42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8846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42</v>
      </c>
      <c r="I25" s="9">
        <f ca="1">IF(VLOOKUP(table_DataQualities[[#This Row],[unit_ID]],table_Units[],5)&gt;0,table_DataQualities[[#This Row],[z_best]],IF(VLOOKUP(table_DataQualities[[#This Row],[unit_ID]],table_Units[],6)=1,table_DataQualities[[#This Row],[z_worst]]))</f>
        <v>8846</v>
      </c>
      <c r="K25">
        <f t="shared" ca="1" si="0"/>
        <v>0.73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1</v>
      </c>
      <c r="O25">
        <f t="shared" ca="1" si="1"/>
        <v>3</v>
      </c>
    </row>
    <row r="26" spans="1:15" x14ac:dyDescent="0.45">
      <c r="A26">
        <v>26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0.224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5981.8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0.224</v>
      </c>
      <c r="I26" s="9">
        <f ca="1">IF(VLOOKUP(table_DataQualities[[#This Row],[unit_ID]],table_Units[],5)&gt;0,table_DataQualities[[#This Row],[z_best]],IF(VLOOKUP(table_DataQualities[[#This Row],[unit_ID]],table_Units[],6)=1,table_DataQualities[[#This Row],[z_worst]]))</f>
        <v>5981.8</v>
      </c>
      <c r="K26">
        <f t="shared" ca="1" si="0"/>
        <v>0.8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1</v>
      </c>
      <c r="O26">
        <f t="shared" ca="1" si="1"/>
        <v>1</v>
      </c>
    </row>
    <row r="27" spans="1:15" x14ac:dyDescent="0.45">
      <c r="A27">
        <v>27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13_Bildgröße</v>
      </c>
      <c r="C27">
        <f ca="1">RANDBETWEEN(5,10)*100</f>
        <v>1000</v>
      </c>
      <c r="D27" s="3" t="str">
        <f ca="1">VLOOKUP(table_DataQualities[[#This Row],[unit_ID]],table_Units[#All],2)</f>
        <v>bit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100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1368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100</v>
      </c>
      <c r="I27" s="9">
        <f ca="1">IF(VLOOKUP(table_DataQualities[[#This Row],[unit_ID]],table_Units[],5)&gt;0,table_DataQualities[[#This Row],[z_best]],IF(VLOOKUP(table_DataQualities[[#This Row],[unit_ID]],table_Units[],6)=1,table_DataQualities[[#This Row],[z_worst]]))</f>
        <v>1368</v>
      </c>
      <c r="K27">
        <f t="shared" ca="1" si="0"/>
        <v>0.79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1</v>
      </c>
      <c r="O27">
        <f t="shared" ca="1" si="1"/>
        <v>2</v>
      </c>
    </row>
    <row r="28" spans="1:15" x14ac:dyDescent="0.45">
      <c r="A28">
        <v>28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0.74199999999999999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695.6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0.74199999999999999</v>
      </c>
      <c r="I28" s="9">
        <f ca="1">IF(VLOOKUP(table_DataQualities[[#This Row],[unit_ID]],table_Units[],5)&gt;0,table_DataQualities[[#This Row],[z_best]],IF(VLOOKUP(table_DataQualities[[#This Row],[unit_ID]],table_Units[],6)=1,table_DataQualities[[#This Row],[z_worst]]))</f>
        <v>695.6</v>
      </c>
      <c r="K28">
        <f t="shared" ca="1" si="0"/>
        <v>0.3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1</v>
      </c>
      <c r="O28">
        <f t="shared" ca="1" si="1"/>
        <v>2</v>
      </c>
    </row>
    <row r="29" spans="1:15" x14ac:dyDescent="0.45">
      <c r="A29">
        <v>29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14_Geschwindigkeitsmessgenauigkeit mm/s</v>
      </c>
      <c r="C29">
        <f t="shared" ref="C29:C39" ca="1" si="5">RANDBETWEEN(5,10)*100</f>
        <v>700</v>
      </c>
      <c r="D29" s="3" t="str">
        <f ca="1">VLOOKUP(table_DataQualities[[#This Row],[unit_ID]],table_Units[#All],2)</f>
        <v>+/- mm/s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29" s="9">
        <f ca="1">IF(VLOOKUP(table_DataQualities[[#This Row],[unit_ID]],table_Units[],5)&gt;0,table_DataQualities[[#This Row],[z_best]],IF(VLOOKUP(table_DataQualities[[#This Row],[unit_ID]],table_Units[],6)=1,table_DataQualities[[#This Row],[z_worst]]))</f>
        <v>3.9</v>
      </c>
      <c r="K29">
        <f t="shared" ca="1" si="0"/>
        <v>0.09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1</v>
      </c>
      <c r="O29">
        <f t="shared" ca="1" si="1"/>
        <v>2</v>
      </c>
    </row>
    <row r="30" spans="1:15" x14ac:dyDescent="0.45">
      <c r="A30">
        <v>30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0.94599999999999995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4465.2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0.94599999999999995</v>
      </c>
      <c r="I30" s="9">
        <f ca="1">IF(VLOOKUP(table_DataQualities[[#This Row],[unit_ID]],table_Units[],5)&gt;0,table_DataQualities[[#This Row],[z_best]],IF(VLOOKUP(table_DataQualities[[#This Row],[unit_ID]],table_Units[],6)=1,table_DataQualities[[#This Row],[z_worst]]))</f>
        <v>4465.2</v>
      </c>
      <c r="K30">
        <f t="shared" ca="1" si="0"/>
        <v>0.19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1</v>
      </c>
      <c r="O30">
        <f t="shared" ca="1" si="1"/>
        <v>5</v>
      </c>
    </row>
    <row r="31" spans="1:15" x14ac:dyDescent="0.45">
      <c r="A31">
        <v>31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15_Längenmessgenauigkeit mm</v>
      </c>
      <c r="C31">
        <f t="shared" ref="C31" ca="1" si="6">RANDBETWEEN(5,10)*100</f>
        <v>900</v>
      </c>
      <c r="D31" s="3" t="str">
        <f ca="1">VLOOKUP(table_DataQualities[[#This Row],[unit_ID]],table_Units[#All],2)</f>
        <v>+/- mm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1.67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9.9000000000000005E-2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31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1.67</v>
      </c>
      <c r="K31">
        <f t="shared" ca="1" si="0"/>
        <v>0.6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1</v>
      </c>
      <c r="O31">
        <f t="shared" ca="1" si="1"/>
        <v>4</v>
      </c>
    </row>
    <row r="32" spans="1:15" x14ac:dyDescent="0.45">
      <c r="A32">
        <v>32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0.44800000000000001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5086.8999999999996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0.44800000000000001</v>
      </c>
      <c r="I32" s="9">
        <f ca="1">IF(VLOOKUP(table_DataQualities[[#This Row],[unit_ID]],table_Units[],5)&gt;0,table_DataQualities[[#This Row],[z_best]],IF(VLOOKUP(table_DataQualities[[#This Row],[unit_ID]],table_Units[],6)=1,table_DataQualities[[#This Row],[z_worst]]))</f>
        <v>5086.8999999999996</v>
      </c>
      <c r="K32">
        <f t="shared" ca="1" si="0"/>
        <v>0.94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1</v>
      </c>
      <c r="O32">
        <f t="shared" ca="1" si="1"/>
        <v>2</v>
      </c>
    </row>
    <row r="33" spans="1:15" x14ac:dyDescent="0.45">
      <c r="A33">
        <v>33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16_Geschwindigkeitsmessgenauigkeit mm/s</v>
      </c>
      <c r="C33">
        <f t="shared" ca="1" si="5"/>
        <v>700</v>
      </c>
      <c r="D33" s="3" t="str">
        <f ca="1">VLOOKUP(table_DataQualities[[#This Row],[unit_ID]],table_Units[#All],2)</f>
        <v>+/- mm/s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0.34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33" s="9">
        <f ca="1">IF(VLOOKUP(table_DataQualities[[#This Row],[unit_ID]],table_Units[],5)&gt;0,table_DataQualities[[#This Row],[z_best]],IF(VLOOKUP(table_DataQualities[[#This Row],[unit_ID]],table_Units[],6)=1,table_DataQualities[[#This Row],[z_worst]]))</f>
        <v>3.2</v>
      </c>
      <c r="K33">
        <f t="shared" ca="1" si="0"/>
        <v>0.22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1</v>
      </c>
      <c r="O33">
        <f t="shared" ca="1" si="1"/>
        <v>2</v>
      </c>
    </row>
    <row r="34" spans="1:15" x14ac:dyDescent="0.45">
      <c r="A34">
        <v>34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0.20200000000000001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1126.9000000000001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0.20200000000000001</v>
      </c>
      <c r="I34" s="9">
        <f ca="1">IF(VLOOKUP(table_DataQualities[[#This Row],[unit_ID]],table_Units[],5)&gt;0,table_DataQualities[[#This Row],[z_best]],IF(VLOOKUP(table_DataQualities[[#This Row],[unit_ID]],table_Units[],6)=1,table_DataQualities[[#This Row],[z_worst]]))</f>
        <v>1126.9000000000001</v>
      </c>
      <c r="K34">
        <f t="shared" ca="1" si="0"/>
        <v>0.45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1</v>
      </c>
      <c r="O34">
        <f t="shared" ca="1" si="1"/>
        <v>4</v>
      </c>
    </row>
    <row r="35" spans="1:15" x14ac:dyDescent="0.45">
      <c r="A35">
        <v>35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17_Durchflussmessgenauigkeit cm³/s</v>
      </c>
      <c r="C35">
        <f t="shared" ref="C35" ca="1" si="7">RANDBETWEEN(5,10)*100</f>
        <v>800</v>
      </c>
      <c r="D35" s="3" t="str">
        <f ca="1">VLOOKUP(table_DataQualities[[#This Row],[unit_ID]],table_Units[#All],2)</f>
        <v>+/- cm³/s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0.313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2.9999999999999997E-4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2.9999999999999997E-4</v>
      </c>
      <c r="I35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0.313</v>
      </c>
      <c r="K35">
        <f t="shared" ca="1" si="0"/>
        <v>0.27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1</v>
      </c>
      <c r="O35">
        <f t="shared" ca="1" si="1"/>
        <v>4</v>
      </c>
    </row>
    <row r="36" spans="1:15" x14ac:dyDescent="0.45">
      <c r="A36">
        <v>36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0.71499999999999997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283.10000000000002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0.71499999999999997</v>
      </c>
      <c r="I36" s="9">
        <f ca="1">IF(VLOOKUP(table_DataQualities[[#This Row],[unit_ID]],table_Units[],5)&gt;0,table_DataQualities[[#This Row],[z_best]],IF(VLOOKUP(table_DataQualities[[#This Row],[unit_ID]],table_Units[],6)=1,table_DataQualities[[#This Row],[z_worst]]))</f>
        <v>283.10000000000002</v>
      </c>
      <c r="K36">
        <f t="shared" ca="1" si="0"/>
        <v>0.75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1</v>
      </c>
      <c r="O36">
        <f t="shared" ca="1" si="1"/>
        <v>2</v>
      </c>
    </row>
    <row r="37" spans="1:15" x14ac:dyDescent="0.45">
      <c r="A37">
        <v>37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18_Bildgröße</v>
      </c>
      <c r="C37">
        <f t="shared" ca="1" si="5"/>
        <v>1000</v>
      </c>
      <c r="D37" s="3" t="str">
        <f ca="1">VLOOKUP(table_DataQualities[[#This Row],[unit_ID]],table_Units[#All],2)</f>
        <v>bit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73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4503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73</v>
      </c>
      <c r="I37" s="9">
        <f ca="1">IF(VLOOKUP(table_DataQualities[[#This Row],[unit_ID]],table_Units[],5)&gt;0,table_DataQualities[[#This Row],[z_best]],IF(VLOOKUP(table_DataQualities[[#This Row],[unit_ID]],table_Units[],6)=1,table_DataQualities[[#This Row],[z_worst]]))</f>
        <v>4503</v>
      </c>
      <c r="K37">
        <f t="shared" ca="1" si="0"/>
        <v>0.63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1</v>
      </c>
      <c r="O37">
        <f t="shared" ca="1" si="1"/>
        <v>4</v>
      </c>
    </row>
    <row r="38" spans="1:15" x14ac:dyDescent="0.45">
      <c r="A38">
        <v>38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0.71199999999999997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6699.6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0.71199999999999997</v>
      </c>
      <c r="I38" s="9">
        <f ca="1">IF(VLOOKUP(table_DataQualities[[#This Row],[unit_ID]],table_Units[],5)&gt;0,table_DataQualities[[#This Row],[z_best]],IF(VLOOKUP(table_DataQualities[[#This Row],[unit_ID]],table_Units[],6)=1,table_DataQualities[[#This Row],[z_worst]]))</f>
        <v>6699.6</v>
      </c>
      <c r="K38">
        <f t="shared" ca="1" si="0"/>
        <v>0.87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1</v>
      </c>
      <c r="O38">
        <f t="shared" ca="1" si="1"/>
        <v>4</v>
      </c>
    </row>
    <row r="39" spans="1:15" x14ac:dyDescent="0.45">
      <c r="A39">
        <v>39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19_Bildgröße</v>
      </c>
      <c r="C39">
        <f t="shared" ca="1" si="5"/>
        <v>1000</v>
      </c>
      <c r="D39" s="3" t="str">
        <f ca="1">VLOOKUP(table_DataQualities[[#This Row],[unit_ID]],table_Units[#All],2)</f>
        <v>bit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22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7490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22</v>
      </c>
      <c r="I39" s="9">
        <f ca="1">IF(VLOOKUP(table_DataQualities[[#This Row],[unit_ID]],table_Units[],5)&gt;0,table_DataQualities[[#This Row],[z_best]],IF(VLOOKUP(table_DataQualities[[#This Row],[unit_ID]],table_Units[],6)=1,table_DataQualities[[#This Row],[z_worst]]))</f>
        <v>7490</v>
      </c>
      <c r="K39">
        <f t="shared" ca="1" si="0"/>
        <v>0.2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1</v>
      </c>
      <c r="O39">
        <f t="shared" ca="1" si="1"/>
        <v>3</v>
      </c>
    </row>
    <row r="40" spans="1:15" x14ac:dyDescent="0.45">
      <c r="A40">
        <v>40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0.188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4322.6000000000004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0.188</v>
      </c>
      <c r="I40" s="9">
        <f ca="1">IF(VLOOKUP(table_DataQualities[[#This Row],[unit_ID]],table_Units[],5)&gt;0,table_DataQualities[[#This Row],[z_best]],IF(VLOOKUP(table_DataQualities[[#This Row],[unit_ID]],table_Units[],6)=1,table_DataQualities[[#This Row],[z_worst]]))</f>
        <v>4322.6000000000004</v>
      </c>
      <c r="K40">
        <f t="shared" ca="1" si="0"/>
        <v>0.44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1</v>
      </c>
      <c r="O40">
        <f t="shared" ca="1" si="1"/>
        <v>2</v>
      </c>
    </row>
    <row r="41" spans="1:15" x14ac:dyDescent="0.45">
      <c r="A41">
        <v>41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20_Durchflussmessgenauigkeit cm³/s</v>
      </c>
      <c r="C41">
        <f ca="1">RANDBETWEEN(5,10)*100</f>
        <v>800</v>
      </c>
      <c r="D41" s="3" t="str">
        <f ca="1">VLOOKUP(table_DataQualities[[#This Row],[unit_ID]],table_Units[#All],2)</f>
        <v>+/- cm³/s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0.38300000000000001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5.5999999999999999E-3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5.5999999999999999E-3</v>
      </c>
      <c r="I41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0.38300000000000001</v>
      </c>
      <c r="K41">
        <f t="shared" ca="1" si="0"/>
        <v>0.48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1</v>
      </c>
      <c r="O41">
        <f t="shared" ca="1" si="1"/>
        <v>5</v>
      </c>
    </row>
    <row r="42" spans="1:15" x14ac:dyDescent="0.45">
      <c r="A42">
        <v>42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0.151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1626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0.151</v>
      </c>
      <c r="I42" s="9">
        <f ca="1">IF(VLOOKUP(table_DataQualities[[#This Row],[unit_ID]],table_Units[],5)&gt;0,table_DataQualities[[#This Row],[z_best]],IF(VLOOKUP(table_DataQualities[[#This Row],[unit_ID]],table_Units[],6)=1,table_DataQualities[[#This Row],[z_worst]]))</f>
        <v>1626</v>
      </c>
      <c r="K42">
        <f t="shared" ca="1" si="0"/>
        <v>0.93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1</v>
      </c>
      <c r="O42">
        <f t="shared" ca="1" si="1"/>
        <v>2</v>
      </c>
    </row>
    <row r="43" spans="1:15" x14ac:dyDescent="0.45">
      <c r="A43">
        <v>43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21_Geschwindigkeitsmessgenauigkeit mm/s</v>
      </c>
      <c r="C43">
        <f t="shared" ref="C43:C53" ca="1" si="8">RANDBETWEEN(5,10)*100</f>
        <v>700</v>
      </c>
      <c r="D43" s="3" t="str">
        <f ca="1">VLOOKUP(table_DataQualities[[#This Row],[unit_ID]],table_Units[#All],2)</f>
        <v>+/- mm/s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0.56999999999999995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0.56999999999999995</v>
      </c>
      <c r="I43" s="9">
        <f ca="1">IF(VLOOKUP(table_DataQualities[[#This Row],[unit_ID]],table_Units[],5)&gt;0,table_DataQualities[[#This Row],[z_best]],IF(VLOOKUP(table_DataQualities[[#This Row],[unit_ID]],table_Units[],6)=1,table_DataQualities[[#This Row],[z_worst]]))</f>
        <v>8.1</v>
      </c>
      <c r="K43">
        <f t="shared" ca="1" si="0"/>
        <v>0.21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1</v>
      </c>
      <c r="O43">
        <f t="shared" ca="1" si="1"/>
        <v>3</v>
      </c>
    </row>
    <row r="44" spans="1:15" x14ac:dyDescent="0.45">
      <c r="A44">
        <v>44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0.749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4183.5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0.749</v>
      </c>
      <c r="I44" s="9">
        <f ca="1">IF(VLOOKUP(table_DataQualities[[#This Row],[unit_ID]],table_Units[],5)&gt;0,table_DataQualities[[#This Row],[z_best]],IF(VLOOKUP(table_DataQualities[[#This Row],[unit_ID]],table_Units[],6)=1,table_DataQualities[[#This Row],[z_worst]]))</f>
        <v>4183.5</v>
      </c>
      <c r="K44">
        <f t="shared" ca="1" si="0"/>
        <v>0.84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1</v>
      </c>
      <c r="O44">
        <f t="shared" ca="1" si="1"/>
        <v>5</v>
      </c>
    </row>
    <row r="45" spans="1:15" x14ac:dyDescent="0.45">
      <c r="A45">
        <v>45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22_Geschwindigkeitsmessgenauigkeit mm/s</v>
      </c>
      <c r="C45">
        <f t="shared" ref="C45" ca="1" si="9">RANDBETWEEN(5,10)*100</f>
        <v>700</v>
      </c>
      <c r="D45" s="3" t="str">
        <f ca="1">VLOOKUP(table_DataQualities[[#This Row],[unit_ID]],table_Units[#All],2)</f>
        <v>+/- mm/s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0.16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</v>
      </c>
      <c r="I45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5.7</v>
      </c>
      <c r="K45">
        <f t="shared" ca="1" si="0"/>
        <v>0.67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1</v>
      </c>
      <c r="O45">
        <f t="shared" ca="1" si="1"/>
        <v>2</v>
      </c>
    </row>
    <row r="46" spans="1:15" x14ac:dyDescent="0.45">
      <c r="A46">
        <v>46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0.73299999999999998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7642.1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0.73299999999999998</v>
      </c>
      <c r="I46" s="9">
        <f ca="1">IF(VLOOKUP(table_DataQualities[[#This Row],[unit_ID]],table_Units[],5)&gt;0,table_DataQualities[[#This Row],[z_best]],IF(VLOOKUP(table_DataQualities[[#This Row],[unit_ID]],table_Units[],6)=1,table_DataQualities[[#This Row],[z_worst]]))</f>
        <v>7642.1</v>
      </c>
      <c r="K46">
        <f t="shared" ca="1" si="0"/>
        <v>0.61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1</v>
      </c>
      <c r="O46">
        <f t="shared" ca="1" si="1"/>
        <v>5</v>
      </c>
    </row>
    <row r="47" spans="1:15" x14ac:dyDescent="0.45">
      <c r="A47">
        <v>47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23_Bildgröße</v>
      </c>
      <c r="C47">
        <f t="shared" ca="1" si="8"/>
        <v>1000</v>
      </c>
      <c r="D47" s="3" t="str">
        <f ca="1">VLOOKUP(table_DataQualities[[#This Row],[unit_ID]],table_Units[#All],2)</f>
        <v>bit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83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5319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83</v>
      </c>
      <c r="I47" s="9">
        <f ca="1">IF(VLOOKUP(table_DataQualities[[#This Row],[unit_ID]],table_Units[],5)&gt;0,table_DataQualities[[#This Row],[z_best]],IF(VLOOKUP(table_DataQualities[[#This Row],[unit_ID]],table_Units[],6)=1,table_DataQualities[[#This Row],[z_worst]]))</f>
        <v>5319</v>
      </c>
      <c r="K47">
        <f t="shared" ca="1" si="0"/>
        <v>0.97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1</v>
      </c>
      <c r="O47">
        <f t="shared" ca="1" si="1"/>
        <v>4</v>
      </c>
    </row>
    <row r="48" spans="1:15" x14ac:dyDescent="0.45">
      <c r="A48">
        <v>48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0.46500000000000002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5626.4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0.46500000000000002</v>
      </c>
      <c r="I48" s="9">
        <f ca="1">IF(VLOOKUP(table_DataQualities[[#This Row],[unit_ID]],table_Units[],5)&gt;0,table_DataQualities[[#This Row],[z_best]],IF(VLOOKUP(table_DataQualities[[#This Row],[unit_ID]],table_Units[],6)=1,table_DataQualities[[#This Row],[z_worst]]))</f>
        <v>5626.4</v>
      </c>
      <c r="K48">
        <f t="shared" ca="1" si="0"/>
        <v>0.45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1</v>
      </c>
      <c r="O48">
        <f t="shared" ca="1" si="1"/>
        <v>3</v>
      </c>
    </row>
    <row r="49" spans="1:15" x14ac:dyDescent="0.45">
      <c r="A49">
        <v>49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24_Geschwindigkeitsmessgenauigkeit mm/s</v>
      </c>
      <c r="C49">
        <f t="shared" ref="C49" ca="1" si="10">RANDBETWEEN(5,10)*100</f>
        <v>700</v>
      </c>
      <c r="D49" s="3" t="str">
        <f ca="1">VLOOKUP(table_DataQualities[[#This Row],[unit_ID]],table_Units[#All],2)</f>
        <v>+/- mm/s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2.2999999999999998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0.57999999999999996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0.57999999999999996</v>
      </c>
      <c r="I49" s="9">
        <f ca="1">IF(VLOOKUP(table_DataQualities[[#This Row],[unit_ID]],table_Units[],5)&gt;0,table_DataQualities[[#This Row],[z_best]],IF(VLOOKUP(table_DataQualities[[#This Row],[unit_ID]],table_Units[],6)=1,table_DataQualities[[#This Row],[z_worst]]))</f>
        <v>2.2999999999999998</v>
      </c>
      <c r="K49">
        <f t="shared" ca="1" si="0"/>
        <v>0.76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1</v>
      </c>
      <c r="O49">
        <f t="shared" ca="1" si="1"/>
        <v>1</v>
      </c>
    </row>
    <row r="50" spans="1:15" x14ac:dyDescent="0.45">
      <c r="A50">
        <v>50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4.3999999999999997E-2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6846.4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50" s="9">
        <f ca="1">IF(VLOOKUP(table_DataQualities[[#This Row],[unit_ID]],table_Units[],5)&gt;0,table_DataQualities[[#This Row],[z_best]],IF(VLOOKUP(table_DataQualities[[#This Row],[unit_ID]],table_Units[],6)=1,table_DataQualities[[#This Row],[z_worst]]))</f>
        <v>6846.4</v>
      </c>
      <c r="K50">
        <f t="shared" ca="1" si="0"/>
        <v>0.7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1</v>
      </c>
      <c r="O50">
        <f t="shared" ca="1" si="1"/>
        <v>4</v>
      </c>
    </row>
    <row r="51" spans="1:15" x14ac:dyDescent="0.45">
      <c r="A51">
        <v>51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25_Durchflussmessgenauigkeit cm³/s</v>
      </c>
      <c r="C51">
        <f t="shared" ca="1" si="8"/>
        <v>800</v>
      </c>
      <c r="D51" s="3" t="str">
        <f ca="1">VLOOKUP(table_DataQualities[[#This Row],[unit_ID]],table_Units[#All],2)</f>
        <v>+/- cm³/s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0.27100000000000002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51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0.27100000000000002</v>
      </c>
      <c r="K51">
        <f t="shared" ca="1" si="0"/>
        <v>0.17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1</v>
      </c>
      <c r="O51">
        <f t="shared" ca="1" si="1"/>
        <v>1</v>
      </c>
    </row>
    <row r="52" spans="1:15" x14ac:dyDescent="0.45">
      <c r="A52">
        <v>52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0.39500000000000002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4236.2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0.39500000000000002</v>
      </c>
      <c r="I52" s="9">
        <f ca="1">IF(VLOOKUP(table_DataQualities[[#This Row],[unit_ID]],table_Units[],5)&gt;0,table_DataQualities[[#This Row],[z_best]],IF(VLOOKUP(table_DataQualities[[#This Row],[unit_ID]],table_Units[],6)=1,table_DataQualities[[#This Row],[z_worst]]))</f>
        <v>4236.2</v>
      </c>
      <c r="K52">
        <f t="shared" ca="1" si="0"/>
        <v>0.26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1</v>
      </c>
      <c r="O52">
        <f t="shared" ca="1" si="1"/>
        <v>4</v>
      </c>
    </row>
    <row r="53" spans="1:15" x14ac:dyDescent="0.45">
      <c r="A53">
        <v>53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26_Leistungsmessgenauigkeit W</v>
      </c>
      <c r="C53">
        <f t="shared" ca="1" si="8"/>
        <v>600</v>
      </c>
      <c r="D53" s="3" t="str">
        <f ca="1">VLOOKUP(table_DataQualities[[#This Row],[unit_ID]],table_Units[#All],2)</f>
        <v>+/- W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9.41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53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9.41</v>
      </c>
      <c r="K53">
        <f t="shared" ca="1" si="0"/>
        <v>0.62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1</v>
      </c>
      <c r="O53">
        <f t="shared" ca="1" si="1"/>
        <v>2</v>
      </c>
    </row>
    <row r="54" spans="1:15" x14ac:dyDescent="0.45">
      <c r="A54">
        <v>54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0.99099999999999999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8559.9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0.99099999999999999</v>
      </c>
      <c r="I54" s="9">
        <f ca="1">IF(VLOOKUP(table_DataQualities[[#This Row],[unit_ID]],table_Units[],5)&gt;0,table_DataQualities[[#This Row],[z_best]],IF(VLOOKUP(table_DataQualities[[#This Row],[unit_ID]],table_Units[],6)=1,table_DataQualities[[#This Row],[z_worst]]))</f>
        <v>8559.9</v>
      </c>
      <c r="K54">
        <f t="shared" ca="1" si="0"/>
        <v>0.66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1</v>
      </c>
      <c r="O54">
        <f t="shared" ca="1" si="1"/>
        <v>2</v>
      </c>
    </row>
    <row r="55" spans="1:15" x14ac:dyDescent="0.45">
      <c r="A55">
        <v>55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27_Leistungsmessgenauigkeit W</v>
      </c>
      <c r="C55">
        <f ca="1">RANDBETWEEN(5,10)*100</f>
        <v>600</v>
      </c>
      <c r="D55" s="3" t="str">
        <f ca="1">VLOOKUP(table_DataQualities[[#This Row],[unit_ID]],table_Units[#All],2)</f>
        <v>+/- W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55" s="9">
        <f ca="1">IF(VLOOKUP(table_DataQualities[[#This Row],[unit_ID]],table_Units[],5)&gt;0,table_DataQualities[[#This Row],[z_best]],IF(VLOOKUP(table_DataQualities[[#This Row],[unit_ID]],table_Units[],6)=1,table_DataQualities[[#This Row],[z_worst]]))</f>
        <v>2</v>
      </c>
      <c r="K55">
        <f t="shared" ca="1" si="0"/>
        <v>0.2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1</v>
      </c>
      <c r="O55">
        <f t="shared" ca="1" si="1"/>
        <v>2</v>
      </c>
    </row>
    <row r="56" spans="1:15" x14ac:dyDescent="0.45">
      <c r="A56">
        <v>56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0.85799999999999998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1372.2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0.85799999999999998</v>
      </c>
      <c r="I56" s="9">
        <f ca="1">IF(VLOOKUP(table_DataQualities[[#This Row],[unit_ID]],table_Units[],5)&gt;0,table_DataQualities[[#This Row],[z_best]],IF(VLOOKUP(table_DataQualities[[#This Row],[unit_ID]],table_Units[],6)=1,table_DataQualities[[#This Row],[z_worst]]))</f>
        <v>1372.2</v>
      </c>
      <c r="K56">
        <f t="shared" ca="1" si="0"/>
        <v>0.38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1</v>
      </c>
      <c r="O56">
        <f t="shared" ca="1" si="1"/>
        <v>4</v>
      </c>
    </row>
    <row r="57" spans="1:15" x14ac:dyDescent="0.45">
      <c r="A57">
        <v>57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28_Längenmessgenauigkeit mm</v>
      </c>
      <c r="C57">
        <f t="shared" ref="C57:C67" ca="1" si="11">RANDBETWEEN(5,10)*100</f>
        <v>900</v>
      </c>
      <c r="D57" s="3" t="str">
        <f ca="1">VLOOKUP(table_DataQualities[[#This Row],[unit_ID]],table_Units[#All],2)</f>
        <v>+/- mm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5.64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57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5.64</v>
      </c>
      <c r="K57">
        <f t="shared" ca="1" si="0"/>
        <v>0.02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1</v>
      </c>
      <c r="O57">
        <f t="shared" ca="1" si="1"/>
        <v>1</v>
      </c>
    </row>
    <row r="58" spans="1:15" x14ac:dyDescent="0.45">
      <c r="A58">
        <v>58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0.57499999999999996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8919.2000000000007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0.57499999999999996</v>
      </c>
      <c r="I58" s="9">
        <f ca="1">IF(VLOOKUP(table_DataQualities[[#This Row],[unit_ID]],table_Units[],5)&gt;0,table_DataQualities[[#This Row],[z_best]],IF(VLOOKUP(table_DataQualities[[#This Row],[unit_ID]],table_Units[],6)=1,table_DataQualities[[#This Row],[z_worst]]))</f>
        <v>8919.2000000000007</v>
      </c>
      <c r="K58">
        <f t="shared" ca="1" si="0"/>
        <v>0.15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1</v>
      </c>
      <c r="O58">
        <f t="shared" ca="1" si="1"/>
        <v>1</v>
      </c>
    </row>
    <row r="59" spans="1:15" x14ac:dyDescent="0.45">
      <c r="A59">
        <v>59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29_Temperaturmessgenauigkeit °C</v>
      </c>
      <c r="C59">
        <f t="shared" ref="C59" ca="1" si="12">RANDBETWEEN(5,10)*100</f>
        <v>500</v>
      </c>
      <c r="D59" s="3" t="str">
        <f ca="1">VLOOKUP(table_DataQualities[[#This Row],[unit_ID]],table_Units[#All],2)</f>
        <v>+/- °C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59" s="9">
        <f ca="1">IF(VLOOKUP(table_DataQualities[[#This Row],[unit_ID]],table_Units[],5)&gt;0,table_DataQualities[[#This Row],[z_best]],IF(VLOOKUP(table_DataQualities[[#This Row],[unit_ID]],table_Units[],6)=1,table_DataQualities[[#This Row],[z_worst]]))</f>
        <v>4</v>
      </c>
      <c r="K59">
        <f t="shared" ca="1" si="0"/>
        <v>0.84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1</v>
      </c>
      <c r="O59">
        <f t="shared" ca="1" si="1"/>
        <v>5</v>
      </c>
    </row>
    <row r="60" spans="1:15" x14ac:dyDescent="0.45">
      <c r="A60">
        <v>60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0.24299999999999999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1692.7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0.24299999999999999</v>
      </c>
      <c r="I60" s="9">
        <f ca="1">IF(VLOOKUP(table_DataQualities[[#This Row],[unit_ID]],table_Units[],5)&gt;0,table_DataQualities[[#This Row],[z_best]],IF(VLOOKUP(table_DataQualities[[#This Row],[unit_ID]],table_Units[],6)=1,table_DataQualities[[#This Row],[z_worst]]))</f>
        <v>1692.7</v>
      </c>
      <c r="K60">
        <f t="shared" ca="1" si="0"/>
        <v>0.85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1</v>
      </c>
      <c r="O60">
        <f t="shared" ca="1" si="1"/>
        <v>3</v>
      </c>
    </row>
    <row r="61" spans="1:15" x14ac:dyDescent="0.45">
      <c r="A61">
        <v>61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30_Temperaturmessgenauigkeit °C</v>
      </c>
      <c r="C61">
        <f t="shared" ca="1" si="11"/>
        <v>500</v>
      </c>
      <c r="D61" s="3" t="str">
        <f ca="1">VLOOKUP(table_DataQualities[[#This Row],[unit_ID]],table_Units[#All],2)</f>
        <v>+/- °C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61" s="9">
        <f ca="1">IF(VLOOKUP(table_DataQualities[[#This Row],[unit_ID]],table_Units[],5)&gt;0,table_DataQualities[[#This Row],[z_best]],IF(VLOOKUP(table_DataQualities[[#This Row],[unit_ID]],table_Units[],6)=1,table_DataQualities[[#This Row],[z_worst]]))</f>
        <v>6</v>
      </c>
      <c r="K61">
        <f t="shared" ca="1" si="0"/>
        <v>0.17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1</v>
      </c>
      <c r="O61">
        <f t="shared" ca="1" si="1"/>
        <v>1</v>
      </c>
    </row>
    <row r="62" spans="1:15" x14ac:dyDescent="0.45">
      <c r="A62">
        <v>62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0.65800000000000003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2118.8000000000002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0.65800000000000003</v>
      </c>
      <c r="I62" s="9">
        <f ca="1">IF(VLOOKUP(table_DataQualities[[#This Row],[unit_ID]],table_Units[],5)&gt;0,table_DataQualities[[#This Row],[z_best]],IF(VLOOKUP(table_DataQualities[[#This Row],[unit_ID]],table_Units[],6)=1,table_DataQualities[[#This Row],[z_worst]]))</f>
        <v>2118.8000000000002</v>
      </c>
      <c r="K62">
        <f t="shared" ca="1" si="0"/>
        <v>0.6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1</v>
      </c>
      <c r="O62">
        <f t="shared" ca="1" si="1"/>
        <v>3</v>
      </c>
    </row>
    <row r="63" spans="1:15" x14ac:dyDescent="0.45">
      <c r="A63">
        <v>63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31_Bildgröße</v>
      </c>
      <c r="C63">
        <f t="shared" ref="C63" ca="1" si="13">RANDBETWEEN(5,10)*100</f>
        <v>1000</v>
      </c>
      <c r="D63" s="3" t="str">
        <f ca="1">VLOOKUP(table_DataQualities[[#This Row],[unit_ID]],table_Units[#All],2)</f>
        <v>bit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81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5255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81</v>
      </c>
      <c r="I63" s="9">
        <f ca="1">IF(VLOOKUP(table_DataQualities[[#This Row],[unit_ID]],table_Units[],5)&gt;0,table_DataQualities[[#This Row],[z_best]],IF(VLOOKUP(table_DataQualities[[#This Row],[unit_ID]],table_Units[],6)=1,table_DataQualities[[#This Row],[z_worst]]))</f>
        <v>5255</v>
      </c>
      <c r="K63">
        <f t="shared" ca="1" si="0"/>
        <v>0.66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1</v>
      </c>
      <c r="O63">
        <f t="shared" ca="1" si="1"/>
        <v>2</v>
      </c>
    </row>
    <row r="64" spans="1:15" x14ac:dyDescent="0.45">
      <c r="A64">
        <v>64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0.39400000000000002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2741.3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0.39400000000000002</v>
      </c>
      <c r="I64" s="9">
        <f ca="1">IF(VLOOKUP(table_DataQualities[[#This Row],[unit_ID]],table_Units[],5)&gt;0,table_DataQualities[[#This Row],[z_best]],IF(VLOOKUP(table_DataQualities[[#This Row],[unit_ID]],table_Units[],6)=1,table_DataQualities[[#This Row],[z_worst]]))</f>
        <v>2741.3</v>
      </c>
      <c r="K64">
        <f t="shared" ca="1" si="0"/>
        <v>0.06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1</v>
      </c>
      <c r="O64">
        <f t="shared" ca="1" si="1"/>
        <v>4</v>
      </c>
    </row>
    <row r="65" spans="1:15" x14ac:dyDescent="0.45">
      <c r="A65">
        <v>65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32_Bildgröße</v>
      </c>
      <c r="C65">
        <f t="shared" ca="1" si="11"/>
        <v>1000</v>
      </c>
      <c r="D65" s="3" t="str">
        <f ca="1">VLOOKUP(table_DataQualities[[#This Row],[unit_ID]],table_Units[#All],2)</f>
        <v>bit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38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8645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38</v>
      </c>
      <c r="I65" s="9">
        <f ca="1">IF(VLOOKUP(table_DataQualities[[#This Row],[unit_ID]],table_Units[],5)&gt;0,table_DataQualities[[#This Row],[z_best]],IF(VLOOKUP(table_DataQualities[[#This Row],[unit_ID]],table_Units[],6)=1,table_DataQualities[[#This Row],[z_worst]]))</f>
        <v>8645</v>
      </c>
      <c r="K65">
        <f t="shared" ca="1" si="0"/>
        <v>0.5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1</v>
      </c>
      <c r="O65">
        <f t="shared" ca="1" si="1"/>
        <v>1</v>
      </c>
    </row>
    <row r="66" spans="1:15" x14ac:dyDescent="0.45">
      <c r="A66">
        <v>66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0.92800000000000005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2885.5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0.92800000000000005</v>
      </c>
      <c r="I66" s="9">
        <f ca="1">IF(VLOOKUP(table_DataQualities[[#This Row],[unit_ID]],table_Units[],5)&gt;0,table_DataQualities[[#This Row],[z_best]],IF(VLOOKUP(table_DataQualities[[#This Row],[unit_ID]],table_Units[],6)=1,table_DataQualities[[#This Row],[z_worst]]))</f>
        <v>2885.5</v>
      </c>
      <c r="K66">
        <f t="shared" ca="1" si="0"/>
        <v>0.57999999999999996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1</v>
      </c>
      <c r="O66">
        <f t="shared" ca="1" si="1"/>
        <v>5</v>
      </c>
    </row>
    <row r="67" spans="1:15" x14ac:dyDescent="0.45">
      <c r="A67">
        <v>67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33_Geschwindigkeitsmessgenauigkeit mm/s</v>
      </c>
      <c r="C67">
        <f t="shared" ca="1" si="11"/>
        <v>700</v>
      </c>
      <c r="D67" s="3" t="str">
        <f ca="1">VLOOKUP(table_DataQualities[[#This Row],[unit_ID]],table_Units[#All],2)</f>
        <v>+/- mm/s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67" s="9">
        <f ca="1">IF(VLOOKUP(table_DataQualities[[#This Row],[unit_ID]],table_Units[],5)&gt;0,table_DataQualities[[#This Row],[z_best]],IF(VLOOKUP(table_DataQualities[[#This Row],[unit_ID]],table_Units[],6)=1,table_DataQualities[[#This Row],[z_worst]]))</f>
        <v>8.9</v>
      </c>
      <c r="K67">
        <f t="shared" ca="1" si="0"/>
        <v>0.86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1</v>
      </c>
      <c r="O67">
        <f t="shared" ca="1" si="1"/>
        <v>3</v>
      </c>
    </row>
    <row r="68" spans="1:15" x14ac:dyDescent="0.45">
      <c r="A68">
        <v>68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0.80400000000000005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7995.6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0.80400000000000005</v>
      </c>
      <c r="I68" s="9">
        <f ca="1">IF(VLOOKUP(table_DataQualities[[#This Row],[unit_ID]],table_Units[],5)&gt;0,table_DataQualities[[#This Row],[z_best]],IF(VLOOKUP(table_DataQualities[[#This Row],[unit_ID]],table_Units[],6)=1,table_DataQualities[[#This Row],[z_worst]]))</f>
        <v>7995.6</v>
      </c>
      <c r="K68">
        <f t="shared" ca="1" si="0"/>
        <v>0.69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1</v>
      </c>
      <c r="O68">
        <f t="shared" ca="1" si="1"/>
        <v>1</v>
      </c>
    </row>
    <row r="69" spans="1:15" x14ac:dyDescent="0.45">
      <c r="A69">
        <v>69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34_Temperaturmessgenauigkeit °C</v>
      </c>
      <c r="C69">
        <f ca="1">RANDBETWEEN(5,10)*100</f>
        <v>500</v>
      </c>
      <c r="D69" s="3" t="str">
        <f ca="1">VLOOKUP(table_DataQualities[[#This Row],[unit_ID]],table_Units[#All],2)</f>
        <v>+/- °C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69" s="9">
        <f ca="1">IF(VLOOKUP(table_DataQualities[[#This Row],[unit_ID]],table_Units[],5)&gt;0,table_DataQualities[[#This Row],[z_best]],IF(VLOOKUP(table_DataQualities[[#This Row],[unit_ID]],table_Units[],6)=1,table_DataQualities[[#This Row],[z_worst]]))</f>
        <v>8</v>
      </c>
      <c r="K69">
        <f t="shared" ca="1" si="0"/>
        <v>0.8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1</v>
      </c>
      <c r="O69">
        <f t="shared" ca="1" si="1"/>
        <v>5</v>
      </c>
    </row>
    <row r="70" spans="1:15" x14ac:dyDescent="0.45">
      <c r="A70">
        <v>70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0.14899999999999999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1745.9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0.14899999999999999</v>
      </c>
      <c r="I70" s="9">
        <f ca="1">IF(VLOOKUP(table_DataQualities[[#This Row],[unit_ID]],table_Units[],5)&gt;0,table_DataQualities[[#This Row],[z_best]],IF(VLOOKUP(table_DataQualities[[#This Row],[unit_ID]],table_Units[],6)=1,table_DataQualities[[#This Row],[z_worst]]))</f>
        <v>1745.9</v>
      </c>
      <c r="K70">
        <f t="shared" ca="1" si="0"/>
        <v>0.54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1</v>
      </c>
      <c r="O70">
        <f t="shared" ca="1" si="1"/>
        <v>1</v>
      </c>
    </row>
    <row r="71" spans="1:15" x14ac:dyDescent="0.45">
      <c r="A71">
        <v>71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35_Temperaturmessgenauigkeit °C</v>
      </c>
      <c r="C71">
        <f t="shared" ref="C71:C81" ca="1" si="14">RANDBETWEEN(5,10)*100</f>
        <v>500</v>
      </c>
      <c r="D71" s="3" t="str">
        <f ca="1">VLOOKUP(table_DataQualities[[#This Row],[unit_ID]],table_Units[#All],2)</f>
        <v>+/- °C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71" s="9">
        <f ca="1">IF(VLOOKUP(table_DataQualities[[#This Row],[unit_ID]],table_Units[],5)&gt;0,table_DataQualities[[#This Row],[z_best]],IF(VLOOKUP(table_DataQualities[[#This Row],[unit_ID]],table_Units[],6)=1,table_DataQualities[[#This Row],[z_worst]]))</f>
        <v>1</v>
      </c>
      <c r="K71">
        <f t="shared" ca="1" si="0"/>
        <v>0.68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1</v>
      </c>
      <c r="O71">
        <f t="shared" ca="1" si="1"/>
        <v>1</v>
      </c>
    </row>
    <row r="72" spans="1:15" x14ac:dyDescent="0.45">
      <c r="A72">
        <v>72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0.40899999999999997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7527.6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0.40899999999999997</v>
      </c>
      <c r="I72" s="9">
        <f ca="1">IF(VLOOKUP(table_DataQualities[[#This Row],[unit_ID]],table_Units[],5)&gt;0,table_DataQualities[[#This Row],[z_best]],IF(VLOOKUP(table_DataQualities[[#This Row],[unit_ID]],table_Units[],6)=1,table_DataQualities[[#This Row],[z_worst]]))</f>
        <v>7527.6</v>
      </c>
      <c r="K72">
        <f t="shared" ca="1" si="0"/>
        <v>0.36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1</v>
      </c>
      <c r="O72">
        <f t="shared" ca="1" si="1"/>
        <v>4</v>
      </c>
    </row>
    <row r="73" spans="1:15" x14ac:dyDescent="0.45">
      <c r="A73">
        <v>73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36_Geschwindigkeitsmessgenauigkeit mm/s</v>
      </c>
      <c r="C73">
        <f t="shared" ref="C73" ca="1" si="15">RANDBETWEEN(5,10)*100</f>
        <v>700</v>
      </c>
      <c r="D73" s="3" t="str">
        <f ca="1">VLOOKUP(table_DataQualities[[#This Row],[unit_ID]],table_Units[#All],2)</f>
        <v>+/- mm/s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73" s="9">
        <f ca="1">IF(VLOOKUP(table_DataQualities[[#This Row],[unit_ID]],table_Units[],5)&gt;0,table_DataQualities[[#This Row],[z_best]],IF(VLOOKUP(table_DataQualities[[#This Row],[unit_ID]],table_Units[],6)=1,table_DataQualities[[#This Row],[z_worst]]))</f>
        <v>4.2</v>
      </c>
      <c r="K73">
        <f t="shared" ca="1" si="0"/>
        <v>0.8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1</v>
      </c>
      <c r="O73">
        <f t="shared" ca="1" si="1"/>
        <v>1</v>
      </c>
    </row>
    <row r="74" spans="1:15" x14ac:dyDescent="0.45">
      <c r="A74">
        <v>74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0.69899999999999995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8000.3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0.69899999999999995</v>
      </c>
      <c r="I74" s="9">
        <f ca="1">IF(VLOOKUP(table_DataQualities[[#This Row],[unit_ID]],table_Units[],5)&gt;0,table_DataQualities[[#This Row],[z_best]],IF(VLOOKUP(table_DataQualities[[#This Row],[unit_ID]],table_Units[],6)=1,table_DataQualities[[#This Row],[z_worst]]))</f>
        <v>8000.3</v>
      </c>
      <c r="K74">
        <f t="shared" ca="1" si="0"/>
        <v>0.61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1</v>
      </c>
      <c r="O74">
        <f t="shared" ca="1" si="1"/>
        <v>2</v>
      </c>
    </row>
    <row r="75" spans="1:15" x14ac:dyDescent="0.45">
      <c r="A75">
        <v>75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37_Geschwindigkeitsmessgenauigkeit mm/s</v>
      </c>
      <c r="C75">
        <f t="shared" ca="1" si="14"/>
        <v>700</v>
      </c>
      <c r="D75" s="3" t="str">
        <f ca="1">VLOOKUP(table_DataQualities[[#This Row],[unit_ID]],table_Units[#All],2)</f>
        <v>+/- mm/s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0.87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</v>
      </c>
      <c r="I75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1.1000000000000001</v>
      </c>
      <c r="K75">
        <f t="shared" ca="1" si="0"/>
        <v>0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1</v>
      </c>
      <c r="O75">
        <f t="shared" ca="1" si="1"/>
        <v>4</v>
      </c>
    </row>
    <row r="76" spans="1:15" x14ac:dyDescent="0.45">
      <c r="A76">
        <v>76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0.58199999999999996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3504.3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0.58199999999999996</v>
      </c>
      <c r="I76" s="9">
        <f ca="1">IF(VLOOKUP(table_DataQualities[[#This Row],[unit_ID]],table_Units[],5)&gt;0,table_DataQualities[[#This Row],[z_best]],IF(VLOOKUP(table_DataQualities[[#This Row],[unit_ID]],table_Units[],6)=1,table_DataQualities[[#This Row],[z_worst]]))</f>
        <v>3504.3</v>
      </c>
      <c r="K76">
        <f t="shared" ca="1" si="0"/>
        <v>0.59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1</v>
      </c>
      <c r="O76">
        <f t="shared" ca="1" si="1"/>
        <v>2</v>
      </c>
    </row>
    <row r="77" spans="1:15" x14ac:dyDescent="0.45">
      <c r="A77">
        <v>77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38_Geschwindigkeitsmessgenauigkeit mm/s</v>
      </c>
      <c r="C77">
        <f t="shared" ref="C77" ca="1" si="16">RANDBETWEEN(5,10)*100</f>
        <v>700</v>
      </c>
      <c r="D77" s="3" t="str">
        <f ca="1">VLOOKUP(table_DataQualities[[#This Row],[unit_ID]],table_Units[#All],2)</f>
        <v>+/- mm/s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0.33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</v>
      </c>
      <c r="I77" s="9">
        <f ca="1">IF(VLOOKUP(table_DataQualities[[#This Row],[unit_ID]],table_Units[],5)&gt;0,table_DataQualities[[#This Row],[z_best]],IF(VLOOKUP(table_DataQualities[[#This Row],[unit_ID]],table_Units[],6)=1,table_DataQualities[[#This Row],[z_worst]]))</f>
        <v>3.7</v>
      </c>
      <c r="K77">
        <f t="shared" ref="K77:K140" ca="1" si="17">ROUND(RAND(),2)</f>
        <v>0.38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1</v>
      </c>
      <c r="O77">
        <f t="shared" ref="O77:O140" ca="1" si="18">RANDBETWEEN(1,5)</f>
        <v>3</v>
      </c>
    </row>
    <row r="78" spans="1:15" x14ac:dyDescent="0.45">
      <c r="A78">
        <v>78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0.86099999999999999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5289.7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0.86099999999999999</v>
      </c>
      <c r="I78" s="9">
        <f ca="1">IF(VLOOKUP(table_DataQualities[[#This Row],[unit_ID]],table_Units[],5)&gt;0,table_DataQualities[[#This Row],[z_best]],IF(VLOOKUP(table_DataQualities[[#This Row],[unit_ID]],table_Units[],6)=1,table_DataQualities[[#This Row],[z_worst]]))</f>
        <v>5289.7</v>
      </c>
      <c r="K78">
        <f t="shared" ca="1" si="17"/>
        <v>0.93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1</v>
      </c>
      <c r="O78">
        <f t="shared" ca="1" si="18"/>
        <v>3</v>
      </c>
    </row>
    <row r="79" spans="1:15" x14ac:dyDescent="0.45">
      <c r="A79">
        <v>79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39_Leistungsmessgenauigkeit W</v>
      </c>
      <c r="C79">
        <f t="shared" ca="1" si="14"/>
        <v>600</v>
      </c>
      <c r="D79" s="3" t="str">
        <f ca="1">VLOOKUP(table_DataQualities[[#This Row],[unit_ID]],table_Units[#All],2)</f>
        <v>+/- W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5.08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79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5.08</v>
      </c>
      <c r="K79">
        <f t="shared" ca="1" si="17"/>
        <v>0.05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1</v>
      </c>
      <c r="O79">
        <f t="shared" ca="1" si="18"/>
        <v>1</v>
      </c>
    </row>
    <row r="80" spans="1:15" x14ac:dyDescent="0.45">
      <c r="A80">
        <v>80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0.46100000000000002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4786.7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0.46100000000000002</v>
      </c>
      <c r="I80" s="9">
        <f ca="1">IF(VLOOKUP(table_DataQualities[[#This Row],[unit_ID]],table_Units[],5)&gt;0,table_DataQualities[[#This Row],[z_best]],IF(VLOOKUP(table_DataQualities[[#This Row],[unit_ID]],table_Units[],6)=1,table_DataQualities[[#This Row],[z_worst]]))</f>
        <v>4786.7</v>
      </c>
      <c r="K80">
        <f t="shared" ca="1" si="17"/>
        <v>0.71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1</v>
      </c>
      <c r="O80">
        <f t="shared" ca="1" si="18"/>
        <v>2</v>
      </c>
    </row>
    <row r="81" spans="1:15" x14ac:dyDescent="0.45">
      <c r="A81">
        <v>81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40_Leistungsmessgenauigkeit W</v>
      </c>
      <c r="C81">
        <f t="shared" ca="1" si="14"/>
        <v>600</v>
      </c>
      <c r="D81" s="3" t="str">
        <f ca="1">VLOOKUP(table_DataQualities[[#This Row],[unit_ID]],table_Units[#All],2)</f>
        <v>+/- W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9.2200000000000006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5.0999999999999997E-2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81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9.2200000000000006</v>
      </c>
      <c r="K81">
        <f t="shared" ca="1" si="17"/>
        <v>0.65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1</v>
      </c>
      <c r="O81">
        <f t="shared" ca="1" si="18"/>
        <v>1</v>
      </c>
    </row>
    <row r="82" spans="1:15" x14ac:dyDescent="0.45">
      <c r="A82">
        <v>82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0.84799999999999998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4434.3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0.84799999999999998</v>
      </c>
      <c r="I82" s="9">
        <f ca="1">IF(VLOOKUP(table_DataQualities[[#This Row],[unit_ID]],table_Units[],5)&gt;0,table_DataQualities[[#This Row],[z_best]],IF(VLOOKUP(table_DataQualities[[#This Row],[unit_ID]],table_Units[],6)=1,table_DataQualities[[#This Row],[z_worst]]))</f>
        <v>4434.3</v>
      </c>
      <c r="K82">
        <f t="shared" ca="1" si="17"/>
        <v>0.82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1</v>
      </c>
      <c r="O82">
        <f t="shared" ca="1" si="18"/>
        <v>5</v>
      </c>
    </row>
    <row r="83" spans="1:15" x14ac:dyDescent="0.45">
      <c r="A83">
        <v>83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41_Durchflussmessgenauigkeit cm³/s</v>
      </c>
      <c r="C83">
        <f ca="1">RANDBETWEEN(5,10)*100</f>
        <v>800</v>
      </c>
      <c r="D83" s="3" t="str">
        <f ca="1">VLOOKUP(table_DataQualities[[#This Row],[unit_ID]],table_Units[#All],2)</f>
        <v>+/- cm³/s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0.47299999999999998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9.2999999999999992E-3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9.2999999999999992E-3</v>
      </c>
      <c r="I83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0.47299999999999998</v>
      </c>
      <c r="K83">
        <f t="shared" ca="1" si="17"/>
        <v>0.4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1</v>
      </c>
      <c r="O83">
        <f t="shared" ca="1" si="18"/>
        <v>2</v>
      </c>
    </row>
    <row r="84" spans="1:15" x14ac:dyDescent="0.45">
      <c r="A84">
        <v>84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0.623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9580.2000000000007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0.623</v>
      </c>
      <c r="I84" s="9">
        <f ca="1">IF(VLOOKUP(table_DataQualities[[#This Row],[unit_ID]],table_Units[],5)&gt;0,table_DataQualities[[#This Row],[z_best]],IF(VLOOKUP(table_DataQualities[[#This Row],[unit_ID]],table_Units[],6)=1,table_DataQualities[[#This Row],[z_worst]]))</f>
        <v>9580.2000000000007</v>
      </c>
      <c r="K84">
        <f t="shared" ca="1" si="17"/>
        <v>0.83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1</v>
      </c>
      <c r="O84">
        <f t="shared" ca="1" si="18"/>
        <v>1</v>
      </c>
    </row>
    <row r="85" spans="1:15" x14ac:dyDescent="0.45">
      <c r="A85">
        <v>85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42_Leistungsmessgenauigkeit W</v>
      </c>
      <c r="C85">
        <f t="shared" ref="C85:C95" ca="1" si="19">RANDBETWEEN(5,10)*100</f>
        <v>600</v>
      </c>
      <c r="D85" s="3" t="str">
        <f ca="1">VLOOKUP(table_DataQualities[[#This Row],[unit_ID]],table_Units[#All],2)</f>
        <v>+/- W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1.51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3.3000000000000002E-2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85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1.51</v>
      </c>
      <c r="K85">
        <f t="shared" ca="1" si="17"/>
        <v>0.7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1</v>
      </c>
      <c r="O85">
        <f t="shared" ca="1" si="18"/>
        <v>3</v>
      </c>
    </row>
    <row r="86" spans="1:15" x14ac:dyDescent="0.45">
      <c r="A86">
        <v>86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0.59599999999999997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5927.6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0.59599999999999997</v>
      </c>
      <c r="I86" s="9">
        <f ca="1">IF(VLOOKUP(table_DataQualities[[#This Row],[unit_ID]],table_Units[],5)&gt;0,table_DataQualities[[#This Row],[z_best]],IF(VLOOKUP(table_DataQualities[[#This Row],[unit_ID]],table_Units[],6)=1,table_DataQualities[[#This Row],[z_worst]]))</f>
        <v>5927.6</v>
      </c>
      <c r="K86">
        <f t="shared" ca="1" si="17"/>
        <v>0.84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1</v>
      </c>
      <c r="O86">
        <f t="shared" ca="1" si="18"/>
        <v>4</v>
      </c>
    </row>
    <row r="87" spans="1:15" x14ac:dyDescent="0.45">
      <c r="A87">
        <v>87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43_Längenmessgenauigkeit mm</v>
      </c>
      <c r="C87">
        <f t="shared" ref="C87" ca="1" si="20">RANDBETWEEN(5,10)*100</f>
        <v>900</v>
      </c>
      <c r="D87" s="3" t="str">
        <f ca="1">VLOOKUP(table_DataQualities[[#This Row],[unit_ID]],table_Units[#All],2)</f>
        <v>+/- mm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9.0399999999999991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2.3E-2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2.3E-2</v>
      </c>
      <c r="I87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9.0399999999999991</v>
      </c>
      <c r="K87">
        <f t="shared" ca="1" si="17"/>
        <v>0.09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1</v>
      </c>
      <c r="O87">
        <f t="shared" ca="1" si="18"/>
        <v>2</v>
      </c>
    </row>
    <row r="88" spans="1:15" x14ac:dyDescent="0.45">
      <c r="A88">
        <v>88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0.55700000000000005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136.80000000000001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0.55700000000000005</v>
      </c>
      <c r="I88" s="9">
        <f ca="1">IF(VLOOKUP(table_DataQualities[[#This Row],[unit_ID]],table_Units[],5)&gt;0,table_DataQualities[[#This Row],[z_best]],IF(VLOOKUP(table_DataQualities[[#This Row],[unit_ID]],table_Units[],6)=1,table_DataQualities[[#This Row],[z_worst]]))</f>
        <v>136.80000000000001</v>
      </c>
      <c r="K88">
        <f t="shared" ca="1" si="17"/>
        <v>0.19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1</v>
      </c>
      <c r="O88">
        <f t="shared" ca="1" si="18"/>
        <v>5</v>
      </c>
    </row>
    <row r="89" spans="1:15" x14ac:dyDescent="0.45">
      <c r="A89">
        <v>89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44_Temperaturmessgenauigkeit °C</v>
      </c>
      <c r="C89">
        <f t="shared" ca="1" si="19"/>
        <v>500</v>
      </c>
      <c r="D89" s="3" t="str">
        <f ca="1">VLOOKUP(table_DataQualities[[#This Row],[unit_ID]],table_Units[#All],2)</f>
        <v>+/- °C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89" s="9">
        <f ca="1">IF(VLOOKUP(table_DataQualities[[#This Row],[unit_ID]],table_Units[],5)&gt;0,table_DataQualities[[#This Row],[z_best]],IF(VLOOKUP(table_DataQualities[[#This Row],[unit_ID]],table_Units[],6)=1,table_DataQualities[[#This Row],[z_worst]]))</f>
        <v>3</v>
      </c>
      <c r="K89">
        <f t="shared" ca="1" si="17"/>
        <v>0.53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1</v>
      </c>
      <c r="O89">
        <f t="shared" ca="1" si="18"/>
        <v>5</v>
      </c>
    </row>
    <row r="90" spans="1:15" x14ac:dyDescent="0.45">
      <c r="A90">
        <v>90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0.376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7778.4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0.376</v>
      </c>
      <c r="I90" s="9">
        <f ca="1">IF(VLOOKUP(table_DataQualities[[#This Row],[unit_ID]],table_Units[],5)&gt;0,table_DataQualities[[#This Row],[z_best]],IF(VLOOKUP(table_DataQualities[[#This Row],[unit_ID]],table_Units[],6)=1,table_DataQualities[[#This Row],[z_worst]]))</f>
        <v>7778.4</v>
      </c>
      <c r="K90">
        <f t="shared" ca="1" si="17"/>
        <v>0.15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1</v>
      </c>
      <c r="O90">
        <f t="shared" ca="1" si="18"/>
        <v>5</v>
      </c>
    </row>
    <row r="91" spans="1:15" x14ac:dyDescent="0.45">
      <c r="A91">
        <v>91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45_Leistungsmessgenauigkeit W</v>
      </c>
      <c r="C91">
        <f t="shared" ref="C91" ca="1" si="21">RANDBETWEEN(5,10)*100</f>
        <v>600</v>
      </c>
      <c r="D91" s="3" t="str">
        <f ca="1">VLOOKUP(table_DataQualities[[#This Row],[unit_ID]],table_Units[#All],2)</f>
        <v>+/- W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6.89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5.6000000000000001E-2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91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6.89</v>
      </c>
      <c r="K91">
        <f t="shared" ca="1" si="17"/>
        <v>0.02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1</v>
      </c>
      <c r="O91">
        <f t="shared" ca="1" si="18"/>
        <v>4</v>
      </c>
    </row>
    <row r="92" spans="1:15" x14ac:dyDescent="0.45">
      <c r="A92">
        <v>92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0.36399999999999999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3814.2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0.36399999999999999</v>
      </c>
      <c r="I92" s="9">
        <f ca="1">IF(VLOOKUP(table_DataQualities[[#This Row],[unit_ID]],table_Units[],5)&gt;0,table_DataQualities[[#This Row],[z_best]],IF(VLOOKUP(table_DataQualities[[#This Row],[unit_ID]],table_Units[],6)=1,table_DataQualities[[#This Row],[z_worst]]))</f>
        <v>3814.2</v>
      </c>
      <c r="K92">
        <f t="shared" ca="1" si="17"/>
        <v>0.34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1</v>
      </c>
      <c r="O92">
        <f t="shared" ca="1" si="18"/>
        <v>1</v>
      </c>
    </row>
    <row r="93" spans="1:15" x14ac:dyDescent="0.45">
      <c r="A93">
        <v>93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46_Durchflussmessgenauigkeit cm³/s</v>
      </c>
      <c r="C93">
        <f t="shared" ca="1" si="19"/>
        <v>800</v>
      </c>
      <c r="D93" s="3" t="str">
        <f ca="1">VLOOKUP(table_DataQualities[[#This Row],[unit_ID]],table_Units[#All],2)</f>
        <v>+/- cm³/s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5.5E-2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1.9E-3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1.9E-3</v>
      </c>
      <c r="I93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5.5E-2</v>
      </c>
      <c r="K93">
        <f t="shared" ca="1" si="17"/>
        <v>0.76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1</v>
      </c>
      <c r="O93">
        <f t="shared" ca="1" si="18"/>
        <v>2</v>
      </c>
    </row>
    <row r="94" spans="1:15" x14ac:dyDescent="0.45">
      <c r="A94">
        <v>94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0.19400000000000001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6288.1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0.19400000000000001</v>
      </c>
      <c r="I94" s="9">
        <f ca="1">IF(VLOOKUP(table_DataQualities[[#This Row],[unit_ID]],table_Units[],5)&gt;0,table_DataQualities[[#This Row],[z_best]],IF(VLOOKUP(table_DataQualities[[#This Row],[unit_ID]],table_Units[],6)=1,table_DataQualities[[#This Row],[z_worst]]))</f>
        <v>6288.1</v>
      </c>
      <c r="K94">
        <f t="shared" ca="1" si="17"/>
        <v>0.54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1</v>
      </c>
      <c r="O94">
        <f t="shared" ca="1" si="18"/>
        <v>3</v>
      </c>
    </row>
    <row r="95" spans="1:15" x14ac:dyDescent="0.45">
      <c r="A95">
        <v>95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47_Leistungsmessgenauigkeit W</v>
      </c>
      <c r="C95">
        <f t="shared" ca="1" si="19"/>
        <v>600</v>
      </c>
      <c r="D95" s="3" t="str">
        <f ca="1">VLOOKUP(table_DataQualities[[#This Row],[unit_ID]],table_Units[#All],2)</f>
        <v>+/- W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2.0699999999999998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2.8000000000000001E-2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95" s="9">
        <f ca="1">IF(VLOOKUP(table_DataQualities[[#This Row],[unit_ID]],table_Units[],5)&gt;0,table_DataQualities[[#This Row],[z_best]],IF(VLOOKUP(table_DataQualities[[#This Row],[unit_ID]],table_Units[],6)=1,table_DataQualities[[#This Row],[z_worst]]))</f>
        <v>2.0699999999999998</v>
      </c>
      <c r="K95">
        <f t="shared" ca="1" si="17"/>
        <v>0.55000000000000004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1</v>
      </c>
      <c r="O95">
        <f t="shared" ca="1" si="18"/>
        <v>4</v>
      </c>
    </row>
    <row r="96" spans="1:15" x14ac:dyDescent="0.45">
      <c r="A96">
        <v>96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0.154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3564.2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0.154</v>
      </c>
      <c r="I96" s="9">
        <f ca="1">IF(VLOOKUP(table_DataQualities[[#This Row],[unit_ID]],table_Units[],5)&gt;0,table_DataQualities[[#This Row],[z_best]],IF(VLOOKUP(table_DataQualities[[#This Row],[unit_ID]],table_Units[],6)=1,table_DataQualities[[#This Row],[z_worst]]))</f>
        <v>3564.2</v>
      </c>
      <c r="K96">
        <f t="shared" ca="1" si="17"/>
        <v>0.69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1</v>
      </c>
      <c r="O96">
        <f t="shared" ca="1" si="18"/>
        <v>4</v>
      </c>
    </row>
    <row r="97" spans="1:15" x14ac:dyDescent="0.45">
      <c r="A97">
        <v>97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48_Bildgröße</v>
      </c>
      <c r="C97">
        <f ca="1">RANDBETWEEN(5,10)*100</f>
        <v>1000</v>
      </c>
      <c r="D97" s="3" t="str">
        <f ca="1">VLOOKUP(table_DataQualities[[#This Row],[unit_ID]],table_Units[#All],2)</f>
        <v>bit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5919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</v>
      </c>
      <c r="I97" s="9">
        <f ca="1">IF(VLOOKUP(table_DataQualities[[#This Row],[unit_ID]],table_Units[],5)&gt;0,table_DataQualities[[#This Row],[z_best]],IF(VLOOKUP(table_DataQualities[[#This Row],[unit_ID]],table_Units[],6)=1,table_DataQualities[[#This Row],[z_worst]]))</f>
        <v>5919</v>
      </c>
      <c r="K97">
        <f t="shared" ca="1" si="17"/>
        <v>0.24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1</v>
      </c>
      <c r="O97">
        <f t="shared" ca="1" si="18"/>
        <v>3</v>
      </c>
    </row>
    <row r="98" spans="1:15" x14ac:dyDescent="0.45">
      <c r="A98">
        <v>98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0.33700000000000002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1103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0.33700000000000002</v>
      </c>
      <c r="I98" s="9">
        <f ca="1">IF(VLOOKUP(table_DataQualities[[#This Row],[unit_ID]],table_Units[],5)&gt;0,table_DataQualities[[#This Row],[z_best]],IF(VLOOKUP(table_DataQualities[[#This Row],[unit_ID]],table_Units[],6)=1,table_DataQualities[[#This Row],[z_worst]]))</f>
        <v>1103</v>
      </c>
      <c r="K98">
        <f t="shared" ca="1" si="17"/>
        <v>0.11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1</v>
      </c>
      <c r="O98">
        <f t="shared" ca="1" si="18"/>
        <v>4</v>
      </c>
    </row>
    <row r="99" spans="1:15" x14ac:dyDescent="0.45">
      <c r="A99">
        <v>99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49_Leistungsmessgenauigkeit W</v>
      </c>
      <c r="C99">
        <f t="shared" ref="C99:C109" ca="1" si="22">RANDBETWEEN(5,10)*100</f>
        <v>600</v>
      </c>
      <c r="D99" s="3" t="str">
        <f ca="1">VLOOKUP(table_DataQualities[[#This Row],[unit_ID]],table_Units[#All],2)</f>
        <v>+/- W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9.48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3.1E-2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99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9.48</v>
      </c>
      <c r="K99">
        <f t="shared" ca="1" si="17"/>
        <v>0.25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1</v>
      </c>
      <c r="O99">
        <f t="shared" ca="1" si="18"/>
        <v>5</v>
      </c>
    </row>
    <row r="100" spans="1:15" x14ac:dyDescent="0.45">
      <c r="A100">
        <v>100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0.50600000000000001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2606.8000000000002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0.50600000000000001</v>
      </c>
      <c r="I100" s="9">
        <f ca="1">IF(VLOOKUP(table_DataQualities[[#This Row],[unit_ID]],table_Units[],5)&gt;0,table_DataQualities[[#This Row],[z_best]],IF(VLOOKUP(table_DataQualities[[#This Row],[unit_ID]],table_Units[],6)=1,table_DataQualities[[#This Row],[z_worst]]))</f>
        <v>2606.8000000000002</v>
      </c>
      <c r="K100">
        <f t="shared" ca="1" si="17"/>
        <v>0.11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1</v>
      </c>
      <c r="O100">
        <f t="shared" ca="1" si="18"/>
        <v>2</v>
      </c>
    </row>
    <row r="101" spans="1:15" x14ac:dyDescent="0.45">
      <c r="A101">
        <v>101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50_Bildgröße</v>
      </c>
      <c r="C101">
        <f t="shared" ref="C101" ca="1" si="23">RANDBETWEEN(5,10)*100</f>
        <v>1000</v>
      </c>
      <c r="D101" s="3" t="str">
        <f ca="1">VLOOKUP(table_DataQualities[[#This Row],[unit_ID]],table_Units[#All],2)</f>
        <v>bit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48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8372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48</v>
      </c>
      <c r="I101" s="9">
        <f ca="1">IF(VLOOKUP(table_DataQualities[[#This Row],[unit_ID]],table_Units[],5)&gt;0,table_DataQualities[[#This Row],[z_best]],IF(VLOOKUP(table_DataQualities[[#This Row],[unit_ID]],table_Units[],6)=1,table_DataQualities[[#This Row],[z_worst]]))</f>
        <v>8372</v>
      </c>
      <c r="K101">
        <f t="shared" ca="1" si="17"/>
        <v>0.68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1</v>
      </c>
      <c r="O101">
        <f t="shared" ca="1" si="18"/>
        <v>1</v>
      </c>
    </row>
    <row r="102" spans="1:15" x14ac:dyDescent="0.45">
      <c r="A102">
        <v>102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0.623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5418.9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0.623</v>
      </c>
      <c r="I102" s="9">
        <f ca="1">IF(VLOOKUP(table_DataQualities[[#This Row],[unit_ID]],table_Units[],5)&gt;0,table_DataQualities[[#This Row],[z_best]],IF(VLOOKUP(table_DataQualities[[#This Row],[unit_ID]],table_Units[],6)=1,table_DataQualities[[#This Row],[z_worst]]))</f>
        <v>5418.9</v>
      </c>
      <c r="K102">
        <f t="shared" ca="1" si="17"/>
        <v>0.95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1</v>
      </c>
      <c r="O102">
        <f t="shared" ca="1" si="18"/>
        <v>4</v>
      </c>
    </row>
    <row r="103" spans="1:15" x14ac:dyDescent="0.45">
      <c r="A103">
        <v>103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51_Temperaturmessgenauigkeit °C</v>
      </c>
      <c r="C103">
        <f t="shared" ca="1" si="22"/>
        <v>500</v>
      </c>
      <c r="D103" s="3" t="str">
        <f ca="1">VLOOKUP(table_DataQualities[[#This Row],[unit_ID]],table_Units[#All],2)</f>
        <v>+/- °C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03" s="9">
        <f ca="1">IF(VLOOKUP(table_DataQualities[[#This Row],[unit_ID]],table_Units[],5)&gt;0,table_DataQualities[[#This Row],[z_best]],IF(VLOOKUP(table_DataQualities[[#This Row],[unit_ID]],table_Units[],6)=1,table_DataQualities[[#This Row],[z_worst]]))</f>
        <v>10</v>
      </c>
      <c r="K103">
        <f t="shared" ca="1" si="17"/>
        <v>0.94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1</v>
      </c>
      <c r="O103">
        <f t="shared" ca="1" si="18"/>
        <v>3</v>
      </c>
    </row>
    <row r="104" spans="1:15" x14ac:dyDescent="0.45">
      <c r="A104">
        <v>104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0.63500000000000001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3181.3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0.63500000000000001</v>
      </c>
      <c r="I104" s="9">
        <f ca="1">IF(VLOOKUP(table_DataQualities[[#This Row],[unit_ID]],table_Units[],5)&gt;0,table_DataQualities[[#This Row],[z_best]],IF(VLOOKUP(table_DataQualities[[#This Row],[unit_ID]],table_Units[],6)=1,table_DataQualities[[#This Row],[z_worst]]))</f>
        <v>3181.3</v>
      </c>
      <c r="K104">
        <f t="shared" ca="1" si="17"/>
        <v>0.61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1</v>
      </c>
      <c r="O104">
        <f t="shared" ca="1" si="18"/>
        <v>2</v>
      </c>
    </row>
    <row r="105" spans="1:15" x14ac:dyDescent="0.45">
      <c r="A105">
        <v>105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52_Leistungsmessgenauigkeit W</v>
      </c>
      <c r="C105">
        <f t="shared" ref="C105" ca="1" si="24">RANDBETWEEN(5,10)*100</f>
        <v>600</v>
      </c>
      <c r="D105" s="3" t="str">
        <f ca="1">VLOOKUP(table_DataQualities[[#This Row],[unit_ID]],table_Units[#All],2)</f>
        <v>+/- W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6.68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105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6.68</v>
      </c>
      <c r="K105">
        <f t="shared" ca="1" si="17"/>
        <v>0.84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1</v>
      </c>
      <c r="O105">
        <f t="shared" ca="1" si="18"/>
        <v>5</v>
      </c>
    </row>
    <row r="106" spans="1:15" x14ac:dyDescent="0.45">
      <c r="A106">
        <v>106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0.68300000000000005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8870.7000000000007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0.68300000000000005</v>
      </c>
      <c r="I106" s="9">
        <f ca="1">IF(VLOOKUP(table_DataQualities[[#This Row],[unit_ID]],table_Units[],5)&gt;0,table_DataQualities[[#This Row],[z_best]],IF(VLOOKUP(table_DataQualities[[#This Row],[unit_ID]],table_Units[],6)=1,table_DataQualities[[#This Row],[z_worst]]))</f>
        <v>8870.7000000000007</v>
      </c>
      <c r="K106">
        <f t="shared" ca="1" si="17"/>
        <v>0.1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1</v>
      </c>
      <c r="O106">
        <f t="shared" ca="1" si="18"/>
        <v>5</v>
      </c>
    </row>
    <row r="107" spans="1:15" x14ac:dyDescent="0.45">
      <c r="A107">
        <v>107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53_Temperaturmessgenauigkeit °C</v>
      </c>
      <c r="C107">
        <f t="shared" ca="1" si="22"/>
        <v>500</v>
      </c>
      <c r="D107" s="3" t="str">
        <f ca="1">VLOOKUP(table_DataQualities[[#This Row],[unit_ID]],table_Units[#All],2)</f>
        <v>+/- °C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07" s="9">
        <f ca="1">IF(VLOOKUP(table_DataQualities[[#This Row],[unit_ID]],table_Units[],5)&gt;0,table_DataQualities[[#This Row],[z_best]],IF(VLOOKUP(table_DataQualities[[#This Row],[unit_ID]],table_Units[],6)=1,table_DataQualities[[#This Row],[z_worst]]))</f>
        <v>6</v>
      </c>
      <c r="K107">
        <f t="shared" ca="1" si="17"/>
        <v>0.73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1</v>
      </c>
      <c r="O107">
        <f t="shared" ca="1" si="18"/>
        <v>4</v>
      </c>
    </row>
    <row r="108" spans="1:15" x14ac:dyDescent="0.45">
      <c r="A108">
        <v>108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0.501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3477.5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0.501</v>
      </c>
      <c r="I108" s="9">
        <f ca="1">IF(VLOOKUP(table_DataQualities[[#This Row],[unit_ID]],table_Units[],5)&gt;0,table_DataQualities[[#This Row],[z_best]],IF(VLOOKUP(table_DataQualities[[#This Row],[unit_ID]],table_Units[],6)=1,table_DataQualities[[#This Row],[z_worst]]))</f>
        <v>3477.5</v>
      </c>
      <c r="K108">
        <f t="shared" ca="1" si="17"/>
        <v>0.14000000000000001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1</v>
      </c>
      <c r="O108">
        <f t="shared" ca="1" si="18"/>
        <v>1</v>
      </c>
    </row>
    <row r="109" spans="1:15" x14ac:dyDescent="0.45">
      <c r="A109">
        <v>109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54_Längenmessgenauigkeit mm</v>
      </c>
      <c r="C109">
        <f t="shared" ca="1" si="22"/>
        <v>900</v>
      </c>
      <c r="D109" s="3" t="str">
        <f ca="1">VLOOKUP(table_DataQualities[[#This Row],[unit_ID]],table_Units[#All],2)</f>
        <v>+/- mm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9.0500000000000007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109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9.0500000000000007</v>
      </c>
      <c r="K109">
        <f t="shared" ca="1" si="17"/>
        <v>0.9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1</v>
      </c>
      <c r="O109">
        <f t="shared" ca="1" si="18"/>
        <v>1</v>
      </c>
    </row>
    <row r="110" spans="1:15" x14ac:dyDescent="0.45">
      <c r="A110">
        <v>110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0.19900000000000001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6586.9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0.19900000000000001</v>
      </c>
      <c r="I110" s="9">
        <f ca="1">IF(VLOOKUP(table_DataQualities[[#This Row],[unit_ID]],table_Units[],5)&gt;0,table_DataQualities[[#This Row],[z_best]],IF(VLOOKUP(table_DataQualities[[#This Row],[unit_ID]],table_Units[],6)=1,table_DataQualities[[#This Row],[z_worst]]))</f>
        <v>6586.9</v>
      </c>
      <c r="K110">
        <f t="shared" ca="1" si="17"/>
        <v>0.72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1</v>
      </c>
      <c r="O110">
        <f t="shared" ca="1" si="18"/>
        <v>1</v>
      </c>
    </row>
    <row r="111" spans="1:15" x14ac:dyDescent="0.45">
      <c r="A111">
        <v>111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55_Längenmessgenauigkeit mm</v>
      </c>
      <c r="C111">
        <f ca="1">RANDBETWEEN(5,10)*100</f>
        <v>900</v>
      </c>
      <c r="D111" s="3" t="str">
        <f ca="1">VLOOKUP(table_DataQualities[[#This Row],[unit_ID]],table_Units[#All],2)</f>
        <v>+/- mm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7.31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11" s="9">
        <f ca="1">IF(VLOOKUP(table_DataQualities[[#This Row],[unit_ID]],table_Units[],5)&gt;0,table_DataQualities[[#This Row],[z_best]],IF(VLOOKUP(table_DataQualities[[#This Row],[unit_ID]],table_Units[],6)=1,table_DataQualities[[#This Row],[z_worst]]))</f>
        <v>7.31</v>
      </c>
      <c r="K111">
        <f t="shared" ca="1" si="17"/>
        <v>0.99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1</v>
      </c>
      <c r="O111">
        <f t="shared" ca="1" si="18"/>
        <v>5</v>
      </c>
    </row>
    <row r="112" spans="1:15" x14ac:dyDescent="0.45">
      <c r="A112">
        <v>112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0.60099999999999998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4163.7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0.60099999999999998</v>
      </c>
      <c r="I112" s="9">
        <f ca="1">IF(VLOOKUP(table_DataQualities[[#This Row],[unit_ID]],table_Units[],5)&gt;0,table_DataQualities[[#This Row],[z_best]],IF(VLOOKUP(table_DataQualities[[#This Row],[unit_ID]],table_Units[],6)=1,table_DataQualities[[#This Row],[z_worst]]))</f>
        <v>4163.7</v>
      </c>
      <c r="K112">
        <f t="shared" ca="1" si="17"/>
        <v>0.89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1</v>
      </c>
      <c r="O112">
        <f t="shared" ca="1" si="18"/>
        <v>3</v>
      </c>
    </row>
    <row r="113" spans="1:15" x14ac:dyDescent="0.45">
      <c r="A113">
        <v>113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56_Leistungsmessgenauigkeit W</v>
      </c>
      <c r="C113">
        <f t="shared" ref="C113:C123" ca="1" si="25">RANDBETWEEN(5,10)*100</f>
        <v>600</v>
      </c>
      <c r="D113" s="3" t="str">
        <f ca="1">VLOOKUP(table_DataQualities[[#This Row],[unit_ID]],table_Units[#All],2)</f>
        <v>+/- W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8.7999999999999995E-2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113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0.1</v>
      </c>
      <c r="K113">
        <f t="shared" ca="1" si="17"/>
        <v>0.32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1</v>
      </c>
      <c r="O113">
        <f t="shared" ca="1" si="18"/>
        <v>1</v>
      </c>
    </row>
    <row r="114" spans="1:15" x14ac:dyDescent="0.45">
      <c r="A114">
        <v>114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0.89400000000000002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7900.8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0.89400000000000002</v>
      </c>
      <c r="I114" s="9">
        <f ca="1">IF(VLOOKUP(table_DataQualities[[#This Row],[unit_ID]],table_Units[],5)&gt;0,table_DataQualities[[#This Row],[z_best]],IF(VLOOKUP(table_DataQualities[[#This Row],[unit_ID]],table_Units[],6)=1,table_DataQualities[[#This Row],[z_worst]]))</f>
        <v>7900.8</v>
      </c>
      <c r="K114">
        <f t="shared" ca="1" si="17"/>
        <v>0.57999999999999996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1</v>
      </c>
      <c r="O114">
        <f t="shared" ca="1" si="18"/>
        <v>4</v>
      </c>
    </row>
    <row r="115" spans="1:15" x14ac:dyDescent="0.45">
      <c r="A115">
        <v>115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57_Temperaturmessgenauigkeit °C</v>
      </c>
      <c r="C115">
        <f t="shared" ref="C115" ca="1" si="26">RANDBETWEEN(5,10)*100</f>
        <v>500</v>
      </c>
      <c r="D115" s="3" t="str">
        <f ca="1">VLOOKUP(table_DataQualities[[#This Row],[unit_ID]],table_Units[#All],2)</f>
        <v>+/- °C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15" s="9">
        <f ca="1">IF(VLOOKUP(table_DataQualities[[#This Row],[unit_ID]],table_Units[],5)&gt;0,table_DataQualities[[#This Row],[z_best]],IF(VLOOKUP(table_DataQualities[[#This Row],[unit_ID]],table_Units[],6)=1,table_DataQualities[[#This Row],[z_worst]]))</f>
        <v>3</v>
      </c>
      <c r="K115">
        <f t="shared" ca="1" si="17"/>
        <v>0.16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1</v>
      </c>
      <c r="O115">
        <f t="shared" ca="1" si="18"/>
        <v>3</v>
      </c>
    </row>
    <row r="116" spans="1:15" x14ac:dyDescent="0.45">
      <c r="A116">
        <v>116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1.4999999999999999E-2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3928.7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116" s="9">
        <f ca="1">IF(VLOOKUP(table_DataQualities[[#This Row],[unit_ID]],table_Units[],5)&gt;0,table_DataQualities[[#This Row],[z_best]],IF(VLOOKUP(table_DataQualities[[#This Row],[unit_ID]],table_Units[],6)=1,table_DataQualities[[#This Row],[z_worst]]))</f>
        <v>3928.7</v>
      </c>
      <c r="K116">
        <f t="shared" ca="1" si="17"/>
        <v>0.97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1</v>
      </c>
      <c r="O116">
        <f t="shared" ca="1" si="18"/>
        <v>5</v>
      </c>
    </row>
    <row r="117" spans="1:15" x14ac:dyDescent="0.45">
      <c r="A117">
        <v>117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58_Geschwindigkeitsmessgenauigkeit mm/s</v>
      </c>
      <c r="C117">
        <f t="shared" ca="1" si="25"/>
        <v>700</v>
      </c>
      <c r="D117" s="3" t="str">
        <f ca="1">VLOOKUP(table_DataQualities[[#This Row],[unit_ID]],table_Units[#All],2)</f>
        <v>+/- mm/s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0.56000000000000005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0.56000000000000005</v>
      </c>
      <c r="I117" s="9">
        <f ca="1">IF(VLOOKUP(table_DataQualities[[#This Row],[unit_ID]],table_Units[],5)&gt;0,table_DataQualities[[#This Row],[z_best]],IF(VLOOKUP(table_DataQualities[[#This Row],[unit_ID]],table_Units[],6)=1,table_DataQualities[[#This Row],[z_worst]]))</f>
        <v>3.9</v>
      </c>
      <c r="K117">
        <f t="shared" ca="1" si="17"/>
        <v>7.0000000000000007E-2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1</v>
      </c>
      <c r="O117">
        <f t="shared" ca="1" si="18"/>
        <v>3</v>
      </c>
    </row>
    <row r="118" spans="1:15" x14ac:dyDescent="0.45">
      <c r="A118">
        <v>118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0.91600000000000004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7642.8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0.91600000000000004</v>
      </c>
      <c r="I118" s="9">
        <f ca="1">IF(VLOOKUP(table_DataQualities[[#This Row],[unit_ID]],table_Units[],5)&gt;0,table_DataQualities[[#This Row],[z_best]],IF(VLOOKUP(table_DataQualities[[#This Row],[unit_ID]],table_Units[],6)=1,table_DataQualities[[#This Row],[z_worst]]))</f>
        <v>7642.8</v>
      </c>
      <c r="K118">
        <f t="shared" ca="1" si="17"/>
        <v>0.49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1</v>
      </c>
      <c r="O118">
        <f t="shared" ca="1" si="18"/>
        <v>4</v>
      </c>
    </row>
    <row r="119" spans="1:15" x14ac:dyDescent="0.45">
      <c r="A119">
        <v>119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59_Bildgröße</v>
      </c>
      <c r="C119">
        <f t="shared" ref="C119" ca="1" si="27">RANDBETWEEN(5,10)*100</f>
        <v>1000</v>
      </c>
      <c r="D119" s="3" t="str">
        <f ca="1">VLOOKUP(table_DataQualities[[#This Row],[unit_ID]],table_Units[#All],2)</f>
        <v>bit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81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6570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81</v>
      </c>
      <c r="I119" s="9">
        <f ca="1">IF(VLOOKUP(table_DataQualities[[#This Row],[unit_ID]],table_Units[],5)&gt;0,table_DataQualities[[#This Row],[z_best]],IF(VLOOKUP(table_DataQualities[[#This Row],[unit_ID]],table_Units[],6)=1,table_DataQualities[[#This Row],[z_worst]]))</f>
        <v>6570</v>
      </c>
      <c r="K119">
        <f t="shared" ca="1" si="17"/>
        <v>0.72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1</v>
      </c>
      <c r="O119">
        <f t="shared" ca="1" si="18"/>
        <v>3</v>
      </c>
    </row>
    <row r="120" spans="1:15" x14ac:dyDescent="0.45">
      <c r="A120">
        <v>120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0.88200000000000001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9730.7999999999993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0.88200000000000001</v>
      </c>
      <c r="I120" s="9">
        <f ca="1">IF(VLOOKUP(table_DataQualities[[#This Row],[unit_ID]],table_Units[],5)&gt;0,table_DataQualities[[#This Row],[z_best]],IF(VLOOKUP(table_DataQualities[[#This Row],[unit_ID]],table_Units[],6)=1,table_DataQualities[[#This Row],[z_worst]]))</f>
        <v>9730.7999999999993</v>
      </c>
      <c r="K120">
        <f t="shared" ca="1" si="17"/>
        <v>0.12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1</v>
      </c>
      <c r="O120">
        <f t="shared" ca="1" si="18"/>
        <v>2</v>
      </c>
    </row>
    <row r="121" spans="1:15" x14ac:dyDescent="0.45">
      <c r="A121">
        <v>121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60_Längenmessgenauigkeit mm</v>
      </c>
      <c r="C121">
        <f t="shared" ca="1" si="25"/>
        <v>900</v>
      </c>
      <c r="D121" s="3" t="str">
        <f ca="1">VLOOKUP(table_DataQualities[[#This Row],[unit_ID]],table_Units[#All],2)</f>
        <v>+/- mm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1.86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121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1.86</v>
      </c>
      <c r="K121">
        <f t="shared" ca="1" si="17"/>
        <v>0.57999999999999996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1</v>
      </c>
      <c r="O121">
        <f t="shared" ca="1" si="18"/>
        <v>1</v>
      </c>
    </row>
    <row r="122" spans="1:15" x14ac:dyDescent="0.45">
      <c r="A122">
        <v>122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0.82499999999999996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2814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0.82499999999999996</v>
      </c>
      <c r="I122" s="9">
        <f ca="1">IF(VLOOKUP(table_DataQualities[[#This Row],[unit_ID]],table_Units[],5)&gt;0,table_DataQualities[[#This Row],[z_best]],IF(VLOOKUP(table_DataQualities[[#This Row],[unit_ID]],table_Units[],6)=1,table_DataQualities[[#This Row],[z_worst]]))</f>
        <v>2814</v>
      </c>
      <c r="K122">
        <f t="shared" ca="1" si="17"/>
        <v>0.48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1</v>
      </c>
      <c r="O122">
        <f t="shared" ca="1" si="18"/>
        <v>4</v>
      </c>
    </row>
    <row r="123" spans="1:15" x14ac:dyDescent="0.45">
      <c r="A123">
        <v>123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61_Durchflussmessgenauigkeit cm³/s</v>
      </c>
      <c r="C123">
        <f t="shared" ca="1" si="25"/>
        <v>800</v>
      </c>
      <c r="D123" s="3" t="str">
        <f ca="1">VLOOKUP(table_DataQualities[[#This Row],[unit_ID]],table_Units[#All],2)</f>
        <v>+/- cm³/s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0.14599999999999999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2.5000000000000001E-3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2.5000000000000001E-3</v>
      </c>
      <c r="I123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0.14599999999999999</v>
      </c>
      <c r="K123">
        <f t="shared" ca="1" si="17"/>
        <v>0.71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1</v>
      </c>
      <c r="O123">
        <f t="shared" ca="1" si="18"/>
        <v>4</v>
      </c>
    </row>
    <row r="124" spans="1:15" x14ac:dyDescent="0.45">
      <c r="A124">
        <v>124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0.82199999999999995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775.5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0.82199999999999995</v>
      </c>
      <c r="I124" s="9">
        <f ca="1">IF(VLOOKUP(table_DataQualities[[#This Row],[unit_ID]],table_Units[],5)&gt;0,table_DataQualities[[#This Row],[z_best]],IF(VLOOKUP(table_DataQualities[[#This Row],[unit_ID]],table_Units[],6)=1,table_DataQualities[[#This Row],[z_worst]]))</f>
        <v>775.5</v>
      </c>
      <c r="K124">
        <f t="shared" ca="1" si="17"/>
        <v>0.56000000000000005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1</v>
      </c>
      <c r="O124">
        <f t="shared" ca="1" si="18"/>
        <v>3</v>
      </c>
    </row>
    <row r="125" spans="1:15" x14ac:dyDescent="0.45">
      <c r="A125">
        <v>125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62_Bildgröße</v>
      </c>
      <c r="C125">
        <f ca="1">RANDBETWEEN(5,10)*100</f>
        <v>1000</v>
      </c>
      <c r="D125" s="3" t="str">
        <f ca="1">VLOOKUP(table_DataQualities[[#This Row],[unit_ID]],table_Units[#All],2)</f>
        <v>bit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87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5495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87</v>
      </c>
      <c r="I125" s="9">
        <f ca="1">IF(VLOOKUP(table_DataQualities[[#This Row],[unit_ID]],table_Units[],5)&gt;0,table_DataQualities[[#This Row],[z_best]],IF(VLOOKUP(table_DataQualities[[#This Row],[unit_ID]],table_Units[],6)=1,table_DataQualities[[#This Row],[z_worst]]))</f>
        <v>5495</v>
      </c>
      <c r="K125">
        <f t="shared" ca="1" si="17"/>
        <v>0.39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1</v>
      </c>
      <c r="O125">
        <f t="shared" ca="1" si="18"/>
        <v>3</v>
      </c>
    </row>
    <row r="126" spans="1:15" x14ac:dyDescent="0.45">
      <c r="A126">
        <v>126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0.44800000000000001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8435.6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0.44800000000000001</v>
      </c>
      <c r="I126" s="9">
        <f ca="1">IF(VLOOKUP(table_DataQualities[[#This Row],[unit_ID]],table_Units[],5)&gt;0,table_DataQualities[[#This Row],[z_best]],IF(VLOOKUP(table_DataQualities[[#This Row],[unit_ID]],table_Units[],6)=1,table_DataQualities[[#This Row],[z_worst]]))</f>
        <v>8435.6</v>
      </c>
      <c r="K126">
        <f t="shared" ca="1" si="17"/>
        <v>0.1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1</v>
      </c>
      <c r="O126">
        <f t="shared" ca="1" si="18"/>
        <v>2</v>
      </c>
    </row>
    <row r="127" spans="1:15" x14ac:dyDescent="0.45">
      <c r="A127">
        <v>127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63_Leistungsmessgenauigkeit W</v>
      </c>
      <c r="C127">
        <f t="shared" ref="C127:C137" ca="1" si="28">RANDBETWEEN(5,10)*100</f>
        <v>600</v>
      </c>
      <c r="D127" s="3" t="str">
        <f ca="1">VLOOKUP(table_DataQualities[[#This Row],[unit_ID]],table_Units[#All],2)</f>
        <v>+/- W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7.14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1.4E-2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127" s="9">
        <f ca="1">IF(VLOOKUP(table_DataQualities[[#This Row],[unit_ID]],table_Units[],5)&gt;0,table_DataQualities[[#This Row],[z_best]],IF(VLOOKUP(table_DataQualities[[#This Row],[unit_ID]],table_Units[],6)=1,table_DataQualities[[#This Row],[z_worst]]))</f>
        <v>7.14</v>
      </c>
      <c r="K127">
        <f t="shared" ca="1" si="17"/>
        <v>0.68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1</v>
      </c>
      <c r="O127">
        <f t="shared" ca="1" si="18"/>
        <v>4</v>
      </c>
    </row>
    <row r="128" spans="1:15" x14ac:dyDescent="0.45">
      <c r="A128">
        <v>128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7100.3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</v>
      </c>
      <c r="I128" s="9">
        <f ca="1">IF(VLOOKUP(table_DataQualities[[#This Row],[unit_ID]],table_Units[],5)&gt;0,table_DataQualities[[#This Row],[z_best]],IF(VLOOKUP(table_DataQualities[[#This Row],[unit_ID]],table_Units[],6)=1,table_DataQualities[[#This Row],[z_worst]]))</f>
        <v>7100.3</v>
      </c>
      <c r="K128">
        <f t="shared" ca="1" si="17"/>
        <v>0.78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1</v>
      </c>
      <c r="O128">
        <f t="shared" ca="1" si="18"/>
        <v>3</v>
      </c>
    </row>
    <row r="129" spans="1:15" x14ac:dyDescent="0.45">
      <c r="A129">
        <v>129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64_Temperaturmessgenauigkeit °C</v>
      </c>
      <c r="C129">
        <f t="shared" ref="C129" ca="1" si="29">RANDBETWEEN(5,10)*100</f>
        <v>500</v>
      </c>
      <c r="D129" s="3" t="str">
        <f ca="1">VLOOKUP(table_DataQualities[[#This Row],[unit_ID]],table_Units[#All],2)</f>
        <v>+/- °C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29" s="9">
        <f ca="1">IF(VLOOKUP(table_DataQualities[[#This Row],[unit_ID]],table_Units[],5)&gt;0,table_DataQualities[[#This Row],[z_best]],IF(VLOOKUP(table_DataQualities[[#This Row],[unit_ID]],table_Units[],6)=1,table_DataQualities[[#This Row],[z_worst]]))</f>
        <v>1</v>
      </c>
      <c r="K129">
        <f t="shared" ca="1" si="17"/>
        <v>0.32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1</v>
      </c>
      <c r="O129">
        <f t="shared" ca="1" si="18"/>
        <v>5</v>
      </c>
    </row>
    <row r="130" spans="1:15" x14ac:dyDescent="0.45">
      <c r="A130">
        <v>130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192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</v>
      </c>
      <c r="I130" s="9">
        <f ca="1">IF(VLOOKUP(table_DataQualities[[#This Row],[unit_ID]],table_Units[],5)&gt;0,table_DataQualities[[#This Row],[z_best]],IF(VLOOKUP(table_DataQualities[[#This Row],[unit_ID]],table_Units[],6)=1,table_DataQualities[[#This Row],[z_worst]]))</f>
        <v>192</v>
      </c>
      <c r="K130">
        <f t="shared" ca="1" si="17"/>
        <v>0.52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1</v>
      </c>
      <c r="O130">
        <f t="shared" ca="1" si="18"/>
        <v>4</v>
      </c>
    </row>
    <row r="131" spans="1:15" x14ac:dyDescent="0.45">
      <c r="A131">
        <v>131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65_Leistungsmessgenauigkeit W</v>
      </c>
      <c r="C131">
        <f t="shared" ca="1" si="28"/>
        <v>600</v>
      </c>
      <c r="D131" s="3" t="str">
        <f ca="1">VLOOKUP(table_DataQualities[[#This Row],[unit_ID]],table_Units[#All],2)</f>
        <v>+/- W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6.96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131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6.96</v>
      </c>
      <c r="K131">
        <f t="shared" ca="1" si="17"/>
        <v>0.22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1</v>
      </c>
      <c r="O131">
        <f t="shared" ca="1" si="18"/>
        <v>4</v>
      </c>
    </row>
    <row r="132" spans="1:15" x14ac:dyDescent="0.45">
      <c r="A132">
        <v>132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0.39900000000000002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1902.1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0.39900000000000002</v>
      </c>
      <c r="I132" s="9">
        <f ca="1">IF(VLOOKUP(table_DataQualities[[#This Row],[unit_ID]],table_Units[],5)&gt;0,table_DataQualities[[#This Row],[z_best]],IF(VLOOKUP(table_DataQualities[[#This Row],[unit_ID]],table_Units[],6)=1,table_DataQualities[[#This Row],[z_worst]]))</f>
        <v>1902.1</v>
      </c>
      <c r="K132">
        <f t="shared" ca="1" si="17"/>
        <v>0.66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1</v>
      </c>
      <c r="O132">
        <f t="shared" ca="1" si="18"/>
        <v>3</v>
      </c>
    </row>
    <row r="133" spans="1:15" x14ac:dyDescent="0.45">
      <c r="A133">
        <v>133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66_Längenmessgenauigkeit mm</v>
      </c>
      <c r="C133">
        <f t="shared" ref="C133" ca="1" si="30">RANDBETWEEN(5,10)*100</f>
        <v>900</v>
      </c>
      <c r="D133" s="3" t="str">
        <f ca="1">VLOOKUP(table_DataQualities[[#This Row],[unit_ID]],table_Units[#All],2)</f>
        <v>+/- mm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4.0999999999999996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133" s="9">
        <f ca="1">IF(VLOOKUP(table_DataQualities[[#This Row],[unit_ID]],table_Units[],5)&gt;0,table_DataQualities[[#This Row],[z_best]],IF(VLOOKUP(table_DataQualities[[#This Row],[unit_ID]],table_Units[],6)=1,table_DataQualities[[#This Row],[z_worst]]))</f>
        <v>4.0999999999999996</v>
      </c>
      <c r="K133">
        <f t="shared" ca="1" si="17"/>
        <v>0.22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1</v>
      </c>
      <c r="O133">
        <f t="shared" ca="1" si="18"/>
        <v>4</v>
      </c>
    </row>
    <row r="134" spans="1:15" x14ac:dyDescent="0.45">
      <c r="A134">
        <v>134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0.111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1387.8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0.111</v>
      </c>
      <c r="I134" s="9">
        <f ca="1">IF(VLOOKUP(table_DataQualities[[#This Row],[unit_ID]],table_Units[],5)&gt;0,table_DataQualities[[#This Row],[z_best]],IF(VLOOKUP(table_DataQualities[[#This Row],[unit_ID]],table_Units[],6)=1,table_DataQualities[[#This Row],[z_worst]]))</f>
        <v>1387.8</v>
      </c>
      <c r="K134">
        <f t="shared" ca="1" si="17"/>
        <v>0.39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1</v>
      </c>
      <c r="O134">
        <f t="shared" ca="1" si="18"/>
        <v>2</v>
      </c>
    </row>
    <row r="135" spans="1:15" x14ac:dyDescent="0.45">
      <c r="A135">
        <v>135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67_Geschwindigkeitsmessgenauigkeit mm/s</v>
      </c>
      <c r="C135">
        <f t="shared" ca="1" si="28"/>
        <v>700</v>
      </c>
      <c r="D135" s="3" t="str">
        <f ca="1">VLOOKUP(table_DataQualities[[#This Row],[unit_ID]],table_Units[#All],2)</f>
        <v>+/- mm/s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4.0999999999999996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0.94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</v>
      </c>
      <c r="I135" s="9">
        <f ca="1">IF(VLOOKUP(table_DataQualities[[#This Row],[unit_ID]],table_Units[],5)&gt;0,table_DataQualities[[#This Row],[z_best]],IF(VLOOKUP(table_DataQualities[[#This Row],[unit_ID]],table_Units[],6)=1,table_DataQualities[[#This Row],[z_worst]]))</f>
        <v>4.0999999999999996</v>
      </c>
      <c r="K135">
        <f t="shared" ca="1" si="17"/>
        <v>0.56999999999999995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1</v>
      </c>
      <c r="O135">
        <f t="shared" ca="1" si="18"/>
        <v>2</v>
      </c>
    </row>
    <row r="136" spans="1:15" x14ac:dyDescent="0.45">
      <c r="A136">
        <v>136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3997.2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</v>
      </c>
      <c r="I136" s="9">
        <f ca="1">IF(VLOOKUP(table_DataQualities[[#This Row],[unit_ID]],table_Units[],5)&gt;0,table_DataQualities[[#This Row],[z_best]],IF(VLOOKUP(table_DataQualities[[#This Row],[unit_ID]],table_Units[],6)=1,table_DataQualities[[#This Row],[z_worst]]))</f>
        <v>3997.2</v>
      </c>
      <c r="K136">
        <f t="shared" ca="1" si="17"/>
        <v>0.73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1</v>
      </c>
      <c r="O136">
        <f t="shared" ca="1" si="18"/>
        <v>1</v>
      </c>
    </row>
    <row r="137" spans="1:15" x14ac:dyDescent="0.45">
      <c r="A137">
        <v>137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68_Temperaturmessgenauigkeit °C</v>
      </c>
      <c r="C137">
        <f t="shared" ca="1" si="28"/>
        <v>500</v>
      </c>
      <c r="D137" s="3" t="str">
        <f ca="1">VLOOKUP(table_DataQualities[[#This Row],[unit_ID]],table_Units[#All],2)</f>
        <v>+/- °C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37" s="9">
        <f ca="1">IF(VLOOKUP(table_DataQualities[[#This Row],[unit_ID]],table_Units[],5)&gt;0,table_DataQualities[[#This Row],[z_best]],IF(VLOOKUP(table_DataQualities[[#This Row],[unit_ID]],table_Units[],6)=1,table_DataQualities[[#This Row],[z_worst]]))</f>
        <v>6</v>
      </c>
      <c r="K137">
        <f t="shared" ca="1" si="17"/>
        <v>0.79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1</v>
      </c>
      <c r="O137">
        <f t="shared" ca="1" si="18"/>
        <v>3</v>
      </c>
    </row>
    <row r="138" spans="1:15" x14ac:dyDescent="0.45">
      <c r="A138">
        <v>138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0.28199999999999997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3399.8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0.28199999999999997</v>
      </c>
      <c r="I138" s="9">
        <f ca="1">IF(VLOOKUP(table_DataQualities[[#This Row],[unit_ID]],table_Units[],5)&gt;0,table_DataQualities[[#This Row],[z_best]],IF(VLOOKUP(table_DataQualities[[#This Row],[unit_ID]],table_Units[],6)=1,table_DataQualities[[#This Row],[z_worst]]))</f>
        <v>3399.8</v>
      </c>
      <c r="K138">
        <f t="shared" ca="1" si="17"/>
        <v>0.92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1</v>
      </c>
      <c r="O138">
        <f t="shared" ca="1" si="18"/>
        <v>5</v>
      </c>
    </row>
    <row r="139" spans="1:15" x14ac:dyDescent="0.45">
      <c r="A139">
        <v>139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69_Durchflussmessgenauigkeit cm³/s</v>
      </c>
      <c r="C139">
        <f ca="1">RANDBETWEEN(5,10)*100</f>
        <v>800</v>
      </c>
      <c r="D139" s="3" t="str">
        <f ca="1">VLOOKUP(table_DataQualities[[#This Row],[unit_ID]],table_Units[#All],2)</f>
        <v>+/- cm³/s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0.67800000000000005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3.2000000000000002E-3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3.2000000000000002E-3</v>
      </c>
      <c r="I139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0.67800000000000005</v>
      </c>
      <c r="K139">
        <f t="shared" ca="1" si="17"/>
        <v>0.6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1</v>
      </c>
      <c r="O139">
        <f t="shared" ca="1" si="18"/>
        <v>2</v>
      </c>
    </row>
    <row r="140" spans="1:15" x14ac:dyDescent="0.45">
      <c r="A140">
        <v>140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0.184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5591.2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0.184</v>
      </c>
      <c r="I140" s="9">
        <f ca="1">IF(VLOOKUP(table_DataQualities[[#This Row],[unit_ID]],table_Units[],5)&gt;0,table_DataQualities[[#This Row],[z_best]],IF(VLOOKUP(table_DataQualities[[#This Row],[unit_ID]],table_Units[],6)=1,table_DataQualities[[#This Row],[z_worst]]))</f>
        <v>5591.2</v>
      </c>
      <c r="K140">
        <f t="shared" ca="1" si="17"/>
        <v>0.28000000000000003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1</v>
      </c>
      <c r="O140">
        <f t="shared" ca="1" si="18"/>
        <v>3</v>
      </c>
    </row>
    <row r="141" spans="1:15" x14ac:dyDescent="0.45">
      <c r="A141">
        <v>141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70_Längenmessgenauigkeit mm</v>
      </c>
      <c r="C141">
        <f t="shared" ref="C141:C151" ca="1" si="31">RANDBETWEEN(5,10)*100</f>
        <v>900</v>
      </c>
      <c r="D141" s="3" t="str">
        <f ca="1">VLOOKUP(table_DataQualities[[#This Row],[unit_ID]],table_Units[#All],2)</f>
        <v>+/- mm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3.52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5.8999999999999997E-2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141" s="9">
        <f ca="1">IF(VLOOKUP(table_DataQualities[[#This Row],[unit_ID]],table_Units[],5)&gt;0,table_DataQualities[[#This Row],[z_best]],IF(VLOOKUP(table_DataQualities[[#This Row],[unit_ID]],table_Units[],6)=1,table_DataQualities[[#This Row],[z_worst]]))</f>
        <v>3.52</v>
      </c>
      <c r="K141">
        <f t="shared" ref="K141:K204" ca="1" si="32">ROUND(RAND(),2)</f>
        <v>0.85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1</v>
      </c>
      <c r="O141">
        <f t="shared" ref="O141:O204" ca="1" si="33">RANDBETWEEN(1,5)</f>
        <v>5</v>
      </c>
    </row>
    <row r="142" spans="1:15" x14ac:dyDescent="0.45">
      <c r="A142">
        <v>142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0.124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6079.2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0.124</v>
      </c>
      <c r="I142" s="9">
        <f ca="1">IF(VLOOKUP(table_DataQualities[[#This Row],[unit_ID]],table_Units[],5)&gt;0,table_DataQualities[[#This Row],[z_best]],IF(VLOOKUP(table_DataQualities[[#This Row],[unit_ID]],table_Units[],6)=1,table_DataQualities[[#This Row],[z_worst]]))</f>
        <v>6079.2</v>
      </c>
      <c r="K142">
        <f t="shared" ca="1" si="32"/>
        <v>0.49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1</v>
      </c>
      <c r="O142">
        <f t="shared" ca="1" si="33"/>
        <v>5</v>
      </c>
    </row>
    <row r="143" spans="1:15" x14ac:dyDescent="0.45">
      <c r="A143">
        <v>143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71_Leistungsmessgenauigkeit W</v>
      </c>
      <c r="C143">
        <f t="shared" ref="C143" ca="1" si="34">RANDBETWEEN(5,10)*100</f>
        <v>600</v>
      </c>
      <c r="D143" s="3" t="str">
        <f ca="1">VLOOKUP(table_DataQualities[[#This Row],[unit_ID]],table_Units[#All],2)</f>
        <v>+/- W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1.51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143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1.51</v>
      </c>
      <c r="K143">
        <f t="shared" ca="1" si="32"/>
        <v>0.94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1</v>
      </c>
      <c r="O143">
        <f t="shared" ca="1" si="33"/>
        <v>4</v>
      </c>
    </row>
    <row r="144" spans="1:15" x14ac:dyDescent="0.45">
      <c r="A144">
        <v>144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0.89300000000000002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832.7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0.89300000000000002</v>
      </c>
      <c r="I144" s="9">
        <f ca="1">IF(VLOOKUP(table_DataQualities[[#This Row],[unit_ID]],table_Units[],5)&gt;0,table_DataQualities[[#This Row],[z_best]],IF(VLOOKUP(table_DataQualities[[#This Row],[unit_ID]],table_Units[],6)=1,table_DataQualities[[#This Row],[z_worst]]))</f>
        <v>832.7</v>
      </c>
      <c r="K144">
        <f t="shared" ca="1" si="32"/>
        <v>0.1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1</v>
      </c>
      <c r="O144">
        <f t="shared" ca="1" si="33"/>
        <v>1</v>
      </c>
    </row>
    <row r="145" spans="1:15" x14ac:dyDescent="0.45">
      <c r="A145">
        <v>145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72_Temperaturmessgenauigkeit °C</v>
      </c>
      <c r="C145">
        <f t="shared" ca="1" si="31"/>
        <v>500</v>
      </c>
      <c r="D145" s="3" t="str">
        <f ca="1">VLOOKUP(table_DataQualities[[#This Row],[unit_ID]],table_Units[#All],2)</f>
        <v>+/- °C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45" s="9">
        <f ca="1">IF(VLOOKUP(table_DataQualities[[#This Row],[unit_ID]],table_Units[],5)&gt;0,table_DataQualities[[#This Row],[z_best]],IF(VLOOKUP(table_DataQualities[[#This Row],[unit_ID]],table_Units[],6)=1,table_DataQualities[[#This Row],[z_worst]]))</f>
        <v>3</v>
      </c>
      <c r="K145">
        <f t="shared" ca="1" si="32"/>
        <v>0.09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1</v>
      </c>
      <c r="O145">
        <f t="shared" ca="1" si="33"/>
        <v>2</v>
      </c>
    </row>
    <row r="146" spans="1:15" x14ac:dyDescent="0.45">
      <c r="A146">
        <v>146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0.59699999999999998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4807.3999999999996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0.59699999999999998</v>
      </c>
      <c r="I146" s="9">
        <f ca="1">IF(VLOOKUP(table_DataQualities[[#This Row],[unit_ID]],table_Units[],5)&gt;0,table_DataQualities[[#This Row],[z_best]],IF(VLOOKUP(table_DataQualities[[#This Row],[unit_ID]],table_Units[],6)=1,table_DataQualities[[#This Row],[z_worst]]))</f>
        <v>4807.3999999999996</v>
      </c>
      <c r="K146">
        <f t="shared" ca="1" si="32"/>
        <v>0.99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1</v>
      </c>
      <c r="O146">
        <f t="shared" ca="1" si="33"/>
        <v>4</v>
      </c>
    </row>
    <row r="147" spans="1:15" x14ac:dyDescent="0.45">
      <c r="A147">
        <v>147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73_Längenmessgenauigkeit mm</v>
      </c>
      <c r="C147">
        <f t="shared" ref="C147" ca="1" si="35">RANDBETWEEN(5,10)*100</f>
        <v>900</v>
      </c>
      <c r="D147" s="3" t="str">
        <f ca="1">VLOOKUP(table_DataQualities[[#This Row],[unit_ID]],table_Units[#All],2)</f>
        <v>+/- mm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2.11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2.1000000000000001E-2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2.1000000000000001E-2</v>
      </c>
      <c r="I147" s="9">
        <f ca="1">IF(VLOOKUP(table_DataQualities[[#This Row],[unit_ID]],table_Units[],5)&gt;0,table_DataQualities[[#This Row],[z_best]],IF(VLOOKUP(table_DataQualities[[#This Row],[unit_ID]],table_Units[],6)=1,table_DataQualities[[#This Row],[z_worst]]))</f>
        <v>2.11</v>
      </c>
      <c r="K147">
        <f t="shared" ca="1" si="32"/>
        <v>0.94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1</v>
      </c>
      <c r="O147">
        <f t="shared" ca="1" si="33"/>
        <v>4</v>
      </c>
    </row>
    <row r="148" spans="1:15" x14ac:dyDescent="0.45">
      <c r="A148">
        <v>148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0.996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2137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0.996</v>
      </c>
      <c r="I148" s="9">
        <f ca="1">IF(VLOOKUP(table_DataQualities[[#This Row],[unit_ID]],table_Units[],5)&gt;0,table_DataQualities[[#This Row],[z_best]],IF(VLOOKUP(table_DataQualities[[#This Row],[unit_ID]],table_Units[],6)=1,table_DataQualities[[#This Row],[z_worst]]))</f>
        <v>2137</v>
      </c>
      <c r="K148">
        <f t="shared" ca="1" si="32"/>
        <v>0.19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1</v>
      </c>
      <c r="O148">
        <f t="shared" ca="1" si="33"/>
        <v>3</v>
      </c>
    </row>
    <row r="149" spans="1:15" x14ac:dyDescent="0.45">
      <c r="A149">
        <v>149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74_Geschwindigkeitsmessgenauigkeit mm/s</v>
      </c>
      <c r="C149">
        <f t="shared" ca="1" si="31"/>
        <v>700</v>
      </c>
      <c r="D149" s="3" t="str">
        <f ca="1">VLOOKUP(table_DataQualities[[#This Row],[unit_ID]],table_Units[#All],2)</f>
        <v>+/- mm/s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0.16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</v>
      </c>
      <c r="I149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6.4</v>
      </c>
      <c r="K149">
        <f t="shared" ca="1" si="32"/>
        <v>0.74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1</v>
      </c>
      <c r="O149">
        <f t="shared" ca="1" si="33"/>
        <v>4</v>
      </c>
    </row>
    <row r="150" spans="1:15" x14ac:dyDescent="0.45">
      <c r="A150">
        <v>150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0.92700000000000005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4279.7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0.92700000000000005</v>
      </c>
      <c r="I150" s="9">
        <f ca="1">IF(VLOOKUP(table_DataQualities[[#This Row],[unit_ID]],table_Units[],5)&gt;0,table_DataQualities[[#This Row],[z_best]],IF(VLOOKUP(table_DataQualities[[#This Row],[unit_ID]],table_Units[],6)=1,table_DataQualities[[#This Row],[z_worst]]))</f>
        <v>4279.7</v>
      </c>
      <c r="K150">
        <f t="shared" ca="1" si="32"/>
        <v>0.89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1</v>
      </c>
      <c r="O150">
        <f t="shared" ca="1" si="33"/>
        <v>2</v>
      </c>
    </row>
    <row r="151" spans="1:15" x14ac:dyDescent="0.45">
      <c r="A151">
        <v>151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75_Geschwindigkeitsmessgenauigkeit mm/s</v>
      </c>
      <c r="C151">
        <f t="shared" ca="1" si="31"/>
        <v>700</v>
      </c>
      <c r="D151" s="3" t="str">
        <f ca="1">VLOOKUP(table_DataQualities[[#This Row],[unit_ID]],table_Units[#All],2)</f>
        <v>+/- mm/s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0.66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</v>
      </c>
      <c r="I151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1.5</v>
      </c>
      <c r="K151">
        <f t="shared" ca="1" si="32"/>
        <v>0.69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1</v>
      </c>
      <c r="O151">
        <f t="shared" ca="1" si="33"/>
        <v>3</v>
      </c>
    </row>
    <row r="152" spans="1:15" x14ac:dyDescent="0.45">
      <c r="A152">
        <v>152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0.61399999999999999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8407.7999999999993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0.61399999999999999</v>
      </c>
      <c r="I152" s="9">
        <f ca="1">IF(VLOOKUP(table_DataQualities[[#This Row],[unit_ID]],table_Units[],5)&gt;0,table_DataQualities[[#This Row],[z_best]],IF(VLOOKUP(table_DataQualities[[#This Row],[unit_ID]],table_Units[],6)=1,table_DataQualities[[#This Row],[z_worst]]))</f>
        <v>8407.7999999999993</v>
      </c>
      <c r="K152">
        <f t="shared" ca="1" si="32"/>
        <v>0.86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1</v>
      </c>
      <c r="O152">
        <f t="shared" ca="1" si="33"/>
        <v>2</v>
      </c>
    </row>
    <row r="153" spans="1:15" x14ac:dyDescent="0.45">
      <c r="A153">
        <v>153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76_Leistungsmessgenauigkeit W</v>
      </c>
      <c r="C153">
        <f ca="1">RANDBETWEEN(5,10)*100</f>
        <v>600</v>
      </c>
      <c r="D153" s="3" t="str">
        <f ca="1">VLOOKUP(table_DataQualities[[#This Row],[unit_ID]],table_Units[#All],2)</f>
        <v>+/- W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153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0.42</v>
      </c>
      <c r="K153">
        <f t="shared" ca="1" si="32"/>
        <v>0.76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1</v>
      </c>
      <c r="O153">
        <f t="shared" ca="1" si="33"/>
        <v>3</v>
      </c>
    </row>
    <row r="154" spans="1:15" x14ac:dyDescent="0.45">
      <c r="A154">
        <v>154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0.56699999999999995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3838.2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0.56699999999999995</v>
      </c>
      <c r="I154" s="9">
        <f ca="1">IF(VLOOKUP(table_DataQualities[[#This Row],[unit_ID]],table_Units[],5)&gt;0,table_DataQualities[[#This Row],[z_best]],IF(VLOOKUP(table_DataQualities[[#This Row],[unit_ID]],table_Units[],6)=1,table_DataQualities[[#This Row],[z_worst]]))</f>
        <v>3838.2</v>
      </c>
      <c r="K154">
        <f t="shared" ca="1" si="32"/>
        <v>0.96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1</v>
      </c>
      <c r="O154">
        <f t="shared" ca="1" si="33"/>
        <v>2</v>
      </c>
    </row>
    <row r="155" spans="1:15" x14ac:dyDescent="0.45">
      <c r="A155">
        <v>155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77_Bildgröße</v>
      </c>
      <c r="C155">
        <f t="shared" ref="C155:C165" ca="1" si="36">RANDBETWEEN(5,10)*100</f>
        <v>1000</v>
      </c>
      <c r="D155" s="3" t="str">
        <f ca="1">VLOOKUP(table_DataQualities[[#This Row],[unit_ID]],table_Units[#All],2)</f>
        <v>bit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62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8105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62</v>
      </c>
      <c r="I155" s="9">
        <f ca="1">IF(VLOOKUP(table_DataQualities[[#This Row],[unit_ID]],table_Units[],5)&gt;0,table_DataQualities[[#This Row],[z_best]],IF(VLOOKUP(table_DataQualities[[#This Row],[unit_ID]],table_Units[],6)=1,table_DataQualities[[#This Row],[z_worst]]))</f>
        <v>8105</v>
      </c>
      <c r="K155">
        <f t="shared" ca="1" si="32"/>
        <v>0.92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1</v>
      </c>
      <c r="O155">
        <f t="shared" ca="1" si="33"/>
        <v>1</v>
      </c>
    </row>
    <row r="156" spans="1:15" x14ac:dyDescent="0.45">
      <c r="A156">
        <v>156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0.68300000000000005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9303.6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0.68300000000000005</v>
      </c>
      <c r="I156" s="9">
        <f ca="1">IF(VLOOKUP(table_DataQualities[[#This Row],[unit_ID]],table_Units[],5)&gt;0,table_DataQualities[[#This Row],[z_best]],IF(VLOOKUP(table_DataQualities[[#This Row],[unit_ID]],table_Units[],6)=1,table_DataQualities[[#This Row],[z_worst]]))</f>
        <v>9303.6</v>
      </c>
      <c r="K156">
        <f t="shared" ca="1" si="32"/>
        <v>0.94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1</v>
      </c>
      <c r="O156">
        <f t="shared" ca="1" si="33"/>
        <v>1</v>
      </c>
    </row>
    <row r="157" spans="1:15" x14ac:dyDescent="0.45">
      <c r="A157">
        <v>157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78_Bildgröße</v>
      </c>
      <c r="C157">
        <f t="shared" ref="C157" ca="1" si="37">RANDBETWEEN(5,10)*100</f>
        <v>1000</v>
      </c>
      <c r="D157" s="3" t="str">
        <f ca="1">VLOOKUP(table_DataQualities[[#This Row],[unit_ID]],table_Units[#All],2)</f>
        <v>bit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42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2048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42</v>
      </c>
      <c r="I157" s="9">
        <f ca="1">IF(VLOOKUP(table_DataQualities[[#This Row],[unit_ID]],table_Units[],5)&gt;0,table_DataQualities[[#This Row],[z_best]],IF(VLOOKUP(table_DataQualities[[#This Row],[unit_ID]],table_Units[],6)=1,table_DataQualities[[#This Row],[z_worst]]))</f>
        <v>2048</v>
      </c>
      <c r="K157">
        <f t="shared" ca="1" si="32"/>
        <v>0.35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1</v>
      </c>
      <c r="O157">
        <f t="shared" ca="1" si="33"/>
        <v>2</v>
      </c>
    </row>
    <row r="158" spans="1:15" x14ac:dyDescent="0.45">
      <c r="A158">
        <v>158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0.88200000000000001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534.5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0.88200000000000001</v>
      </c>
      <c r="I158" s="9">
        <f ca="1">IF(VLOOKUP(table_DataQualities[[#This Row],[unit_ID]],table_Units[],5)&gt;0,table_DataQualities[[#This Row],[z_best]],IF(VLOOKUP(table_DataQualities[[#This Row],[unit_ID]],table_Units[],6)=1,table_DataQualities[[#This Row],[z_worst]]))</f>
        <v>534.5</v>
      </c>
      <c r="K158">
        <f t="shared" ca="1" si="32"/>
        <v>0.12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1</v>
      </c>
      <c r="O158">
        <f t="shared" ca="1" si="33"/>
        <v>2</v>
      </c>
    </row>
    <row r="159" spans="1:15" x14ac:dyDescent="0.45">
      <c r="A159">
        <v>159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79_Temperaturmessgenauigkeit °C</v>
      </c>
      <c r="C159">
        <f t="shared" ca="1" si="36"/>
        <v>500</v>
      </c>
      <c r="D159" s="3" t="str">
        <f ca="1">VLOOKUP(table_DataQualities[[#This Row],[unit_ID]],table_Units[#All],2)</f>
        <v>+/- °C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59" s="9">
        <f ca="1">IF(VLOOKUP(table_DataQualities[[#This Row],[unit_ID]],table_Units[],5)&gt;0,table_DataQualities[[#This Row],[z_best]],IF(VLOOKUP(table_DataQualities[[#This Row],[unit_ID]],table_Units[],6)=1,table_DataQualities[[#This Row],[z_worst]]))</f>
        <v>10</v>
      </c>
      <c r="K159">
        <f t="shared" ca="1" si="32"/>
        <v>0.7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1</v>
      </c>
      <c r="O159">
        <f t="shared" ca="1" si="33"/>
        <v>1</v>
      </c>
    </row>
    <row r="160" spans="1:15" x14ac:dyDescent="0.45">
      <c r="A160">
        <v>160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0.57899999999999996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605.70000000000005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0.57899999999999996</v>
      </c>
      <c r="I160" s="9">
        <f ca="1">IF(VLOOKUP(table_DataQualities[[#This Row],[unit_ID]],table_Units[],5)&gt;0,table_DataQualities[[#This Row],[z_best]],IF(VLOOKUP(table_DataQualities[[#This Row],[unit_ID]],table_Units[],6)=1,table_DataQualities[[#This Row],[z_worst]]))</f>
        <v>605.70000000000005</v>
      </c>
      <c r="K160">
        <f t="shared" ca="1" si="32"/>
        <v>0.23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1</v>
      </c>
      <c r="O160">
        <f t="shared" ca="1" si="33"/>
        <v>2</v>
      </c>
    </row>
    <row r="161" spans="1:15" x14ac:dyDescent="0.45">
      <c r="A161">
        <v>161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80_Geschwindigkeitsmessgenauigkeit mm/s</v>
      </c>
      <c r="C161">
        <f t="shared" ref="C161" ca="1" si="38">RANDBETWEEN(5,10)*100</f>
        <v>700</v>
      </c>
      <c r="D161" s="3" t="str">
        <f ca="1">VLOOKUP(table_DataQualities[[#This Row],[unit_ID]],table_Units[#All],2)</f>
        <v>+/- mm/s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2.2999999999999998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161" s="9">
        <f ca="1">IF(VLOOKUP(table_DataQualities[[#This Row],[unit_ID]],table_Units[],5)&gt;0,table_DataQualities[[#This Row],[z_best]],IF(VLOOKUP(table_DataQualities[[#This Row],[unit_ID]],table_Units[],6)=1,table_DataQualities[[#This Row],[z_worst]]))</f>
        <v>2.2999999999999998</v>
      </c>
      <c r="K161">
        <f t="shared" ca="1" si="32"/>
        <v>0.59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1</v>
      </c>
      <c r="O161">
        <f t="shared" ca="1" si="33"/>
        <v>4</v>
      </c>
    </row>
    <row r="162" spans="1:15" x14ac:dyDescent="0.45">
      <c r="A162">
        <v>162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0.98599999999999999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657.4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0.98599999999999999</v>
      </c>
      <c r="I162" s="9">
        <f ca="1">IF(VLOOKUP(table_DataQualities[[#This Row],[unit_ID]],table_Units[],5)&gt;0,table_DataQualities[[#This Row],[z_best]],IF(VLOOKUP(table_DataQualities[[#This Row],[unit_ID]],table_Units[],6)=1,table_DataQualities[[#This Row],[z_worst]]))</f>
        <v>657.4</v>
      </c>
      <c r="K162">
        <f t="shared" ca="1" si="32"/>
        <v>0.94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1</v>
      </c>
      <c r="O162">
        <f t="shared" ca="1" si="33"/>
        <v>3</v>
      </c>
    </row>
    <row r="163" spans="1:15" x14ac:dyDescent="0.45">
      <c r="A163">
        <v>163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81_Durchflussmessgenauigkeit cm³/s</v>
      </c>
      <c r="C163">
        <f t="shared" ca="1" si="36"/>
        <v>800</v>
      </c>
      <c r="D163" s="3" t="str">
        <f ca="1">VLOOKUP(table_DataQualities[[#This Row],[unit_ID]],table_Units[#All],2)</f>
        <v>+/- cm³/s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0.121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63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0.121</v>
      </c>
      <c r="K163">
        <f t="shared" ca="1" si="32"/>
        <v>0.49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1</v>
      </c>
      <c r="O163">
        <f t="shared" ca="1" si="33"/>
        <v>3</v>
      </c>
    </row>
    <row r="164" spans="1:15" x14ac:dyDescent="0.45">
      <c r="A164">
        <v>164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4263.3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164" s="9">
        <f ca="1">IF(VLOOKUP(table_DataQualities[[#This Row],[unit_ID]],table_Units[],5)&gt;0,table_DataQualities[[#This Row],[z_best]],IF(VLOOKUP(table_DataQualities[[#This Row],[unit_ID]],table_Units[],6)=1,table_DataQualities[[#This Row],[z_worst]]))</f>
        <v>4263.3</v>
      </c>
      <c r="K164">
        <f t="shared" ca="1" si="32"/>
        <v>0.64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1</v>
      </c>
      <c r="O164">
        <f t="shared" ca="1" si="33"/>
        <v>1</v>
      </c>
    </row>
    <row r="165" spans="1:15" x14ac:dyDescent="0.45">
      <c r="A165">
        <v>165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82_Durchflussmessgenauigkeit cm³/s</v>
      </c>
      <c r="C165">
        <f t="shared" ca="1" si="36"/>
        <v>800</v>
      </c>
      <c r="D165" s="3" t="str">
        <f ca="1">VLOOKUP(table_DataQualities[[#This Row],[unit_ID]],table_Units[#All],2)</f>
        <v>+/- cm³/s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0.83699999999999997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4.8999999999999998E-3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4.8999999999999998E-3</v>
      </c>
      <c r="I165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0.83699999999999997</v>
      </c>
      <c r="K165">
        <f t="shared" ca="1" si="32"/>
        <v>0.44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1</v>
      </c>
      <c r="O165">
        <f t="shared" ca="1" si="33"/>
        <v>5</v>
      </c>
    </row>
    <row r="166" spans="1:15" x14ac:dyDescent="0.45">
      <c r="A166">
        <v>166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0.151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6211.6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0.151</v>
      </c>
      <c r="I166" s="9">
        <f ca="1">IF(VLOOKUP(table_DataQualities[[#This Row],[unit_ID]],table_Units[],5)&gt;0,table_DataQualities[[#This Row],[z_best]],IF(VLOOKUP(table_DataQualities[[#This Row],[unit_ID]],table_Units[],6)=1,table_DataQualities[[#This Row],[z_worst]]))</f>
        <v>6211.6</v>
      </c>
      <c r="K166">
        <f t="shared" ca="1" si="32"/>
        <v>0.93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1</v>
      </c>
      <c r="O166">
        <f t="shared" ca="1" si="33"/>
        <v>3</v>
      </c>
    </row>
    <row r="167" spans="1:15" x14ac:dyDescent="0.45">
      <c r="A167">
        <v>167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83_Temperaturmessgenauigkeit °C</v>
      </c>
      <c r="C167">
        <f ca="1">RANDBETWEEN(5,10)*100</f>
        <v>500</v>
      </c>
      <c r="D167" s="3" t="str">
        <f ca="1">VLOOKUP(table_DataQualities[[#This Row],[unit_ID]],table_Units[#All],2)</f>
        <v>+/- °C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67" s="9">
        <f ca="1">IF(VLOOKUP(table_DataQualities[[#This Row],[unit_ID]],table_Units[],5)&gt;0,table_DataQualities[[#This Row],[z_best]],IF(VLOOKUP(table_DataQualities[[#This Row],[unit_ID]],table_Units[],6)=1,table_DataQualities[[#This Row],[z_worst]]))</f>
        <v>9</v>
      </c>
      <c r="K167">
        <f t="shared" ca="1" si="32"/>
        <v>0.02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1</v>
      </c>
      <c r="O167">
        <f t="shared" ca="1" si="33"/>
        <v>2</v>
      </c>
    </row>
    <row r="168" spans="1:15" x14ac:dyDescent="0.45">
      <c r="A168">
        <v>168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0.253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3644.3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0.253</v>
      </c>
      <c r="I168" s="9">
        <f ca="1">IF(VLOOKUP(table_DataQualities[[#This Row],[unit_ID]],table_Units[],5)&gt;0,table_DataQualities[[#This Row],[z_best]],IF(VLOOKUP(table_DataQualities[[#This Row],[unit_ID]],table_Units[],6)=1,table_DataQualities[[#This Row],[z_worst]]))</f>
        <v>3644.3</v>
      </c>
      <c r="K168">
        <f t="shared" ca="1" si="32"/>
        <v>0.96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1</v>
      </c>
      <c r="O168">
        <f t="shared" ca="1" si="33"/>
        <v>3</v>
      </c>
    </row>
    <row r="169" spans="1:15" x14ac:dyDescent="0.45">
      <c r="A169">
        <v>169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84_Durchflussmessgenauigkeit cm³/s</v>
      </c>
      <c r="C169">
        <f t="shared" ref="C169:C179" ca="1" si="39">RANDBETWEEN(5,10)*100</f>
        <v>800</v>
      </c>
      <c r="D169" s="3" t="str">
        <f ca="1">VLOOKUP(table_DataQualities[[#This Row],[unit_ID]],table_Units[#All],2)</f>
        <v>+/- cm³/s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0.33700000000000002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169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0.33700000000000002</v>
      </c>
      <c r="K169">
        <f t="shared" ca="1" si="32"/>
        <v>0.99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1</v>
      </c>
      <c r="O169">
        <f t="shared" ca="1" si="33"/>
        <v>5</v>
      </c>
    </row>
    <row r="170" spans="1:15" x14ac:dyDescent="0.45">
      <c r="A170">
        <v>170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0.96899999999999997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1094.2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0.96899999999999997</v>
      </c>
      <c r="I170" s="9">
        <f ca="1">IF(VLOOKUP(table_DataQualities[[#This Row],[unit_ID]],table_Units[],5)&gt;0,table_DataQualities[[#This Row],[z_best]],IF(VLOOKUP(table_DataQualities[[#This Row],[unit_ID]],table_Units[],6)=1,table_DataQualities[[#This Row],[z_worst]]))</f>
        <v>1094.2</v>
      </c>
      <c r="K170">
        <f t="shared" ca="1" si="32"/>
        <v>0.42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1</v>
      </c>
      <c r="O170">
        <f t="shared" ca="1" si="33"/>
        <v>3</v>
      </c>
    </row>
    <row r="171" spans="1:15" x14ac:dyDescent="0.45">
      <c r="A171">
        <v>171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85_Längenmessgenauigkeit mm</v>
      </c>
      <c r="C171">
        <f t="shared" ref="C171" ca="1" si="40">RANDBETWEEN(5,10)*100</f>
        <v>900</v>
      </c>
      <c r="D171" s="3" t="str">
        <f ca="1">VLOOKUP(table_DataQualities[[#This Row],[unit_ID]],table_Units[#All],2)</f>
        <v>+/- mm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5.18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5.5E-2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5.5E-2</v>
      </c>
      <c r="I171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5.18</v>
      </c>
      <c r="K171">
        <f t="shared" ca="1" si="32"/>
        <v>0.88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1</v>
      </c>
      <c r="O171">
        <f t="shared" ca="1" si="33"/>
        <v>2</v>
      </c>
    </row>
    <row r="172" spans="1:15" x14ac:dyDescent="0.45">
      <c r="A172">
        <v>172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0.32700000000000001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6942.7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0.32700000000000001</v>
      </c>
      <c r="I172" s="9">
        <f ca="1">IF(VLOOKUP(table_DataQualities[[#This Row],[unit_ID]],table_Units[],5)&gt;0,table_DataQualities[[#This Row],[z_best]],IF(VLOOKUP(table_DataQualities[[#This Row],[unit_ID]],table_Units[],6)=1,table_DataQualities[[#This Row],[z_worst]]))</f>
        <v>6942.7</v>
      </c>
      <c r="K172">
        <f t="shared" ca="1" si="32"/>
        <v>0.5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1</v>
      </c>
      <c r="O172">
        <f t="shared" ca="1" si="33"/>
        <v>5</v>
      </c>
    </row>
    <row r="173" spans="1:15" x14ac:dyDescent="0.45">
      <c r="A173">
        <v>173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86_Längenmessgenauigkeit mm</v>
      </c>
      <c r="C173">
        <f t="shared" ca="1" si="39"/>
        <v>900</v>
      </c>
      <c r="D173" s="3" t="str">
        <f ca="1">VLOOKUP(table_DataQualities[[#This Row],[unit_ID]],table_Units[#All],2)</f>
        <v>+/- mm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3.87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3.6999999999999998E-2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173" s="9">
        <f ca="1">IF(VLOOKUP(table_DataQualities[[#This Row],[unit_ID]],table_Units[],5)&gt;0,table_DataQualities[[#This Row],[z_best]],IF(VLOOKUP(table_DataQualities[[#This Row],[unit_ID]],table_Units[],6)=1,table_DataQualities[[#This Row],[z_worst]]))</f>
        <v>3.87</v>
      </c>
      <c r="K173">
        <f t="shared" ca="1" si="32"/>
        <v>0.68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1</v>
      </c>
      <c r="O173">
        <f t="shared" ca="1" si="33"/>
        <v>3</v>
      </c>
    </row>
    <row r="174" spans="1:15" x14ac:dyDescent="0.45">
      <c r="A174">
        <v>174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0.76100000000000001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4506.3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0.76100000000000001</v>
      </c>
      <c r="I174" s="9">
        <f ca="1">IF(VLOOKUP(table_DataQualities[[#This Row],[unit_ID]],table_Units[],5)&gt;0,table_DataQualities[[#This Row],[z_best]],IF(VLOOKUP(table_DataQualities[[#This Row],[unit_ID]],table_Units[],6)=1,table_DataQualities[[#This Row],[z_worst]]))</f>
        <v>4506.3</v>
      </c>
      <c r="K174">
        <f t="shared" ca="1" si="32"/>
        <v>0.8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1</v>
      </c>
      <c r="O174">
        <f t="shared" ca="1" si="33"/>
        <v>2</v>
      </c>
    </row>
    <row r="175" spans="1:15" x14ac:dyDescent="0.45">
      <c r="A175">
        <v>175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87_Bildgröße</v>
      </c>
      <c r="C175">
        <f t="shared" ref="C175" ca="1" si="41">RANDBETWEEN(5,10)*100</f>
        <v>1000</v>
      </c>
      <c r="D175" s="3" t="str">
        <f ca="1">VLOOKUP(table_DataQualities[[#This Row],[unit_ID]],table_Units[#All],2)</f>
        <v>bit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90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5744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90</v>
      </c>
      <c r="I175" s="9">
        <f ca="1">IF(VLOOKUP(table_DataQualities[[#This Row],[unit_ID]],table_Units[],5)&gt;0,table_DataQualities[[#This Row],[z_best]],IF(VLOOKUP(table_DataQualities[[#This Row],[unit_ID]],table_Units[],6)=1,table_DataQualities[[#This Row],[z_worst]]))</f>
        <v>5744</v>
      </c>
      <c r="K175">
        <f t="shared" ca="1" si="32"/>
        <v>0.94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1</v>
      </c>
      <c r="O175">
        <f t="shared" ca="1" si="33"/>
        <v>1</v>
      </c>
    </row>
    <row r="176" spans="1:15" x14ac:dyDescent="0.45">
      <c r="A176">
        <v>176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0.53800000000000003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226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0.53800000000000003</v>
      </c>
      <c r="I176" s="9">
        <f ca="1">IF(VLOOKUP(table_DataQualities[[#This Row],[unit_ID]],table_Units[],5)&gt;0,table_DataQualities[[#This Row],[z_best]],IF(VLOOKUP(table_DataQualities[[#This Row],[unit_ID]],table_Units[],6)=1,table_DataQualities[[#This Row],[z_worst]]))</f>
        <v>226</v>
      </c>
      <c r="K176">
        <f t="shared" ca="1" si="32"/>
        <v>0.53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1</v>
      </c>
      <c r="O176">
        <f t="shared" ca="1" si="33"/>
        <v>2</v>
      </c>
    </row>
    <row r="177" spans="1:15" x14ac:dyDescent="0.45">
      <c r="A177">
        <v>177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88_Durchflussmessgenauigkeit cm³/s</v>
      </c>
      <c r="C177">
        <f t="shared" ca="1" si="39"/>
        <v>800</v>
      </c>
      <c r="D177" s="3" t="str">
        <f ca="1">VLOOKUP(table_DataQualities[[#This Row],[unit_ID]],table_Units[#All],2)</f>
        <v>+/- cm³/s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0.54800000000000004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3.3999999999999998E-3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3.3999999999999998E-3</v>
      </c>
      <c r="I177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0.54800000000000004</v>
      </c>
      <c r="K177">
        <f t="shared" ca="1" si="32"/>
        <v>0.16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1</v>
      </c>
      <c r="O177">
        <f t="shared" ca="1" si="33"/>
        <v>1</v>
      </c>
    </row>
    <row r="178" spans="1:15" x14ac:dyDescent="0.45">
      <c r="A178">
        <v>178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0.80600000000000005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3133.9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0.80600000000000005</v>
      </c>
      <c r="I178" s="9">
        <f ca="1">IF(VLOOKUP(table_DataQualities[[#This Row],[unit_ID]],table_Units[],5)&gt;0,table_DataQualities[[#This Row],[z_best]],IF(VLOOKUP(table_DataQualities[[#This Row],[unit_ID]],table_Units[],6)=1,table_DataQualities[[#This Row],[z_worst]]))</f>
        <v>3133.9</v>
      </c>
      <c r="K178">
        <f t="shared" ca="1" si="32"/>
        <v>0.86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1</v>
      </c>
      <c r="O178">
        <f t="shared" ca="1" si="33"/>
        <v>2</v>
      </c>
    </row>
    <row r="179" spans="1:15" x14ac:dyDescent="0.45">
      <c r="A179">
        <v>179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89_Temperaturmessgenauigkeit °C</v>
      </c>
      <c r="C179">
        <f t="shared" ca="1" si="39"/>
        <v>500</v>
      </c>
      <c r="D179" s="3" t="str">
        <f ca="1">VLOOKUP(table_DataQualities[[#This Row],[unit_ID]],table_Units[#All],2)</f>
        <v>+/- °C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79" s="9">
        <f ca="1">IF(VLOOKUP(table_DataQualities[[#This Row],[unit_ID]],table_Units[],5)&gt;0,table_DataQualities[[#This Row],[z_best]],IF(VLOOKUP(table_DataQualities[[#This Row],[unit_ID]],table_Units[],6)=1,table_DataQualities[[#This Row],[z_worst]]))</f>
        <v>8</v>
      </c>
      <c r="K179">
        <f t="shared" ca="1" si="32"/>
        <v>0.95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1</v>
      </c>
      <c r="O179">
        <f t="shared" ca="1" si="33"/>
        <v>4</v>
      </c>
    </row>
    <row r="180" spans="1:15" x14ac:dyDescent="0.45">
      <c r="A180">
        <v>180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0.92500000000000004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8359.5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0.92500000000000004</v>
      </c>
      <c r="I180" s="9">
        <f ca="1">IF(VLOOKUP(table_DataQualities[[#This Row],[unit_ID]],table_Units[],5)&gt;0,table_DataQualities[[#This Row],[z_best]],IF(VLOOKUP(table_DataQualities[[#This Row],[unit_ID]],table_Units[],6)=1,table_DataQualities[[#This Row],[z_worst]]))</f>
        <v>8359.5</v>
      </c>
      <c r="K180">
        <f t="shared" ca="1" si="32"/>
        <v>0.55000000000000004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1</v>
      </c>
      <c r="O180">
        <f t="shared" ca="1" si="33"/>
        <v>4</v>
      </c>
    </row>
    <row r="181" spans="1:15" x14ac:dyDescent="0.45">
      <c r="A181">
        <v>181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90_Durchflussmessgenauigkeit cm³/s</v>
      </c>
      <c r="C181">
        <f ca="1">RANDBETWEEN(5,10)*100</f>
        <v>800</v>
      </c>
      <c r="D181" s="3" t="str">
        <f ca="1">VLOOKUP(table_DataQualities[[#This Row],[unit_ID]],table_Units[#All],2)</f>
        <v>+/- cm³/s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0.98599999999999999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7.1000000000000004E-3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7.1000000000000004E-3</v>
      </c>
      <c r="I181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0.98599999999999999</v>
      </c>
      <c r="K181">
        <f t="shared" ca="1" si="32"/>
        <v>0.36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1</v>
      </c>
      <c r="O181">
        <f t="shared" ca="1" si="33"/>
        <v>2</v>
      </c>
    </row>
    <row r="182" spans="1:15" x14ac:dyDescent="0.45">
      <c r="A182">
        <v>182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0.93600000000000005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6471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0.93600000000000005</v>
      </c>
      <c r="I182" s="9">
        <f ca="1">IF(VLOOKUP(table_DataQualities[[#This Row],[unit_ID]],table_Units[],5)&gt;0,table_DataQualities[[#This Row],[z_best]],IF(VLOOKUP(table_DataQualities[[#This Row],[unit_ID]],table_Units[],6)=1,table_DataQualities[[#This Row],[z_worst]]))</f>
        <v>6471</v>
      </c>
      <c r="K182">
        <f t="shared" ca="1" si="32"/>
        <v>0.11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1</v>
      </c>
      <c r="O182">
        <f t="shared" ca="1" si="33"/>
        <v>4</v>
      </c>
    </row>
    <row r="183" spans="1:15" x14ac:dyDescent="0.45">
      <c r="A183">
        <v>183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91_Leistungsmessgenauigkeit W</v>
      </c>
      <c r="C183">
        <f t="shared" ref="C183:C193" ca="1" si="42">RANDBETWEEN(5,10)*100</f>
        <v>600</v>
      </c>
      <c r="D183" s="3" t="str">
        <f ca="1">VLOOKUP(table_DataQualities[[#This Row],[unit_ID]],table_Units[#All],2)</f>
        <v>+/- W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83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0.67</v>
      </c>
      <c r="K183">
        <f t="shared" ca="1" si="32"/>
        <v>0.79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1</v>
      </c>
      <c r="O183">
        <f t="shared" ca="1" si="33"/>
        <v>2</v>
      </c>
    </row>
    <row r="184" spans="1:15" x14ac:dyDescent="0.45">
      <c r="A184">
        <v>184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0.51500000000000001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4152.3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0.51500000000000001</v>
      </c>
      <c r="I184" s="9">
        <f ca="1">IF(VLOOKUP(table_DataQualities[[#This Row],[unit_ID]],table_Units[],5)&gt;0,table_DataQualities[[#This Row],[z_best]],IF(VLOOKUP(table_DataQualities[[#This Row],[unit_ID]],table_Units[],6)=1,table_DataQualities[[#This Row],[z_worst]]))</f>
        <v>4152.3</v>
      </c>
      <c r="K184">
        <f t="shared" ca="1" si="32"/>
        <v>0.96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1</v>
      </c>
      <c r="O184">
        <f t="shared" ca="1" si="33"/>
        <v>5</v>
      </c>
    </row>
    <row r="185" spans="1:15" x14ac:dyDescent="0.45">
      <c r="A185">
        <v>185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92_Geschwindigkeitsmessgenauigkeit mm/s</v>
      </c>
      <c r="C185">
        <f t="shared" ref="C185" ca="1" si="43">RANDBETWEEN(5,10)*100</f>
        <v>700</v>
      </c>
      <c r="D185" s="3" t="str">
        <f ca="1">VLOOKUP(table_DataQualities[[#This Row],[unit_ID]],table_Units[#All],2)</f>
        <v>+/- mm/s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0.39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185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6.5</v>
      </c>
      <c r="K185">
        <f t="shared" ca="1" si="32"/>
        <v>0.85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1</v>
      </c>
      <c r="O185">
        <f t="shared" ca="1" si="33"/>
        <v>3</v>
      </c>
    </row>
    <row r="186" spans="1:15" x14ac:dyDescent="0.45">
      <c r="A186">
        <v>186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0.46899999999999997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3836.3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0.46899999999999997</v>
      </c>
      <c r="I186" s="9">
        <f ca="1">IF(VLOOKUP(table_DataQualities[[#This Row],[unit_ID]],table_Units[],5)&gt;0,table_DataQualities[[#This Row],[z_best]],IF(VLOOKUP(table_DataQualities[[#This Row],[unit_ID]],table_Units[],6)=1,table_DataQualities[[#This Row],[z_worst]]))</f>
        <v>3836.3</v>
      </c>
      <c r="K186">
        <f t="shared" ca="1" si="32"/>
        <v>0.39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1</v>
      </c>
      <c r="O186">
        <f t="shared" ca="1" si="33"/>
        <v>1</v>
      </c>
    </row>
    <row r="187" spans="1:15" x14ac:dyDescent="0.45">
      <c r="A187">
        <v>187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93_Durchflussmessgenauigkeit cm³/s</v>
      </c>
      <c r="C187">
        <f t="shared" ca="1" si="42"/>
        <v>800</v>
      </c>
      <c r="D187" s="3" t="str">
        <f ca="1">VLOOKUP(table_DataQualities[[#This Row],[unit_ID]],table_Units[#All],2)</f>
        <v>+/- cm³/s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5.7000000000000002E-2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8.0000000000000004E-4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8.0000000000000004E-4</v>
      </c>
      <c r="I187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5.7000000000000002E-2</v>
      </c>
      <c r="K187">
        <f t="shared" ca="1" si="32"/>
        <v>0.56999999999999995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1</v>
      </c>
      <c r="O187">
        <f t="shared" ca="1" si="33"/>
        <v>1</v>
      </c>
    </row>
    <row r="188" spans="1:15" x14ac:dyDescent="0.45">
      <c r="A188">
        <v>188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0.11600000000000001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7972.4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0.11600000000000001</v>
      </c>
      <c r="I188" s="9">
        <f ca="1">IF(VLOOKUP(table_DataQualities[[#This Row],[unit_ID]],table_Units[],5)&gt;0,table_DataQualities[[#This Row],[z_best]],IF(VLOOKUP(table_DataQualities[[#This Row],[unit_ID]],table_Units[],6)=1,table_DataQualities[[#This Row],[z_worst]]))</f>
        <v>7972.4</v>
      </c>
      <c r="K188">
        <f t="shared" ca="1" si="32"/>
        <v>0.79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1</v>
      </c>
      <c r="O188">
        <f t="shared" ca="1" si="33"/>
        <v>5</v>
      </c>
    </row>
    <row r="189" spans="1:15" x14ac:dyDescent="0.45">
      <c r="A189">
        <v>189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94_Geschwindigkeitsmessgenauigkeit mm/s</v>
      </c>
      <c r="C189">
        <f t="shared" ref="C189" ca="1" si="44">RANDBETWEEN(5,10)*100</f>
        <v>700</v>
      </c>
      <c r="D189" s="3" t="str">
        <f ca="1">VLOOKUP(table_DataQualities[[#This Row],[unit_ID]],table_Units[#All],2)</f>
        <v>+/- mm/s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0.26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189" s="9">
        <f ca="1">IF(VLOOKUP(table_DataQualities[[#This Row],[unit_ID]],table_Units[],5)&gt;0,table_DataQualities[[#This Row],[z_best]],IF(VLOOKUP(table_DataQualities[[#This Row],[unit_ID]],table_Units[],6)=1,table_DataQualities[[#This Row],[z_worst]]))</f>
        <v>8</v>
      </c>
      <c r="K189">
        <f t="shared" ca="1" si="32"/>
        <v>0.97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1</v>
      </c>
      <c r="O189">
        <f t="shared" ca="1" si="33"/>
        <v>4</v>
      </c>
    </row>
    <row r="190" spans="1:15" x14ac:dyDescent="0.45">
      <c r="A190">
        <v>190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0.81299999999999994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8038.3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0.81299999999999994</v>
      </c>
      <c r="I190" s="9">
        <f ca="1">IF(VLOOKUP(table_DataQualities[[#This Row],[unit_ID]],table_Units[],5)&gt;0,table_DataQualities[[#This Row],[z_best]],IF(VLOOKUP(table_DataQualities[[#This Row],[unit_ID]],table_Units[],6)=1,table_DataQualities[[#This Row],[z_worst]]))</f>
        <v>8038.3</v>
      </c>
      <c r="K190">
        <f t="shared" ca="1" si="32"/>
        <v>0.89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1</v>
      </c>
      <c r="O190">
        <f t="shared" ca="1" si="33"/>
        <v>5</v>
      </c>
    </row>
    <row r="191" spans="1:15" x14ac:dyDescent="0.45">
      <c r="A191">
        <v>191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95_Durchflussmessgenauigkeit cm³/s</v>
      </c>
      <c r="C191">
        <f t="shared" ca="1" si="42"/>
        <v>800</v>
      </c>
      <c r="D191" s="3" t="str">
        <f ca="1">VLOOKUP(table_DataQualities[[#This Row],[unit_ID]],table_Units[#All],2)</f>
        <v>+/- cm³/s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2.3999999999999998E-3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2.3999999999999998E-3</v>
      </c>
      <c r="I191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0.75</v>
      </c>
      <c r="K191">
        <f t="shared" ca="1" si="32"/>
        <v>0.45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1</v>
      </c>
      <c r="O191">
        <f t="shared" ca="1" si="33"/>
        <v>5</v>
      </c>
    </row>
    <row r="192" spans="1:15" x14ac:dyDescent="0.45">
      <c r="A192">
        <v>192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0.124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1183.0999999999999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0.124</v>
      </c>
      <c r="I192" s="9">
        <f ca="1">IF(VLOOKUP(table_DataQualities[[#This Row],[unit_ID]],table_Units[],5)&gt;0,table_DataQualities[[#This Row],[z_best]],IF(VLOOKUP(table_DataQualities[[#This Row],[unit_ID]],table_Units[],6)=1,table_DataQualities[[#This Row],[z_worst]]))</f>
        <v>1183.0999999999999</v>
      </c>
      <c r="K192">
        <f t="shared" ca="1" si="32"/>
        <v>0.56999999999999995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1</v>
      </c>
      <c r="O192">
        <f t="shared" ca="1" si="33"/>
        <v>4</v>
      </c>
    </row>
    <row r="193" spans="1:15" x14ac:dyDescent="0.45">
      <c r="A193">
        <v>193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96_Leistungsmessgenauigkeit W</v>
      </c>
      <c r="C193">
        <f t="shared" ca="1" si="42"/>
        <v>600</v>
      </c>
      <c r="D193" s="3" t="str">
        <f ca="1">VLOOKUP(table_DataQualities[[#This Row],[unit_ID]],table_Units[#All],2)</f>
        <v>+/- W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4.24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5.0999999999999997E-2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193" s="9">
        <f ca="1">IF(VLOOKUP(table_DataQualities[[#This Row],[unit_ID]],table_Units[],5)&gt;0,table_DataQualities[[#This Row],[z_best]],IF(VLOOKUP(table_DataQualities[[#This Row],[unit_ID]],table_Units[],6)=1,table_DataQualities[[#This Row],[z_worst]]))</f>
        <v>4.24</v>
      </c>
      <c r="K193">
        <f t="shared" ca="1" si="32"/>
        <v>0.6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1</v>
      </c>
      <c r="O193">
        <f t="shared" ca="1" si="33"/>
        <v>3</v>
      </c>
    </row>
    <row r="194" spans="1:15" x14ac:dyDescent="0.45">
      <c r="A194">
        <v>194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0.151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9068.4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0.151</v>
      </c>
      <c r="I194" s="9">
        <f ca="1">IF(VLOOKUP(table_DataQualities[[#This Row],[unit_ID]],table_Units[],5)&gt;0,table_DataQualities[[#This Row],[z_best]],IF(VLOOKUP(table_DataQualities[[#This Row],[unit_ID]],table_Units[],6)=1,table_DataQualities[[#This Row],[z_worst]]))</f>
        <v>9068.4</v>
      </c>
      <c r="K194">
        <f t="shared" ca="1" si="32"/>
        <v>0.37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1</v>
      </c>
      <c r="O194">
        <f t="shared" ca="1" si="33"/>
        <v>1</v>
      </c>
    </row>
    <row r="195" spans="1:15" x14ac:dyDescent="0.45">
      <c r="A195">
        <v>195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97_Durchflussmessgenauigkeit cm³/s</v>
      </c>
      <c r="C195">
        <f ca="1">RANDBETWEEN(5,10)*100</f>
        <v>800</v>
      </c>
      <c r="D195" s="3" t="str">
        <f ca="1">VLOOKUP(table_DataQualities[[#This Row],[unit_ID]],table_Units[#All],2)</f>
        <v>+/- cm³/s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0.51200000000000001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8.8000000000000005E-3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8.8000000000000005E-3</v>
      </c>
      <c r="I195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0.51200000000000001</v>
      </c>
      <c r="K195">
        <f t="shared" ca="1" si="32"/>
        <v>0.64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1</v>
      </c>
      <c r="O195">
        <f t="shared" ca="1" si="33"/>
        <v>1</v>
      </c>
    </row>
    <row r="196" spans="1:15" x14ac:dyDescent="0.45">
      <c r="A196">
        <v>196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7655.9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</v>
      </c>
      <c r="I196" s="9">
        <f ca="1">IF(VLOOKUP(table_DataQualities[[#This Row],[unit_ID]],table_Units[],5)&gt;0,table_DataQualities[[#This Row],[z_best]],IF(VLOOKUP(table_DataQualities[[#This Row],[unit_ID]],table_Units[],6)=1,table_DataQualities[[#This Row],[z_worst]]))</f>
        <v>7655.9</v>
      </c>
      <c r="K196">
        <f t="shared" ca="1" si="32"/>
        <v>0.75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1</v>
      </c>
      <c r="O196">
        <f t="shared" ca="1" si="33"/>
        <v>5</v>
      </c>
    </row>
    <row r="197" spans="1:15" x14ac:dyDescent="0.45">
      <c r="A197">
        <v>197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98_Leistungsmessgenauigkeit W</v>
      </c>
      <c r="C197">
        <f t="shared" ref="C197:C207" ca="1" si="45">RANDBETWEEN(5,10)*100</f>
        <v>600</v>
      </c>
      <c r="D197" s="3" t="str">
        <f ca="1">VLOOKUP(table_DataQualities[[#This Row],[unit_ID]],table_Units[#All],2)</f>
        <v>+/- W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197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6.6</v>
      </c>
      <c r="K197">
        <f t="shared" ca="1" si="32"/>
        <v>0.91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1</v>
      </c>
      <c r="O197">
        <f t="shared" ca="1" si="33"/>
        <v>2</v>
      </c>
    </row>
    <row r="198" spans="1:15" x14ac:dyDescent="0.45">
      <c r="A198">
        <v>198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0.61199999999999999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166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0.61199999999999999</v>
      </c>
      <c r="I198" s="9">
        <f ca="1">IF(VLOOKUP(table_DataQualities[[#This Row],[unit_ID]],table_Units[],5)&gt;0,table_DataQualities[[#This Row],[z_best]],IF(VLOOKUP(table_DataQualities[[#This Row],[unit_ID]],table_Units[],6)=1,table_DataQualities[[#This Row],[z_worst]]))</f>
        <v>166</v>
      </c>
      <c r="K198">
        <f t="shared" ca="1" si="32"/>
        <v>0.57999999999999996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1</v>
      </c>
      <c r="O198">
        <f t="shared" ca="1" si="33"/>
        <v>2</v>
      </c>
    </row>
    <row r="199" spans="1:15" x14ac:dyDescent="0.45">
      <c r="A199">
        <v>199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99_Längenmessgenauigkeit mm</v>
      </c>
      <c r="C199">
        <f t="shared" ref="C199" ca="1" si="46">RANDBETWEEN(5,10)*100</f>
        <v>900</v>
      </c>
      <c r="D199" s="3" t="str">
        <f ca="1">VLOOKUP(table_DataQualities[[#This Row],[unit_ID]],table_Units[#All],2)</f>
        <v>+/- mm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4.62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99" s="9">
        <f ca="1">IF(VLOOKUP(table_DataQualities[[#This Row],[unit_ID]],table_Units[],5)&gt;0,table_DataQualities[[#This Row],[z_best]],IF(VLOOKUP(table_DataQualities[[#This Row],[unit_ID]],table_Units[],6)=1,table_DataQualities[[#This Row],[z_worst]]))</f>
        <v>4.62</v>
      </c>
      <c r="K199">
        <f t="shared" ca="1" si="32"/>
        <v>0.39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1</v>
      </c>
      <c r="O199">
        <f t="shared" ca="1" si="33"/>
        <v>2</v>
      </c>
    </row>
    <row r="200" spans="1:15" x14ac:dyDescent="0.45">
      <c r="A200">
        <v>200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9231.1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</v>
      </c>
      <c r="I200" s="9">
        <f ca="1">IF(VLOOKUP(table_DataQualities[[#This Row],[unit_ID]],table_Units[],5)&gt;0,table_DataQualities[[#This Row],[z_best]],IF(VLOOKUP(table_DataQualities[[#This Row],[unit_ID]],table_Units[],6)=1,table_DataQualities[[#This Row],[z_worst]]))</f>
        <v>9231.1</v>
      </c>
      <c r="K200">
        <f t="shared" ca="1" si="32"/>
        <v>0.54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1</v>
      </c>
      <c r="O200">
        <f t="shared" ca="1" si="33"/>
        <v>5</v>
      </c>
    </row>
    <row r="201" spans="1:15" x14ac:dyDescent="0.45">
      <c r="A201">
        <v>201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100_Temperaturmessgenauigkeit °C</v>
      </c>
      <c r="C201">
        <f t="shared" ca="1" si="45"/>
        <v>500</v>
      </c>
      <c r="D201" s="3" t="str">
        <f ca="1">VLOOKUP(table_DataQualities[[#This Row],[unit_ID]],table_Units[#All],2)</f>
        <v>+/- °C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201" s="9">
        <f ca="1">IF(VLOOKUP(table_DataQualities[[#This Row],[unit_ID]],table_Units[],5)&gt;0,table_DataQualities[[#This Row],[z_best]],IF(VLOOKUP(table_DataQualities[[#This Row],[unit_ID]],table_Units[],6)=1,table_DataQualities[[#This Row],[z_worst]]))</f>
        <v>5</v>
      </c>
      <c r="K201">
        <f t="shared" ca="1" si="32"/>
        <v>0.51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1</v>
      </c>
      <c r="O201">
        <f t="shared" ca="1" si="33"/>
        <v>5</v>
      </c>
    </row>
    <row r="202" spans="1:15" x14ac:dyDescent="0.45">
      <c r="A202">
        <v>202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0.29799999999999999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1673.5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0.29799999999999999</v>
      </c>
      <c r="I202" s="9">
        <f ca="1">IF(VLOOKUP(table_DataQualities[[#This Row],[unit_ID]],table_Units[],5)&gt;0,table_DataQualities[[#This Row],[z_best]],IF(VLOOKUP(table_DataQualities[[#This Row],[unit_ID]],table_Units[],6)=1,table_DataQualities[[#This Row],[z_worst]]))</f>
        <v>1673.5</v>
      </c>
      <c r="K202">
        <f t="shared" ca="1" si="32"/>
        <v>0.67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1</v>
      </c>
      <c r="O202">
        <f t="shared" ca="1" si="33"/>
        <v>1</v>
      </c>
    </row>
    <row r="203" spans="1:15" x14ac:dyDescent="0.45">
      <c r="A203">
        <v>203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101_Temperaturmessgenauigkeit °C</v>
      </c>
      <c r="C203">
        <f t="shared" ref="C203" ca="1" si="47">RANDBETWEEN(5,10)*100</f>
        <v>500</v>
      </c>
      <c r="D203" s="3" t="str">
        <f ca="1">VLOOKUP(table_DataQualities[[#This Row],[unit_ID]],table_Units[#All],2)</f>
        <v>+/- °C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03" s="9">
        <f ca="1">IF(VLOOKUP(table_DataQualities[[#This Row],[unit_ID]],table_Units[],5)&gt;0,table_DataQualities[[#This Row],[z_best]],IF(VLOOKUP(table_DataQualities[[#This Row],[unit_ID]],table_Units[],6)=1,table_DataQualities[[#This Row],[z_worst]]))</f>
        <v>6</v>
      </c>
      <c r="K203">
        <f t="shared" ca="1" si="32"/>
        <v>0.92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1</v>
      </c>
      <c r="O203">
        <f t="shared" ca="1" si="33"/>
        <v>1</v>
      </c>
    </row>
    <row r="204" spans="1:15" x14ac:dyDescent="0.45">
      <c r="A204">
        <v>204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6.8000000000000005E-2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7872.9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204" s="9">
        <f ca="1">IF(VLOOKUP(table_DataQualities[[#This Row],[unit_ID]],table_Units[],5)&gt;0,table_DataQualities[[#This Row],[z_best]],IF(VLOOKUP(table_DataQualities[[#This Row],[unit_ID]],table_Units[],6)=1,table_DataQualities[[#This Row],[z_worst]]))</f>
        <v>7872.9</v>
      </c>
      <c r="K204">
        <f t="shared" ca="1" si="32"/>
        <v>0.77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1</v>
      </c>
      <c r="O204">
        <f t="shared" ca="1" si="33"/>
        <v>1</v>
      </c>
    </row>
    <row r="205" spans="1:15" x14ac:dyDescent="0.45">
      <c r="A205">
        <v>205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102_Bildgröße</v>
      </c>
      <c r="C205">
        <f t="shared" ca="1" si="45"/>
        <v>1000</v>
      </c>
      <c r="D205" s="3" t="str">
        <f ca="1">VLOOKUP(table_DataQualities[[#This Row],[unit_ID]],table_Units[#All],2)</f>
        <v>bit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23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1323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23</v>
      </c>
      <c r="I205" s="9">
        <f ca="1">IF(VLOOKUP(table_DataQualities[[#This Row],[unit_ID]],table_Units[],5)&gt;0,table_DataQualities[[#This Row],[z_best]],IF(VLOOKUP(table_DataQualities[[#This Row],[unit_ID]],table_Units[],6)=1,table_DataQualities[[#This Row],[z_worst]]))</f>
        <v>1323</v>
      </c>
      <c r="K205">
        <f t="shared" ref="K205:K268" ca="1" si="48">ROUND(RAND(),2)</f>
        <v>0.59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1</v>
      </c>
      <c r="O205">
        <f t="shared" ref="O205:O268" ca="1" si="49">RANDBETWEEN(1,5)</f>
        <v>5</v>
      </c>
    </row>
    <row r="206" spans="1:15" x14ac:dyDescent="0.45">
      <c r="A206">
        <v>206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0.82599999999999996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9319.1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0.82599999999999996</v>
      </c>
      <c r="I206" s="9">
        <f ca="1">IF(VLOOKUP(table_DataQualities[[#This Row],[unit_ID]],table_Units[],5)&gt;0,table_DataQualities[[#This Row],[z_best]],IF(VLOOKUP(table_DataQualities[[#This Row],[unit_ID]],table_Units[],6)=1,table_DataQualities[[#This Row],[z_worst]]))</f>
        <v>9319.1</v>
      </c>
      <c r="K206">
        <f t="shared" ca="1" si="48"/>
        <v>0.31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1</v>
      </c>
      <c r="O206">
        <f t="shared" ca="1" si="49"/>
        <v>5</v>
      </c>
    </row>
    <row r="207" spans="1:15" x14ac:dyDescent="0.45">
      <c r="A207">
        <v>207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103_Temperaturmessgenauigkeit °C</v>
      </c>
      <c r="C207">
        <f t="shared" ca="1" si="45"/>
        <v>500</v>
      </c>
      <c r="D207" s="3" t="str">
        <f ca="1">VLOOKUP(table_DataQualities[[#This Row],[unit_ID]],table_Units[#All],2)</f>
        <v>+/- °C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07" s="9">
        <f ca="1">IF(VLOOKUP(table_DataQualities[[#This Row],[unit_ID]],table_Units[],5)&gt;0,table_DataQualities[[#This Row],[z_best]],IF(VLOOKUP(table_DataQualities[[#This Row],[unit_ID]],table_Units[],6)=1,table_DataQualities[[#This Row],[z_worst]]))</f>
        <v>1</v>
      </c>
      <c r="K207">
        <f t="shared" ca="1" si="48"/>
        <v>0.89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1</v>
      </c>
      <c r="O207">
        <f t="shared" ca="1" si="49"/>
        <v>5</v>
      </c>
    </row>
    <row r="208" spans="1:15" x14ac:dyDescent="0.45">
      <c r="A208">
        <v>208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0.65700000000000003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1033.5999999999999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0.65700000000000003</v>
      </c>
      <c r="I208" s="9">
        <f ca="1">IF(VLOOKUP(table_DataQualities[[#This Row],[unit_ID]],table_Units[],5)&gt;0,table_DataQualities[[#This Row],[z_best]],IF(VLOOKUP(table_DataQualities[[#This Row],[unit_ID]],table_Units[],6)=1,table_DataQualities[[#This Row],[z_worst]]))</f>
        <v>1033.5999999999999</v>
      </c>
      <c r="K208">
        <f t="shared" ca="1" si="48"/>
        <v>0.52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1</v>
      </c>
      <c r="O208">
        <f t="shared" ca="1" si="49"/>
        <v>3</v>
      </c>
    </row>
    <row r="209" spans="1:15" x14ac:dyDescent="0.45">
      <c r="A209">
        <v>209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104_Durchflussmessgenauigkeit cm³/s</v>
      </c>
      <c r="C209">
        <f ca="1">RANDBETWEEN(5,10)*100</f>
        <v>800</v>
      </c>
      <c r="D209" s="3" t="str">
        <f ca="1">VLOOKUP(table_DataQualities[[#This Row],[unit_ID]],table_Units[#All],2)</f>
        <v>+/- cm³/s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0.86399999999999999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2.3E-3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2.3E-3</v>
      </c>
      <c r="I209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0.86399999999999999</v>
      </c>
      <c r="K209">
        <f t="shared" ca="1" si="48"/>
        <v>0.75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1</v>
      </c>
      <c r="O209">
        <f t="shared" ca="1" si="49"/>
        <v>5</v>
      </c>
    </row>
    <row r="210" spans="1:15" x14ac:dyDescent="0.45">
      <c r="A210">
        <v>210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0.151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3519.3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0.151</v>
      </c>
      <c r="I210" s="9">
        <f ca="1">IF(VLOOKUP(table_DataQualities[[#This Row],[unit_ID]],table_Units[],5)&gt;0,table_DataQualities[[#This Row],[z_best]],IF(VLOOKUP(table_DataQualities[[#This Row],[unit_ID]],table_Units[],6)=1,table_DataQualities[[#This Row],[z_worst]]))</f>
        <v>3519.3</v>
      </c>
      <c r="K210">
        <f t="shared" ca="1" si="48"/>
        <v>0.93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1</v>
      </c>
      <c r="O210">
        <f t="shared" ca="1" si="49"/>
        <v>5</v>
      </c>
    </row>
    <row r="211" spans="1:15" x14ac:dyDescent="0.45">
      <c r="A211">
        <v>211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105_Geschwindigkeitsmessgenauigkeit mm/s</v>
      </c>
      <c r="C211">
        <f t="shared" ref="C211:C221" ca="1" si="50">RANDBETWEEN(5,10)*100</f>
        <v>700</v>
      </c>
      <c r="D211" s="3" t="str">
        <f ca="1">VLOOKUP(table_DataQualities[[#This Row],[unit_ID]],table_Units[#All],2)</f>
        <v>+/- mm/s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0.98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</v>
      </c>
      <c r="I211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6.6</v>
      </c>
      <c r="K211">
        <f t="shared" ca="1" si="48"/>
        <v>0.12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1</v>
      </c>
      <c r="O211">
        <f t="shared" ca="1" si="49"/>
        <v>5</v>
      </c>
    </row>
    <row r="212" spans="1:15" x14ac:dyDescent="0.45">
      <c r="A212">
        <v>212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0.36599999999999999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8627.6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0.36599999999999999</v>
      </c>
      <c r="I212" s="9">
        <f ca="1">IF(VLOOKUP(table_DataQualities[[#This Row],[unit_ID]],table_Units[],5)&gt;0,table_DataQualities[[#This Row],[z_best]],IF(VLOOKUP(table_DataQualities[[#This Row],[unit_ID]],table_Units[],6)=1,table_DataQualities[[#This Row],[z_worst]]))</f>
        <v>8627.6</v>
      </c>
      <c r="K212">
        <f t="shared" ca="1" si="48"/>
        <v>0.53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1</v>
      </c>
      <c r="O212">
        <f t="shared" ca="1" si="49"/>
        <v>2</v>
      </c>
    </row>
    <row r="213" spans="1:15" x14ac:dyDescent="0.45">
      <c r="A213">
        <v>213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106_Leistungsmessgenauigkeit W</v>
      </c>
      <c r="C213">
        <f t="shared" ref="C213" ca="1" si="51">RANDBETWEEN(5,10)*100</f>
        <v>600</v>
      </c>
      <c r="D213" s="3" t="str">
        <f ca="1">VLOOKUP(table_DataQualities[[#This Row],[unit_ID]],table_Units[#All],2)</f>
        <v>+/- W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8.61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213" s="9">
        <f ca="1">IF(VLOOKUP(table_DataQualities[[#This Row],[unit_ID]],table_Units[],5)&gt;0,table_DataQualities[[#This Row],[z_best]],IF(VLOOKUP(table_DataQualities[[#This Row],[unit_ID]],table_Units[],6)=1,table_DataQualities[[#This Row],[z_worst]]))</f>
        <v>8.61</v>
      </c>
      <c r="K213">
        <f t="shared" ca="1" si="48"/>
        <v>0.32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1</v>
      </c>
      <c r="O213">
        <f t="shared" ca="1" si="49"/>
        <v>3</v>
      </c>
    </row>
    <row r="214" spans="1:15" x14ac:dyDescent="0.45">
      <c r="A214">
        <v>214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0.20399999999999999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3281.2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0.20399999999999999</v>
      </c>
      <c r="I214" s="9">
        <f ca="1">IF(VLOOKUP(table_DataQualities[[#This Row],[unit_ID]],table_Units[],5)&gt;0,table_DataQualities[[#This Row],[z_best]],IF(VLOOKUP(table_DataQualities[[#This Row],[unit_ID]],table_Units[],6)=1,table_DataQualities[[#This Row],[z_worst]]))</f>
        <v>3281.2</v>
      </c>
      <c r="K214">
        <f t="shared" ca="1" si="48"/>
        <v>0.55000000000000004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1</v>
      </c>
      <c r="O214">
        <f t="shared" ca="1" si="49"/>
        <v>4</v>
      </c>
    </row>
    <row r="215" spans="1:15" x14ac:dyDescent="0.45">
      <c r="A215">
        <v>215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107_Temperaturmessgenauigkeit °C</v>
      </c>
      <c r="C215">
        <f t="shared" ca="1" si="50"/>
        <v>500</v>
      </c>
      <c r="D215" s="3" t="str">
        <f ca="1">VLOOKUP(table_DataQualities[[#This Row],[unit_ID]],table_Units[#All],2)</f>
        <v>+/- °C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15" s="9">
        <f ca="1">IF(VLOOKUP(table_DataQualities[[#This Row],[unit_ID]],table_Units[],5)&gt;0,table_DataQualities[[#This Row],[z_best]],IF(VLOOKUP(table_DataQualities[[#This Row],[unit_ID]],table_Units[],6)=1,table_DataQualities[[#This Row],[z_worst]]))</f>
        <v>6</v>
      </c>
      <c r="K215">
        <f t="shared" ca="1" si="48"/>
        <v>0.06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1</v>
      </c>
      <c r="O215">
        <f t="shared" ca="1" si="49"/>
        <v>1</v>
      </c>
    </row>
    <row r="216" spans="1:15" x14ac:dyDescent="0.45">
      <c r="A216">
        <v>216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0.57899999999999996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2071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0.57899999999999996</v>
      </c>
      <c r="I216" s="9">
        <f ca="1">IF(VLOOKUP(table_DataQualities[[#This Row],[unit_ID]],table_Units[],5)&gt;0,table_DataQualities[[#This Row],[z_best]],IF(VLOOKUP(table_DataQualities[[#This Row],[unit_ID]],table_Units[],6)=1,table_DataQualities[[#This Row],[z_worst]]))</f>
        <v>2071</v>
      </c>
      <c r="K216">
        <f t="shared" ca="1" si="48"/>
        <v>0.01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1</v>
      </c>
      <c r="O216">
        <f t="shared" ca="1" si="49"/>
        <v>5</v>
      </c>
    </row>
    <row r="217" spans="1:15" x14ac:dyDescent="0.45">
      <c r="A217">
        <v>217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108_Bildgröße</v>
      </c>
      <c r="C217">
        <f t="shared" ref="C217" ca="1" si="52">RANDBETWEEN(5,10)*100</f>
        <v>1000</v>
      </c>
      <c r="D217" s="3" t="str">
        <f ca="1">VLOOKUP(table_DataQualities[[#This Row],[unit_ID]],table_Units[#All],2)</f>
        <v>bit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81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7807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81</v>
      </c>
      <c r="I217" s="9">
        <f ca="1">IF(VLOOKUP(table_DataQualities[[#This Row],[unit_ID]],table_Units[],5)&gt;0,table_DataQualities[[#This Row],[z_best]],IF(VLOOKUP(table_DataQualities[[#This Row],[unit_ID]],table_Units[],6)=1,table_DataQualities[[#This Row],[z_worst]]))</f>
        <v>7807</v>
      </c>
      <c r="K217">
        <f t="shared" ca="1" si="48"/>
        <v>0.79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1</v>
      </c>
      <c r="O217">
        <f t="shared" ca="1" si="49"/>
        <v>5</v>
      </c>
    </row>
    <row r="218" spans="1:15" x14ac:dyDescent="0.45">
      <c r="A218">
        <v>218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0.81100000000000005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5991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0.81100000000000005</v>
      </c>
      <c r="I218" s="9">
        <f ca="1">IF(VLOOKUP(table_DataQualities[[#This Row],[unit_ID]],table_Units[],5)&gt;0,table_DataQualities[[#This Row],[z_best]],IF(VLOOKUP(table_DataQualities[[#This Row],[unit_ID]],table_Units[],6)=1,table_DataQualities[[#This Row],[z_worst]]))</f>
        <v>5991</v>
      </c>
      <c r="K218">
        <f t="shared" ca="1" si="48"/>
        <v>0.81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1</v>
      </c>
      <c r="O218">
        <f t="shared" ca="1" si="49"/>
        <v>1</v>
      </c>
    </row>
    <row r="219" spans="1:15" x14ac:dyDescent="0.45">
      <c r="A219">
        <v>219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109_Längenmessgenauigkeit mm</v>
      </c>
      <c r="C219">
        <f t="shared" ca="1" si="50"/>
        <v>900</v>
      </c>
      <c r="D219" s="3" t="str">
        <f ca="1">VLOOKUP(table_DataQualities[[#This Row],[unit_ID]],table_Units[#All],2)</f>
        <v>+/- mm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3.57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219" s="9">
        <f ca="1">IF(VLOOKUP(table_DataQualities[[#This Row],[unit_ID]],table_Units[],5)&gt;0,table_DataQualities[[#This Row],[z_best]],IF(VLOOKUP(table_DataQualities[[#This Row],[unit_ID]],table_Units[],6)=1,table_DataQualities[[#This Row],[z_worst]]))</f>
        <v>3.57</v>
      </c>
      <c r="K219">
        <f t="shared" ca="1" si="48"/>
        <v>0.33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1</v>
      </c>
      <c r="O219">
        <f t="shared" ca="1" si="49"/>
        <v>5</v>
      </c>
    </row>
    <row r="220" spans="1:15" x14ac:dyDescent="0.45">
      <c r="A220">
        <v>220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0.76800000000000002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8548.2000000000007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0.76800000000000002</v>
      </c>
      <c r="I220" s="9">
        <f ca="1">IF(VLOOKUP(table_DataQualities[[#This Row],[unit_ID]],table_Units[],5)&gt;0,table_DataQualities[[#This Row],[z_best]],IF(VLOOKUP(table_DataQualities[[#This Row],[unit_ID]],table_Units[],6)=1,table_DataQualities[[#This Row],[z_worst]]))</f>
        <v>8548.2000000000007</v>
      </c>
      <c r="K220">
        <f t="shared" ca="1" si="48"/>
        <v>0.85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1</v>
      </c>
      <c r="O220">
        <f t="shared" ca="1" si="49"/>
        <v>5</v>
      </c>
    </row>
    <row r="221" spans="1:15" x14ac:dyDescent="0.45">
      <c r="A221">
        <v>221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110_Bildgröße</v>
      </c>
      <c r="C221">
        <f t="shared" ca="1" si="50"/>
        <v>1000</v>
      </c>
      <c r="D221" s="3" t="str">
        <f ca="1">VLOOKUP(table_DataQualities[[#This Row],[unit_ID]],table_Units[#All],2)</f>
        <v>bit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12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2531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12</v>
      </c>
      <c r="I221" s="9">
        <f ca="1">IF(VLOOKUP(table_DataQualities[[#This Row],[unit_ID]],table_Units[],5)&gt;0,table_DataQualities[[#This Row],[z_best]],IF(VLOOKUP(table_DataQualities[[#This Row],[unit_ID]],table_Units[],6)=1,table_DataQualities[[#This Row],[z_worst]]))</f>
        <v>2531</v>
      </c>
      <c r="K221">
        <f t="shared" ca="1" si="48"/>
        <v>0.88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1</v>
      </c>
      <c r="O221">
        <f t="shared" ca="1" si="49"/>
        <v>2</v>
      </c>
    </row>
    <row r="222" spans="1:15" x14ac:dyDescent="0.45">
      <c r="A222">
        <v>222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0.224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3179.8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0.224</v>
      </c>
      <c r="I222" s="9">
        <f ca="1">IF(VLOOKUP(table_DataQualities[[#This Row],[unit_ID]],table_Units[],5)&gt;0,table_DataQualities[[#This Row],[z_best]],IF(VLOOKUP(table_DataQualities[[#This Row],[unit_ID]],table_Units[],6)=1,table_DataQualities[[#This Row],[z_worst]]))</f>
        <v>3179.8</v>
      </c>
      <c r="K222">
        <f t="shared" ca="1" si="48"/>
        <v>0.35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1</v>
      </c>
      <c r="O222">
        <f t="shared" ca="1" si="49"/>
        <v>3</v>
      </c>
    </row>
    <row r="223" spans="1:15" x14ac:dyDescent="0.45">
      <c r="A223">
        <v>223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111_Längenmessgenauigkeit mm</v>
      </c>
      <c r="C223">
        <f ca="1">RANDBETWEEN(5,10)*100</f>
        <v>900</v>
      </c>
      <c r="D223" s="3" t="str">
        <f ca="1">VLOOKUP(table_DataQualities[[#This Row],[unit_ID]],table_Units[#All],2)</f>
        <v>+/- mm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2.91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223" s="9">
        <f ca="1">IF(VLOOKUP(table_DataQualities[[#This Row],[unit_ID]],table_Units[],5)&gt;0,table_DataQualities[[#This Row],[z_best]],IF(VLOOKUP(table_DataQualities[[#This Row],[unit_ID]],table_Units[],6)=1,table_DataQualities[[#This Row],[z_worst]]))</f>
        <v>2.91</v>
      </c>
      <c r="K223">
        <f t="shared" ca="1" si="48"/>
        <v>0.63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1</v>
      </c>
      <c r="O223">
        <f t="shared" ca="1" si="49"/>
        <v>1</v>
      </c>
    </row>
    <row r="224" spans="1:15" x14ac:dyDescent="0.45">
      <c r="A224">
        <v>224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0.33400000000000002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937.1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0.33400000000000002</v>
      </c>
      <c r="I224" s="9">
        <f ca="1">IF(VLOOKUP(table_DataQualities[[#This Row],[unit_ID]],table_Units[],5)&gt;0,table_DataQualities[[#This Row],[z_best]],IF(VLOOKUP(table_DataQualities[[#This Row],[unit_ID]],table_Units[],6)=1,table_DataQualities[[#This Row],[z_worst]]))</f>
        <v>937.1</v>
      </c>
      <c r="K224">
        <f t="shared" ca="1" si="48"/>
        <v>0.12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1</v>
      </c>
      <c r="O224">
        <f t="shared" ca="1" si="49"/>
        <v>5</v>
      </c>
    </row>
    <row r="225" spans="1:15" x14ac:dyDescent="0.45">
      <c r="A225">
        <v>225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112_Bildgröße</v>
      </c>
      <c r="C225">
        <f t="shared" ref="C225:C235" ca="1" si="53">RANDBETWEEN(5,10)*100</f>
        <v>1000</v>
      </c>
      <c r="D225" s="3" t="str">
        <f ca="1">VLOOKUP(table_DataQualities[[#This Row],[unit_ID]],table_Units[#All],2)</f>
        <v>bit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36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1429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36</v>
      </c>
      <c r="I225" s="9">
        <f ca="1">IF(VLOOKUP(table_DataQualities[[#This Row],[unit_ID]],table_Units[],5)&gt;0,table_DataQualities[[#This Row],[z_best]],IF(VLOOKUP(table_DataQualities[[#This Row],[unit_ID]],table_Units[],6)=1,table_DataQualities[[#This Row],[z_worst]]))</f>
        <v>1429</v>
      </c>
      <c r="K225">
        <f t="shared" ca="1" si="48"/>
        <v>0.37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1</v>
      </c>
      <c r="O225">
        <f t="shared" ca="1" si="49"/>
        <v>2</v>
      </c>
    </row>
    <row r="226" spans="1:15" x14ac:dyDescent="0.45">
      <c r="A226">
        <v>226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0.503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1225.5999999999999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0.503</v>
      </c>
      <c r="I226" s="9">
        <f ca="1">IF(VLOOKUP(table_DataQualities[[#This Row],[unit_ID]],table_Units[],5)&gt;0,table_DataQualities[[#This Row],[z_best]],IF(VLOOKUP(table_DataQualities[[#This Row],[unit_ID]],table_Units[],6)=1,table_DataQualities[[#This Row],[z_worst]]))</f>
        <v>1225.5999999999999</v>
      </c>
      <c r="K226">
        <f t="shared" ca="1" si="48"/>
        <v>0.85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1</v>
      </c>
      <c r="O226">
        <f t="shared" ca="1" si="49"/>
        <v>5</v>
      </c>
    </row>
    <row r="227" spans="1:15" x14ac:dyDescent="0.45">
      <c r="A227">
        <v>227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113_Bildgröße</v>
      </c>
      <c r="C227">
        <f t="shared" ref="C227" ca="1" si="54">RANDBETWEEN(5,10)*100</f>
        <v>1000</v>
      </c>
      <c r="D227" s="3" t="str">
        <f ca="1">VLOOKUP(table_DataQualities[[#This Row],[unit_ID]],table_Units[#All],2)</f>
        <v>bit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43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3664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43</v>
      </c>
      <c r="I227" s="9">
        <f ca="1">IF(VLOOKUP(table_DataQualities[[#This Row],[unit_ID]],table_Units[],5)&gt;0,table_DataQualities[[#This Row],[z_best]],IF(VLOOKUP(table_DataQualities[[#This Row],[unit_ID]],table_Units[],6)=1,table_DataQualities[[#This Row],[z_worst]]))</f>
        <v>3664</v>
      </c>
      <c r="K227">
        <f t="shared" ca="1" si="48"/>
        <v>0.06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1</v>
      </c>
      <c r="O227">
        <f t="shared" ca="1" si="49"/>
        <v>4</v>
      </c>
    </row>
    <row r="228" spans="1:15" x14ac:dyDescent="0.45">
      <c r="A228">
        <v>228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0.20699999999999999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1153.4000000000001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0.20699999999999999</v>
      </c>
      <c r="I228" s="9">
        <f ca="1">IF(VLOOKUP(table_DataQualities[[#This Row],[unit_ID]],table_Units[],5)&gt;0,table_DataQualities[[#This Row],[z_best]],IF(VLOOKUP(table_DataQualities[[#This Row],[unit_ID]],table_Units[],6)=1,table_DataQualities[[#This Row],[z_worst]]))</f>
        <v>1153.4000000000001</v>
      </c>
      <c r="K228">
        <f t="shared" ca="1" si="48"/>
        <v>0.42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1</v>
      </c>
      <c r="O228">
        <f t="shared" ca="1" si="49"/>
        <v>5</v>
      </c>
    </row>
    <row r="229" spans="1:15" x14ac:dyDescent="0.45">
      <c r="A229">
        <v>229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114_Temperaturmessgenauigkeit °C</v>
      </c>
      <c r="C229">
        <f t="shared" ca="1" si="53"/>
        <v>500</v>
      </c>
      <c r="D229" s="3" t="str">
        <f ca="1">VLOOKUP(table_DataQualities[[#This Row],[unit_ID]],table_Units[#All],2)</f>
        <v>+/- °C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29" s="9">
        <f ca="1">IF(VLOOKUP(table_DataQualities[[#This Row],[unit_ID]],table_Units[],5)&gt;0,table_DataQualities[[#This Row],[z_best]],IF(VLOOKUP(table_DataQualities[[#This Row],[unit_ID]],table_Units[],6)=1,table_DataQualities[[#This Row],[z_worst]]))</f>
        <v>6</v>
      </c>
      <c r="K229">
        <f t="shared" ca="1" si="48"/>
        <v>0.65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1</v>
      </c>
      <c r="O229">
        <f t="shared" ca="1" si="49"/>
        <v>4</v>
      </c>
    </row>
    <row r="230" spans="1:15" x14ac:dyDescent="0.45">
      <c r="A230">
        <v>230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0.54300000000000004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8476.5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0.54300000000000004</v>
      </c>
      <c r="I230" s="9">
        <f ca="1">IF(VLOOKUP(table_DataQualities[[#This Row],[unit_ID]],table_Units[],5)&gt;0,table_DataQualities[[#This Row],[z_best]],IF(VLOOKUP(table_DataQualities[[#This Row],[unit_ID]],table_Units[],6)=1,table_DataQualities[[#This Row],[z_worst]]))</f>
        <v>8476.5</v>
      </c>
      <c r="K230">
        <f t="shared" ca="1" si="48"/>
        <v>7.0000000000000007E-2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1</v>
      </c>
      <c r="O230">
        <f t="shared" ca="1" si="49"/>
        <v>5</v>
      </c>
    </row>
    <row r="231" spans="1:15" x14ac:dyDescent="0.45">
      <c r="A231">
        <v>231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115_Temperaturmessgenauigkeit °C</v>
      </c>
      <c r="C231">
        <f t="shared" ref="C231" ca="1" si="55">RANDBETWEEN(5,10)*100</f>
        <v>500</v>
      </c>
      <c r="D231" s="3" t="str">
        <f ca="1">VLOOKUP(table_DataQualities[[#This Row],[unit_ID]],table_Units[#All],2)</f>
        <v>+/- °C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31" s="9">
        <f ca="1">IF(VLOOKUP(table_DataQualities[[#This Row],[unit_ID]],table_Units[],5)&gt;0,table_DataQualities[[#This Row],[z_best]],IF(VLOOKUP(table_DataQualities[[#This Row],[unit_ID]],table_Units[],6)=1,table_DataQualities[[#This Row],[z_worst]]))</f>
        <v>9</v>
      </c>
      <c r="K231">
        <f t="shared" ca="1" si="48"/>
        <v>0.43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1</v>
      </c>
      <c r="O231">
        <f t="shared" ca="1" si="49"/>
        <v>1</v>
      </c>
    </row>
    <row r="232" spans="1:15" x14ac:dyDescent="0.45">
      <c r="A232">
        <v>232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0.54300000000000004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8963.2000000000007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0.54300000000000004</v>
      </c>
      <c r="I232" s="9">
        <f ca="1">IF(VLOOKUP(table_DataQualities[[#This Row],[unit_ID]],table_Units[],5)&gt;0,table_DataQualities[[#This Row],[z_best]],IF(VLOOKUP(table_DataQualities[[#This Row],[unit_ID]],table_Units[],6)=1,table_DataQualities[[#This Row],[z_worst]]))</f>
        <v>8963.2000000000007</v>
      </c>
      <c r="K232">
        <f t="shared" ca="1" si="48"/>
        <v>0.62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1</v>
      </c>
      <c r="O232">
        <f t="shared" ca="1" si="49"/>
        <v>1</v>
      </c>
    </row>
    <row r="233" spans="1:15" x14ac:dyDescent="0.45">
      <c r="A233">
        <v>233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116_Temperaturmessgenauigkeit °C</v>
      </c>
      <c r="C233">
        <f t="shared" ca="1" si="53"/>
        <v>500</v>
      </c>
      <c r="D233" s="3" t="str">
        <f ca="1">VLOOKUP(table_DataQualities[[#This Row],[unit_ID]],table_Units[#All],2)</f>
        <v>+/- °C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33" s="9">
        <f ca="1">IF(VLOOKUP(table_DataQualities[[#This Row],[unit_ID]],table_Units[],5)&gt;0,table_DataQualities[[#This Row],[z_best]],IF(VLOOKUP(table_DataQualities[[#This Row],[unit_ID]],table_Units[],6)=1,table_DataQualities[[#This Row],[z_worst]]))</f>
        <v>9</v>
      </c>
      <c r="K233">
        <f t="shared" ca="1" si="48"/>
        <v>0.02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1</v>
      </c>
      <c r="O233">
        <f t="shared" ca="1" si="49"/>
        <v>4</v>
      </c>
    </row>
    <row r="234" spans="1:15" x14ac:dyDescent="0.45">
      <c r="A234">
        <v>234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0.72499999999999998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4663.3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0.72499999999999998</v>
      </c>
      <c r="I234" s="9">
        <f ca="1">IF(VLOOKUP(table_DataQualities[[#This Row],[unit_ID]],table_Units[],5)&gt;0,table_DataQualities[[#This Row],[z_best]],IF(VLOOKUP(table_DataQualities[[#This Row],[unit_ID]],table_Units[],6)=1,table_DataQualities[[#This Row],[z_worst]]))</f>
        <v>4663.3</v>
      </c>
      <c r="K234">
        <f t="shared" ca="1" si="48"/>
        <v>0.56000000000000005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1</v>
      </c>
      <c r="O234">
        <f t="shared" ca="1" si="49"/>
        <v>5</v>
      </c>
    </row>
    <row r="235" spans="1:15" x14ac:dyDescent="0.45">
      <c r="A235">
        <v>235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117_Bildgröße</v>
      </c>
      <c r="C235">
        <f t="shared" ca="1" si="53"/>
        <v>1000</v>
      </c>
      <c r="D235" s="3" t="str">
        <f ca="1">VLOOKUP(table_DataQualities[[#This Row],[unit_ID]],table_Units[#All],2)</f>
        <v>bit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40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5653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40</v>
      </c>
      <c r="I235" s="9">
        <f ca="1">IF(VLOOKUP(table_DataQualities[[#This Row],[unit_ID]],table_Units[],5)&gt;0,table_DataQualities[[#This Row],[z_best]],IF(VLOOKUP(table_DataQualities[[#This Row],[unit_ID]],table_Units[],6)=1,table_DataQualities[[#This Row],[z_worst]]))</f>
        <v>5653</v>
      </c>
      <c r="K235">
        <f t="shared" ca="1" si="48"/>
        <v>0.1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1</v>
      </c>
      <c r="O235">
        <f t="shared" ca="1" si="49"/>
        <v>5</v>
      </c>
    </row>
    <row r="236" spans="1:15" x14ac:dyDescent="0.45">
      <c r="A236">
        <v>236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0.41199999999999998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6498.5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0.41199999999999998</v>
      </c>
      <c r="I236" s="9">
        <f ca="1">IF(VLOOKUP(table_DataQualities[[#This Row],[unit_ID]],table_Units[],5)&gt;0,table_DataQualities[[#This Row],[z_best]],IF(VLOOKUP(table_DataQualities[[#This Row],[unit_ID]],table_Units[],6)=1,table_DataQualities[[#This Row],[z_worst]]))</f>
        <v>6498.5</v>
      </c>
      <c r="K236">
        <f t="shared" ca="1" si="48"/>
        <v>0.2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1</v>
      </c>
      <c r="O236">
        <f t="shared" ca="1" si="49"/>
        <v>2</v>
      </c>
    </row>
    <row r="237" spans="1:15" x14ac:dyDescent="0.45">
      <c r="A237">
        <v>237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118_Längenmessgenauigkeit mm</v>
      </c>
      <c r="C237">
        <f ca="1">RANDBETWEEN(5,10)*100</f>
        <v>900</v>
      </c>
      <c r="D237" s="3" t="str">
        <f ca="1">VLOOKUP(table_DataQualities[[#This Row],[unit_ID]],table_Units[#All],2)</f>
        <v>+/- mm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5.53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237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5.53</v>
      </c>
      <c r="K237">
        <f t="shared" ca="1" si="48"/>
        <v>0.57999999999999996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1</v>
      </c>
      <c r="O237">
        <f t="shared" ca="1" si="49"/>
        <v>5</v>
      </c>
    </row>
    <row r="238" spans="1:15" x14ac:dyDescent="0.45">
      <c r="A238">
        <v>238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0.65500000000000003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1119.5999999999999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0.65500000000000003</v>
      </c>
      <c r="I238" s="9">
        <f ca="1">IF(VLOOKUP(table_DataQualities[[#This Row],[unit_ID]],table_Units[],5)&gt;0,table_DataQualities[[#This Row],[z_best]],IF(VLOOKUP(table_DataQualities[[#This Row],[unit_ID]],table_Units[],6)=1,table_DataQualities[[#This Row],[z_worst]]))</f>
        <v>1119.5999999999999</v>
      </c>
      <c r="K238">
        <f t="shared" ca="1" si="48"/>
        <v>0.3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1</v>
      </c>
      <c r="O238">
        <f t="shared" ca="1" si="49"/>
        <v>4</v>
      </c>
    </row>
    <row r="239" spans="1:15" x14ac:dyDescent="0.45">
      <c r="A239">
        <v>239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119_Leistungsmessgenauigkeit W</v>
      </c>
      <c r="C239">
        <f t="shared" ref="C239:C249" ca="1" si="56">RANDBETWEEN(5,10)*100</f>
        <v>600</v>
      </c>
      <c r="D239" s="3" t="str">
        <f ca="1">VLOOKUP(table_DataQualities[[#This Row],[unit_ID]],table_Units[#All],2)</f>
        <v>+/- W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239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9.5</v>
      </c>
      <c r="K239">
        <f t="shared" ca="1" si="48"/>
        <v>0.76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1</v>
      </c>
      <c r="O239">
        <f t="shared" ca="1" si="49"/>
        <v>3</v>
      </c>
    </row>
    <row r="240" spans="1:15" x14ac:dyDescent="0.45">
      <c r="A240">
        <v>240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3.9E-2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8025.4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240" s="9">
        <f ca="1">IF(VLOOKUP(table_DataQualities[[#This Row],[unit_ID]],table_Units[],5)&gt;0,table_DataQualities[[#This Row],[z_best]],IF(VLOOKUP(table_DataQualities[[#This Row],[unit_ID]],table_Units[],6)=1,table_DataQualities[[#This Row],[z_worst]]))</f>
        <v>8025.4</v>
      </c>
      <c r="K240">
        <f t="shared" ca="1" si="48"/>
        <v>0.34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1</v>
      </c>
      <c r="O240">
        <f t="shared" ca="1" si="49"/>
        <v>4</v>
      </c>
    </row>
    <row r="241" spans="1:15" x14ac:dyDescent="0.45">
      <c r="A241">
        <v>241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120_Leistungsmessgenauigkeit W</v>
      </c>
      <c r="C241">
        <f t="shared" ref="C241" ca="1" si="57">RANDBETWEEN(5,10)*100</f>
        <v>600</v>
      </c>
      <c r="D241" s="3" t="str">
        <f ca="1">VLOOKUP(table_DataQualities[[#This Row],[unit_ID]],table_Units[#All],2)</f>
        <v>+/- W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4.38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2.5000000000000001E-2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2.5000000000000001E-2</v>
      </c>
      <c r="I241" s="9">
        <f ca="1">IF(VLOOKUP(table_DataQualities[[#This Row],[unit_ID]],table_Units[],5)&gt;0,table_DataQualities[[#This Row],[z_best]],IF(VLOOKUP(table_DataQualities[[#This Row],[unit_ID]],table_Units[],6)=1,table_DataQualities[[#This Row],[z_worst]]))</f>
        <v>4.38</v>
      </c>
      <c r="K241">
        <f t="shared" ca="1" si="48"/>
        <v>0.13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1</v>
      </c>
      <c r="O241">
        <f t="shared" ca="1" si="49"/>
        <v>4</v>
      </c>
    </row>
    <row r="242" spans="1:15" x14ac:dyDescent="0.45">
      <c r="A242">
        <v>242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0.42299999999999999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4673.5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0.42299999999999999</v>
      </c>
      <c r="I242" s="9">
        <f ca="1">IF(VLOOKUP(table_DataQualities[[#This Row],[unit_ID]],table_Units[],5)&gt;0,table_DataQualities[[#This Row],[z_best]],IF(VLOOKUP(table_DataQualities[[#This Row],[unit_ID]],table_Units[],6)=1,table_DataQualities[[#This Row],[z_worst]]))</f>
        <v>4673.5</v>
      </c>
      <c r="K242">
        <f t="shared" ca="1" si="48"/>
        <v>0.41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1</v>
      </c>
      <c r="O242">
        <f t="shared" ca="1" si="49"/>
        <v>1</v>
      </c>
    </row>
    <row r="243" spans="1:15" x14ac:dyDescent="0.45">
      <c r="A243">
        <v>243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121_Durchflussmessgenauigkeit cm³/s</v>
      </c>
      <c r="C243">
        <f t="shared" ca="1" si="56"/>
        <v>800</v>
      </c>
      <c r="D243" s="3" t="str">
        <f ca="1">VLOOKUP(table_DataQualities[[#This Row],[unit_ID]],table_Units[#All],2)</f>
        <v>+/- cm³/s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0.32800000000000001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7.6E-3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7.6E-3</v>
      </c>
      <c r="I243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0.32800000000000001</v>
      </c>
      <c r="K243">
        <f t="shared" ca="1" si="48"/>
        <v>0.68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1</v>
      </c>
      <c r="O243">
        <f t="shared" ca="1" si="49"/>
        <v>5</v>
      </c>
    </row>
    <row r="244" spans="1:15" x14ac:dyDescent="0.45">
      <c r="A244">
        <v>244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1248.4000000000001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</v>
      </c>
      <c r="I244" s="9">
        <f ca="1">IF(VLOOKUP(table_DataQualities[[#This Row],[unit_ID]],table_Units[],5)&gt;0,table_DataQualities[[#This Row],[z_best]],IF(VLOOKUP(table_DataQualities[[#This Row],[unit_ID]],table_Units[],6)=1,table_DataQualities[[#This Row],[z_worst]]))</f>
        <v>1248.4000000000001</v>
      </c>
      <c r="K244">
        <f t="shared" ca="1" si="48"/>
        <v>0.26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1</v>
      </c>
      <c r="O244">
        <f t="shared" ca="1" si="49"/>
        <v>3</v>
      </c>
    </row>
    <row r="245" spans="1:15" x14ac:dyDescent="0.45">
      <c r="A245">
        <v>245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122_Längenmessgenauigkeit mm</v>
      </c>
      <c r="C245">
        <f t="shared" ref="C245" ca="1" si="58">RANDBETWEEN(5,10)*100</f>
        <v>900</v>
      </c>
      <c r="D245" s="3" t="str">
        <f ca="1">VLOOKUP(table_DataQualities[[#This Row],[unit_ID]],table_Units[#All],2)</f>
        <v>+/- mm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245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6.8</v>
      </c>
      <c r="K245">
        <f t="shared" ca="1" si="48"/>
        <v>0.82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1</v>
      </c>
      <c r="O245">
        <f t="shared" ca="1" si="49"/>
        <v>4</v>
      </c>
    </row>
    <row r="246" spans="1:15" x14ac:dyDescent="0.45">
      <c r="A246">
        <v>246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6655.6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</v>
      </c>
      <c r="I246" s="9">
        <f ca="1">IF(VLOOKUP(table_DataQualities[[#This Row],[unit_ID]],table_Units[],5)&gt;0,table_DataQualities[[#This Row],[z_best]],IF(VLOOKUP(table_DataQualities[[#This Row],[unit_ID]],table_Units[],6)=1,table_DataQualities[[#This Row],[z_worst]]))</f>
        <v>6655.6</v>
      </c>
      <c r="K246">
        <f t="shared" ca="1" si="48"/>
        <v>0.68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1</v>
      </c>
      <c r="O246">
        <f t="shared" ca="1" si="49"/>
        <v>1</v>
      </c>
    </row>
    <row r="247" spans="1:15" x14ac:dyDescent="0.45">
      <c r="A247">
        <v>247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123_Leistungsmessgenauigkeit W</v>
      </c>
      <c r="C247">
        <f t="shared" ca="1" si="56"/>
        <v>600</v>
      </c>
      <c r="D247" s="3" t="str">
        <f ca="1">VLOOKUP(table_DataQualities[[#This Row],[unit_ID]],table_Units[#All],2)</f>
        <v>+/- W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9.6199999999999992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7.0999999999999994E-2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247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9.6199999999999992</v>
      </c>
      <c r="K247">
        <f t="shared" ca="1" si="48"/>
        <v>0.91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1</v>
      </c>
      <c r="O247">
        <f t="shared" ca="1" si="49"/>
        <v>2</v>
      </c>
    </row>
    <row r="248" spans="1:15" x14ac:dyDescent="0.45">
      <c r="A248">
        <v>248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5.0999999999999997E-2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7141.4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248" s="9">
        <f ca="1">IF(VLOOKUP(table_DataQualities[[#This Row],[unit_ID]],table_Units[],5)&gt;0,table_DataQualities[[#This Row],[z_best]],IF(VLOOKUP(table_DataQualities[[#This Row],[unit_ID]],table_Units[],6)=1,table_DataQualities[[#This Row],[z_worst]]))</f>
        <v>7141.4</v>
      </c>
      <c r="K248">
        <f t="shared" ca="1" si="48"/>
        <v>0.54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1</v>
      </c>
      <c r="O248">
        <f t="shared" ca="1" si="49"/>
        <v>5</v>
      </c>
    </row>
    <row r="249" spans="1:15" x14ac:dyDescent="0.45">
      <c r="A249">
        <v>249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124_Durchflussmessgenauigkeit cm³/s</v>
      </c>
      <c r="C249">
        <f t="shared" ca="1" si="56"/>
        <v>800</v>
      </c>
      <c r="D249" s="3" t="str">
        <f ca="1">VLOOKUP(table_DataQualities[[#This Row],[unit_ID]],table_Units[#All],2)</f>
        <v>+/- cm³/s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6.4000000000000001E-2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5.5999999999999999E-3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5.5999999999999999E-3</v>
      </c>
      <c r="I249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6.4000000000000001E-2</v>
      </c>
      <c r="K249">
        <f t="shared" ca="1" si="48"/>
        <v>0.5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1</v>
      </c>
      <c r="O249">
        <f t="shared" ca="1" si="49"/>
        <v>4</v>
      </c>
    </row>
    <row r="250" spans="1:15" x14ac:dyDescent="0.45">
      <c r="A250">
        <v>250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0.18099999999999999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3290.3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0.18099999999999999</v>
      </c>
      <c r="I250" s="9">
        <f ca="1">IF(VLOOKUP(table_DataQualities[[#This Row],[unit_ID]],table_Units[],5)&gt;0,table_DataQualities[[#This Row],[z_best]],IF(VLOOKUP(table_DataQualities[[#This Row],[unit_ID]],table_Units[],6)=1,table_DataQualities[[#This Row],[z_worst]]))</f>
        <v>3290.3</v>
      </c>
      <c r="K250">
        <f t="shared" ca="1" si="48"/>
        <v>0.36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1</v>
      </c>
      <c r="O250">
        <f t="shared" ca="1" si="49"/>
        <v>5</v>
      </c>
    </row>
    <row r="251" spans="1:15" x14ac:dyDescent="0.45">
      <c r="A251">
        <v>251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125_Geschwindigkeitsmessgenauigkeit mm/s</v>
      </c>
      <c r="C251">
        <f ca="1">RANDBETWEEN(5,10)*100</f>
        <v>700</v>
      </c>
      <c r="D251" s="3" t="str">
        <f ca="1">VLOOKUP(table_DataQualities[[#This Row],[unit_ID]],table_Units[#All],2)</f>
        <v>+/- mm/s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251" s="9">
        <f ca="1">IF(VLOOKUP(table_DataQualities[[#This Row],[unit_ID]],table_Units[],5)&gt;0,table_DataQualities[[#This Row],[z_best]],IF(VLOOKUP(table_DataQualities[[#This Row],[unit_ID]],table_Units[],6)=1,table_DataQualities[[#This Row],[z_worst]]))</f>
        <v>3.2</v>
      </c>
      <c r="K251">
        <f t="shared" ca="1" si="48"/>
        <v>0.68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1</v>
      </c>
      <c r="O251">
        <f t="shared" ca="1" si="49"/>
        <v>4</v>
      </c>
    </row>
    <row r="252" spans="1:15" x14ac:dyDescent="0.45">
      <c r="A252">
        <v>252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0.14499999999999999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1161.3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0.14499999999999999</v>
      </c>
      <c r="I252" s="9">
        <f ca="1">IF(VLOOKUP(table_DataQualities[[#This Row],[unit_ID]],table_Units[],5)&gt;0,table_DataQualities[[#This Row],[z_best]],IF(VLOOKUP(table_DataQualities[[#This Row],[unit_ID]],table_Units[],6)=1,table_DataQualities[[#This Row],[z_worst]]))</f>
        <v>1161.3</v>
      </c>
      <c r="K252">
        <f t="shared" ca="1" si="48"/>
        <v>0.08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1</v>
      </c>
      <c r="O252">
        <f t="shared" ca="1" si="49"/>
        <v>4</v>
      </c>
    </row>
    <row r="253" spans="1:15" x14ac:dyDescent="0.45">
      <c r="A253">
        <v>253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126_Geschwindigkeitsmessgenauigkeit mm/s</v>
      </c>
      <c r="C253">
        <f t="shared" ref="C253:C263" ca="1" si="59">RANDBETWEEN(5,10)*100</f>
        <v>700</v>
      </c>
      <c r="D253" s="3" t="str">
        <f ca="1">VLOOKUP(table_DataQualities[[#This Row],[unit_ID]],table_Units[#All],2)</f>
        <v>+/- mm/s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0.56999999999999995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0.56999999999999995</v>
      </c>
      <c r="I253" s="9">
        <f ca="1">IF(VLOOKUP(table_DataQualities[[#This Row],[unit_ID]],table_Units[],5)&gt;0,table_DataQualities[[#This Row],[z_best]],IF(VLOOKUP(table_DataQualities[[#This Row],[unit_ID]],table_Units[],6)=1,table_DataQualities[[#This Row],[z_worst]]))</f>
        <v>3.5</v>
      </c>
      <c r="K253">
        <f t="shared" ca="1" si="48"/>
        <v>0.47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1</v>
      </c>
      <c r="O253">
        <f t="shared" ca="1" si="49"/>
        <v>2</v>
      </c>
    </row>
    <row r="254" spans="1:15" x14ac:dyDescent="0.45">
      <c r="A254">
        <v>254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0.32800000000000001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7482.6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0.32800000000000001</v>
      </c>
      <c r="I254" s="9">
        <f ca="1">IF(VLOOKUP(table_DataQualities[[#This Row],[unit_ID]],table_Units[],5)&gt;0,table_DataQualities[[#This Row],[z_best]],IF(VLOOKUP(table_DataQualities[[#This Row],[unit_ID]],table_Units[],6)=1,table_DataQualities[[#This Row],[z_worst]]))</f>
        <v>7482.6</v>
      </c>
      <c r="K254">
        <f t="shared" ca="1" si="48"/>
        <v>0.13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1</v>
      </c>
      <c r="O254">
        <f t="shared" ca="1" si="49"/>
        <v>1</v>
      </c>
    </row>
    <row r="255" spans="1:15" x14ac:dyDescent="0.45">
      <c r="A255">
        <v>255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127_Längenmessgenauigkeit mm</v>
      </c>
      <c r="C255">
        <f t="shared" ref="C255" ca="1" si="60">RANDBETWEEN(5,10)*100</f>
        <v>900</v>
      </c>
      <c r="D255" s="3" t="str">
        <f ca="1">VLOOKUP(table_DataQualities[[#This Row],[unit_ID]],table_Units[#All],2)</f>
        <v>+/- mm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4.95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255" s="9">
        <f ca="1">IF(VLOOKUP(table_DataQualities[[#This Row],[unit_ID]],table_Units[],5)&gt;0,table_DataQualities[[#This Row],[z_best]],IF(VLOOKUP(table_DataQualities[[#This Row],[unit_ID]],table_Units[],6)=1,table_DataQualities[[#This Row],[z_worst]]))</f>
        <v>4.95</v>
      </c>
      <c r="K255">
        <f t="shared" ca="1" si="48"/>
        <v>0.93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1</v>
      </c>
      <c r="O255">
        <f t="shared" ca="1" si="49"/>
        <v>1</v>
      </c>
    </row>
    <row r="256" spans="1:15" x14ac:dyDescent="0.45">
      <c r="A256">
        <v>256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6.3E-2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8987.7999999999993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6.3E-2</v>
      </c>
      <c r="I256" s="9">
        <f ca="1">IF(VLOOKUP(table_DataQualities[[#This Row],[unit_ID]],table_Units[],5)&gt;0,table_DataQualities[[#This Row],[z_best]],IF(VLOOKUP(table_DataQualities[[#This Row],[unit_ID]],table_Units[],6)=1,table_DataQualities[[#This Row],[z_worst]]))</f>
        <v>8987.7999999999993</v>
      </c>
      <c r="K256">
        <f t="shared" ca="1" si="48"/>
        <v>0.33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1</v>
      </c>
      <c r="O256">
        <f t="shared" ca="1" si="49"/>
        <v>3</v>
      </c>
    </row>
    <row r="257" spans="1:15" x14ac:dyDescent="0.45">
      <c r="A257">
        <v>257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128_Durchflussmessgenauigkeit cm³/s</v>
      </c>
      <c r="C257">
        <f t="shared" ca="1" si="59"/>
        <v>800</v>
      </c>
      <c r="D257" s="3" t="str">
        <f ca="1">VLOOKUP(table_DataQualities[[#This Row],[unit_ID]],table_Units[#All],2)</f>
        <v>+/- cm³/s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0.161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6.1000000000000004E-3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6.1000000000000004E-3</v>
      </c>
      <c r="I257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0.161</v>
      </c>
      <c r="K257">
        <f t="shared" ca="1" si="48"/>
        <v>0.48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1</v>
      </c>
      <c r="O257">
        <f t="shared" ca="1" si="49"/>
        <v>4</v>
      </c>
    </row>
    <row r="258" spans="1:15" x14ac:dyDescent="0.45">
      <c r="A258">
        <v>258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0.104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6003.9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0.104</v>
      </c>
      <c r="I258" s="9">
        <f ca="1">IF(VLOOKUP(table_DataQualities[[#This Row],[unit_ID]],table_Units[],5)&gt;0,table_DataQualities[[#This Row],[z_best]],IF(VLOOKUP(table_DataQualities[[#This Row],[unit_ID]],table_Units[],6)=1,table_DataQualities[[#This Row],[z_worst]]))</f>
        <v>6003.9</v>
      </c>
      <c r="K258">
        <f t="shared" ca="1" si="48"/>
        <v>0.2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1</v>
      </c>
      <c r="O258">
        <f t="shared" ca="1" si="49"/>
        <v>2</v>
      </c>
    </row>
    <row r="259" spans="1:15" x14ac:dyDescent="0.45">
      <c r="A259">
        <v>259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129_Temperaturmessgenauigkeit °C</v>
      </c>
      <c r="C259">
        <f t="shared" ref="C259" ca="1" si="61">RANDBETWEEN(5,10)*100</f>
        <v>500</v>
      </c>
      <c r="D259" s="3" t="str">
        <f ca="1">VLOOKUP(table_DataQualities[[#This Row],[unit_ID]],table_Units[#All],2)</f>
        <v>+/- °C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59" s="9">
        <f ca="1">IF(VLOOKUP(table_DataQualities[[#This Row],[unit_ID]],table_Units[],5)&gt;0,table_DataQualities[[#This Row],[z_best]],IF(VLOOKUP(table_DataQualities[[#This Row],[unit_ID]],table_Units[],6)=1,table_DataQualities[[#This Row],[z_worst]]))</f>
        <v>5</v>
      </c>
      <c r="K259">
        <f t="shared" ca="1" si="48"/>
        <v>0.66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1</v>
      </c>
      <c r="O259">
        <f t="shared" ca="1" si="49"/>
        <v>4</v>
      </c>
    </row>
    <row r="260" spans="1:15" x14ac:dyDescent="0.45">
      <c r="A260">
        <v>260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0.80800000000000005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8248.2000000000007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0.80800000000000005</v>
      </c>
      <c r="I260" s="9">
        <f ca="1">IF(VLOOKUP(table_DataQualities[[#This Row],[unit_ID]],table_Units[],5)&gt;0,table_DataQualities[[#This Row],[z_best]],IF(VLOOKUP(table_DataQualities[[#This Row],[unit_ID]],table_Units[],6)=1,table_DataQualities[[#This Row],[z_worst]]))</f>
        <v>8248.2000000000007</v>
      </c>
      <c r="K260">
        <f t="shared" ca="1" si="48"/>
        <v>0.28999999999999998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1</v>
      </c>
      <c r="O260">
        <f t="shared" ca="1" si="49"/>
        <v>4</v>
      </c>
    </row>
    <row r="261" spans="1:15" x14ac:dyDescent="0.45">
      <c r="A261">
        <v>261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130_Durchflussmessgenauigkeit cm³/s</v>
      </c>
      <c r="C261">
        <f t="shared" ca="1" si="59"/>
        <v>800</v>
      </c>
      <c r="D261" s="3" t="str">
        <f ca="1">VLOOKUP(table_DataQualities[[#This Row],[unit_ID]],table_Units[#All],2)</f>
        <v>+/- cm³/s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0.11899999999999999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1.8E-3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1.8E-3</v>
      </c>
      <c r="I261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0.11899999999999999</v>
      </c>
      <c r="K261">
        <f t="shared" ca="1" si="48"/>
        <v>0.37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1</v>
      </c>
      <c r="O261">
        <f t="shared" ca="1" si="49"/>
        <v>3</v>
      </c>
    </row>
    <row r="262" spans="1:15" x14ac:dyDescent="0.45">
      <c r="A262">
        <v>262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0.64600000000000002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4357.6000000000004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0.64600000000000002</v>
      </c>
      <c r="I262" s="9">
        <f ca="1">IF(VLOOKUP(table_DataQualities[[#This Row],[unit_ID]],table_Units[],5)&gt;0,table_DataQualities[[#This Row],[z_best]],IF(VLOOKUP(table_DataQualities[[#This Row],[unit_ID]],table_Units[],6)=1,table_DataQualities[[#This Row],[z_worst]]))</f>
        <v>4357.6000000000004</v>
      </c>
      <c r="K262">
        <f t="shared" ca="1" si="48"/>
        <v>0.83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1</v>
      </c>
      <c r="O262">
        <f t="shared" ca="1" si="49"/>
        <v>1</v>
      </c>
    </row>
    <row r="263" spans="1:15" x14ac:dyDescent="0.45">
      <c r="A263">
        <v>263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131_Leistungsmessgenauigkeit W</v>
      </c>
      <c r="C263">
        <f t="shared" ca="1" si="59"/>
        <v>600</v>
      </c>
      <c r="D263" s="3" t="str">
        <f ca="1">VLOOKUP(table_DataQualities[[#This Row],[unit_ID]],table_Units[#All],2)</f>
        <v>+/- W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5.19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7.6999999999999999E-2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263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5.19</v>
      </c>
      <c r="K263">
        <f t="shared" ca="1" si="48"/>
        <v>0.14000000000000001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1</v>
      </c>
      <c r="O263">
        <f t="shared" ca="1" si="49"/>
        <v>4</v>
      </c>
    </row>
    <row r="264" spans="1:15" x14ac:dyDescent="0.45">
      <c r="A264">
        <v>264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0.34499999999999997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488.9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0.34499999999999997</v>
      </c>
      <c r="I264" s="9">
        <f ca="1">IF(VLOOKUP(table_DataQualities[[#This Row],[unit_ID]],table_Units[],5)&gt;0,table_DataQualities[[#This Row],[z_best]],IF(VLOOKUP(table_DataQualities[[#This Row],[unit_ID]],table_Units[],6)=1,table_DataQualities[[#This Row],[z_worst]]))</f>
        <v>488.9</v>
      </c>
      <c r="K264">
        <f t="shared" ca="1" si="48"/>
        <v>0.13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1</v>
      </c>
      <c r="O264">
        <f t="shared" ca="1" si="49"/>
        <v>1</v>
      </c>
    </row>
    <row r="265" spans="1:15" x14ac:dyDescent="0.45">
      <c r="A265">
        <v>265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132_Temperaturmessgenauigkeit °C</v>
      </c>
      <c r="C265">
        <f ca="1">RANDBETWEEN(5,10)*100</f>
        <v>500</v>
      </c>
      <c r="D265" s="3" t="str">
        <f ca="1">VLOOKUP(table_DataQualities[[#This Row],[unit_ID]],table_Units[#All],2)</f>
        <v>+/- °C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65" s="9">
        <f ca="1">IF(VLOOKUP(table_DataQualities[[#This Row],[unit_ID]],table_Units[],5)&gt;0,table_DataQualities[[#This Row],[z_best]],IF(VLOOKUP(table_DataQualities[[#This Row],[unit_ID]],table_Units[],6)=1,table_DataQualities[[#This Row],[z_worst]]))</f>
        <v>8</v>
      </c>
      <c r="K265">
        <f t="shared" ca="1" si="48"/>
        <v>0.19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1</v>
      </c>
      <c r="O265">
        <f t="shared" ca="1" si="49"/>
        <v>2</v>
      </c>
    </row>
    <row r="266" spans="1:15" x14ac:dyDescent="0.45">
      <c r="A266">
        <v>266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0.59699999999999998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201.5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0.59699999999999998</v>
      </c>
      <c r="I266" s="9">
        <f ca="1">IF(VLOOKUP(table_DataQualities[[#This Row],[unit_ID]],table_Units[],5)&gt;0,table_DataQualities[[#This Row],[z_best]],IF(VLOOKUP(table_DataQualities[[#This Row],[unit_ID]],table_Units[],6)=1,table_DataQualities[[#This Row],[z_worst]]))</f>
        <v>201.5</v>
      </c>
      <c r="K266">
        <f t="shared" ca="1" si="48"/>
        <v>0.44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1</v>
      </c>
      <c r="O266">
        <f t="shared" ca="1" si="49"/>
        <v>1</v>
      </c>
    </row>
    <row r="267" spans="1:15" x14ac:dyDescent="0.45">
      <c r="A267">
        <v>267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133_Bildgröße</v>
      </c>
      <c r="C267">
        <f t="shared" ref="C267:C275" ca="1" si="62">RANDBETWEEN(5,10)*100</f>
        <v>1000</v>
      </c>
      <c r="D267" s="3" t="str">
        <f ca="1">VLOOKUP(table_DataQualities[[#This Row],[unit_ID]],table_Units[#All],2)</f>
        <v>bit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97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7438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97</v>
      </c>
      <c r="I267" s="9">
        <f ca="1">IF(VLOOKUP(table_DataQualities[[#This Row],[unit_ID]],table_Units[],5)&gt;0,table_DataQualities[[#This Row],[z_best]],IF(VLOOKUP(table_DataQualities[[#This Row],[unit_ID]],table_Units[],6)=1,table_DataQualities[[#This Row],[z_worst]]))</f>
        <v>7438</v>
      </c>
      <c r="K267">
        <f t="shared" ca="1" si="48"/>
        <v>0.67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1</v>
      </c>
      <c r="O267">
        <f t="shared" ca="1" si="49"/>
        <v>5</v>
      </c>
    </row>
    <row r="268" spans="1:15" x14ac:dyDescent="0.45">
      <c r="A268">
        <v>268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0.30599999999999999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6280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0.30599999999999999</v>
      </c>
      <c r="I268" s="9">
        <f ca="1">IF(VLOOKUP(table_DataQualities[[#This Row],[unit_ID]],table_Units[],5)&gt;0,table_DataQualities[[#This Row],[z_best]],IF(VLOOKUP(table_DataQualities[[#This Row],[unit_ID]],table_Units[],6)=1,table_DataQualities[[#This Row],[z_worst]]))</f>
        <v>6280</v>
      </c>
      <c r="K268">
        <f t="shared" ca="1" si="48"/>
        <v>0.32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1</v>
      </c>
      <c r="O268">
        <f t="shared" ca="1" si="49"/>
        <v>1</v>
      </c>
    </row>
    <row r="269" spans="1:15" x14ac:dyDescent="0.45">
      <c r="A269">
        <v>269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134_Leistungsmessgenauigkeit W</v>
      </c>
      <c r="C269">
        <f t="shared" ref="C269" ca="1" si="63">RANDBETWEEN(5,10)*100</f>
        <v>600</v>
      </c>
      <c r="D269" s="3" t="str">
        <f ca="1">VLOOKUP(table_DataQualities[[#This Row],[unit_ID]],table_Units[#All],2)</f>
        <v>+/- W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0.28999999999999998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4.8000000000000001E-2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269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0.28999999999999998</v>
      </c>
      <c r="K269">
        <f t="shared" ref="K269:K332" ca="1" si="64">ROUND(RAND(),2)</f>
        <v>0.3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1</v>
      </c>
      <c r="O269">
        <f t="shared" ref="O269:O332" ca="1" si="65">RANDBETWEEN(1,5)</f>
        <v>3</v>
      </c>
    </row>
    <row r="270" spans="1:15" x14ac:dyDescent="0.45">
      <c r="A270">
        <v>270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0.877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4136.8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0.877</v>
      </c>
      <c r="I270" s="9">
        <f ca="1">IF(VLOOKUP(table_DataQualities[[#This Row],[unit_ID]],table_Units[],5)&gt;0,table_DataQualities[[#This Row],[z_best]],IF(VLOOKUP(table_DataQualities[[#This Row],[unit_ID]],table_Units[],6)=1,table_DataQualities[[#This Row],[z_worst]]))</f>
        <v>4136.8</v>
      </c>
      <c r="K270">
        <f t="shared" ca="1" si="64"/>
        <v>0.45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1</v>
      </c>
      <c r="O270">
        <f t="shared" ca="1" si="65"/>
        <v>3</v>
      </c>
    </row>
    <row r="271" spans="1:15" x14ac:dyDescent="0.45">
      <c r="A271">
        <v>271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135_Längenmessgenauigkeit mm</v>
      </c>
      <c r="C271">
        <f t="shared" ca="1" si="62"/>
        <v>900</v>
      </c>
      <c r="D271" s="3" t="str">
        <f ca="1">VLOOKUP(table_DataQualities[[#This Row],[unit_ID]],table_Units[#All],2)</f>
        <v>+/- mm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271" s="9">
        <f ca="1">IF(VLOOKUP(table_DataQualities[[#This Row],[unit_ID]],table_Units[],5)&gt;0,table_DataQualities[[#This Row],[z_best]],IF(VLOOKUP(table_DataQualities[[#This Row],[unit_ID]],table_Units[],6)=1,table_DataQualities[[#This Row],[z_worst]]))</f>
        <v>3.9</v>
      </c>
      <c r="K271">
        <f t="shared" ca="1" si="64"/>
        <v>0.2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1</v>
      </c>
      <c r="O271">
        <f t="shared" ca="1" si="65"/>
        <v>1</v>
      </c>
    </row>
    <row r="272" spans="1:15" x14ac:dyDescent="0.45">
      <c r="A272">
        <v>272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0.52100000000000002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9488.4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0.52100000000000002</v>
      </c>
      <c r="I272" s="9">
        <f ca="1">IF(VLOOKUP(table_DataQualities[[#This Row],[unit_ID]],table_Units[],5)&gt;0,table_DataQualities[[#This Row],[z_best]],IF(VLOOKUP(table_DataQualities[[#This Row],[unit_ID]],table_Units[],6)=1,table_DataQualities[[#This Row],[z_worst]]))</f>
        <v>9488.4</v>
      </c>
      <c r="K272">
        <f t="shared" ca="1" si="64"/>
        <v>0.96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1</v>
      </c>
      <c r="O272">
        <f t="shared" ca="1" si="65"/>
        <v>5</v>
      </c>
    </row>
    <row r="273" spans="1:15" x14ac:dyDescent="0.45">
      <c r="A273">
        <v>273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136_Bildgröße</v>
      </c>
      <c r="C273">
        <f t="shared" ref="C273" ca="1" si="66">RANDBETWEEN(5,10)*100</f>
        <v>1000</v>
      </c>
      <c r="D273" s="3" t="str">
        <f ca="1">VLOOKUP(table_DataQualities[[#This Row],[unit_ID]],table_Units[#All],2)</f>
        <v>bit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31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4232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31</v>
      </c>
      <c r="I273" s="9">
        <f ca="1">IF(VLOOKUP(table_DataQualities[[#This Row],[unit_ID]],table_Units[],5)&gt;0,table_DataQualities[[#This Row],[z_best]],IF(VLOOKUP(table_DataQualities[[#This Row],[unit_ID]],table_Units[],6)=1,table_DataQualities[[#This Row],[z_worst]]))</f>
        <v>4232</v>
      </c>
      <c r="K273">
        <f t="shared" ca="1" si="64"/>
        <v>0.47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1</v>
      </c>
      <c r="O273">
        <f t="shared" ca="1" si="65"/>
        <v>4</v>
      </c>
    </row>
    <row r="274" spans="1:15" x14ac:dyDescent="0.45">
      <c r="A274">
        <v>274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4353.6000000000004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74" s="9">
        <f ca="1">IF(VLOOKUP(table_DataQualities[[#This Row],[unit_ID]],table_Units[],5)&gt;0,table_DataQualities[[#This Row],[z_best]],IF(VLOOKUP(table_DataQualities[[#This Row],[unit_ID]],table_Units[],6)=1,table_DataQualities[[#This Row],[z_worst]]))</f>
        <v>4353.6000000000004</v>
      </c>
      <c r="K274">
        <f t="shared" ca="1" si="64"/>
        <v>0.78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1</v>
      </c>
      <c r="O274">
        <f t="shared" ca="1" si="65"/>
        <v>2</v>
      </c>
    </row>
    <row r="275" spans="1:15" x14ac:dyDescent="0.45">
      <c r="A275">
        <v>275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137_Bildgröße</v>
      </c>
      <c r="C275">
        <f t="shared" ca="1" si="62"/>
        <v>1000</v>
      </c>
      <c r="D275" s="3" t="str">
        <f ca="1">VLOOKUP(table_DataQualities[[#This Row],[unit_ID]],table_Units[#All],2)</f>
        <v>bit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43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2993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43</v>
      </c>
      <c r="I275" s="9">
        <f ca="1">IF(VLOOKUP(table_DataQualities[[#This Row],[unit_ID]],table_Units[],5)&gt;0,table_DataQualities[[#This Row],[z_best]],IF(VLOOKUP(table_DataQualities[[#This Row],[unit_ID]],table_Units[],6)=1,table_DataQualities[[#This Row],[z_worst]]))</f>
        <v>2993</v>
      </c>
      <c r="K275">
        <f t="shared" ca="1" si="64"/>
        <v>0.72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1</v>
      </c>
      <c r="O275">
        <f t="shared" ca="1" si="65"/>
        <v>3</v>
      </c>
    </row>
    <row r="276" spans="1:15" x14ac:dyDescent="0.45">
      <c r="A276">
        <v>276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0.56999999999999995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2490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0.56999999999999995</v>
      </c>
      <c r="I276" s="9">
        <f ca="1">IF(VLOOKUP(table_DataQualities[[#This Row],[unit_ID]],table_Units[],5)&gt;0,table_DataQualities[[#This Row],[z_best]],IF(VLOOKUP(table_DataQualities[[#This Row],[unit_ID]],table_Units[],6)=1,table_DataQualities[[#This Row],[z_worst]]))</f>
        <v>2490</v>
      </c>
      <c r="K276">
        <f t="shared" ca="1" si="64"/>
        <v>0.98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1</v>
      </c>
      <c r="O276">
        <f t="shared" ca="1" si="65"/>
        <v>1</v>
      </c>
    </row>
    <row r="277" spans="1:15" x14ac:dyDescent="0.45">
      <c r="A277">
        <v>277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138_Leistungsmessgenauigkeit W</v>
      </c>
      <c r="C277">
        <f t="shared" ref="C277:C283" ca="1" si="67">RANDBETWEEN(5,10)*100</f>
        <v>600</v>
      </c>
      <c r="D277" s="3" t="str">
        <f ca="1">VLOOKUP(table_DataQualities[[#This Row],[unit_ID]],table_Units[#All],2)</f>
        <v>+/- W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1.28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277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1.28</v>
      </c>
      <c r="K277">
        <f t="shared" ca="1" si="64"/>
        <v>0.46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1</v>
      </c>
      <c r="O277">
        <f t="shared" ca="1" si="65"/>
        <v>3</v>
      </c>
    </row>
    <row r="278" spans="1:15" x14ac:dyDescent="0.45">
      <c r="A278">
        <v>278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0.84099999999999997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8158.3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0.84099999999999997</v>
      </c>
      <c r="I278" s="9">
        <f ca="1">IF(VLOOKUP(table_DataQualities[[#This Row],[unit_ID]],table_Units[],5)&gt;0,table_DataQualities[[#This Row],[z_best]],IF(VLOOKUP(table_DataQualities[[#This Row],[unit_ID]],table_Units[],6)=1,table_DataQualities[[#This Row],[z_worst]]))</f>
        <v>8158.3</v>
      </c>
      <c r="K278">
        <f t="shared" ca="1" si="64"/>
        <v>0.89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1</v>
      </c>
      <c r="O278">
        <f t="shared" ca="1" si="65"/>
        <v>3</v>
      </c>
    </row>
    <row r="279" spans="1:15" x14ac:dyDescent="0.45">
      <c r="A279">
        <v>279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139_Bildgröße</v>
      </c>
      <c r="C279">
        <f t="shared" ref="C279:C281" ca="1" si="68">RANDBETWEEN(5,10)*100</f>
        <v>1000</v>
      </c>
      <c r="D279" s="3" t="str">
        <f ca="1">VLOOKUP(table_DataQualities[[#This Row],[unit_ID]],table_Units[#All],2)</f>
        <v>bit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24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6136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24</v>
      </c>
      <c r="I279" s="9">
        <f ca="1">IF(VLOOKUP(table_DataQualities[[#This Row],[unit_ID]],table_Units[],5)&gt;0,table_DataQualities[[#This Row],[z_best]],IF(VLOOKUP(table_DataQualities[[#This Row],[unit_ID]],table_Units[],6)=1,table_DataQualities[[#This Row],[z_worst]]))</f>
        <v>6136</v>
      </c>
      <c r="K279">
        <f t="shared" ca="1" si="64"/>
        <v>0.1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1</v>
      </c>
      <c r="O279">
        <f t="shared" ca="1" si="65"/>
        <v>2</v>
      </c>
    </row>
    <row r="280" spans="1:15" x14ac:dyDescent="0.45">
      <c r="A280">
        <v>280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0.70699999999999996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7345.8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0.70699999999999996</v>
      </c>
      <c r="I280" s="9">
        <f ca="1">IF(VLOOKUP(table_DataQualities[[#This Row],[unit_ID]],table_Units[],5)&gt;0,table_DataQualities[[#This Row],[z_best]],IF(VLOOKUP(table_DataQualities[[#This Row],[unit_ID]],table_Units[],6)=1,table_DataQualities[[#This Row],[z_worst]]))</f>
        <v>7345.8</v>
      </c>
      <c r="K280">
        <f t="shared" ca="1" si="64"/>
        <v>0.04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1</v>
      </c>
      <c r="O280">
        <f t="shared" ca="1" si="65"/>
        <v>1</v>
      </c>
    </row>
    <row r="281" spans="1:15" x14ac:dyDescent="0.45">
      <c r="A281">
        <v>281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140_Leistungsmessgenauigkeit W</v>
      </c>
      <c r="C281">
        <f t="shared" ca="1" si="68"/>
        <v>600</v>
      </c>
      <c r="D281" s="3" t="str">
        <f ca="1">VLOOKUP(table_DataQualities[[#This Row],[unit_ID]],table_Units[#All],2)</f>
        <v>+/- W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1.52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5.0999999999999997E-2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281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1.52</v>
      </c>
      <c r="K281">
        <f t="shared" ca="1" si="64"/>
        <v>0.21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1</v>
      </c>
      <c r="O281">
        <f t="shared" ca="1" si="65"/>
        <v>4</v>
      </c>
    </row>
    <row r="282" spans="1:15" x14ac:dyDescent="0.45">
      <c r="A282">
        <v>282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0.80200000000000005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8402.9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0.80200000000000005</v>
      </c>
      <c r="I282" s="9">
        <f ca="1">IF(VLOOKUP(table_DataQualities[[#This Row],[unit_ID]],table_Units[],5)&gt;0,table_DataQualities[[#This Row],[z_best]],IF(VLOOKUP(table_DataQualities[[#This Row],[unit_ID]],table_Units[],6)=1,table_DataQualities[[#This Row],[z_worst]]))</f>
        <v>8402.9</v>
      </c>
      <c r="K282">
        <f t="shared" ca="1" si="64"/>
        <v>0.97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1</v>
      </c>
      <c r="O282">
        <f t="shared" ca="1" si="65"/>
        <v>3</v>
      </c>
    </row>
    <row r="283" spans="1:15" x14ac:dyDescent="0.45">
      <c r="A283">
        <v>283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141_Temperaturmessgenauigkeit °C</v>
      </c>
      <c r="C283">
        <f t="shared" ca="1" si="67"/>
        <v>500</v>
      </c>
      <c r="D283" s="3" t="str">
        <f ca="1">VLOOKUP(table_DataQualities[[#This Row],[unit_ID]],table_Units[#All],2)</f>
        <v>+/- °C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83" s="9">
        <f ca="1">IF(VLOOKUP(table_DataQualities[[#This Row],[unit_ID]],table_Units[],5)&gt;0,table_DataQualities[[#This Row],[z_best]],IF(VLOOKUP(table_DataQualities[[#This Row],[unit_ID]],table_Units[],6)=1,table_DataQualities[[#This Row],[z_worst]]))</f>
        <v>5</v>
      </c>
      <c r="K283">
        <f t="shared" ca="1" si="64"/>
        <v>0.28999999999999998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1</v>
      </c>
      <c r="O283">
        <f t="shared" ca="1" si="65"/>
        <v>5</v>
      </c>
    </row>
    <row r="284" spans="1:15" x14ac:dyDescent="0.45">
      <c r="A284">
        <v>284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0.72699999999999998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2277.8000000000002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0.72699999999999998</v>
      </c>
      <c r="I284" s="9">
        <f ca="1">IF(VLOOKUP(table_DataQualities[[#This Row],[unit_ID]],table_Units[],5)&gt;0,table_DataQualities[[#This Row],[z_best]],IF(VLOOKUP(table_DataQualities[[#This Row],[unit_ID]],table_Units[],6)=1,table_DataQualities[[#This Row],[z_worst]]))</f>
        <v>2277.8000000000002</v>
      </c>
      <c r="K284">
        <f t="shared" ca="1" si="64"/>
        <v>0.1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1</v>
      </c>
      <c r="O284">
        <f t="shared" ca="1" si="65"/>
        <v>2</v>
      </c>
    </row>
    <row r="285" spans="1:15" x14ac:dyDescent="0.45">
      <c r="A285">
        <v>285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142_Bildgröße</v>
      </c>
      <c r="C285">
        <f ca="1">RANDBETWEEN(5,10)*100</f>
        <v>1000</v>
      </c>
      <c r="D285" s="3" t="str">
        <f ca="1">VLOOKUP(table_DataQualities[[#This Row],[unit_ID]],table_Units[#All],2)</f>
        <v>bit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90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5874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90</v>
      </c>
      <c r="I285" s="9">
        <f ca="1">IF(VLOOKUP(table_DataQualities[[#This Row],[unit_ID]],table_Units[],5)&gt;0,table_DataQualities[[#This Row],[z_best]],IF(VLOOKUP(table_DataQualities[[#This Row],[unit_ID]],table_Units[],6)=1,table_DataQualities[[#This Row],[z_worst]]))</f>
        <v>5874</v>
      </c>
      <c r="K285">
        <f t="shared" ca="1" si="64"/>
        <v>0.76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1</v>
      </c>
      <c r="O285">
        <f t="shared" ca="1" si="65"/>
        <v>1</v>
      </c>
    </row>
    <row r="286" spans="1:15" x14ac:dyDescent="0.45">
      <c r="A286">
        <v>286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0.57399999999999995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4599.6000000000004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0.57399999999999995</v>
      </c>
      <c r="I286" s="9">
        <f ca="1">IF(VLOOKUP(table_DataQualities[[#This Row],[unit_ID]],table_Units[],5)&gt;0,table_DataQualities[[#This Row],[z_best]],IF(VLOOKUP(table_DataQualities[[#This Row],[unit_ID]],table_Units[],6)=1,table_DataQualities[[#This Row],[z_worst]]))</f>
        <v>4599.6000000000004</v>
      </c>
      <c r="K286">
        <f t="shared" ca="1" si="64"/>
        <v>0.72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1</v>
      </c>
      <c r="O286">
        <f t="shared" ca="1" si="65"/>
        <v>1</v>
      </c>
    </row>
    <row r="287" spans="1:15" x14ac:dyDescent="0.45">
      <c r="A287">
        <v>287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143_Durchflussmessgenauigkeit cm³/s</v>
      </c>
      <c r="C287">
        <f t="shared" ref="C287:C297" ca="1" si="69">RANDBETWEEN(5,10)*100</f>
        <v>800</v>
      </c>
      <c r="D287" s="3" t="str">
        <f ca="1">VLOOKUP(table_DataQualities[[#This Row],[unit_ID]],table_Units[#All],2)</f>
        <v>+/- cm³/s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6.7000000000000002E-3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6.7000000000000002E-3</v>
      </c>
      <c r="I287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0.99</v>
      </c>
      <c r="K287">
        <f t="shared" ca="1" si="64"/>
        <v>0.55000000000000004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1</v>
      </c>
      <c r="O287">
        <f t="shared" ca="1" si="65"/>
        <v>4</v>
      </c>
    </row>
    <row r="288" spans="1:15" x14ac:dyDescent="0.45">
      <c r="A288">
        <v>288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0.56499999999999995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5985.6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0.56499999999999995</v>
      </c>
      <c r="I288" s="9">
        <f ca="1">IF(VLOOKUP(table_DataQualities[[#This Row],[unit_ID]],table_Units[],5)&gt;0,table_DataQualities[[#This Row],[z_best]],IF(VLOOKUP(table_DataQualities[[#This Row],[unit_ID]],table_Units[],6)=1,table_DataQualities[[#This Row],[z_worst]]))</f>
        <v>5985.6</v>
      </c>
      <c r="K288">
        <f t="shared" ca="1" si="64"/>
        <v>0.62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1</v>
      </c>
      <c r="O288">
        <f t="shared" ca="1" si="65"/>
        <v>4</v>
      </c>
    </row>
    <row r="289" spans="1:15" x14ac:dyDescent="0.45">
      <c r="A289">
        <v>289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144_Bildgröße</v>
      </c>
      <c r="C289">
        <f t="shared" ref="C289" ca="1" si="70">RANDBETWEEN(5,10)*100</f>
        <v>1000</v>
      </c>
      <c r="D289" s="3" t="str">
        <f ca="1">VLOOKUP(table_DataQualities[[#This Row],[unit_ID]],table_Units[#All],2)</f>
        <v>bit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87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5957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87</v>
      </c>
      <c r="I289" s="9">
        <f ca="1">IF(VLOOKUP(table_DataQualities[[#This Row],[unit_ID]],table_Units[],5)&gt;0,table_DataQualities[[#This Row],[z_best]],IF(VLOOKUP(table_DataQualities[[#This Row],[unit_ID]],table_Units[],6)=1,table_DataQualities[[#This Row],[z_worst]]))</f>
        <v>5957</v>
      </c>
      <c r="K289">
        <f t="shared" ca="1" si="64"/>
        <v>0.39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1</v>
      </c>
      <c r="O289">
        <f t="shared" ca="1" si="65"/>
        <v>2</v>
      </c>
    </row>
    <row r="290" spans="1:15" x14ac:dyDescent="0.45">
      <c r="A290">
        <v>290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0.23699999999999999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1446.4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0.23699999999999999</v>
      </c>
      <c r="I290" s="9">
        <f ca="1">IF(VLOOKUP(table_DataQualities[[#This Row],[unit_ID]],table_Units[],5)&gt;0,table_DataQualities[[#This Row],[z_best]],IF(VLOOKUP(table_DataQualities[[#This Row],[unit_ID]],table_Units[],6)=1,table_DataQualities[[#This Row],[z_worst]]))</f>
        <v>1446.4</v>
      </c>
      <c r="K290">
        <f t="shared" ca="1" si="64"/>
        <v>0.11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1</v>
      </c>
      <c r="O290">
        <f t="shared" ca="1" si="65"/>
        <v>2</v>
      </c>
    </row>
    <row r="291" spans="1:15" x14ac:dyDescent="0.45">
      <c r="A291">
        <v>291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145_Bildgröße</v>
      </c>
      <c r="C291">
        <f t="shared" ca="1" si="69"/>
        <v>1000</v>
      </c>
      <c r="D291" s="3" t="str">
        <f ca="1">VLOOKUP(table_DataQualities[[#This Row],[unit_ID]],table_Units[#All],2)</f>
        <v>bit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89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8397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89</v>
      </c>
      <c r="I291" s="9">
        <f ca="1">IF(VLOOKUP(table_DataQualities[[#This Row],[unit_ID]],table_Units[],5)&gt;0,table_DataQualities[[#This Row],[z_best]],IF(VLOOKUP(table_DataQualities[[#This Row],[unit_ID]],table_Units[],6)=1,table_DataQualities[[#This Row],[z_worst]]))</f>
        <v>8397</v>
      </c>
      <c r="K291">
        <f t="shared" ca="1" si="64"/>
        <v>0.26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1</v>
      </c>
      <c r="O291">
        <f t="shared" ca="1" si="65"/>
        <v>2</v>
      </c>
    </row>
    <row r="292" spans="1:15" x14ac:dyDescent="0.45">
      <c r="A292">
        <v>292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0.79800000000000004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5894.8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0.79800000000000004</v>
      </c>
      <c r="I292" s="9">
        <f ca="1">IF(VLOOKUP(table_DataQualities[[#This Row],[unit_ID]],table_Units[],5)&gt;0,table_DataQualities[[#This Row],[z_best]],IF(VLOOKUP(table_DataQualities[[#This Row],[unit_ID]],table_Units[],6)=1,table_DataQualities[[#This Row],[z_worst]]))</f>
        <v>5894.8</v>
      </c>
      <c r="K292">
        <f t="shared" ca="1" si="64"/>
        <v>0.38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1</v>
      </c>
      <c r="O292">
        <f t="shared" ca="1" si="65"/>
        <v>4</v>
      </c>
    </row>
    <row r="293" spans="1:15" x14ac:dyDescent="0.45">
      <c r="A293">
        <v>293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146_Leistungsmessgenauigkeit W</v>
      </c>
      <c r="C293">
        <f t="shared" ref="C293" ca="1" si="71">RANDBETWEEN(5,10)*100</f>
        <v>600</v>
      </c>
      <c r="D293" s="3" t="str">
        <f ca="1">VLOOKUP(table_DataQualities[[#This Row],[unit_ID]],table_Units[#All],2)</f>
        <v>+/- W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293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0.66</v>
      </c>
      <c r="K293">
        <f t="shared" ca="1" si="64"/>
        <v>0.57999999999999996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1</v>
      </c>
      <c r="O293">
        <f t="shared" ca="1" si="65"/>
        <v>3</v>
      </c>
    </row>
    <row r="294" spans="1:15" x14ac:dyDescent="0.45">
      <c r="A294">
        <v>294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0.33700000000000002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5333.9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0.33700000000000002</v>
      </c>
      <c r="I294" s="9">
        <f ca="1">IF(VLOOKUP(table_DataQualities[[#This Row],[unit_ID]],table_Units[],5)&gt;0,table_DataQualities[[#This Row],[z_best]],IF(VLOOKUP(table_DataQualities[[#This Row],[unit_ID]],table_Units[],6)=1,table_DataQualities[[#This Row],[z_worst]]))</f>
        <v>5333.9</v>
      </c>
      <c r="K294">
        <f t="shared" ca="1" si="64"/>
        <v>0.06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1</v>
      </c>
      <c r="O294">
        <f t="shared" ca="1" si="65"/>
        <v>5</v>
      </c>
    </row>
    <row r="295" spans="1:15" x14ac:dyDescent="0.45">
      <c r="A295">
        <v>295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147_Bildgröße</v>
      </c>
      <c r="C295">
        <f t="shared" ca="1" si="69"/>
        <v>1000</v>
      </c>
      <c r="D295" s="3" t="str">
        <f ca="1">VLOOKUP(table_DataQualities[[#This Row],[unit_ID]],table_Units[#All],2)</f>
        <v>bit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90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3757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90</v>
      </c>
      <c r="I295" s="9">
        <f ca="1">IF(VLOOKUP(table_DataQualities[[#This Row],[unit_ID]],table_Units[],5)&gt;0,table_DataQualities[[#This Row],[z_best]],IF(VLOOKUP(table_DataQualities[[#This Row],[unit_ID]],table_Units[],6)=1,table_DataQualities[[#This Row],[z_worst]]))</f>
        <v>3757</v>
      </c>
      <c r="K295">
        <f t="shared" ca="1" si="64"/>
        <v>0.16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1</v>
      </c>
      <c r="O295">
        <f t="shared" ca="1" si="65"/>
        <v>5</v>
      </c>
    </row>
    <row r="296" spans="1:15" x14ac:dyDescent="0.45">
      <c r="A296">
        <v>296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0.86499999999999999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5953.4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0.86499999999999999</v>
      </c>
      <c r="I296" s="9">
        <f ca="1">IF(VLOOKUP(table_DataQualities[[#This Row],[unit_ID]],table_Units[],5)&gt;0,table_DataQualities[[#This Row],[z_best]],IF(VLOOKUP(table_DataQualities[[#This Row],[unit_ID]],table_Units[],6)=1,table_DataQualities[[#This Row],[z_worst]]))</f>
        <v>5953.4</v>
      </c>
      <c r="K296">
        <f t="shared" ca="1" si="64"/>
        <v>0.86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1</v>
      </c>
      <c r="O296">
        <f t="shared" ca="1" si="65"/>
        <v>4</v>
      </c>
    </row>
    <row r="297" spans="1:15" x14ac:dyDescent="0.45">
      <c r="A297">
        <v>297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148_Leistungsmessgenauigkeit W</v>
      </c>
      <c r="C297">
        <f t="shared" ca="1" si="69"/>
        <v>600</v>
      </c>
      <c r="D297" s="3" t="str">
        <f ca="1">VLOOKUP(table_DataQualities[[#This Row],[unit_ID]],table_Units[#All],2)</f>
        <v>+/- W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297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0.91</v>
      </c>
      <c r="K297">
        <f t="shared" ca="1" si="64"/>
        <v>0.39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1</v>
      </c>
      <c r="O297">
        <f t="shared" ca="1" si="65"/>
        <v>1</v>
      </c>
    </row>
    <row r="298" spans="1:15" x14ac:dyDescent="0.45">
      <c r="A298">
        <v>298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0.78100000000000003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6210.8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0.78100000000000003</v>
      </c>
      <c r="I298" s="9">
        <f ca="1">IF(VLOOKUP(table_DataQualities[[#This Row],[unit_ID]],table_Units[],5)&gt;0,table_DataQualities[[#This Row],[z_best]],IF(VLOOKUP(table_DataQualities[[#This Row],[unit_ID]],table_Units[],6)=1,table_DataQualities[[#This Row],[z_worst]]))</f>
        <v>6210.8</v>
      </c>
      <c r="K298">
        <f t="shared" ca="1" si="64"/>
        <v>0.09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1</v>
      </c>
      <c r="O298">
        <f t="shared" ca="1" si="65"/>
        <v>2</v>
      </c>
    </row>
    <row r="299" spans="1:15" x14ac:dyDescent="0.45">
      <c r="A299">
        <v>299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149_Geschwindigkeitsmessgenauigkeit mm/s</v>
      </c>
      <c r="C299">
        <f ca="1">RANDBETWEEN(5,10)*100</f>
        <v>700</v>
      </c>
      <c r="D299" s="3" t="str">
        <f ca="1">VLOOKUP(table_DataQualities[[#This Row],[unit_ID]],table_Units[#All],2)</f>
        <v>+/- mm/s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0.81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</v>
      </c>
      <c r="I299" s="9">
        <f ca="1">IF(VLOOKUP(table_DataQualities[[#This Row],[unit_ID]],table_Units[],5)&gt;0,table_DataQualities[[#This Row],[z_best]],IF(VLOOKUP(table_DataQualities[[#This Row],[unit_ID]],table_Units[],6)=1,table_DataQualities[[#This Row],[z_worst]]))</f>
        <v>8.1</v>
      </c>
      <c r="K299">
        <f t="shared" ca="1" si="64"/>
        <v>7.0000000000000007E-2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1</v>
      </c>
      <c r="O299">
        <f t="shared" ca="1" si="65"/>
        <v>3</v>
      </c>
    </row>
    <row r="300" spans="1:15" x14ac:dyDescent="0.45">
      <c r="A300">
        <v>300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0.79500000000000004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1451.7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0.79500000000000004</v>
      </c>
      <c r="I300" s="9">
        <f ca="1">IF(VLOOKUP(table_DataQualities[[#This Row],[unit_ID]],table_Units[],5)&gt;0,table_DataQualities[[#This Row],[z_best]],IF(VLOOKUP(table_DataQualities[[#This Row],[unit_ID]],table_Units[],6)=1,table_DataQualities[[#This Row],[z_worst]]))</f>
        <v>1451.7</v>
      </c>
      <c r="K300">
        <f t="shared" ca="1" si="64"/>
        <v>0.56000000000000005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1</v>
      </c>
      <c r="O300">
        <f t="shared" ca="1" si="65"/>
        <v>5</v>
      </c>
    </row>
    <row r="301" spans="1:15" x14ac:dyDescent="0.45">
      <c r="A301">
        <v>301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150_Leistungsmessgenauigkeit W</v>
      </c>
      <c r="C301">
        <f t="shared" ref="C301:C311" ca="1" si="72">RANDBETWEEN(5,10)*100</f>
        <v>600</v>
      </c>
      <c r="D301" s="3" t="str">
        <f ca="1">VLOOKUP(table_DataQualities[[#This Row],[unit_ID]],table_Units[#All],2)</f>
        <v>+/- W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7.56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301" s="9">
        <f ca="1">IF(VLOOKUP(table_DataQualities[[#This Row],[unit_ID]],table_Units[],5)&gt;0,table_DataQualities[[#This Row],[z_best]],IF(VLOOKUP(table_DataQualities[[#This Row],[unit_ID]],table_Units[],6)=1,table_DataQualities[[#This Row],[z_worst]]))</f>
        <v>7.56</v>
      </c>
      <c r="K301">
        <f t="shared" ca="1" si="64"/>
        <v>0.96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1</v>
      </c>
      <c r="O301">
        <f t="shared" ca="1" si="65"/>
        <v>2</v>
      </c>
    </row>
    <row r="302" spans="1:15" x14ac:dyDescent="0.45">
      <c r="A302">
        <v>302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0.52700000000000002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8212.2000000000007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0.52700000000000002</v>
      </c>
      <c r="I302" s="9">
        <f ca="1">IF(VLOOKUP(table_DataQualities[[#This Row],[unit_ID]],table_Units[],5)&gt;0,table_DataQualities[[#This Row],[z_best]],IF(VLOOKUP(table_DataQualities[[#This Row],[unit_ID]],table_Units[],6)=1,table_DataQualities[[#This Row],[z_worst]]))</f>
        <v>8212.2000000000007</v>
      </c>
      <c r="K302">
        <f t="shared" ca="1" si="64"/>
        <v>0.94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1</v>
      </c>
      <c r="O302">
        <f t="shared" ca="1" si="65"/>
        <v>3</v>
      </c>
    </row>
    <row r="303" spans="1:15" x14ac:dyDescent="0.45">
      <c r="A303">
        <v>303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151_Geschwindigkeitsmessgenauigkeit mm/s</v>
      </c>
      <c r="C303">
        <f t="shared" ref="C303" ca="1" si="73">RANDBETWEEN(5,10)*100</f>
        <v>700</v>
      </c>
      <c r="D303" s="3" t="str">
        <f ca="1">VLOOKUP(table_DataQualities[[#This Row],[unit_ID]],table_Units[#All],2)</f>
        <v>+/- mm/s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0.21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</v>
      </c>
      <c r="I303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5.9</v>
      </c>
      <c r="K303">
        <f t="shared" ca="1" si="64"/>
        <v>0.35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1</v>
      </c>
      <c r="O303">
        <f t="shared" ca="1" si="65"/>
        <v>3</v>
      </c>
    </row>
    <row r="304" spans="1:15" x14ac:dyDescent="0.45">
      <c r="A304">
        <v>304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0.68600000000000005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6218.6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0.68600000000000005</v>
      </c>
      <c r="I304" s="9">
        <f ca="1">IF(VLOOKUP(table_DataQualities[[#This Row],[unit_ID]],table_Units[],5)&gt;0,table_DataQualities[[#This Row],[z_best]],IF(VLOOKUP(table_DataQualities[[#This Row],[unit_ID]],table_Units[],6)=1,table_DataQualities[[#This Row],[z_worst]]))</f>
        <v>6218.6</v>
      </c>
      <c r="K304">
        <f t="shared" ca="1" si="64"/>
        <v>0.04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1</v>
      </c>
      <c r="O304">
        <f t="shared" ca="1" si="65"/>
        <v>4</v>
      </c>
    </row>
    <row r="305" spans="1:15" x14ac:dyDescent="0.45">
      <c r="A305">
        <v>305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152_Temperaturmessgenauigkeit °C</v>
      </c>
      <c r="C305">
        <f t="shared" ca="1" si="72"/>
        <v>500</v>
      </c>
      <c r="D305" s="3" t="str">
        <f ca="1">VLOOKUP(table_DataQualities[[#This Row],[unit_ID]],table_Units[#All],2)</f>
        <v>+/- °C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05" s="9">
        <f ca="1">IF(VLOOKUP(table_DataQualities[[#This Row],[unit_ID]],table_Units[],5)&gt;0,table_DataQualities[[#This Row],[z_best]],IF(VLOOKUP(table_DataQualities[[#This Row],[unit_ID]],table_Units[],6)=1,table_DataQualities[[#This Row],[z_worst]]))</f>
        <v>4</v>
      </c>
      <c r="K305">
        <f t="shared" ca="1" si="64"/>
        <v>0.71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1</v>
      </c>
      <c r="O305">
        <f t="shared" ca="1" si="65"/>
        <v>1</v>
      </c>
    </row>
    <row r="306" spans="1:15" x14ac:dyDescent="0.45">
      <c r="A306">
        <v>306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5.2999999999999999E-2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9644.9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306" s="9">
        <f ca="1">IF(VLOOKUP(table_DataQualities[[#This Row],[unit_ID]],table_Units[],5)&gt;0,table_DataQualities[[#This Row],[z_best]],IF(VLOOKUP(table_DataQualities[[#This Row],[unit_ID]],table_Units[],6)=1,table_DataQualities[[#This Row],[z_worst]]))</f>
        <v>9644.9</v>
      </c>
      <c r="K306">
        <f t="shared" ca="1" si="64"/>
        <v>0.03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1</v>
      </c>
      <c r="O306">
        <f t="shared" ca="1" si="65"/>
        <v>2</v>
      </c>
    </row>
    <row r="307" spans="1:15" x14ac:dyDescent="0.45">
      <c r="A307">
        <v>307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153_Durchflussmessgenauigkeit cm³/s</v>
      </c>
      <c r="C307">
        <f t="shared" ref="C307" ca="1" si="74">RANDBETWEEN(5,10)*100</f>
        <v>800</v>
      </c>
      <c r="D307" s="3" t="str">
        <f ca="1">VLOOKUP(table_DataQualities[[#This Row],[unit_ID]],table_Units[#All],2)</f>
        <v>+/- cm³/s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0.35599999999999998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307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0.35599999999999998</v>
      </c>
      <c r="K307">
        <f t="shared" ca="1" si="64"/>
        <v>0.89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1</v>
      </c>
      <c r="O307">
        <f t="shared" ca="1" si="65"/>
        <v>2</v>
      </c>
    </row>
    <row r="308" spans="1:15" x14ac:dyDescent="0.45">
      <c r="A308">
        <v>308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0.32600000000000001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842.6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0.32600000000000001</v>
      </c>
      <c r="I308" s="9">
        <f ca="1">IF(VLOOKUP(table_DataQualities[[#This Row],[unit_ID]],table_Units[],5)&gt;0,table_DataQualities[[#This Row],[z_best]],IF(VLOOKUP(table_DataQualities[[#This Row],[unit_ID]],table_Units[],6)=1,table_DataQualities[[#This Row],[z_worst]]))</f>
        <v>842.6</v>
      </c>
      <c r="K308">
        <f t="shared" ca="1" si="64"/>
        <v>0.47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1</v>
      </c>
      <c r="O308">
        <f t="shared" ca="1" si="65"/>
        <v>2</v>
      </c>
    </row>
    <row r="309" spans="1:15" x14ac:dyDescent="0.45">
      <c r="A309">
        <v>309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154_Bildgröße</v>
      </c>
      <c r="C309">
        <f t="shared" ca="1" si="72"/>
        <v>1000</v>
      </c>
      <c r="D309" s="3" t="str">
        <f ca="1">VLOOKUP(table_DataQualities[[#This Row],[unit_ID]],table_Units[#All],2)</f>
        <v>bit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83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9626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83</v>
      </c>
      <c r="I309" s="9">
        <f ca="1">IF(VLOOKUP(table_DataQualities[[#This Row],[unit_ID]],table_Units[],5)&gt;0,table_DataQualities[[#This Row],[z_best]],IF(VLOOKUP(table_DataQualities[[#This Row],[unit_ID]],table_Units[],6)=1,table_DataQualities[[#This Row],[z_worst]]))</f>
        <v>9626</v>
      </c>
      <c r="K309">
        <f t="shared" ca="1" si="64"/>
        <v>0.6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1</v>
      </c>
      <c r="O309">
        <f t="shared" ca="1" si="65"/>
        <v>5</v>
      </c>
    </row>
    <row r="310" spans="1:15" x14ac:dyDescent="0.45">
      <c r="A310">
        <v>310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0.879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1653.5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0.879</v>
      </c>
      <c r="I310" s="9">
        <f ca="1">IF(VLOOKUP(table_DataQualities[[#This Row],[unit_ID]],table_Units[],5)&gt;0,table_DataQualities[[#This Row],[z_best]],IF(VLOOKUP(table_DataQualities[[#This Row],[unit_ID]],table_Units[],6)=1,table_DataQualities[[#This Row],[z_worst]]))</f>
        <v>1653.5</v>
      </c>
      <c r="K310">
        <f t="shared" ca="1" si="64"/>
        <v>0.76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1</v>
      </c>
      <c r="O310">
        <f t="shared" ca="1" si="65"/>
        <v>3</v>
      </c>
    </row>
    <row r="311" spans="1:15" x14ac:dyDescent="0.45">
      <c r="A311">
        <v>311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155_Leistungsmessgenauigkeit W</v>
      </c>
      <c r="C311">
        <f t="shared" ca="1" si="72"/>
        <v>600</v>
      </c>
      <c r="D311" s="3" t="str">
        <f ca="1">VLOOKUP(table_DataQualities[[#This Row],[unit_ID]],table_Units[#All],2)</f>
        <v>+/- W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1.85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9.9000000000000005E-2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311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1.85</v>
      </c>
      <c r="K311">
        <f t="shared" ca="1" si="64"/>
        <v>0.71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1</v>
      </c>
      <c r="O311">
        <f t="shared" ca="1" si="65"/>
        <v>1</v>
      </c>
    </row>
    <row r="312" spans="1:15" x14ac:dyDescent="0.45">
      <c r="A312">
        <v>312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0.998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1165.4000000000001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0.998</v>
      </c>
      <c r="I312" s="9">
        <f ca="1">IF(VLOOKUP(table_DataQualities[[#This Row],[unit_ID]],table_Units[],5)&gt;0,table_DataQualities[[#This Row],[z_best]],IF(VLOOKUP(table_DataQualities[[#This Row],[unit_ID]],table_Units[],6)=1,table_DataQualities[[#This Row],[z_worst]]))</f>
        <v>1165.4000000000001</v>
      </c>
      <c r="K312">
        <f t="shared" ca="1" si="64"/>
        <v>0.1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1</v>
      </c>
      <c r="O312">
        <f t="shared" ca="1" si="65"/>
        <v>1</v>
      </c>
    </row>
    <row r="313" spans="1:15" x14ac:dyDescent="0.45">
      <c r="A313">
        <v>313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156_Längenmessgenauigkeit mm</v>
      </c>
      <c r="C313">
        <f ca="1">RANDBETWEEN(5,10)*100</f>
        <v>900</v>
      </c>
      <c r="D313" s="3" t="str">
        <f ca="1">VLOOKUP(table_DataQualities[[#This Row],[unit_ID]],table_Units[#All],2)</f>
        <v>+/- mm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4.49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313" s="9">
        <f ca="1">IF(VLOOKUP(table_DataQualities[[#This Row],[unit_ID]],table_Units[],5)&gt;0,table_DataQualities[[#This Row],[z_best]],IF(VLOOKUP(table_DataQualities[[#This Row],[unit_ID]],table_Units[],6)=1,table_DataQualities[[#This Row],[z_worst]]))</f>
        <v>4.49</v>
      </c>
      <c r="K313">
        <f t="shared" ca="1" si="64"/>
        <v>0.33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1</v>
      </c>
      <c r="O313">
        <f t="shared" ca="1" si="65"/>
        <v>4</v>
      </c>
    </row>
    <row r="314" spans="1:15" x14ac:dyDescent="0.45">
      <c r="A314">
        <v>314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0.755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4550.5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0.755</v>
      </c>
      <c r="I314" s="9">
        <f ca="1">IF(VLOOKUP(table_DataQualities[[#This Row],[unit_ID]],table_Units[],5)&gt;0,table_DataQualities[[#This Row],[z_best]],IF(VLOOKUP(table_DataQualities[[#This Row],[unit_ID]],table_Units[],6)=1,table_DataQualities[[#This Row],[z_worst]]))</f>
        <v>4550.5</v>
      </c>
      <c r="K314">
        <f t="shared" ca="1" si="64"/>
        <v>0.74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1</v>
      </c>
      <c r="O314">
        <f t="shared" ca="1" si="65"/>
        <v>4</v>
      </c>
    </row>
    <row r="315" spans="1:15" x14ac:dyDescent="0.45">
      <c r="A315">
        <v>315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157_Leistungsmessgenauigkeit W</v>
      </c>
      <c r="C315">
        <f t="shared" ref="C315:C325" ca="1" si="75">RANDBETWEEN(5,10)*100</f>
        <v>600</v>
      </c>
      <c r="D315" s="3" t="str">
        <f ca="1">VLOOKUP(table_DataQualities[[#This Row],[unit_ID]],table_Units[#All],2)</f>
        <v>+/- W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2.04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1.4E-2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315" s="9">
        <f ca="1">IF(VLOOKUP(table_DataQualities[[#This Row],[unit_ID]],table_Units[],5)&gt;0,table_DataQualities[[#This Row],[z_best]],IF(VLOOKUP(table_DataQualities[[#This Row],[unit_ID]],table_Units[],6)=1,table_DataQualities[[#This Row],[z_worst]]))</f>
        <v>2.04</v>
      </c>
      <c r="K315">
        <f t="shared" ca="1" si="64"/>
        <v>7.0000000000000007E-2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1</v>
      </c>
      <c r="O315">
        <f t="shared" ca="1" si="65"/>
        <v>2</v>
      </c>
    </row>
    <row r="316" spans="1:15" x14ac:dyDescent="0.45">
      <c r="A316">
        <v>316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0.89400000000000002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1270.7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0.89400000000000002</v>
      </c>
      <c r="I316" s="9">
        <f ca="1">IF(VLOOKUP(table_DataQualities[[#This Row],[unit_ID]],table_Units[],5)&gt;0,table_DataQualities[[#This Row],[z_best]],IF(VLOOKUP(table_DataQualities[[#This Row],[unit_ID]],table_Units[],6)=1,table_DataQualities[[#This Row],[z_worst]]))</f>
        <v>1270.7</v>
      </c>
      <c r="K316">
        <f t="shared" ca="1" si="64"/>
        <v>0.78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1</v>
      </c>
      <c r="O316">
        <f t="shared" ca="1" si="65"/>
        <v>4</v>
      </c>
    </row>
    <row r="317" spans="1:15" x14ac:dyDescent="0.45">
      <c r="A317">
        <v>317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158_Temperaturmessgenauigkeit °C</v>
      </c>
      <c r="C317">
        <f t="shared" ref="C317" ca="1" si="76">RANDBETWEEN(5,10)*100</f>
        <v>500</v>
      </c>
      <c r="D317" s="3" t="str">
        <f ca="1">VLOOKUP(table_DataQualities[[#This Row],[unit_ID]],table_Units[#All],2)</f>
        <v>+/- °C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17" s="9">
        <f ca="1">IF(VLOOKUP(table_DataQualities[[#This Row],[unit_ID]],table_Units[],5)&gt;0,table_DataQualities[[#This Row],[z_best]],IF(VLOOKUP(table_DataQualities[[#This Row],[unit_ID]],table_Units[],6)=1,table_DataQualities[[#This Row],[z_worst]]))</f>
        <v>7</v>
      </c>
      <c r="K317">
        <f t="shared" ca="1" si="64"/>
        <v>0.11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1</v>
      </c>
      <c r="O317">
        <f t="shared" ca="1" si="65"/>
        <v>3</v>
      </c>
    </row>
    <row r="318" spans="1:15" x14ac:dyDescent="0.45">
      <c r="A318">
        <v>318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0.83599999999999997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266.10000000000002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0.83599999999999997</v>
      </c>
      <c r="I318" s="9">
        <f ca="1">IF(VLOOKUP(table_DataQualities[[#This Row],[unit_ID]],table_Units[],5)&gt;0,table_DataQualities[[#This Row],[z_best]],IF(VLOOKUP(table_DataQualities[[#This Row],[unit_ID]],table_Units[],6)=1,table_DataQualities[[#This Row],[z_worst]]))</f>
        <v>266.10000000000002</v>
      </c>
      <c r="K318">
        <f t="shared" ca="1" si="64"/>
        <v>0.55000000000000004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1</v>
      </c>
      <c r="O318">
        <f t="shared" ca="1" si="65"/>
        <v>1</v>
      </c>
    </row>
    <row r="319" spans="1:15" x14ac:dyDescent="0.45">
      <c r="A319">
        <v>319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159_Durchflussmessgenauigkeit cm³/s</v>
      </c>
      <c r="C319">
        <f t="shared" ca="1" si="75"/>
        <v>800</v>
      </c>
      <c r="D319" s="3" t="str">
        <f ca="1">VLOOKUP(table_DataQualities[[#This Row],[unit_ID]],table_Units[#All],2)</f>
        <v>+/- cm³/s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0.127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7.7000000000000002E-3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7.7000000000000002E-3</v>
      </c>
      <c r="I319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0.127</v>
      </c>
      <c r="K319">
        <f t="shared" ca="1" si="64"/>
        <v>0.1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1</v>
      </c>
      <c r="O319">
        <f t="shared" ca="1" si="65"/>
        <v>2</v>
      </c>
    </row>
    <row r="320" spans="1:15" x14ac:dyDescent="0.45">
      <c r="A320">
        <v>320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0.124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2757.9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0.124</v>
      </c>
      <c r="I320" s="9">
        <f ca="1">IF(VLOOKUP(table_DataQualities[[#This Row],[unit_ID]],table_Units[],5)&gt;0,table_DataQualities[[#This Row],[z_best]],IF(VLOOKUP(table_DataQualities[[#This Row],[unit_ID]],table_Units[],6)=1,table_DataQualities[[#This Row],[z_worst]]))</f>
        <v>2757.9</v>
      </c>
      <c r="K320">
        <f t="shared" ca="1" si="64"/>
        <v>1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1</v>
      </c>
      <c r="O320">
        <f t="shared" ca="1" si="65"/>
        <v>5</v>
      </c>
    </row>
    <row r="321" spans="1:15" x14ac:dyDescent="0.45">
      <c r="A321">
        <v>321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160_Bildgröße</v>
      </c>
      <c r="C321">
        <f t="shared" ref="C321" ca="1" si="77">RANDBETWEEN(5,10)*100</f>
        <v>1000</v>
      </c>
      <c r="D321" s="3" t="str">
        <f ca="1">VLOOKUP(table_DataQualities[[#This Row],[unit_ID]],table_Units[#All],2)</f>
        <v>bit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28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6934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28</v>
      </c>
      <c r="I321" s="9">
        <f ca="1">IF(VLOOKUP(table_DataQualities[[#This Row],[unit_ID]],table_Units[],5)&gt;0,table_DataQualities[[#This Row],[z_best]],IF(VLOOKUP(table_DataQualities[[#This Row],[unit_ID]],table_Units[],6)=1,table_DataQualities[[#This Row],[z_worst]]))</f>
        <v>6934</v>
      </c>
      <c r="K321">
        <f t="shared" ca="1" si="64"/>
        <v>0.49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1</v>
      </c>
      <c r="O321">
        <f t="shared" ca="1" si="65"/>
        <v>5</v>
      </c>
    </row>
    <row r="322" spans="1:15" x14ac:dyDescent="0.45">
      <c r="A322">
        <v>322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0.753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668.5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0.753</v>
      </c>
      <c r="I322" s="9">
        <f ca="1">IF(VLOOKUP(table_DataQualities[[#This Row],[unit_ID]],table_Units[],5)&gt;0,table_DataQualities[[#This Row],[z_best]],IF(VLOOKUP(table_DataQualities[[#This Row],[unit_ID]],table_Units[],6)=1,table_DataQualities[[#This Row],[z_worst]]))</f>
        <v>668.5</v>
      </c>
      <c r="K322">
        <f t="shared" ca="1" si="64"/>
        <v>0.03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1</v>
      </c>
      <c r="O322">
        <f t="shared" ca="1" si="65"/>
        <v>2</v>
      </c>
    </row>
    <row r="323" spans="1:15" x14ac:dyDescent="0.45">
      <c r="A323">
        <v>323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161_Geschwindigkeitsmessgenauigkeit mm/s</v>
      </c>
      <c r="C323">
        <f t="shared" ca="1" si="75"/>
        <v>700</v>
      </c>
      <c r="D323" s="3" t="str">
        <f ca="1">VLOOKUP(table_DataQualities[[#This Row],[unit_ID]],table_Units[#All],2)</f>
        <v>+/- mm/s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323" s="9">
        <f ca="1">IF(VLOOKUP(table_DataQualities[[#This Row],[unit_ID]],table_Units[],5)&gt;0,table_DataQualities[[#This Row],[z_best]],IF(VLOOKUP(table_DataQualities[[#This Row],[unit_ID]],table_Units[],6)=1,table_DataQualities[[#This Row],[z_worst]]))</f>
        <v>2.1</v>
      </c>
      <c r="K323">
        <f t="shared" ca="1" si="64"/>
        <v>0.17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1</v>
      </c>
      <c r="O323">
        <f t="shared" ca="1" si="65"/>
        <v>1</v>
      </c>
    </row>
    <row r="324" spans="1:15" x14ac:dyDescent="0.45">
      <c r="A324">
        <v>324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0.58299999999999996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4851.8999999999996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0.58299999999999996</v>
      </c>
      <c r="I324" s="9">
        <f ca="1">IF(VLOOKUP(table_DataQualities[[#This Row],[unit_ID]],table_Units[],5)&gt;0,table_DataQualities[[#This Row],[z_best]],IF(VLOOKUP(table_DataQualities[[#This Row],[unit_ID]],table_Units[],6)=1,table_DataQualities[[#This Row],[z_worst]]))</f>
        <v>4851.8999999999996</v>
      </c>
      <c r="K324">
        <f t="shared" ca="1" si="64"/>
        <v>0.16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1</v>
      </c>
      <c r="O324">
        <f t="shared" ca="1" si="65"/>
        <v>1</v>
      </c>
    </row>
    <row r="325" spans="1:15" x14ac:dyDescent="0.45">
      <c r="A325">
        <v>325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162_Längenmessgenauigkeit mm</v>
      </c>
      <c r="C325">
        <f t="shared" ca="1" si="75"/>
        <v>900</v>
      </c>
      <c r="D325" s="3" t="str">
        <f ca="1">VLOOKUP(table_DataQualities[[#This Row],[unit_ID]],table_Units[#All],2)</f>
        <v>+/- mm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4.96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325" s="9">
        <f ca="1">IF(VLOOKUP(table_DataQualities[[#This Row],[unit_ID]],table_Units[],5)&gt;0,table_DataQualities[[#This Row],[z_best]],IF(VLOOKUP(table_DataQualities[[#This Row],[unit_ID]],table_Units[],6)=1,table_DataQualities[[#This Row],[z_worst]]))</f>
        <v>4.96</v>
      </c>
      <c r="K325">
        <f t="shared" ca="1" si="64"/>
        <v>0.22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1</v>
      </c>
      <c r="O325">
        <f t="shared" ca="1" si="65"/>
        <v>3</v>
      </c>
    </row>
    <row r="326" spans="1:15" x14ac:dyDescent="0.45">
      <c r="A326">
        <v>326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0.214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1965.2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0.214</v>
      </c>
      <c r="I326" s="9">
        <f ca="1">IF(VLOOKUP(table_DataQualities[[#This Row],[unit_ID]],table_Units[],5)&gt;0,table_DataQualities[[#This Row],[z_best]],IF(VLOOKUP(table_DataQualities[[#This Row],[unit_ID]],table_Units[],6)=1,table_DataQualities[[#This Row],[z_worst]]))</f>
        <v>1965.2</v>
      </c>
      <c r="K326">
        <f t="shared" ca="1" si="64"/>
        <v>0.85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1</v>
      </c>
      <c r="O326">
        <f t="shared" ca="1" si="65"/>
        <v>1</v>
      </c>
    </row>
    <row r="327" spans="1:15" x14ac:dyDescent="0.45">
      <c r="A327">
        <v>327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163_Längenmessgenauigkeit mm</v>
      </c>
      <c r="C327">
        <f ca="1">RANDBETWEEN(5,10)*100</f>
        <v>900</v>
      </c>
      <c r="D327" s="3" t="str">
        <f ca="1">VLOOKUP(table_DataQualities[[#This Row],[unit_ID]],table_Units[#All],2)</f>
        <v>+/- mm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9.7100000000000009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7.5999999999999998E-2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327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9.7100000000000009</v>
      </c>
      <c r="K327">
        <f t="shared" ca="1" si="64"/>
        <v>0.23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1</v>
      </c>
      <c r="O327">
        <f t="shared" ca="1" si="65"/>
        <v>4</v>
      </c>
    </row>
    <row r="328" spans="1:15" x14ac:dyDescent="0.45">
      <c r="A328">
        <v>328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0.58399999999999996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8599.7999999999993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0.58399999999999996</v>
      </c>
      <c r="I328" s="9">
        <f ca="1">IF(VLOOKUP(table_DataQualities[[#This Row],[unit_ID]],table_Units[],5)&gt;0,table_DataQualities[[#This Row],[z_best]],IF(VLOOKUP(table_DataQualities[[#This Row],[unit_ID]],table_Units[],6)=1,table_DataQualities[[#This Row],[z_worst]]))</f>
        <v>8599.7999999999993</v>
      </c>
      <c r="K328">
        <f t="shared" ca="1" si="64"/>
        <v>0.62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1</v>
      </c>
      <c r="O328">
        <f t="shared" ca="1" si="65"/>
        <v>4</v>
      </c>
    </row>
    <row r="329" spans="1:15" x14ac:dyDescent="0.45">
      <c r="A329">
        <v>329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164_Temperaturmessgenauigkeit °C</v>
      </c>
      <c r="C329">
        <f t="shared" ref="C329:C339" ca="1" si="78">RANDBETWEEN(5,10)*100</f>
        <v>500</v>
      </c>
      <c r="D329" s="3" t="str">
        <f ca="1">VLOOKUP(table_DataQualities[[#This Row],[unit_ID]],table_Units[#All],2)</f>
        <v>+/- °C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29" s="9">
        <f ca="1">IF(VLOOKUP(table_DataQualities[[#This Row],[unit_ID]],table_Units[],5)&gt;0,table_DataQualities[[#This Row],[z_best]],IF(VLOOKUP(table_DataQualities[[#This Row],[unit_ID]],table_Units[],6)=1,table_DataQualities[[#This Row],[z_worst]]))</f>
        <v>4</v>
      </c>
      <c r="K329">
        <f t="shared" ca="1" si="64"/>
        <v>0.92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1</v>
      </c>
      <c r="O329">
        <f t="shared" ca="1" si="65"/>
        <v>4</v>
      </c>
    </row>
    <row r="330" spans="1:15" x14ac:dyDescent="0.45">
      <c r="A330">
        <v>330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0.55600000000000005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406.3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0.55600000000000005</v>
      </c>
      <c r="I330" s="9">
        <f ca="1">IF(VLOOKUP(table_DataQualities[[#This Row],[unit_ID]],table_Units[],5)&gt;0,table_DataQualities[[#This Row],[z_best]],IF(VLOOKUP(table_DataQualities[[#This Row],[unit_ID]],table_Units[],6)=1,table_DataQualities[[#This Row],[z_worst]]))</f>
        <v>406.3</v>
      </c>
      <c r="K330">
        <f t="shared" ca="1" si="64"/>
        <v>0.15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1</v>
      </c>
      <c r="O330">
        <f t="shared" ca="1" si="65"/>
        <v>3</v>
      </c>
    </row>
    <row r="331" spans="1:15" x14ac:dyDescent="0.45">
      <c r="A331">
        <v>331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165_Geschwindigkeitsmessgenauigkeit mm/s</v>
      </c>
      <c r="C331">
        <f t="shared" ref="C331" ca="1" si="79">RANDBETWEEN(5,10)*100</f>
        <v>700</v>
      </c>
      <c r="D331" s="3" t="str">
        <f ca="1">VLOOKUP(table_DataQualities[[#This Row],[unit_ID]],table_Units[#All],2)</f>
        <v>+/- mm/s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31" s="9">
        <f ca="1">IF(VLOOKUP(table_DataQualities[[#This Row],[unit_ID]],table_Units[],5)&gt;0,table_DataQualities[[#This Row],[z_best]],IF(VLOOKUP(table_DataQualities[[#This Row],[unit_ID]],table_Units[],6)=1,table_DataQualities[[#This Row],[z_worst]]))</f>
        <v>8.1</v>
      </c>
      <c r="K331">
        <f t="shared" ca="1" si="64"/>
        <v>1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1</v>
      </c>
      <c r="O331">
        <f t="shared" ca="1" si="65"/>
        <v>4</v>
      </c>
    </row>
    <row r="332" spans="1:15" x14ac:dyDescent="0.45">
      <c r="A332">
        <v>332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0.47399999999999998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6468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0.47399999999999998</v>
      </c>
      <c r="I332" s="9">
        <f ca="1">IF(VLOOKUP(table_DataQualities[[#This Row],[unit_ID]],table_Units[],5)&gt;0,table_DataQualities[[#This Row],[z_best]],IF(VLOOKUP(table_DataQualities[[#This Row],[unit_ID]],table_Units[],6)=1,table_DataQualities[[#This Row],[z_worst]]))</f>
        <v>6468</v>
      </c>
      <c r="K332">
        <f t="shared" ca="1" si="64"/>
        <v>0.15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1</v>
      </c>
      <c r="O332">
        <f t="shared" ca="1" si="65"/>
        <v>5</v>
      </c>
    </row>
    <row r="333" spans="1:15" x14ac:dyDescent="0.45">
      <c r="A333">
        <v>333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166_Leistungsmessgenauigkeit W</v>
      </c>
      <c r="C333">
        <f t="shared" ca="1" si="78"/>
        <v>600</v>
      </c>
      <c r="D333" s="3" t="str">
        <f ca="1">VLOOKUP(table_DataQualities[[#This Row],[unit_ID]],table_Units[#All],2)</f>
        <v>+/- W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9.32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33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9.32</v>
      </c>
      <c r="K333">
        <f t="shared" ref="K333:K396" ca="1" si="80">ROUND(RAND(),2)</f>
        <v>0.8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1</v>
      </c>
      <c r="O333">
        <f t="shared" ref="O333:O396" ca="1" si="81">RANDBETWEEN(1,5)</f>
        <v>3</v>
      </c>
    </row>
    <row r="334" spans="1:15" x14ac:dyDescent="0.45">
      <c r="A334">
        <v>334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0.217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1377.3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0.217</v>
      </c>
      <c r="I334" s="9">
        <f ca="1">IF(VLOOKUP(table_DataQualities[[#This Row],[unit_ID]],table_Units[],5)&gt;0,table_DataQualities[[#This Row],[z_best]],IF(VLOOKUP(table_DataQualities[[#This Row],[unit_ID]],table_Units[],6)=1,table_DataQualities[[#This Row],[z_worst]]))</f>
        <v>1377.3</v>
      </c>
      <c r="K334">
        <f t="shared" ca="1" si="80"/>
        <v>0.35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1</v>
      </c>
      <c r="O334">
        <f t="shared" ca="1" si="81"/>
        <v>5</v>
      </c>
    </row>
    <row r="335" spans="1:15" x14ac:dyDescent="0.45">
      <c r="A335">
        <v>335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167_Bildgröße</v>
      </c>
      <c r="C335">
        <f t="shared" ref="C335" ca="1" si="82">RANDBETWEEN(5,10)*100</f>
        <v>1000</v>
      </c>
      <c r="D335" s="3" t="str">
        <f ca="1">VLOOKUP(table_DataQualities[[#This Row],[unit_ID]],table_Units[#All],2)</f>
        <v>bit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22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7111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22</v>
      </c>
      <c r="I335" s="9">
        <f ca="1">IF(VLOOKUP(table_DataQualities[[#This Row],[unit_ID]],table_Units[],5)&gt;0,table_DataQualities[[#This Row],[z_best]],IF(VLOOKUP(table_DataQualities[[#This Row],[unit_ID]],table_Units[],6)=1,table_DataQualities[[#This Row],[z_worst]]))</f>
        <v>7111</v>
      </c>
      <c r="K335">
        <f t="shared" ca="1" si="80"/>
        <v>0.28999999999999998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1</v>
      </c>
      <c r="O335">
        <f t="shared" ca="1" si="81"/>
        <v>5</v>
      </c>
    </row>
    <row r="336" spans="1:15" x14ac:dyDescent="0.45">
      <c r="A336">
        <v>336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0.69299999999999995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8295.4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0.69299999999999995</v>
      </c>
      <c r="I336" s="9">
        <f ca="1">IF(VLOOKUP(table_DataQualities[[#This Row],[unit_ID]],table_Units[],5)&gt;0,table_DataQualities[[#This Row],[z_best]],IF(VLOOKUP(table_DataQualities[[#This Row],[unit_ID]],table_Units[],6)=1,table_DataQualities[[#This Row],[z_worst]]))</f>
        <v>8295.4</v>
      </c>
      <c r="K336">
        <f t="shared" ca="1" si="80"/>
        <v>0.45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1</v>
      </c>
      <c r="O336">
        <f t="shared" ca="1" si="81"/>
        <v>5</v>
      </c>
    </row>
    <row r="337" spans="1:15" x14ac:dyDescent="0.45">
      <c r="A337">
        <v>337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168_Geschwindigkeitsmessgenauigkeit mm/s</v>
      </c>
      <c r="C337">
        <f t="shared" ca="1" si="78"/>
        <v>700</v>
      </c>
      <c r="D337" s="3" t="str">
        <f ca="1">VLOOKUP(table_DataQualities[[#This Row],[unit_ID]],table_Units[#All],2)</f>
        <v>+/- mm/s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0.86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</v>
      </c>
      <c r="I337" s="9">
        <f ca="1">IF(VLOOKUP(table_DataQualities[[#This Row],[unit_ID]],table_Units[],5)&gt;0,table_DataQualities[[#This Row],[z_best]],IF(VLOOKUP(table_DataQualities[[#This Row],[unit_ID]],table_Units[],6)=1,table_DataQualities[[#This Row],[z_worst]]))</f>
        <v>7.5</v>
      </c>
      <c r="K337">
        <f t="shared" ca="1" si="80"/>
        <v>0.75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1</v>
      </c>
      <c r="O337">
        <f t="shared" ca="1" si="81"/>
        <v>4</v>
      </c>
    </row>
    <row r="338" spans="1:15" x14ac:dyDescent="0.45">
      <c r="A338">
        <v>338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0.96299999999999997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5424.5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0.96299999999999997</v>
      </c>
      <c r="I338" s="9">
        <f ca="1">IF(VLOOKUP(table_DataQualities[[#This Row],[unit_ID]],table_Units[],5)&gt;0,table_DataQualities[[#This Row],[z_best]],IF(VLOOKUP(table_DataQualities[[#This Row],[unit_ID]],table_Units[],6)=1,table_DataQualities[[#This Row],[z_worst]]))</f>
        <v>5424.5</v>
      </c>
      <c r="K338">
        <f t="shared" ca="1" si="80"/>
        <v>0.49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1</v>
      </c>
      <c r="O338">
        <f t="shared" ca="1" si="81"/>
        <v>3</v>
      </c>
    </row>
    <row r="339" spans="1:15" x14ac:dyDescent="0.45">
      <c r="A339">
        <v>339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169_Leistungsmessgenauigkeit W</v>
      </c>
      <c r="C339">
        <f t="shared" ca="1" si="78"/>
        <v>600</v>
      </c>
      <c r="D339" s="3" t="str">
        <f ca="1">VLOOKUP(table_DataQualities[[#This Row],[unit_ID]],table_Units[#All],2)</f>
        <v>+/- W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2.77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339" s="9">
        <f ca="1">IF(VLOOKUP(table_DataQualities[[#This Row],[unit_ID]],table_Units[],5)&gt;0,table_DataQualities[[#This Row],[z_best]],IF(VLOOKUP(table_DataQualities[[#This Row],[unit_ID]],table_Units[],6)=1,table_DataQualities[[#This Row],[z_worst]]))</f>
        <v>2.77</v>
      </c>
      <c r="K339">
        <f t="shared" ca="1" si="80"/>
        <v>0.68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1</v>
      </c>
      <c r="O339">
        <f t="shared" ca="1" si="81"/>
        <v>4</v>
      </c>
    </row>
    <row r="340" spans="1:15" x14ac:dyDescent="0.45">
      <c r="A340">
        <v>340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0.55200000000000005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401.8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0.55200000000000005</v>
      </c>
      <c r="I340" s="9">
        <f ca="1">IF(VLOOKUP(table_DataQualities[[#This Row],[unit_ID]],table_Units[],5)&gt;0,table_DataQualities[[#This Row],[z_best]],IF(VLOOKUP(table_DataQualities[[#This Row],[unit_ID]],table_Units[],6)=1,table_DataQualities[[#This Row],[z_worst]]))</f>
        <v>401.8</v>
      </c>
      <c r="K340">
        <f t="shared" ca="1" si="80"/>
        <v>0.9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1</v>
      </c>
      <c r="O340">
        <f t="shared" ca="1" si="81"/>
        <v>3</v>
      </c>
    </row>
    <row r="341" spans="1:15" x14ac:dyDescent="0.45">
      <c r="A341">
        <v>341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170_Leistungsmessgenauigkeit W</v>
      </c>
      <c r="C341">
        <f ca="1">RANDBETWEEN(5,10)*100</f>
        <v>600</v>
      </c>
      <c r="D341" s="3" t="str">
        <f ca="1">VLOOKUP(table_DataQualities[[#This Row],[unit_ID]],table_Units[#All],2)</f>
        <v>+/- W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7.29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41" s="9">
        <f ca="1">IF(VLOOKUP(table_DataQualities[[#This Row],[unit_ID]],table_Units[],5)&gt;0,table_DataQualities[[#This Row],[z_best]],IF(VLOOKUP(table_DataQualities[[#This Row],[unit_ID]],table_Units[],6)=1,table_DataQualities[[#This Row],[z_worst]]))</f>
        <v>7.29</v>
      </c>
      <c r="K341">
        <f t="shared" ca="1" si="80"/>
        <v>0.55000000000000004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1</v>
      </c>
      <c r="O341">
        <f t="shared" ca="1" si="81"/>
        <v>1</v>
      </c>
    </row>
    <row r="342" spans="1:15" x14ac:dyDescent="0.45">
      <c r="A342">
        <v>342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0.59799999999999998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3241.8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0.59799999999999998</v>
      </c>
      <c r="I342" s="9">
        <f ca="1">IF(VLOOKUP(table_DataQualities[[#This Row],[unit_ID]],table_Units[],5)&gt;0,table_DataQualities[[#This Row],[z_best]],IF(VLOOKUP(table_DataQualities[[#This Row],[unit_ID]],table_Units[],6)=1,table_DataQualities[[#This Row],[z_worst]]))</f>
        <v>3241.8</v>
      </c>
      <c r="K342">
        <f t="shared" ca="1" si="80"/>
        <v>0.76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1</v>
      </c>
      <c r="O342">
        <f t="shared" ca="1" si="81"/>
        <v>2</v>
      </c>
    </row>
    <row r="343" spans="1:15" x14ac:dyDescent="0.45">
      <c r="A343">
        <v>343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171_Durchflussmessgenauigkeit cm³/s</v>
      </c>
      <c r="C343">
        <f t="shared" ref="C343:C353" ca="1" si="83">RANDBETWEEN(5,10)*100</f>
        <v>800</v>
      </c>
      <c r="D343" s="3" t="str">
        <f ca="1">VLOOKUP(table_DataQualities[[#This Row],[unit_ID]],table_Units[#All],2)</f>
        <v>+/- cm³/s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8.9999999999999993E-3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6.1999999999999998E-3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6.1999999999999998E-3</v>
      </c>
      <c r="I343" s="9">
        <f ca="1">IF(VLOOKUP(table_DataQualities[[#This Row],[unit_ID]],table_Units[],5)&gt;0,table_DataQualities[[#This Row],[z_best]],IF(VLOOKUP(table_DataQualities[[#This Row],[unit_ID]],table_Units[],6)=1,table_DataQualities[[#This Row],[z_worst]]))</f>
        <v>8.9999999999999993E-3</v>
      </c>
      <c r="K343">
        <f t="shared" ca="1" si="80"/>
        <v>0.66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1</v>
      </c>
      <c r="O343">
        <f t="shared" ca="1" si="81"/>
        <v>1</v>
      </c>
    </row>
    <row r="344" spans="1:15" x14ac:dyDescent="0.45">
      <c r="A344">
        <v>344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0.84299999999999997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5149.1000000000004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0.84299999999999997</v>
      </c>
      <c r="I344" s="9">
        <f ca="1">IF(VLOOKUP(table_DataQualities[[#This Row],[unit_ID]],table_Units[],5)&gt;0,table_DataQualities[[#This Row],[z_best]],IF(VLOOKUP(table_DataQualities[[#This Row],[unit_ID]],table_Units[],6)=1,table_DataQualities[[#This Row],[z_worst]]))</f>
        <v>5149.1000000000004</v>
      </c>
      <c r="K344">
        <f t="shared" ca="1" si="80"/>
        <v>0.68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1</v>
      </c>
      <c r="O344">
        <f t="shared" ca="1" si="81"/>
        <v>2</v>
      </c>
    </row>
    <row r="345" spans="1:15" x14ac:dyDescent="0.45">
      <c r="A345">
        <v>345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172_Leistungsmessgenauigkeit W</v>
      </c>
      <c r="C345">
        <f t="shared" ref="C345" ca="1" si="84">RANDBETWEEN(5,10)*100</f>
        <v>600</v>
      </c>
      <c r="D345" s="3" t="str">
        <f ca="1">VLOOKUP(table_DataQualities[[#This Row],[unit_ID]],table_Units[#All],2)</f>
        <v>+/- W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5.44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345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5.44</v>
      </c>
      <c r="K345">
        <f t="shared" ca="1" si="80"/>
        <v>0.41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1</v>
      </c>
      <c r="O345">
        <f t="shared" ca="1" si="81"/>
        <v>1</v>
      </c>
    </row>
    <row r="346" spans="1:15" x14ac:dyDescent="0.45">
      <c r="A346">
        <v>346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1142.4000000000001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</v>
      </c>
      <c r="I346" s="9">
        <f ca="1">IF(VLOOKUP(table_DataQualities[[#This Row],[unit_ID]],table_Units[],5)&gt;0,table_DataQualities[[#This Row],[z_best]],IF(VLOOKUP(table_DataQualities[[#This Row],[unit_ID]],table_Units[],6)=1,table_DataQualities[[#This Row],[z_worst]]))</f>
        <v>1142.4000000000001</v>
      </c>
      <c r="K346">
        <f t="shared" ca="1" si="80"/>
        <v>0.87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1</v>
      </c>
      <c r="O346">
        <f t="shared" ca="1" si="81"/>
        <v>2</v>
      </c>
    </row>
    <row r="347" spans="1:15" x14ac:dyDescent="0.45">
      <c r="A347">
        <v>347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173_Temperaturmessgenauigkeit °C</v>
      </c>
      <c r="C347">
        <f t="shared" ca="1" si="83"/>
        <v>500</v>
      </c>
      <c r="D347" s="3" t="str">
        <f ca="1">VLOOKUP(table_DataQualities[[#This Row],[unit_ID]],table_Units[#All],2)</f>
        <v>+/- °C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47" s="9">
        <f ca="1">IF(VLOOKUP(table_DataQualities[[#This Row],[unit_ID]],table_Units[],5)&gt;0,table_DataQualities[[#This Row],[z_best]],IF(VLOOKUP(table_DataQualities[[#This Row],[unit_ID]],table_Units[],6)=1,table_DataQualities[[#This Row],[z_worst]]))</f>
        <v>3</v>
      </c>
      <c r="K347">
        <f t="shared" ca="1" si="80"/>
        <v>0.83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1</v>
      </c>
      <c r="O347">
        <f t="shared" ca="1" si="81"/>
        <v>2</v>
      </c>
    </row>
    <row r="348" spans="1:15" x14ac:dyDescent="0.45">
      <c r="A348">
        <v>348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0.32400000000000001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3375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0.32400000000000001</v>
      </c>
      <c r="I348" s="9">
        <f ca="1">IF(VLOOKUP(table_DataQualities[[#This Row],[unit_ID]],table_Units[],5)&gt;0,table_DataQualities[[#This Row],[z_best]],IF(VLOOKUP(table_DataQualities[[#This Row],[unit_ID]],table_Units[],6)=1,table_DataQualities[[#This Row],[z_worst]]))</f>
        <v>3375</v>
      </c>
      <c r="K348">
        <f t="shared" ca="1" si="80"/>
        <v>0.84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1</v>
      </c>
      <c r="O348">
        <f t="shared" ca="1" si="81"/>
        <v>2</v>
      </c>
    </row>
    <row r="349" spans="1:15" x14ac:dyDescent="0.45">
      <c r="A349">
        <v>349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174_Geschwindigkeitsmessgenauigkeit mm/s</v>
      </c>
      <c r="C349">
        <f t="shared" ref="C349" ca="1" si="85">RANDBETWEEN(5,10)*100</f>
        <v>700</v>
      </c>
      <c r="D349" s="3" t="str">
        <f ca="1">VLOOKUP(table_DataQualities[[#This Row],[unit_ID]],table_Units[#All],2)</f>
        <v>+/- mm/s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349" s="9">
        <f ca="1">IF(VLOOKUP(table_DataQualities[[#This Row],[unit_ID]],table_Units[],5)&gt;0,table_DataQualities[[#This Row],[z_best]],IF(VLOOKUP(table_DataQualities[[#This Row],[unit_ID]],table_Units[],6)=1,table_DataQualities[[#This Row],[z_worst]]))</f>
        <v>10</v>
      </c>
      <c r="K349">
        <f t="shared" ca="1" si="80"/>
        <v>0.66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1</v>
      </c>
      <c r="O349">
        <f t="shared" ca="1" si="81"/>
        <v>1</v>
      </c>
    </row>
    <row r="350" spans="1:15" x14ac:dyDescent="0.45">
      <c r="A350">
        <v>350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0.76800000000000002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8443.7999999999993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0.76800000000000002</v>
      </c>
      <c r="I350" s="9">
        <f ca="1">IF(VLOOKUP(table_DataQualities[[#This Row],[unit_ID]],table_Units[],5)&gt;0,table_DataQualities[[#This Row],[z_best]],IF(VLOOKUP(table_DataQualities[[#This Row],[unit_ID]],table_Units[],6)=1,table_DataQualities[[#This Row],[z_worst]]))</f>
        <v>8443.7999999999993</v>
      </c>
      <c r="K350">
        <f t="shared" ca="1" si="80"/>
        <v>0.56999999999999995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1</v>
      </c>
      <c r="O350">
        <f t="shared" ca="1" si="81"/>
        <v>2</v>
      </c>
    </row>
    <row r="351" spans="1:15" x14ac:dyDescent="0.45">
      <c r="A351">
        <v>351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175_Längenmessgenauigkeit mm</v>
      </c>
      <c r="C351">
        <f t="shared" ca="1" si="83"/>
        <v>900</v>
      </c>
      <c r="D351" s="3" t="str">
        <f ca="1">VLOOKUP(table_DataQualities[[#This Row],[unit_ID]],table_Units[#All],2)</f>
        <v>+/- mm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9.8800000000000008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9.8000000000000004E-2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9.8000000000000004E-2</v>
      </c>
      <c r="I351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9.8800000000000008</v>
      </c>
      <c r="K351">
        <f t="shared" ca="1" si="80"/>
        <v>0.92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1</v>
      </c>
      <c r="O351">
        <f t="shared" ca="1" si="81"/>
        <v>4</v>
      </c>
    </row>
    <row r="352" spans="1:15" x14ac:dyDescent="0.45">
      <c r="A352">
        <v>352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0.44700000000000001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8593.4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0.44700000000000001</v>
      </c>
      <c r="I352" s="9">
        <f ca="1">IF(VLOOKUP(table_DataQualities[[#This Row],[unit_ID]],table_Units[],5)&gt;0,table_DataQualities[[#This Row],[z_best]],IF(VLOOKUP(table_DataQualities[[#This Row],[unit_ID]],table_Units[],6)=1,table_DataQualities[[#This Row],[z_worst]]))</f>
        <v>8593.4</v>
      </c>
      <c r="K352">
        <f t="shared" ca="1" si="80"/>
        <v>0.37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1</v>
      </c>
      <c r="O352">
        <f t="shared" ca="1" si="81"/>
        <v>5</v>
      </c>
    </row>
    <row r="353" spans="1:15" x14ac:dyDescent="0.45">
      <c r="A353">
        <v>353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176_Temperaturmessgenauigkeit °C</v>
      </c>
      <c r="C353">
        <f t="shared" ca="1" si="83"/>
        <v>500</v>
      </c>
      <c r="D353" s="3" t="str">
        <f ca="1">VLOOKUP(table_DataQualities[[#This Row],[unit_ID]],table_Units[#All],2)</f>
        <v>+/- °C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53" s="9">
        <f ca="1">IF(VLOOKUP(table_DataQualities[[#This Row],[unit_ID]],table_Units[],5)&gt;0,table_DataQualities[[#This Row],[z_best]],IF(VLOOKUP(table_DataQualities[[#This Row],[unit_ID]],table_Units[],6)=1,table_DataQualities[[#This Row],[z_worst]]))</f>
        <v>4</v>
      </c>
      <c r="K353">
        <f t="shared" ca="1" si="80"/>
        <v>0.71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1</v>
      </c>
      <c r="O353">
        <f t="shared" ca="1" si="81"/>
        <v>2</v>
      </c>
    </row>
    <row r="354" spans="1:15" x14ac:dyDescent="0.45">
      <c r="A354">
        <v>354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0.32500000000000001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5968.1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0.32500000000000001</v>
      </c>
      <c r="I354" s="9">
        <f ca="1">IF(VLOOKUP(table_DataQualities[[#This Row],[unit_ID]],table_Units[],5)&gt;0,table_DataQualities[[#This Row],[z_best]],IF(VLOOKUP(table_DataQualities[[#This Row],[unit_ID]],table_Units[],6)=1,table_DataQualities[[#This Row],[z_worst]]))</f>
        <v>5968.1</v>
      </c>
      <c r="K354">
        <f t="shared" ca="1" si="80"/>
        <v>0.15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1</v>
      </c>
      <c r="O354">
        <f t="shared" ca="1" si="81"/>
        <v>2</v>
      </c>
    </row>
    <row r="355" spans="1:15" x14ac:dyDescent="0.45">
      <c r="A355">
        <v>355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177_Bildgröße</v>
      </c>
      <c r="C355">
        <f ca="1">RANDBETWEEN(5,10)*100</f>
        <v>1000</v>
      </c>
      <c r="D355" s="3" t="str">
        <f ca="1">VLOOKUP(table_DataQualities[[#This Row],[unit_ID]],table_Units[#All],2)</f>
        <v>bit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63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1082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63</v>
      </c>
      <c r="I355" s="9">
        <f ca="1">IF(VLOOKUP(table_DataQualities[[#This Row],[unit_ID]],table_Units[],5)&gt;0,table_DataQualities[[#This Row],[z_best]],IF(VLOOKUP(table_DataQualities[[#This Row],[unit_ID]],table_Units[],6)=1,table_DataQualities[[#This Row],[z_worst]]))</f>
        <v>1082</v>
      </c>
      <c r="K355">
        <f t="shared" ca="1" si="80"/>
        <v>0.38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1</v>
      </c>
      <c r="O355">
        <f t="shared" ca="1" si="81"/>
        <v>3</v>
      </c>
    </row>
    <row r="356" spans="1:15" x14ac:dyDescent="0.45">
      <c r="A356">
        <v>356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0.23100000000000001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6461.7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0.23100000000000001</v>
      </c>
      <c r="I356" s="9">
        <f ca="1">IF(VLOOKUP(table_DataQualities[[#This Row],[unit_ID]],table_Units[],5)&gt;0,table_DataQualities[[#This Row],[z_best]],IF(VLOOKUP(table_DataQualities[[#This Row],[unit_ID]],table_Units[],6)=1,table_DataQualities[[#This Row],[z_worst]]))</f>
        <v>6461.7</v>
      </c>
      <c r="K356">
        <f t="shared" ca="1" si="80"/>
        <v>0.9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1</v>
      </c>
      <c r="O356">
        <f t="shared" ca="1" si="81"/>
        <v>3</v>
      </c>
    </row>
    <row r="357" spans="1:15" x14ac:dyDescent="0.45">
      <c r="A357">
        <v>357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178_Leistungsmessgenauigkeit W</v>
      </c>
      <c r="C357">
        <f t="shared" ref="C357:C367" ca="1" si="86">RANDBETWEEN(5,10)*100</f>
        <v>600</v>
      </c>
      <c r="D357" s="3" t="str">
        <f ca="1">VLOOKUP(table_DataQualities[[#This Row],[unit_ID]],table_Units[#All],2)</f>
        <v>+/- W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6.26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357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6.26</v>
      </c>
      <c r="K357">
        <f t="shared" ca="1" si="80"/>
        <v>0.8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1</v>
      </c>
      <c r="O357">
        <f t="shared" ca="1" si="81"/>
        <v>2</v>
      </c>
    </row>
    <row r="358" spans="1:15" x14ac:dyDescent="0.45">
      <c r="A358">
        <v>358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0.84599999999999997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9802.7999999999993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0.84599999999999997</v>
      </c>
      <c r="I358" s="9">
        <f ca="1">IF(VLOOKUP(table_DataQualities[[#This Row],[unit_ID]],table_Units[],5)&gt;0,table_DataQualities[[#This Row],[z_best]],IF(VLOOKUP(table_DataQualities[[#This Row],[unit_ID]],table_Units[],6)=1,table_DataQualities[[#This Row],[z_worst]]))</f>
        <v>9802.7999999999993</v>
      </c>
      <c r="K358">
        <f t="shared" ca="1" si="80"/>
        <v>0.68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1</v>
      </c>
      <c r="O358">
        <f t="shared" ca="1" si="81"/>
        <v>2</v>
      </c>
    </row>
    <row r="359" spans="1:15" x14ac:dyDescent="0.45">
      <c r="A359">
        <v>359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179_Temperaturmessgenauigkeit °C</v>
      </c>
      <c r="C359">
        <f t="shared" ref="C359" ca="1" si="87">RANDBETWEEN(5,10)*100</f>
        <v>500</v>
      </c>
      <c r="D359" s="3" t="str">
        <f ca="1">VLOOKUP(table_DataQualities[[#This Row],[unit_ID]],table_Units[#All],2)</f>
        <v>+/- °C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59" s="9">
        <f ca="1">IF(VLOOKUP(table_DataQualities[[#This Row],[unit_ID]],table_Units[],5)&gt;0,table_DataQualities[[#This Row],[z_best]],IF(VLOOKUP(table_DataQualities[[#This Row],[unit_ID]],table_Units[],6)=1,table_DataQualities[[#This Row],[z_worst]]))</f>
        <v>1</v>
      </c>
      <c r="K359">
        <f t="shared" ca="1" si="80"/>
        <v>0.69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1</v>
      </c>
      <c r="O359">
        <f t="shared" ca="1" si="81"/>
        <v>2</v>
      </c>
    </row>
    <row r="360" spans="1:15" x14ac:dyDescent="0.45">
      <c r="A360">
        <v>360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0.64300000000000002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9210.7000000000007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0.64300000000000002</v>
      </c>
      <c r="I360" s="9">
        <f ca="1">IF(VLOOKUP(table_DataQualities[[#This Row],[unit_ID]],table_Units[],5)&gt;0,table_DataQualities[[#This Row],[z_best]],IF(VLOOKUP(table_DataQualities[[#This Row],[unit_ID]],table_Units[],6)=1,table_DataQualities[[#This Row],[z_worst]]))</f>
        <v>9210.7000000000007</v>
      </c>
      <c r="K360">
        <f t="shared" ca="1" si="80"/>
        <v>0.13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1</v>
      </c>
      <c r="O360">
        <f t="shared" ca="1" si="81"/>
        <v>5</v>
      </c>
    </row>
    <row r="361" spans="1:15" x14ac:dyDescent="0.45">
      <c r="A361">
        <v>361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180_Längenmessgenauigkeit mm</v>
      </c>
      <c r="C361">
        <f t="shared" ca="1" si="86"/>
        <v>900</v>
      </c>
      <c r="D361" s="3" t="str">
        <f ca="1">VLOOKUP(table_DataQualities[[#This Row],[unit_ID]],table_Units[#All],2)</f>
        <v>+/- mm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361" s="9">
        <f ca="1">IF(VLOOKUP(table_DataQualities[[#This Row],[unit_ID]],table_Units[],5)&gt;0,table_DataQualities[[#This Row],[z_best]],IF(VLOOKUP(table_DataQualities[[#This Row],[unit_ID]],table_Units[],6)=1,table_DataQualities[[#This Row],[z_worst]]))</f>
        <v>5.5</v>
      </c>
      <c r="K361">
        <f t="shared" ca="1" si="80"/>
        <v>0.26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1</v>
      </c>
      <c r="O361">
        <f t="shared" ca="1" si="81"/>
        <v>3</v>
      </c>
    </row>
    <row r="362" spans="1:15" x14ac:dyDescent="0.45">
      <c r="A362">
        <v>362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0.24399999999999999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8801.9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0.24399999999999999</v>
      </c>
      <c r="I362" s="9">
        <f ca="1">IF(VLOOKUP(table_DataQualities[[#This Row],[unit_ID]],table_Units[],5)&gt;0,table_DataQualities[[#This Row],[z_best]],IF(VLOOKUP(table_DataQualities[[#This Row],[unit_ID]],table_Units[],6)=1,table_DataQualities[[#This Row],[z_worst]]))</f>
        <v>8801.9</v>
      </c>
      <c r="K362">
        <f t="shared" ca="1" si="80"/>
        <v>0.3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1</v>
      </c>
      <c r="O362">
        <f t="shared" ca="1" si="81"/>
        <v>3</v>
      </c>
    </row>
    <row r="363" spans="1:15" x14ac:dyDescent="0.45">
      <c r="A363">
        <v>363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181_Durchflussmessgenauigkeit cm³/s</v>
      </c>
      <c r="C363">
        <f t="shared" ref="C363" ca="1" si="88">RANDBETWEEN(5,10)*100</f>
        <v>800</v>
      </c>
      <c r="D363" s="3" t="str">
        <f ca="1">VLOOKUP(table_DataQualities[[#This Row],[unit_ID]],table_Units[#All],2)</f>
        <v>+/- cm³/s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0.68400000000000005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6.8999999999999999E-3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6.8999999999999999E-3</v>
      </c>
      <c r="I363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0.68400000000000005</v>
      </c>
      <c r="K363">
        <f t="shared" ca="1" si="80"/>
        <v>0.88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1</v>
      </c>
      <c r="O363">
        <f t="shared" ca="1" si="81"/>
        <v>4</v>
      </c>
    </row>
    <row r="364" spans="1:15" x14ac:dyDescent="0.45">
      <c r="A364">
        <v>364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0.51700000000000002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2250.6999999999998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0.51700000000000002</v>
      </c>
      <c r="I364" s="9">
        <f ca="1">IF(VLOOKUP(table_DataQualities[[#This Row],[unit_ID]],table_Units[],5)&gt;0,table_DataQualities[[#This Row],[z_best]],IF(VLOOKUP(table_DataQualities[[#This Row],[unit_ID]],table_Units[],6)=1,table_DataQualities[[#This Row],[z_worst]]))</f>
        <v>2250.6999999999998</v>
      </c>
      <c r="K364">
        <f t="shared" ca="1" si="80"/>
        <v>0.96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1</v>
      </c>
      <c r="O364">
        <f t="shared" ca="1" si="81"/>
        <v>5</v>
      </c>
    </row>
    <row r="365" spans="1:15" x14ac:dyDescent="0.45">
      <c r="A365">
        <v>365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182_Geschwindigkeitsmessgenauigkeit mm/s</v>
      </c>
      <c r="C365">
        <f t="shared" ca="1" si="86"/>
        <v>700</v>
      </c>
      <c r="D365" s="3" t="str">
        <f ca="1">VLOOKUP(table_DataQualities[[#This Row],[unit_ID]],table_Units[#All],2)</f>
        <v>+/- mm/s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0.76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</v>
      </c>
      <c r="I365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6.5</v>
      </c>
      <c r="K365">
        <f t="shared" ca="1" si="80"/>
        <v>0.47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1</v>
      </c>
      <c r="O365">
        <f t="shared" ca="1" si="81"/>
        <v>2</v>
      </c>
    </row>
    <row r="366" spans="1:15" x14ac:dyDescent="0.45">
      <c r="A366">
        <v>366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0.69799999999999995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9855.2000000000007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0.69799999999999995</v>
      </c>
      <c r="I366" s="9">
        <f ca="1">IF(VLOOKUP(table_DataQualities[[#This Row],[unit_ID]],table_Units[],5)&gt;0,table_DataQualities[[#This Row],[z_best]],IF(VLOOKUP(table_DataQualities[[#This Row],[unit_ID]],table_Units[],6)=1,table_DataQualities[[#This Row],[z_worst]]))</f>
        <v>9855.2000000000007</v>
      </c>
      <c r="K366">
        <f t="shared" ca="1" si="80"/>
        <v>0.08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1</v>
      </c>
      <c r="O366">
        <f t="shared" ca="1" si="81"/>
        <v>1</v>
      </c>
    </row>
    <row r="367" spans="1:15" x14ac:dyDescent="0.45">
      <c r="A367">
        <v>367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183_Geschwindigkeitsmessgenauigkeit mm/s</v>
      </c>
      <c r="C367">
        <f t="shared" ca="1" si="86"/>
        <v>700</v>
      </c>
      <c r="D367" s="3" t="str">
        <f ca="1">VLOOKUP(table_DataQualities[[#This Row],[unit_ID]],table_Units[#All],2)</f>
        <v>+/- mm/s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67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1.2</v>
      </c>
      <c r="K367">
        <f t="shared" ca="1" si="80"/>
        <v>0.63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1</v>
      </c>
      <c r="O367">
        <f t="shared" ca="1" si="81"/>
        <v>4</v>
      </c>
    </row>
    <row r="368" spans="1:15" x14ac:dyDescent="0.45">
      <c r="A368">
        <v>368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0.68600000000000005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5964.4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0.68600000000000005</v>
      </c>
      <c r="I368" s="9">
        <f ca="1">IF(VLOOKUP(table_DataQualities[[#This Row],[unit_ID]],table_Units[],5)&gt;0,table_DataQualities[[#This Row],[z_best]],IF(VLOOKUP(table_DataQualities[[#This Row],[unit_ID]],table_Units[],6)=1,table_DataQualities[[#This Row],[z_worst]]))</f>
        <v>5964.4</v>
      </c>
      <c r="K368">
        <f t="shared" ca="1" si="80"/>
        <v>0.9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1</v>
      </c>
      <c r="O368">
        <f t="shared" ca="1" si="81"/>
        <v>2</v>
      </c>
    </row>
    <row r="369" spans="1:15" x14ac:dyDescent="0.45">
      <c r="A369">
        <v>369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184_Bildgröße</v>
      </c>
      <c r="C369">
        <f ca="1">RANDBETWEEN(5,10)*100</f>
        <v>1000</v>
      </c>
      <c r="D369" s="3" t="str">
        <f ca="1">VLOOKUP(table_DataQualities[[#This Row],[unit_ID]],table_Units[#All],2)</f>
        <v>bit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50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3901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50</v>
      </c>
      <c r="I369" s="9">
        <f ca="1">IF(VLOOKUP(table_DataQualities[[#This Row],[unit_ID]],table_Units[],5)&gt;0,table_DataQualities[[#This Row],[z_best]],IF(VLOOKUP(table_DataQualities[[#This Row],[unit_ID]],table_Units[],6)=1,table_DataQualities[[#This Row],[z_worst]]))</f>
        <v>3901</v>
      </c>
      <c r="K369">
        <f t="shared" ca="1" si="80"/>
        <v>0.28999999999999998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1</v>
      </c>
      <c r="O369">
        <f t="shared" ca="1" si="81"/>
        <v>1</v>
      </c>
    </row>
    <row r="370" spans="1:15" x14ac:dyDescent="0.45">
      <c r="A370">
        <v>370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0.627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8282.2999999999993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0.627</v>
      </c>
      <c r="I370" s="9">
        <f ca="1">IF(VLOOKUP(table_DataQualities[[#This Row],[unit_ID]],table_Units[],5)&gt;0,table_DataQualities[[#This Row],[z_best]],IF(VLOOKUP(table_DataQualities[[#This Row],[unit_ID]],table_Units[],6)=1,table_DataQualities[[#This Row],[z_worst]]))</f>
        <v>8282.2999999999993</v>
      </c>
      <c r="K370">
        <f t="shared" ca="1" si="80"/>
        <v>0.06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1</v>
      </c>
      <c r="O370">
        <f t="shared" ca="1" si="81"/>
        <v>4</v>
      </c>
    </row>
    <row r="371" spans="1:15" x14ac:dyDescent="0.45">
      <c r="A371">
        <v>371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185_Leistungsmessgenauigkeit W</v>
      </c>
      <c r="C371">
        <f t="shared" ref="C371:C381" ca="1" si="89">RANDBETWEEN(5,10)*100</f>
        <v>600</v>
      </c>
      <c r="D371" s="3" t="str">
        <f ca="1">VLOOKUP(table_DataQualities[[#This Row],[unit_ID]],table_Units[#All],2)</f>
        <v>+/- W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1.63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371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1.63</v>
      </c>
      <c r="K371">
        <f t="shared" ca="1" si="80"/>
        <v>0.89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1</v>
      </c>
      <c r="O371">
        <f t="shared" ca="1" si="81"/>
        <v>1</v>
      </c>
    </row>
    <row r="372" spans="1:15" x14ac:dyDescent="0.45">
      <c r="A372">
        <v>372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0.40200000000000002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4262.1000000000004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0.40200000000000002</v>
      </c>
      <c r="I372" s="9">
        <f ca="1">IF(VLOOKUP(table_DataQualities[[#This Row],[unit_ID]],table_Units[],5)&gt;0,table_DataQualities[[#This Row],[z_best]],IF(VLOOKUP(table_DataQualities[[#This Row],[unit_ID]],table_Units[],6)=1,table_DataQualities[[#This Row],[z_worst]]))</f>
        <v>4262.1000000000004</v>
      </c>
      <c r="K372">
        <f t="shared" ca="1" si="80"/>
        <v>0.1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1</v>
      </c>
      <c r="O372">
        <f t="shared" ca="1" si="81"/>
        <v>1</v>
      </c>
    </row>
    <row r="373" spans="1:15" x14ac:dyDescent="0.45">
      <c r="A373">
        <v>373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186_Längenmessgenauigkeit mm</v>
      </c>
      <c r="C373">
        <f t="shared" ref="C373" ca="1" si="90">RANDBETWEEN(5,10)*100</f>
        <v>900</v>
      </c>
      <c r="D373" s="3" t="str">
        <f ca="1">VLOOKUP(table_DataQualities[[#This Row],[unit_ID]],table_Units[#All],2)</f>
        <v>+/- mm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9.93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1.6E-2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373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9.93</v>
      </c>
      <c r="K373">
        <f t="shared" ca="1" si="80"/>
        <v>0.47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1</v>
      </c>
      <c r="O373">
        <f t="shared" ca="1" si="81"/>
        <v>3</v>
      </c>
    </row>
    <row r="374" spans="1:15" x14ac:dyDescent="0.45">
      <c r="A374">
        <v>374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3203.5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</v>
      </c>
      <c r="I374" s="9">
        <f ca="1">IF(VLOOKUP(table_DataQualities[[#This Row],[unit_ID]],table_Units[],5)&gt;0,table_DataQualities[[#This Row],[z_best]],IF(VLOOKUP(table_DataQualities[[#This Row],[unit_ID]],table_Units[],6)=1,table_DataQualities[[#This Row],[z_worst]]))</f>
        <v>3203.5</v>
      </c>
      <c r="K374">
        <f t="shared" ca="1" si="80"/>
        <v>0.56999999999999995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1</v>
      </c>
      <c r="O374">
        <f t="shared" ca="1" si="81"/>
        <v>5</v>
      </c>
    </row>
    <row r="375" spans="1:15" x14ac:dyDescent="0.45">
      <c r="A375">
        <v>375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187_Bildgröße</v>
      </c>
      <c r="C375">
        <f t="shared" ca="1" si="89"/>
        <v>1000</v>
      </c>
      <c r="D375" s="3" t="str">
        <f ca="1">VLOOKUP(table_DataQualities[[#This Row],[unit_ID]],table_Units[#All],2)</f>
        <v>bit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30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9655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30</v>
      </c>
      <c r="I375" s="9">
        <f ca="1">IF(VLOOKUP(table_DataQualities[[#This Row],[unit_ID]],table_Units[],5)&gt;0,table_DataQualities[[#This Row],[z_best]],IF(VLOOKUP(table_DataQualities[[#This Row],[unit_ID]],table_Units[],6)=1,table_DataQualities[[#This Row],[z_worst]]))</f>
        <v>9655</v>
      </c>
      <c r="K375">
        <f t="shared" ca="1" si="80"/>
        <v>0.23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1</v>
      </c>
      <c r="O375">
        <f t="shared" ca="1" si="81"/>
        <v>4</v>
      </c>
    </row>
    <row r="376" spans="1:15" x14ac:dyDescent="0.45">
      <c r="A376">
        <v>376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8285.1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</v>
      </c>
      <c r="I376" s="9">
        <f ca="1">IF(VLOOKUP(table_DataQualities[[#This Row],[unit_ID]],table_Units[],5)&gt;0,table_DataQualities[[#This Row],[z_best]],IF(VLOOKUP(table_DataQualities[[#This Row],[unit_ID]],table_Units[],6)=1,table_DataQualities[[#This Row],[z_worst]]))</f>
        <v>8285.1</v>
      </c>
      <c r="K376">
        <f t="shared" ca="1" si="80"/>
        <v>0.18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1</v>
      </c>
      <c r="O376">
        <f t="shared" ca="1" si="81"/>
        <v>4</v>
      </c>
    </row>
    <row r="377" spans="1:15" x14ac:dyDescent="0.45">
      <c r="A377">
        <v>377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188_Temperaturmessgenauigkeit °C</v>
      </c>
      <c r="C377">
        <f t="shared" ref="C377" ca="1" si="91">RANDBETWEEN(5,10)*100</f>
        <v>500</v>
      </c>
      <c r="D377" s="3" t="str">
        <f ca="1">VLOOKUP(table_DataQualities[[#This Row],[unit_ID]],table_Units[#All],2)</f>
        <v>+/- °C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77" s="9">
        <f ca="1">IF(VLOOKUP(table_DataQualities[[#This Row],[unit_ID]],table_Units[],5)&gt;0,table_DataQualities[[#This Row],[z_best]],IF(VLOOKUP(table_DataQualities[[#This Row],[unit_ID]],table_Units[],6)=1,table_DataQualities[[#This Row],[z_worst]]))</f>
        <v>9</v>
      </c>
      <c r="K377">
        <f t="shared" ca="1" si="80"/>
        <v>0.99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1</v>
      </c>
      <c r="O377">
        <f t="shared" ca="1" si="81"/>
        <v>3</v>
      </c>
    </row>
    <row r="378" spans="1:15" x14ac:dyDescent="0.45">
      <c r="A378">
        <v>378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0.71099999999999997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7049.1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0.71099999999999997</v>
      </c>
      <c r="I378" s="9">
        <f ca="1">IF(VLOOKUP(table_DataQualities[[#This Row],[unit_ID]],table_Units[],5)&gt;0,table_DataQualities[[#This Row],[z_best]],IF(VLOOKUP(table_DataQualities[[#This Row],[unit_ID]],table_Units[],6)=1,table_DataQualities[[#This Row],[z_worst]]))</f>
        <v>7049.1</v>
      </c>
      <c r="K378">
        <f t="shared" ca="1" si="80"/>
        <v>0.16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1</v>
      </c>
      <c r="O378">
        <f t="shared" ca="1" si="81"/>
        <v>5</v>
      </c>
    </row>
    <row r="379" spans="1:15" x14ac:dyDescent="0.45">
      <c r="A379">
        <v>379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189_Geschwindigkeitsmessgenauigkeit mm/s</v>
      </c>
      <c r="C379">
        <f t="shared" ca="1" si="89"/>
        <v>700</v>
      </c>
      <c r="D379" s="3" t="str">
        <f ca="1">VLOOKUP(table_DataQualities[[#This Row],[unit_ID]],table_Units[#All],2)</f>
        <v>+/- mm/s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0.32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</v>
      </c>
      <c r="I379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9.5</v>
      </c>
      <c r="K379">
        <f t="shared" ca="1" si="80"/>
        <v>0.05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1</v>
      </c>
      <c r="O379">
        <f t="shared" ca="1" si="81"/>
        <v>4</v>
      </c>
    </row>
    <row r="380" spans="1:15" x14ac:dyDescent="0.45">
      <c r="A380">
        <v>380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8399.7000000000007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</v>
      </c>
      <c r="I380" s="9">
        <f ca="1">IF(VLOOKUP(table_DataQualities[[#This Row],[unit_ID]],table_Units[],5)&gt;0,table_DataQualities[[#This Row],[z_best]],IF(VLOOKUP(table_DataQualities[[#This Row],[unit_ID]],table_Units[],6)=1,table_DataQualities[[#This Row],[z_worst]]))</f>
        <v>8399.7000000000007</v>
      </c>
      <c r="K380">
        <f t="shared" ca="1" si="80"/>
        <v>0.31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1</v>
      </c>
      <c r="O380">
        <f t="shared" ca="1" si="81"/>
        <v>4</v>
      </c>
    </row>
    <row r="381" spans="1:15" x14ac:dyDescent="0.45">
      <c r="A381">
        <v>381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190_Leistungsmessgenauigkeit W</v>
      </c>
      <c r="C381">
        <f t="shared" ca="1" si="89"/>
        <v>600</v>
      </c>
      <c r="D381" s="3" t="str">
        <f ca="1">VLOOKUP(table_DataQualities[[#This Row],[unit_ID]],table_Units[#All],2)</f>
        <v>+/- W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7.95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8.3000000000000004E-2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381" s="9">
        <f ca="1">IF(VLOOKUP(table_DataQualities[[#This Row],[unit_ID]],table_Units[],5)&gt;0,table_DataQualities[[#This Row],[z_best]],IF(VLOOKUP(table_DataQualities[[#This Row],[unit_ID]],table_Units[],6)=1,table_DataQualities[[#This Row],[z_worst]]))</f>
        <v>7.95</v>
      </c>
      <c r="K381">
        <f t="shared" ca="1" si="80"/>
        <v>0.86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1</v>
      </c>
      <c r="O381">
        <f t="shared" ca="1" si="81"/>
        <v>3</v>
      </c>
    </row>
    <row r="382" spans="1:15" x14ac:dyDescent="0.45">
      <c r="A382">
        <v>382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7.0999999999999994E-2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3796.5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382" s="9">
        <f ca="1">IF(VLOOKUP(table_DataQualities[[#This Row],[unit_ID]],table_Units[],5)&gt;0,table_DataQualities[[#This Row],[z_best]],IF(VLOOKUP(table_DataQualities[[#This Row],[unit_ID]],table_Units[],6)=1,table_DataQualities[[#This Row],[z_worst]]))</f>
        <v>3796.5</v>
      </c>
      <c r="K382">
        <f t="shared" ca="1" si="80"/>
        <v>0.51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1</v>
      </c>
      <c r="O382">
        <f t="shared" ca="1" si="81"/>
        <v>2</v>
      </c>
    </row>
    <row r="383" spans="1:15" x14ac:dyDescent="0.45">
      <c r="A383">
        <v>383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191_Geschwindigkeitsmessgenauigkeit mm/s</v>
      </c>
      <c r="C383">
        <f ca="1">RANDBETWEEN(5,10)*100</f>
        <v>700</v>
      </c>
      <c r="D383" s="3" t="str">
        <f ca="1">VLOOKUP(table_DataQualities[[#This Row],[unit_ID]],table_Units[#All],2)</f>
        <v>+/- mm/s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0.87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</v>
      </c>
      <c r="I383" s="9">
        <f ca="1">IF(VLOOKUP(table_DataQualities[[#This Row],[unit_ID]],table_Units[],5)&gt;0,table_DataQualities[[#This Row],[z_best]],IF(VLOOKUP(table_DataQualities[[#This Row],[unit_ID]],table_Units[],6)=1,table_DataQualities[[#This Row],[z_worst]]))</f>
        <v>8</v>
      </c>
      <c r="K383">
        <f t="shared" ca="1" si="80"/>
        <v>0.47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1</v>
      </c>
      <c r="O383">
        <f t="shared" ca="1" si="81"/>
        <v>4</v>
      </c>
    </row>
    <row r="384" spans="1:15" x14ac:dyDescent="0.45">
      <c r="A384">
        <v>384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0.55900000000000005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904.8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0.55900000000000005</v>
      </c>
      <c r="I384" s="9">
        <f ca="1">IF(VLOOKUP(table_DataQualities[[#This Row],[unit_ID]],table_Units[],5)&gt;0,table_DataQualities[[#This Row],[z_best]],IF(VLOOKUP(table_DataQualities[[#This Row],[unit_ID]],table_Units[],6)=1,table_DataQualities[[#This Row],[z_worst]]))</f>
        <v>904.8</v>
      </c>
      <c r="K384">
        <f t="shared" ca="1" si="80"/>
        <v>0.39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1</v>
      </c>
      <c r="O384">
        <f t="shared" ca="1" si="81"/>
        <v>5</v>
      </c>
    </row>
    <row r="385" spans="1:15" x14ac:dyDescent="0.45">
      <c r="A385">
        <v>385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192_Bildgröße</v>
      </c>
      <c r="C385">
        <f t="shared" ref="C385:C395" ca="1" si="92">RANDBETWEEN(5,10)*100</f>
        <v>1000</v>
      </c>
      <c r="D385" s="3" t="str">
        <f ca="1">VLOOKUP(table_DataQualities[[#This Row],[unit_ID]],table_Units[#All],2)</f>
        <v>bit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57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1527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57</v>
      </c>
      <c r="I385" s="9">
        <f ca="1">IF(VLOOKUP(table_DataQualities[[#This Row],[unit_ID]],table_Units[],5)&gt;0,table_DataQualities[[#This Row],[z_best]],IF(VLOOKUP(table_DataQualities[[#This Row],[unit_ID]],table_Units[],6)=1,table_DataQualities[[#This Row],[z_worst]]))</f>
        <v>1527</v>
      </c>
      <c r="K385">
        <f t="shared" ca="1" si="80"/>
        <v>0.76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1</v>
      </c>
      <c r="O385">
        <f t="shared" ca="1" si="81"/>
        <v>4</v>
      </c>
    </row>
    <row r="386" spans="1:15" x14ac:dyDescent="0.45">
      <c r="A386">
        <v>386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0.33400000000000002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7946.6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0.33400000000000002</v>
      </c>
      <c r="I386" s="9">
        <f ca="1">IF(VLOOKUP(table_DataQualities[[#This Row],[unit_ID]],table_Units[],5)&gt;0,table_DataQualities[[#This Row],[z_best]],IF(VLOOKUP(table_DataQualities[[#This Row],[unit_ID]],table_Units[],6)=1,table_DataQualities[[#This Row],[z_worst]]))</f>
        <v>7946.6</v>
      </c>
      <c r="K386">
        <f t="shared" ca="1" si="80"/>
        <v>0.32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1</v>
      </c>
      <c r="O386">
        <f t="shared" ca="1" si="81"/>
        <v>4</v>
      </c>
    </row>
    <row r="387" spans="1:15" x14ac:dyDescent="0.45">
      <c r="A387">
        <v>387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193_Geschwindigkeitsmessgenauigkeit mm/s</v>
      </c>
      <c r="C387">
        <f t="shared" ref="C387" ca="1" si="93">RANDBETWEEN(5,10)*100</f>
        <v>700</v>
      </c>
      <c r="D387" s="3" t="str">
        <f ca="1">VLOOKUP(table_DataQualities[[#This Row],[unit_ID]],table_Units[#All],2)</f>
        <v>+/- mm/s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0.54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</v>
      </c>
      <c r="I387" s="9">
        <f ca="1">IF(VLOOKUP(table_DataQualities[[#This Row],[unit_ID]],table_Units[],5)&gt;0,table_DataQualities[[#This Row],[z_best]],IF(VLOOKUP(table_DataQualities[[#This Row],[unit_ID]],table_Units[],6)=1,table_DataQualities[[#This Row],[z_worst]]))</f>
        <v>6.4</v>
      </c>
      <c r="K387">
        <f t="shared" ca="1" si="80"/>
        <v>0.87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1</v>
      </c>
      <c r="O387">
        <f t="shared" ca="1" si="81"/>
        <v>1</v>
      </c>
    </row>
    <row r="388" spans="1:15" x14ac:dyDescent="0.45">
      <c r="A388">
        <v>388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0.28899999999999998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4608.8999999999996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0.28899999999999998</v>
      </c>
      <c r="I388" s="9">
        <f ca="1">IF(VLOOKUP(table_DataQualities[[#This Row],[unit_ID]],table_Units[],5)&gt;0,table_DataQualities[[#This Row],[z_best]],IF(VLOOKUP(table_DataQualities[[#This Row],[unit_ID]],table_Units[],6)=1,table_DataQualities[[#This Row],[z_worst]]))</f>
        <v>4608.8999999999996</v>
      </c>
      <c r="K388">
        <f t="shared" ca="1" si="80"/>
        <v>0.94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1</v>
      </c>
      <c r="O388">
        <f t="shared" ca="1" si="81"/>
        <v>1</v>
      </c>
    </row>
    <row r="389" spans="1:15" x14ac:dyDescent="0.45">
      <c r="A389">
        <v>389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194_Längenmessgenauigkeit mm</v>
      </c>
      <c r="C389">
        <f t="shared" ca="1" si="92"/>
        <v>900</v>
      </c>
      <c r="D389" s="3" t="str">
        <f ca="1">VLOOKUP(table_DataQualities[[#This Row],[unit_ID]],table_Units[#All],2)</f>
        <v>+/- mm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0.56999999999999995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89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0.56999999999999995</v>
      </c>
      <c r="K389">
        <f t="shared" ca="1" si="80"/>
        <v>0.16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1</v>
      </c>
      <c r="O389">
        <f t="shared" ca="1" si="81"/>
        <v>2</v>
      </c>
    </row>
    <row r="390" spans="1:15" x14ac:dyDescent="0.45">
      <c r="A390">
        <v>390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0.42399999999999999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2601.8000000000002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0.42399999999999999</v>
      </c>
      <c r="I390" s="9">
        <f ca="1">IF(VLOOKUP(table_DataQualities[[#This Row],[unit_ID]],table_Units[],5)&gt;0,table_DataQualities[[#This Row],[z_best]],IF(VLOOKUP(table_DataQualities[[#This Row],[unit_ID]],table_Units[],6)=1,table_DataQualities[[#This Row],[z_worst]]))</f>
        <v>2601.8000000000002</v>
      </c>
      <c r="K390">
        <f t="shared" ca="1" si="80"/>
        <v>0.71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1</v>
      </c>
      <c r="O390">
        <f t="shared" ca="1" si="81"/>
        <v>3</v>
      </c>
    </row>
    <row r="391" spans="1:15" x14ac:dyDescent="0.45">
      <c r="A391">
        <v>391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195_Durchflussmessgenauigkeit cm³/s</v>
      </c>
      <c r="C391">
        <f t="shared" ref="C391" ca="1" si="94">RANDBETWEEN(5,10)*100</f>
        <v>800</v>
      </c>
      <c r="D391" s="3" t="str">
        <f ca="1">VLOOKUP(table_DataQualities[[#This Row],[unit_ID]],table_Units[#All],2)</f>
        <v>+/- cm³/s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0.88400000000000001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9.1000000000000004E-3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9.1000000000000004E-3</v>
      </c>
      <c r="I391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0.88400000000000001</v>
      </c>
      <c r="K391">
        <f t="shared" ca="1" si="80"/>
        <v>0.12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1</v>
      </c>
      <c r="O391">
        <f t="shared" ca="1" si="81"/>
        <v>2</v>
      </c>
    </row>
    <row r="392" spans="1:15" x14ac:dyDescent="0.45">
      <c r="A392">
        <v>392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0.24099999999999999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3171.1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0.24099999999999999</v>
      </c>
      <c r="I392" s="9">
        <f ca="1">IF(VLOOKUP(table_DataQualities[[#This Row],[unit_ID]],table_Units[],5)&gt;0,table_DataQualities[[#This Row],[z_best]],IF(VLOOKUP(table_DataQualities[[#This Row],[unit_ID]],table_Units[],6)=1,table_DataQualities[[#This Row],[z_worst]]))</f>
        <v>3171.1</v>
      </c>
      <c r="K392">
        <f t="shared" ca="1" si="80"/>
        <v>0.86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1</v>
      </c>
      <c r="O392">
        <f t="shared" ca="1" si="81"/>
        <v>1</v>
      </c>
    </row>
    <row r="393" spans="1:15" x14ac:dyDescent="0.45">
      <c r="A393">
        <v>393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196_Durchflussmessgenauigkeit cm³/s</v>
      </c>
      <c r="C393">
        <f t="shared" ca="1" si="92"/>
        <v>800</v>
      </c>
      <c r="D393" s="3" t="str">
        <f ca="1">VLOOKUP(table_DataQualities[[#This Row],[unit_ID]],table_Units[#All],2)</f>
        <v>+/- cm³/s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0.85699999999999998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1.6999999999999999E-3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1.6999999999999999E-3</v>
      </c>
      <c r="I393" s="9">
        <f ca="1">IF(VLOOKUP(table_DataQualities[[#This Row],[unit_ID]],table_Units[],5)&gt;0,table_DataQualities[[#This Row],[z_best]],IF(VLOOKUP(table_DataQualities[[#This Row],[unit_ID]],table_Units[],6)=1,table_DataQualities[[#This Row],[z_worst]]))</f>
        <v>0.85699999999999998</v>
      </c>
      <c r="K393">
        <f t="shared" ca="1" si="80"/>
        <v>1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1</v>
      </c>
      <c r="O393">
        <f t="shared" ca="1" si="81"/>
        <v>2</v>
      </c>
    </row>
    <row r="394" spans="1:15" x14ac:dyDescent="0.45">
      <c r="A394">
        <v>394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0.67400000000000004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747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0.67400000000000004</v>
      </c>
      <c r="I394" s="9">
        <f ca="1">IF(VLOOKUP(table_DataQualities[[#This Row],[unit_ID]],table_Units[],5)&gt;0,table_DataQualities[[#This Row],[z_best]],IF(VLOOKUP(table_DataQualities[[#This Row],[unit_ID]],table_Units[],6)=1,table_DataQualities[[#This Row],[z_worst]]))</f>
        <v>747</v>
      </c>
      <c r="K394">
        <f t="shared" ca="1" si="80"/>
        <v>0.5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1</v>
      </c>
      <c r="O394">
        <f t="shared" ca="1" si="81"/>
        <v>3</v>
      </c>
    </row>
    <row r="395" spans="1:15" x14ac:dyDescent="0.45">
      <c r="A395">
        <v>395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197_Längenmessgenauigkeit mm</v>
      </c>
      <c r="C395">
        <f t="shared" ca="1" si="92"/>
        <v>900</v>
      </c>
      <c r="D395" s="3" t="str">
        <f ca="1">VLOOKUP(table_DataQualities[[#This Row],[unit_ID]],table_Units[#All],2)</f>
        <v>+/- mm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9.75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395" s="9">
        <f ca="1">IF(VLOOKUP(table_DataQualities[[#This Row],[unit_ID]],table_Units[],5)&gt;0,table_DataQualities[[#This Row],[z_best]],IF(VLOOKUP(table_DataQualities[[#This Row],[unit_ID]],table_Units[],6)=1,table_DataQualities[[#This Row],[z_worst]]))</f>
        <v>9.75</v>
      </c>
      <c r="K395">
        <f t="shared" ca="1" si="80"/>
        <v>0.28999999999999998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1</v>
      </c>
      <c r="O395">
        <f t="shared" ca="1" si="81"/>
        <v>5</v>
      </c>
    </row>
    <row r="396" spans="1:15" x14ac:dyDescent="0.45">
      <c r="A396">
        <v>396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0.39500000000000002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9266.1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0.39500000000000002</v>
      </c>
      <c r="I396" s="9">
        <f ca="1">IF(VLOOKUP(table_DataQualities[[#This Row],[unit_ID]],table_Units[],5)&gt;0,table_DataQualities[[#This Row],[z_best]],IF(VLOOKUP(table_DataQualities[[#This Row],[unit_ID]],table_Units[],6)=1,table_DataQualities[[#This Row],[z_worst]]))</f>
        <v>9266.1</v>
      </c>
      <c r="K396">
        <f t="shared" ca="1" si="80"/>
        <v>0.18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1</v>
      </c>
      <c r="O396">
        <f t="shared" ca="1" si="81"/>
        <v>1</v>
      </c>
    </row>
    <row r="397" spans="1:15" x14ac:dyDescent="0.45">
      <c r="A397">
        <v>397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198_Geschwindigkeitsmessgenauigkeit mm/s</v>
      </c>
      <c r="C397">
        <f ca="1">RANDBETWEEN(5,10)*100</f>
        <v>700</v>
      </c>
      <c r="D397" s="3" t="str">
        <f ca="1">VLOOKUP(table_DataQualities[[#This Row],[unit_ID]],table_Units[#All],2)</f>
        <v>+/- mm/s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0.27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397" s="9">
        <f ca="1">IF(VLOOKUP(table_DataQualities[[#This Row],[unit_ID]],table_Units[],5)&gt;0,table_DataQualities[[#This Row],[z_best]],IF(VLOOKUP(table_DataQualities[[#This Row],[unit_ID]],table_Units[],6)=1,table_DataQualities[[#This Row],[z_worst]]))</f>
        <v>5</v>
      </c>
      <c r="K397">
        <f t="shared" ref="K397:K401" ca="1" si="95">ROUND(RAND(),2)</f>
        <v>0.92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1</v>
      </c>
      <c r="O397">
        <f t="shared" ref="O397:O401" ca="1" si="96">RANDBETWEEN(1,5)</f>
        <v>4</v>
      </c>
    </row>
    <row r="398" spans="1:15" x14ac:dyDescent="0.45">
      <c r="A398">
        <v>398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0.78800000000000003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6991.1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0.78800000000000003</v>
      </c>
      <c r="I398" s="9">
        <f ca="1">IF(VLOOKUP(table_DataQualities[[#This Row],[unit_ID]],table_Units[],5)&gt;0,table_DataQualities[[#This Row],[z_best]],IF(VLOOKUP(table_DataQualities[[#This Row],[unit_ID]],table_Units[],6)=1,table_DataQualities[[#This Row],[z_worst]]))</f>
        <v>6991.1</v>
      </c>
      <c r="K398">
        <f t="shared" ca="1" si="95"/>
        <v>0.27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1</v>
      </c>
      <c r="O398">
        <f t="shared" ca="1" si="96"/>
        <v>1</v>
      </c>
    </row>
    <row r="399" spans="1:15" x14ac:dyDescent="0.45">
      <c r="A399">
        <v>399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199_Längenmessgenauigkeit mm</v>
      </c>
      <c r="C399">
        <f t="shared" ref="C399" ca="1" si="97">RANDBETWEEN(5,10)*100</f>
        <v>900</v>
      </c>
      <c r="D399" s="3" t="str">
        <f ca="1">VLOOKUP(table_DataQualities[[#This Row],[unit_ID]],table_Units[#All],2)</f>
        <v>+/- mm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1.33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399" s="9">
        <f ca="1">IF(VLOOKUP(table_DataQualities[[#This Row],[unit_ID]],table_Units[],5)&gt;0,table_DataQualities[[#This Row],[z_best]],IF(VLOOKUP(table_DataQualities[[#This Row],[unit_ID]],table_Units[],6)=1,table_DataQualities[[#This Row],[z_worst]]))</f>
        <v>1.33</v>
      </c>
      <c r="K399">
        <f t="shared" ca="1" si="95"/>
        <v>0.56999999999999995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1</v>
      </c>
      <c r="O399">
        <f t="shared" ca="1" si="96"/>
        <v>4</v>
      </c>
    </row>
    <row r="400" spans="1:15" x14ac:dyDescent="0.45">
      <c r="A400">
        <v>400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0.28999999999999998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5632.9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400" s="9">
        <f ca="1">IF(VLOOKUP(table_DataQualities[[#This Row],[unit_ID]],table_Units[],5)&gt;0,table_DataQualities[[#This Row],[z_best]],IF(VLOOKUP(table_DataQualities[[#This Row],[unit_ID]],table_Units[],6)=1,table_DataQualities[[#This Row],[z_worst]]))</f>
        <v>5632.9</v>
      </c>
      <c r="K400">
        <f t="shared" ca="1" si="95"/>
        <v>0.88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1</v>
      </c>
      <c r="O400">
        <f t="shared" ca="1" si="96"/>
        <v>3</v>
      </c>
    </row>
    <row r="401" spans="1:15" x14ac:dyDescent="0.45">
      <c r="A401">
        <v>401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200_Temperaturmessgenauigkeit °C</v>
      </c>
      <c r="C401">
        <f t="shared" ref="C401" ca="1" si="98">RANDBETWEEN(5,10)*100</f>
        <v>500</v>
      </c>
      <c r="D401" s="3" t="str">
        <f ca="1">VLOOKUP(table_DataQualities[[#This Row],[unit_ID]],table_Units[#All],2)</f>
        <v>+/- °C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401" s="9">
        <f ca="1">IF(VLOOKUP(table_DataQualities[[#This Row],[unit_ID]],table_Units[],5)&gt;0,table_DataQualities[[#This Row],[z_best]],IF(VLOOKUP(table_DataQualities[[#This Row],[unit_ID]],table_Units[],6)=1,table_DataQualities[[#This Row],[z_worst]]))</f>
        <v>2</v>
      </c>
      <c r="K401">
        <f t="shared" ca="1" si="95"/>
        <v>0.41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1</v>
      </c>
      <c r="O401">
        <f t="shared" ca="1" si="96"/>
        <v>2</v>
      </c>
    </row>
  </sheetData>
  <conditionalFormatting sqref="I1:I1048576">
    <cfRule type="cellIs" dxfId="23" priority="2" operator="lessThan">
      <formula>$H1</formula>
    </cfRule>
  </conditionalFormatting>
  <conditionalFormatting sqref="H1:H1048576">
    <cfRule type="cellIs" dxfId="22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D15" sqref="D15"/>
    </sheetView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25</v>
      </c>
      <c r="D1" t="s">
        <v>120</v>
      </c>
      <c r="E1" t="s">
        <v>141</v>
      </c>
      <c r="F1" t="s">
        <v>142</v>
      </c>
    </row>
    <row r="2" spans="1:6" x14ac:dyDescent="0.45">
      <c r="A2">
        <v>100</v>
      </c>
      <c r="B2" t="s">
        <v>107</v>
      </c>
      <c r="C2">
        <v>1</v>
      </c>
      <c r="D2" t="s">
        <v>119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53</v>
      </c>
      <c r="C3">
        <v>-1</v>
      </c>
      <c r="D3" t="s">
        <v>121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106</v>
      </c>
      <c r="C4">
        <v>1</v>
      </c>
      <c r="D4" t="s">
        <v>112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108</v>
      </c>
      <c r="C5">
        <f>1/25.4</f>
        <v>3.937007874015748E-2</v>
      </c>
      <c r="D5" t="s">
        <v>113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109</v>
      </c>
      <c r="C6">
        <v>1</v>
      </c>
      <c r="D6" t="s">
        <v>118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110</v>
      </c>
      <c r="C7">
        <v>1</v>
      </c>
      <c r="D7" t="s">
        <v>115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111</v>
      </c>
      <c r="C8">
        <v>1</v>
      </c>
      <c r="D8" t="s">
        <v>116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111</v>
      </c>
      <c r="C9">
        <v>1</v>
      </c>
      <c r="D9" t="s">
        <v>117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127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126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125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114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353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122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123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124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109</v>
      </c>
      <c r="C18">
        <v>1</v>
      </c>
      <c r="D18" t="s">
        <v>143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25</v>
      </c>
      <c r="D1" t="s">
        <v>120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I702"/>
  <sheetViews>
    <sheetView workbookViewId="0">
      <selection activeCell="C1" sqref="C1:C1048576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24</v>
      </c>
      <c r="E1" t="s">
        <v>61</v>
      </c>
      <c r="F1" t="s">
        <v>62</v>
      </c>
      <c r="G1" s="1" t="s">
        <v>57</v>
      </c>
      <c r="H1" t="s">
        <v>137</v>
      </c>
      <c r="I1" t="s">
        <v>140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900</v>
      </c>
      <c r="D2">
        <v>20</v>
      </c>
      <c r="E2">
        <f t="shared" ref="E2:E34" ca="1" si="1">RANDBETWEEN(-10,3)*10</f>
        <v>10</v>
      </c>
      <c r="F2">
        <f t="shared" ref="F2:F34" ca="1" si="2">RANDBETWEEN(2,100)*10</f>
        <v>640</v>
      </c>
      <c r="G2" t="b">
        <f>COUNTIF(dict_zul_Var_Meth[ID_Methods], table_Methods[[#This Row],[ID]]) &gt; 0</f>
        <v>1</v>
      </c>
      <c r="H2">
        <f t="shared" ref="H2:H35" ca="1" si="3">RANDBETWEEN(1,10)*RANDBETWEEN(1,5000)</f>
        <v>12865</v>
      </c>
      <c r="I2">
        <f t="shared" ref="I2:I35" ca="1" si="4">2^RANDBETWEEN(1,10)*RANDBETWEEN(1,100)</f>
        <v>480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400</v>
      </c>
      <c r="D3">
        <v>10</v>
      </c>
      <c r="E3">
        <f t="shared" ca="1" si="1"/>
        <v>-10</v>
      </c>
      <c r="F3">
        <f t="shared" ca="1" si="2"/>
        <v>330</v>
      </c>
      <c r="G3" t="b">
        <f>COUNTIF(dict_zul_Var_Meth[ID_Methods], table_Methods[[#This Row],[ID]]) &gt; 0</f>
        <v>1</v>
      </c>
      <c r="H3">
        <f t="shared" ca="1" si="3"/>
        <v>24465</v>
      </c>
      <c r="I3">
        <f t="shared" ca="1" si="4"/>
        <v>24064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840</v>
      </c>
      <c r="D4">
        <v>50</v>
      </c>
      <c r="E4">
        <f t="shared" ca="1" si="1"/>
        <v>-50</v>
      </c>
      <c r="F4">
        <f t="shared" ca="1" si="2"/>
        <v>710</v>
      </c>
      <c r="G4" t="b">
        <f>COUNTIF(dict_zul_Var_Meth[ID_Methods], table_Methods[[#This Row],[ID]]) &gt; 0</f>
        <v>1</v>
      </c>
      <c r="H4">
        <f t="shared" ca="1" si="3"/>
        <v>27840</v>
      </c>
      <c r="I4">
        <f t="shared" ca="1" si="4"/>
        <v>2816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5000</v>
      </c>
      <c r="D5">
        <v>30</v>
      </c>
      <c r="E5">
        <f t="shared" ca="1" si="1"/>
        <v>-80</v>
      </c>
      <c r="F5">
        <f t="shared" ca="1" si="2"/>
        <v>530</v>
      </c>
      <c r="G5" t="b">
        <f>COUNTIF(dict_zul_Var_Meth[ID_Methods], table_Methods[[#This Row],[ID]]) &gt; 0</f>
        <v>1</v>
      </c>
      <c r="H5">
        <f t="shared" ca="1" si="3"/>
        <v>1522</v>
      </c>
      <c r="I5">
        <f t="shared" ca="1" si="4"/>
        <v>90112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44</v>
      </c>
      <c r="D6">
        <v>5</v>
      </c>
      <c r="E6">
        <f t="shared" ca="1" si="1"/>
        <v>-30</v>
      </c>
      <c r="F6">
        <f t="shared" ca="1" si="2"/>
        <v>860</v>
      </c>
      <c r="G6" t="b">
        <f>COUNTIF(dict_zul_Var_Meth[ID_Methods], table_Methods[[#This Row],[ID]]) &gt; 0</f>
        <v>1</v>
      </c>
      <c r="H6">
        <f t="shared" ca="1" si="3"/>
        <v>4614</v>
      </c>
      <c r="I6">
        <f t="shared" ca="1" si="4"/>
        <v>15104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92.000000000000014</v>
      </c>
      <c r="D7">
        <v>5</v>
      </c>
      <c r="E7">
        <f t="shared" ca="1" si="1"/>
        <v>20</v>
      </c>
      <c r="F7">
        <f t="shared" ca="1" si="2"/>
        <v>610</v>
      </c>
      <c r="G7" t="b">
        <f>COUNTIF(dict_zul_Var_Meth[ID_Methods], table_Methods[[#This Row],[ID]]) &gt; 0</f>
        <v>1</v>
      </c>
      <c r="H7">
        <f t="shared" ca="1" si="3"/>
        <v>6974</v>
      </c>
      <c r="I7">
        <f t="shared" ca="1" si="4"/>
        <v>2112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12.000000000000002</v>
      </c>
      <c r="D8">
        <v>1</v>
      </c>
      <c r="E8">
        <f t="shared" ca="1" si="1"/>
        <v>10</v>
      </c>
      <c r="F8">
        <f t="shared" ca="1" si="2"/>
        <v>70</v>
      </c>
      <c r="G8" t="b">
        <f>COUNTIF(dict_zul_Var_Meth[ID_Methods], table_Methods[[#This Row],[ID]]) &gt; 0</f>
        <v>1</v>
      </c>
      <c r="H8">
        <f t="shared" ca="1" si="3"/>
        <v>28672</v>
      </c>
      <c r="I8">
        <f t="shared" ca="1" si="4"/>
        <v>4992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14.000000000000002</v>
      </c>
      <c r="D9">
        <v>30</v>
      </c>
      <c r="E9">
        <f t="shared" ca="1" si="1"/>
        <v>-80</v>
      </c>
      <c r="F9">
        <f t="shared" ca="1" si="2"/>
        <v>790</v>
      </c>
      <c r="G9" t="b">
        <f>COUNTIF(dict_zul_Var_Meth[ID_Methods], table_Methods[[#This Row],[ID]]) &gt; 0</f>
        <v>1</v>
      </c>
      <c r="H9">
        <f t="shared" ca="1" si="3"/>
        <v>43370</v>
      </c>
      <c r="I9">
        <f t="shared" ca="1" si="4"/>
        <v>1440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690</v>
      </c>
      <c r="D10">
        <v>20</v>
      </c>
      <c r="E10">
        <f t="shared" ca="1" si="1"/>
        <v>-30</v>
      </c>
      <c r="F10">
        <f t="shared" ca="1" si="2"/>
        <v>300</v>
      </c>
      <c r="G10" t="b">
        <f>COUNTIF(dict_zul_Var_Meth[ID_Methods], table_Methods[[#This Row],[ID]]) &gt; 0</f>
        <v>1</v>
      </c>
      <c r="H10">
        <f t="shared" ca="1" si="3"/>
        <v>3226</v>
      </c>
      <c r="I10">
        <f t="shared" ca="1" si="4"/>
        <v>120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140</v>
      </c>
      <c r="D11">
        <v>80</v>
      </c>
      <c r="E11">
        <f t="shared" ca="1" si="1"/>
        <v>20</v>
      </c>
      <c r="F11">
        <f t="shared" ca="1" si="2"/>
        <v>350</v>
      </c>
      <c r="G11" t="b">
        <f>COUNTIF(dict_zul_Var_Meth[ID_Methods], table_Methods[[#This Row],[ID]]) &gt; 0</f>
        <v>1</v>
      </c>
      <c r="H11">
        <f t="shared" ca="1" si="3"/>
        <v>8815</v>
      </c>
      <c r="I11">
        <f t="shared" ca="1" si="4"/>
        <v>720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6600</v>
      </c>
      <c r="D12">
        <v>0.5</v>
      </c>
      <c r="E12">
        <f t="shared" ca="1" si="1"/>
        <v>-50</v>
      </c>
      <c r="F12">
        <f t="shared" ca="1" si="2"/>
        <v>240</v>
      </c>
      <c r="G12" t="b">
        <f>COUNTIF(dict_zul_Var_Meth[ID_Methods], table_Methods[[#This Row],[ID]]) &gt; 0</f>
        <v>1</v>
      </c>
      <c r="H12">
        <f t="shared" ca="1" si="3"/>
        <v>9118</v>
      </c>
      <c r="I12">
        <f t="shared" ca="1" si="4"/>
        <v>2304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1000</v>
      </c>
      <c r="D13">
        <v>0.3</v>
      </c>
      <c r="E13">
        <f t="shared" ca="1" si="1"/>
        <v>-30</v>
      </c>
      <c r="F13">
        <f t="shared" ca="1" si="2"/>
        <v>630</v>
      </c>
      <c r="G13" t="b">
        <f>COUNTIF(dict_zul_Var_Meth[ID_Methods], table_Methods[[#This Row],[ID]]) &gt; 0</f>
        <v>1</v>
      </c>
      <c r="H13">
        <f t="shared" ca="1" si="3"/>
        <v>27330</v>
      </c>
      <c r="I13">
        <f t="shared" ca="1" si="4"/>
        <v>3968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9700</v>
      </c>
      <c r="D14">
        <v>0.7</v>
      </c>
      <c r="E14">
        <f t="shared" ca="1" si="1"/>
        <v>10</v>
      </c>
      <c r="F14">
        <f t="shared" ca="1" si="2"/>
        <v>90</v>
      </c>
      <c r="G14" t="b">
        <f>COUNTIF(dict_zul_Var_Meth[ID_Methods], table_Methods[[#This Row],[ID]]) &gt; 0</f>
        <v>1</v>
      </c>
      <c r="H14">
        <f t="shared" ca="1" si="3"/>
        <v>2052</v>
      </c>
      <c r="I14">
        <f t="shared" ca="1" si="4"/>
        <v>12544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50</v>
      </c>
      <c r="D15">
        <v>8.3000000000000007</v>
      </c>
      <c r="E15">
        <f t="shared" ca="1" si="1"/>
        <v>-60</v>
      </c>
      <c r="F15">
        <f t="shared" ca="1" si="2"/>
        <v>820</v>
      </c>
      <c r="G15" t="b">
        <f>COUNTIF(dict_zul_Var_Meth[ID_Methods], table_Methods[[#This Row],[ID]]) &gt; 0</f>
        <v>1</v>
      </c>
      <c r="H15">
        <f t="shared" ca="1" si="3"/>
        <v>13050</v>
      </c>
      <c r="I15">
        <f t="shared" ca="1" si="4"/>
        <v>37376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6300</v>
      </c>
      <c r="D16">
        <v>43.2</v>
      </c>
      <c r="E16">
        <f t="shared" ca="1" si="1"/>
        <v>-10</v>
      </c>
      <c r="F16">
        <f t="shared" ca="1" si="2"/>
        <v>600</v>
      </c>
      <c r="G16" t="b">
        <f>COUNTIF(dict_zul_Var_Meth[ID_Methods], table_Methods[[#This Row],[ID]]) &gt; 0</f>
        <v>1</v>
      </c>
      <c r="H16">
        <f t="shared" ca="1" si="3"/>
        <v>10580</v>
      </c>
      <c r="I16">
        <f t="shared" ca="1" si="4"/>
        <v>54272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82.000000000000014</v>
      </c>
      <c r="D17">
        <v>0.05</v>
      </c>
      <c r="E17">
        <f t="shared" ca="1" si="1"/>
        <v>-90</v>
      </c>
      <c r="F17">
        <f t="shared" ca="1" si="2"/>
        <v>500</v>
      </c>
      <c r="G17" t="b">
        <f>COUNTIF(dict_zul_Var_Meth[ID_Methods], table_Methods[[#This Row],[ID]]) &gt; 0</f>
        <v>1</v>
      </c>
      <c r="H17">
        <f t="shared" ca="1" si="3"/>
        <v>28847</v>
      </c>
      <c r="I17">
        <f t="shared" ca="1" si="4"/>
        <v>14336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700</v>
      </c>
      <c r="D18">
        <v>0.09</v>
      </c>
      <c r="E18">
        <f t="shared" ca="1" si="1"/>
        <v>-50</v>
      </c>
      <c r="F18">
        <f t="shared" ca="1" si="2"/>
        <v>700</v>
      </c>
      <c r="G18" t="b">
        <f>COUNTIF(dict_zul_Var_Meth[ID_Methods], table_Methods[[#This Row],[ID]]) &gt; 0</f>
        <v>1</v>
      </c>
      <c r="H18">
        <f t="shared" ca="1" si="3"/>
        <v>17845</v>
      </c>
      <c r="I18">
        <f t="shared" ca="1" si="4"/>
        <v>1088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54</v>
      </c>
      <c r="D19">
        <v>1</v>
      </c>
      <c r="E19">
        <f t="shared" ca="1" si="1"/>
        <v>20</v>
      </c>
      <c r="F19">
        <f t="shared" ca="1" si="2"/>
        <v>490</v>
      </c>
      <c r="G19" t="b">
        <f>COUNTIF(dict_zul_Var_Meth[ID_Methods], table_Methods[[#This Row],[ID]]) &gt; 0</f>
        <v>1</v>
      </c>
      <c r="H19">
        <f t="shared" ca="1" si="3"/>
        <v>1362</v>
      </c>
      <c r="I19">
        <f t="shared" ca="1" si="4"/>
        <v>512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6000</v>
      </c>
      <c r="D20">
        <v>5</v>
      </c>
      <c r="E20">
        <f t="shared" ca="1" si="1"/>
        <v>20</v>
      </c>
      <c r="F20">
        <f t="shared" ca="1" si="2"/>
        <v>840</v>
      </c>
      <c r="G20" t="b">
        <f>COUNTIF(dict_zul_Var_Meth[ID_Methods], table_Methods[[#This Row],[ID]]) &gt; 0</f>
        <v>1</v>
      </c>
      <c r="H20">
        <f t="shared" ca="1" si="3"/>
        <v>2008</v>
      </c>
      <c r="I20">
        <f t="shared" ca="1" si="4"/>
        <v>1056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480</v>
      </c>
      <c r="D21">
        <v>2</v>
      </c>
      <c r="E21">
        <f t="shared" ca="1" si="1"/>
        <v>20</v>
      </c>
      <c r="F21">
        <f t="shared" ca="1" si="2"/>
        <v>630</v>
      </c>
      <c r="G21" t="b">
        <f>COUNTIF(dict_zul_Var_Meth[ID_Methods], table_Methods[[#This Row],[ID]]) &gt; 0</f>
        <v>1</v>
      </c>
      <c r="H21">
        <f t="shared" ca="1" si="3"/>
        <v>512</v>
      </c>
      <c r="I21">
        <f t="shared" ca="1" si="4"/>
        <v>20992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8000</v>
      </c>
      <c r="D22">
        <v>0.1</v>
      </c>
      <c r="E22">
        <f t="shared" ca="1" si="1"/>
        <v>0</v>
      </c>
      <c r="F22">
        <f t="shared" ca="1" si="2"/>
        <v>1000</v>
      </c>
      <c r="G22" t="b">
        <f>COUNTIF(dict_zul_Var_Meth[ID_Methods], table_Methods[[#This Row],[ID]]) &gt; 0</f>
        <v>1</v>
      </c>
      <c r="H22">
        <f t="shared" ca="1" si="3"/>
        <v>4448</v>
      </c>
      <c r="I22">
        <f t="shared" ca="1" si="4"/>
        <v>544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95</v>
      </c>
      <c r="D23">
        <v>8</v>
      </c>
      <c r="E23">
        <f t="shared" ca="1" si="1"/>
        <v>-50</v>
      </c>
      <c r="F23">
        <f t="shared" ca="1" si="2"/>
        <v>840</v>
      </c>
      <c r="G23" t="b">
        <f>COUNTIF(dict_zul_Var_Meth[ID_Methods], table_Methods[[#This Row],[ID]]) &gt; 0</f>
        <v>1</v>
      </c>
      <c r="H23">
        <f t="shared" ca="1" si="3"/>
        <v>4155</v>
      </c>
      <c r="I23">
        <f t="shared" ca="1" si="4"/>
        <v>160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230</v>
      </c>
      <c r="D24">
        <v>0.1</v>
      </c>
      <c r="E24">
        <f t="shared" ca="1" si="1"/>
        <v>-70</v>
      </c>
      <c r="F24">
        <f t="shared" ca="1" si="2"/>
        <v>450</v>
      </c>
      <c r="G24" s="3" t="b">
        <f>COUNTIF(dict_zul_Var_Meth[ID_Methods], table_Methods[[#This Row],[ID]]) &gt; 0</f>
        <v>1</v>
      </c>
      <c r="H24">
        <f t="shared" ca="1" si="3"/>
        <v>11772</v>
      </c>
      <c r="I24">
        <f t="shared" ca="1" si="4"/>
        <v>36864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510</v>
      </c>
      <c r="D25">
        <v>0.1</v>
      </c>
      <c r="E25">
        <f t="shared" ca="1" si="1"/>
        <v>-70</v>
      </c>
      <c r="F25">
        <f t="shared" ca="1" si="2"/>
        <v>930</v>
      </c>
      <c r="G25" s="3" t="b">
        <f>COUNTIF(dict_zul_Var_Meth[ID_Methods], table_Methods[[#This Row],[ID]]) &gt; 0</f>
        <v>1</v>
      </c>
      <c r="H25">
        <f t="shared" ca="1" si="3"/>
        <v>8000</v>
      </c>
      <c r="I25">
        <f t="shared" ca="1" si="4"/>
        <v>80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870</v>
      </c>
      <c r="D26">
        <v>0.3</v>
      </c>
      <c r="E26">
        <f t="shared" ca="1" si="1"/>
        <v>-20</v>
      </c>
      <c r="F26">
        <f t="shared" ca="1" si="2"/>
        <v>920</v>
      </c>
      <c r="G26" s="3" t="b">
        <f>COUNTIF(dict_zul_Var_Meth[ID_Methods], table_Methods[[#This Row],[ID]]) &gt; 0</f>
        <v>1</v>
      </c>
      <c r="H26">
        <f t="shared" ca="1" si="3"/>
        <v>32640</v>
      </c>
      <c r="I26">
        <f t="shared" ca="1" si="4"/>
        <v>19456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390</v>
      </c>
      <c r="D27">
        <v>0.2</v>
      </c>
      <c r="E27">
        <f t="shared" ca="1" si="1"/>
        <v>-60</v>
      </c>
      <c r="F27">
        <f t="shared" ca="1" si="2"/>
        <v>490</v>
      </c>
      <c r="G27" s="3" t="b">
        <f>COUNTIF(dict_zul_Var_Meth[ID_Methods], table_Methods[[#This Row],[ID]]) &gt; 0</f>
        <v>1</v>
      </c>
      <c r="H27">
        <f t="shared" ca="1" si="3"/>
        <v>17140</v>
      </c>
      <c r="I27">
        <f t="shared" ca="1" si="4"/>
        <v>212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4300</v>
      </c>
      <c r="D28">
        <v>0.5</v>
      </c>
      <c r="E28">
        <f t="shared" ca="1" si="1"/>
        <v>20</v>
      </c>
      <c r="F28">
        <f t="shared" ca="1" si="2"/>
        <v>950</v>
      </c>
      <c r="G28" s="3" t="b">
        <f>COUNTIF(dict_zul_Var_Meth[ID_Methods], table_Methods[[#This Row],[ID]]) &gt; 0</f>
        <v>1</v>
      </c>
      <c r="H28">
        <f t="shared" ca="1" si="3"/>
        <v>4644</v>
      </c>
      <c r="I28">
        <f t="shared" ca="1" si="4"/>
        <v>1856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2100</v>
      </c>
      <c r="D29">
        <v>5</v>
      </c>
      <c r="E29">
        <f t="shared" ca="1" si="1"/>
        <v>-100</v>
      </c>
      <c r="F29">
        <f t="shared" ca="1" si="2"/>
        <v>60</v>
      </c>
      <c r="G29" s="3" t="b">
        <f>COUNTIF(dict_zul_Var_Meth[ID_Methods], table_Methods[[#This Row],[ID]]) &gt; 0</f>
        <v>1</v>
      </c>
      <c r="H29">
        <f t="shared" ca="1" si="3"/>
        <v>9297</v>
      </c>
      <c r="I29">
        <f t="shared" ca="1" si="4"/>
        <v>102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960</v>
      </c>
      <c r="D30">
        <v>1</v>
      </c>
      <c r="E30">
        <f t="shared" ca="1" si="1"/>
        <v>-100</v>
      </c>
      <c r="F30">
        <f t="shared" ca="1" si="2"/>
        <v>710</v>
      </c>
      <c r="G30" s="3" t="b">
        <f>COUNTIF(dict_zul_Var_Meth[ID_Methods], table_Methods[[#This Row],[ID]]) &gt; 0</f>
        <v>1</v>
      </c>
      <c r="H30">
        <f t="shared" ca="1" si="3"/>
        <v>4094</v>
      </c>
      <c r="I30">
        <f t="shared" ca="1" si="4"/>
        <v>252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3600</v>
      </c>
      <c r="D31">
        <v>3</v>
      </c>
      <c r="E31">
        <f t="shared" ca="1" si="1"/>
        <v>-60</v>
      </c>
      <c r="F31">
        <f t="shared" ca="1" si="2"/>
        <v>250</v>
      </c>
      <c r="G31" s="3" t="b">
        <f>COUNTIF(dict_zul_Var_Meth[ID_Methods], table_Methods[[#This Row],[ID]]) &gt; 0</f>
        <v>1</v>
      </c>
      <c r="H31">
        <f t="shared" ca="1" si="3"/>
        <v>1846</v>
      </c>
      <c r="I31">
        <f t="shared" ca="1" si="4"/>
        <v>152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48.000000000000007</v>
      </c>
      <c r="D32">
        <v>12</v>
      </c>
      <c r="E32">
        <f t="shared" ca="1" si="1"/>
        <v>10</v>
      </c>
      <c r="F32">
        <f t="shared" ca="1" si="2"/>
        <v>770</v>
      </c>
      <c r="G32" s="3" t="b">
        <f>COUNTIF(dict_zul_Var_Meth[ID_Methods], table_Methods[[#This Row],[ID]]) &gt; 0</f>
        <v>1</v>
      </c>
      <c r="H32">
        <f t="shared" ca="1" si="3"/>
        <v>9822</v>
      </c>
      <c r="I32">
        <f t="shared" ca="1" si="4"/>
        <v>1088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500</v>
      </c>
      <c r="D33">
        <v>13</v>
      </c>
      <c r="E33">
        <f t="shared" ca="1" si="1"/>
        <v>0</v>
      </c>
      <c r="F33">
        <f t="shared" ca="1" si="2"/>
        <v>30</v>
      </c>
      <c r="G33" s="3" t="b">
        <f>COUNTIF(dict_zul_Var_Meth[ID_Methods], table_Methods[[#This Row],[ID]]) &gt; 0</f>
        <v>1</v>
      </c>
      <c r="H33">
        <f t="shared" ca="1" si="3"/>
        <v>84</v>
      </c>
      <c r="I33">
        <f t="shared" ca="1" si="4"/>
        <v>2016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470</v>
      </c>
      <c r="D34">
        <v>25</v>
      </c>
      <c r="E34">
        <f t="shared" ca="1" si="1"/>
        <v>-10</v>
      </c>
      <c r="F34">
        <f t="shared" ca="1" si="2"/>
        <v>610</v>
      </c>
      <c r="G34" s="3" t="b">
        <f>COUNTIF(dict_zul_Var_Meth[ID_Methods], table_Methods[[#This Row],[ID]]) &gt; 0</f>
        <v>1</v>
      </c>
      <c r="H34">
        <f t="shared" ca="1" si="3"/>
        <v>12060</v>
      </c>
      <c r="I34">
        <f t="shared" ca="1" si="4"/>
        <v>51200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6600</v>
      </c>
      <c r="E35">
        <f ca="1">RANDBETWEEN(-10,3)*10</f>
        <v>-80</v>
      </c>
      <c r="F35">
        <f ca="1">RANDBETWEEN(2,100)*10</f>
        <v>390</v>
      </c>
      <c r="G35" s="3" t="b">
        <f>COUNTIF(dict_zul_Var_Meth[ID_Methods], table_Methods[[#This Row],[ID]]) &gt; 0</f>
        <v>1</v>
      </c>
      <c r="H35">
        <f t="shared" ca="1" si="3"/>
        <v>8973</v>
      </c>
      <c r="I35">
        <f t="shared" ca="1" si="4"/>
        <v>24576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58.000000000000007</v>
      </c>
      <c r="E36">
        <f t="shared" ref="E36:E99" ca="1" si="5">RANDBETWEEN(-10,3)*10</f>
        <v>20</v>
      </c>
      <c r="F36">
        <f t="shared" ref="F36:F99" ca="1" si="6">RANDBETWEEN(2,100)*10</f>
        <v>340</v>
      </c>
      <c r="G36" s="3" t="b">
        <f>COUNTIF(dict_zul_Var_Meth[ID_Methods], table_Methods[[#This Row],[ID]]) &gt; 0</f>
        <v>1</v>
      </c>
      <c r="H36">
        <f t="shared" ref="H36:H99" ca="1" si="7">RANDBETWEEN(1,10)*RANDBETWEEN(1,5000)</f>
        <v>8110</v>
      </c>
      <c r="I36">
        <f t="shared" ref="I36:I99" ca="1" si="8">2^RANDBETWEEN(1,10)*RANDBETWEEN(1,100)</f>
        <v>388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6700</v>
      </c>
      <c r="E37">
        <f t="shared" ca="1" si="5"/>
        <v>-70</v>
      </c>
      <c r="F37">
        <f t="shared" ca="1" si="6"/>
        <v>690</v>
      </c>
      <c r="G37" s="3" t="b">
        <f>COUNTIF(dict_zul_Var_Meth[ID_Methods], table_Methods[[#This Row],[ID]]) &gt; 0</f>
        <v>1</v>
      </c>
      <c r="H37">
        <f t="shared" ca="1" si="7"/>
        <v>3522</v>
      </c>
      <c r="I37">
        <f t="shared" ca="1" si="8"/>
        <v>60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70</v>
      </c>
      <c r="E38">
        <f t="shared" ca="1" si="5"/>
        <v>-40</v>
      </c>
      <c r="F38">
        <f t="shared" ca="1" si="6"/>
        <v>590</v>
      </c>
      <c r="G38" s="3" t="b">
        <f>COUNTIF(dict_zul_Var_Meth[ID_Methods], table_Methods[[#This Row],[ID]]) &gt; 0</f>
        <v>1</v>
      </c>
      <c r="H38">
        <f t="shared" ca="1" si="7"/>
        <v>6237</v>
      </c>
      <c r="I38">
        <f t="shared" ca="1" si="8"/>
        <v>50176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100</v>
      </c>
      <c r="E39">
        <f t="shared" ca="1" si="5"/>
        <v>-30</v>
      </c>
      <c r="F39">
        <f t="shared" ca="1" si="6"/>
        <v>170</v>
      </c>
      <c r="G39" s="3" t="b">
        <f>COUNTIF(dict_zul_Var_Meth[ID_Methods], table_Methods[[#This Row],[ID]]) &gt; 0</f>
        <v>1</v>
      </c>
      <c r="H39">
        <f t="shared" ca="1" si="7"/>
        <v>9116</v>
      </c>
      <c r="I39">
        <f t="shared" ca="1" si="8"/>
        <v>912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6200</v>
      </c>
      <c r="E40">
        <f t="shared" ca="1" si="5"/>
        <v>-30</v>
      </c>
      <c r="F40">
        <f t="shared" ca="1" si="6"/>
        <v>230</v>
      </c>
      <c r="G40" s="3" t="b">
        <f>COUNTIF(dict_zul_Var_Meth[ID_Methods], table_Methods[[#This Row],[ID]]) &gt; 0</f>
        <v>1</v>
      </c>
      <c r="H40">
        <f t="shared" ca="1" si="7"/>
        <v>2371</v>
      </c>
      <c r="I40">
        <f t="shared" ca="1" si="8"/>
        <v>96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55</v>
      </c>
      <c r="E41">
        <f t="shared" ca="1" si="5"/>
        <v>20</v>
      </c>
      <c r="F41">
        <f t="shared" ca="1" si="6"/>
        <v>560</v>
      </c>
      <c r="G41" s="3" t="b">
        <f>COUNTIF(dict_zul_Var_Meth[ID_Methods], table_Methods[[#This Row],[ID]]) &gt; 0</f>
        <v>1</v>
      </c>
      <c r="H41">
        <f t="shared" ca="1" si="7"/>
        <v>9254</v>
      </c>
      <c r="I41">
        <f t="shared" ca="1" si="8"/>
        <v>1248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50</v>
      </c>
      <c r="E42">
        <f t="shared" ca="1" si="5"/>
        <v>-100</v>
      </c>
      <c r="F42">
        <f t="shared" ca="1" si="6"/>
        <v>20</v>
      </c>
      <c r="G42" s="3" t="b">
        <f>COUNTIF(dict_zul_Var_Meth[ID_Methods], table_Methods[[#This Row],[ID]]) &gt; 0</f>
        <v>1</v>
      </c>
      <c r="H42">
        <f t="shared" ca="1" si="7"/>
        <v>10990</v>
      </c>
      <c r="I42">
        <f t="shared" ca="1" si="8"/>
        <v>368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440</v>
      </c>
      <c r="E43">
        <f t="shared" ca="1" si="5"/>
        <v>-50</v>
      </c>
      <c r="F43">
        <f t="shared" ca="1" si="6"/>
        <v>700</v>
      </c>
      <c r="G43" s="3" t="b">
        <f>COUNTIF(dict_zul_Var_Meth[ID_Methods], table_Methods[[#This Row],[ID]]) &gt; 0</f>
        <v>1</v>
      </c>
      <c r="H43">
        <f t="shared" ca="1" si="7"/>
        <v>18825</v>
      </c>
      <c r="I43">
        <f t="shared" ca="1" si="8"/>
        <v>24320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45</v>
      </c>
      <c r="E44">
        <f t="shared" ca="1" si="5"/>
        <v>-60</v>
      </c>
      <c r="F44">
        <f t="shared" ca="1" si="6"/>
        <v>500</v>
      </c>
      <c r="G44" s="3" t="b">
        <f>COUNTIF(dict_zul_Var_Meth[ID_Methods], table_Methods[[#This Row],[ID]]) &gt; 0</f>
        <v>1</v>
      </c>
      <c r="H44">
        <f t="shared" ca="1" si="7"/>
        <v>6332</v>
      </c>
      <c r="I44">
        <f t="shared" ca="1" si="8"/>
        <v>6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120</v>
      </c>
      <c r="E45">
        <f t="shared" ca="1" si="5"/>
        <v>-50</v>
      </c>
      <c r="F45">
        <f t="shared" ca="1" si="6"/>
        <v>40</v>
      </c>
      <c r="G45" s="3" t="b">
        <f>COUNTIF(dict_zul_Var_Meth[ID_Methods], table_Methods[[#This Row],[ID]]) &gt; 0</f>
        <v>1</v>
      </c>
      <c r="H45">
        <f t="shared" ca="1" si="7"/>
        <v>4377</v>
      </c>
      <c r="I45">
        <f t="shared" ca="1" si="8"/>
        <v>800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9300</v>
      </c>
      <c r="E46">
        <f t="shared" ca="1" si="5"/>
        <v>-40</v>
      </c>
      <c r="F46">
        <f t="shared" ca="1" si="6"/>
        <v>680</v>
      </c>
      <c r="G46" s="3" t="b">
        <f>COUNTIF(dict_zul_Var_Meth[ID_Methods], table_Methods[[#This Row],[ID]]) &gt; 0</f>
        <v>1</v>
      </c>
      <c r="H46">
        <f t="shared" ca="1" si="7"/>
        <v>4430</v>
      </c>
      <c r="I46">
        <f t="shared" ca="1" si="8"/>
        <v>1536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470</v>
      </c>
      <c r="E47">
        <f t="shared" ca="1" si="5"/>
        <v>-20</v>
      </c>
      <c r="F47">
        <f t="shared" ca="1" si="6"/>
        <v>230</v>
      </c>
      <c r="G47" s="3" t="b">
        <f>COUNTIF(dict_zul_Var_Meth[ID_Methods], table_Methods[[#This Row],[ID]]) &gt; 0</f>
        <v>1</v>
      </c>
      <c r="H47">
        <f t="shared" ca="1" si="7"/>
        <v>1701</v>
      </c>
      <c r="I47">
        <f t="shared" ca="1" si="8"/>
        <v>22528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5200</v>
      </c>
      <c r="E48">
        <f t="shared" ca="1" si="5"/>
        <v>-70</v>
      </c>
      <c r="F48">
        <f t="shared" ca="1" si="6"/>
        <v>310</v>
      </c>
      <c r="G48" s="3" t="b">
        <f>COUNTIF(dict_zul_Var_Meth[ID_Methods], table_Methods[[#This Row],[ID]]) &gt; 0</f>
        <v>1</v>
      </c>
      <c r="H48">
        <f t="shared" ca="1" si="7"/>
        <v>34195</v>
      </c>
      <c r="I48">
        <f t="shared" ca="1" si="8"/>
        <v>2944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800</v>
      </c>
      <c r="E49">
        <f t="shared" ca="1" si="5"/>
        <v>-40</v>
      </c>
      <c r="F49">
        <f t="shared" ca="1" si="6"/>
        <v>180</v>
      </c>
      <c r="G49" s="3" t="b">
        <f>COUNTIF(dict_zul_Var_Meth[ID_Methods], table_Methods[[#This Row],[ID]]) &gt; 0</f>
        <v>1</v>
      </c>
      <c r="H49">
        <f t="shared" ca="1" si="7"/>
        <v>34986</v>
      </c>
      <c r="I49">
        <f t="shared" ca="1" si="8"/>
        <v>184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91</v>
      </c>
      <c r="E50">
        <f t="shared" ca="1" si="5"/>
        <v>-20</v>
      </c>
      <c r="F50">
        <f t="shared" ca="1" si="6"/>
        <v>500</v>
      </c>
      <c r="G50" s="3" t="b">
        <f>COUNTIF(dict_zul_Var_Meth[ID_Methods], table_Methods[[#This Row],[ID]]) &gt; 0</f>
        <v>1</v>
      </c>
      <c r="H50">
        <f t="shared" ca="1" si="7"/>
        <v>20062</v>
      </c>
      <c r="I50">
        <f t="shared" ca="1" si="8"/>
        <v>928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930</v>
      </c>
      <c r="E51">
        <f t="shared" ca="1" si="5"/>
        <v>20</v>
      </c>
      <c r="F51">
        <f t="shared" ca="1" si="6"/>
        <v>940</v>
      </c>
      <c r="G51" s="3" t="b">
        <f>COUNTIF(dict_zul_Var_Meth[ID_Methods], table_Methods[[#This Row],[ID]]) &gt; 0</f>
        <v>1</v>
      </c>
      <c r="H51">
        <f t="shared" ca="1" si="7"/>
        <v>2220</v>
      </c>
      <c r="I51">
        <f t="shared" ca="1" si="8"/>
        <v>84992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3800</v>
      </c>
      <c r="E52">
        <f t="shared" ca="1" si="5"/>
        <v>-80</v>
      </c>
      <c r="F52">
        <f t="shared" ca="1" si="6"/>
        <v>600</v>
      </c>
      <c r="G52" s="3" t="b">
        <f>COUNTIF(dict_zul_Var_Meth[ID_Methods], table_Methods[[#This Row],[ID]]) &gt; 0</f>
        <v>1</v>
      </c>
      <c r="H52">
        <f t="shared" ca="1" si="7"/>
        <v>34496</v>
      </c>
      <c r="I52">
        <f t="shared" ca="1" si="8"/>
        <v>11264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70</v>
      </c>
      <c r="E53">
        <f t="shared" ca="1" si="5"/>
        <v>-50</v>
      </c>
      <c r="F53">
        <f t="shared" ca="1" si="6"/>
        <v>400</v>
      </c>
      <c r="G53" s="3" t="b">
        <f>COUNTIF(dict_zul_Var_Meth[ID_Methods], table_Methods[[#This Row],[ID]]) &gt; 0</f>
        <v>1</v>
      </c>
      <c r="H53">
        <f t="shared" ca="1" si="7"/>
        <v>2816</v>
      </c>
      <c r="I53">
        <f t="shared" ca="1" si="8"/>
        <v>10240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1000</v>
      </c>
      <c r="E54">
        <f t="shared" ca="1" si="5"/>
        <v>-60</v>
      </c>
      <c r="F54">
        <f t="shared" ca="1" si="6"/>
        <v>590</v>
      </c>
      <c r="G54" s="3" t="b">
        <f>COUNTIF(dict_zul_Var_Meth[ID_Methods], table_Methods[[#This Row],[ID]]) &gt; 0</f>
        <v>1</v>
      </c>
      <c r="H54">
        <f t="shared" ca="1" si="7"/>
        <v>17340</v>
      </c>
      <c r="I54">
        <f t="shared" ca="1" si="8"/>
        <v>72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4000</v>
      </c>
      <c r="E55">
        <f t="shared" ca="1" si="5"/>
        <v>-80</v>
      </c>
      <c r="F55">
        <f t="shared" ca="1" si="6"/>
        <v>520</v>
      </c>
      <c r="G55" s="3" t="b">
        <f>COUNTIF(dict_zul_Var_Meth[ID_Methods], table_Methods[[#This Row],[ID]]) &gt; 0</f>
        <v>1</v>
      </c>
      <c r="H55">
        <f t="shared" ca="1" si="7"/>
        <v>5215</v>
      </c>
      <c r="I55">
        <f t="shared" ca="1" si="8"/>
        <v>128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67</v>
      </c>
      <c r="E56">
        <f t="shared" ca="1" si="5"/>
        <v>-10</v>
      </c>
      <c r="F56">
        <f t="shared" ca="1" si="6"/>
        <v>380</v>
      </c>
      <c r="G56" s="3" t="b">
        <f>COUNTIF(dict_zul_Var_Meth[ID_Methods], table_Methods[[#This Row],[ID]]) &gt; 0</f>
        <v>1</v>
      </c>
      <c r="H56">
        <f t="shared" ca="1" si="7"/>
        <v>20418</v>
      </c>
      <c r="I56">
        <f t="shared" ca="1" si="8"/>
        <v>144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37</v>
      </c>
      <c r="E57">
        <f t="shared" ca="1" si="5"/>
        <v>30</v>
      </c>
      <c r="F57">
        <f t="shared" ca="1" si="6"/>
        <v>360</v>
      </c>
      <c r="G57" s="3" t="b">
        <f>COUNTIF(dict_zul_Var_Meth[ID_Methods], table_Methods[[#This Row],[ID]]) &gt; 0</f>
        <v>1</v>
      </c>
      <c r="H57">
        <f t="shared" ca="1" si="7"/>
        <v>24192</v>
      </c>
      <c r="I57">
        <f t="shared" ca="1" si="8"/>
        <v>2816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77</v>
      </c>
      <c r="E58">
        <f t="shared" ca="1" si="5"/>
        <v>-10</v>
      </c>
      <c r="F58">
        <f t="shared" ca="1" si="6"/>
        <v>370</v>
      </c>
      <c r="G58" s="3" t="b">
        <f>COUNTIF(dict_zul_Var_Meth[ID_Methods], table_Methods[[#This Row],[ID]]) &gt; 0</f>
        <v>1</v>
      </c>
      <c r="H58">
        <f t="shared" ca="1" si="7"/>
        <v>1843</v>
      </c>
      <c r="I58">
        <f t="shared" ca="1" si="8"/>
        <v>20224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43</v>
      </c>
      <c r="E59">
        <f t="shared" ca="1" si="5"/>
        <v>-80</v>
      </c>
      <c r="F59">
        <f t="shared" ca="1" si="6"/>
        <v>390</v>
      </c>
      <c r="G59" s="3" t="b">
        <f>COUNTIF(dict_zul_Var_Meth[ID_Methods], table_Methods[[#This Row],[ID]]) &gt; 0</f>
        <v>1</v>
      </c>
      <c r="H59">
        <f t="shared" ca="1" si="7"/>
        <v>46040</v>
      </c>
      <c r="I59">
        <f t="shared" ca="1" si="8"/>
        <v>44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19</v>
      </c>
      <c r="E60">
        <f t="shared" ca="1" si="5"/>
        <v>10</v>
      </c>
      <c r="F60">
        <f t="shared" ca="1" si="6"/>
        <v>810</v>
      </c>
      <c r="G60" s="3" t="b">
        <f>COUNTIF(dict_zul_Var_Meth[ID_Methods], table_Methods[[#This Row],[ID]]) &gt; 0</f>
        <v>1</v>
      </c>
      <c r="H60">
        <f t="shared" ca="1" si="7"/>
        <v>17192</v>
      </c>
      <c r="I60">
        <f t="shared" ca="1" si="8"/>
        <v>5568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4900</v>
      </c>
      <c r="E61">
        <f t="shared" ca="1" si="5"/>
        <v>-90</v>
      </c>
      <c r="F61">
        <f t="shared" ca="1" si="6"/>
        <v>170</v>
      </c>
      <c r="G61" s="3" t="b">
        <f>COUNTIF(dict_zul_Var_Meth[ID_Methods], table_Methods[[#This Row],[ID]]) &gt; 0</f>
        <v>1</v>
      </c>
      <c r="H61">
        <f t="shared" ca="1" si="7"/>
        <v>3300</v>
      </c>
      <c r="I61">
        <f t="shared" ca="1" si="8"/>
        <v>1760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2</v>
      </c>
      <c r="E62">
        <f t="shared" ca="1" si="5"/>
        <v>30</v>
      </c>
      <c r="F62">
        <f t="shared" ca="1" si="6"/>
        <v>170</v>
      </c>
      <c r="G62" s="3" t="b">
        <f>COUNTIF(dict_zul_Var_Meth[ID_Methods], table_Methods[[#This Row],[ID]]) &gt; 0</f>
        <v>1</v>
      </c>
      <c r="H62">
        <f t="shared" ca="1" si="7"/>
        <v>26064</v>
      </c>
      <c r="I62">
        <f t="shared" ca="1" si="8"/>
        <v>12032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6800</v>
      </c>
      <c r="E63">
        <f t="shared" ca="1" si="5"/>
        <v>-90</v>
      </c>
      <c r="F63">
        <f t="shared" ca="1" si="6"/>
        <v>410</v>
      </c>
      <c r="G63" s="3" t="b">
        <f>COUNTIF(dict_zul_Var_Meth[ID_Methods], table_Methods[[#This Row],[ID]]) &gt; 0</f>
        <v>1</v>
      </c>
      <c r="H63">
        <f t="shared" ca="1" si="7"/>
        <v>8984</v>
      </c>
      <c r="I63">
        <f t="shared" ca="1" si="8"/>
        <v>736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11</v>
      </c>
      <c r="E64">
        <f t="shared" ca="1" si="5"/>
        <v>-30</v>
      </c>
      <c r="F64">
        <f t="shared" ca="1" si="6"/>
        <v>60</v>
      </c>
      <c r="G64" s="3" t="b">
        <f>COUNTIF(dict_zul_Var_Meth[ID_Methods], table_Methods[[#This Row],[ID]]) &gt; 0</f>
        <v>1</v>
      </c>
      <c r="H64">
        <f t="shared" ca="1" si="7"/>
        <v>7920</v>
      </c>
      <c r="I64">
        <f t="shared" ca="1" si="8"/>
        <v>1200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970</v>
      </c>
      <c r="E65">
        <f t="shared" ca="1" si="5"/>
        <v>20</v>
      </c>
      <c r="F65">
        <f t="shared" ca="1" si="6"/>
        <v>330</v>
      </c>
      <c r="G65" s="3" t="b">
        <f>COUNTIF(dict_zul_Var_Meth[ID_Methods], table_Methods[[#This Row],[ID]]) &gt; 0</f>
        <v>1</v>
      </c>
      <c r="H65">
        <f t="shared" ca="1" si="7"/>
        <v>9144</v>
      </c>
      <c r="I65">
        <f t="shared" ca="1" si="8"/>
        <v>480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9">10^(RANDBETWEEN(-1,1))*RANDBETWEEN(1,100)*10</f>
        <v>93</v>
      </c>
      <c r="E66">
        <f t="shared" ca="1" si="5"/>
        <v>-100</v>
      </c>
      <c r="F66">
        <f t="shared" ca="1" si="6"/>
        <v>770</v>
      </c>
      <c r="G66" s="3" t="b">
        <f>COUNTIF(dict_zul_Var_Meth[ID_Methods], table_Methods[[#This Row],[ID]]) &gt; 0</f>
        <v>1</v>
      </c>
      <c r="H66">
        <f t="shared" ca="1" si="7"/>
        <v>8574</v>
      </c>
      <c r="I66">
        <f t="shared" ca="1" si="8"/>
        <v>6272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9"/>
        <v>85</v>
      </c>
      <c r="E67">
        <f t="shared" ca="1" si="5"/>
        <v>-60</v>
      </c>
      <c r="F67">
        <f t="shared" ca="1" si="6"/>
        <v>390</v>
      </c>
      <c r="G67" s="3" t="b">
        <f>COUNTIF(dict_zul_Var_Meth[ID_Methods], table_Methods[[#This Row],[ID]]) &gt; 0</f>
        <v>1</v>
      </c>
      <c r="H67">
        <f t="shared" ca="1" si="7"/>
        <v>5118</v>
      </c>
      <c r="I67">
        <f t="shared" ca="1" si="8"/>
        <v>2304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9"/>
        <v>7100</v>
      </c>
      <c r="E68">
        <f t="shared" ca="1" si="5"/>
        <v>30</v>
      </c>
      <c r="F68">
        <f t="shared" ca="1" si="6"/>
        <v>860</v>
      </c>
      <c r="G68" s="3" t="b">
        <f>COUNTIF(dict_zul_Var_Meth[ID_Methods], table_Methods[[#This Row],[ID]]) &gt; 0</f>
        <v>1</v>
      </c>
      <c r="H68">
        <f t="shared" ca="1" si="7"/>
        <v>10705</v>
      </c>
      <c r="I68">
        <f t="shared" ca="1" si="8"/>
        <v>2944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9"/>
        <v>41.000000000000007</v>
      </c>
      <c r="E69">
        <f t="shared" ca="1" si="5"/>
        <v>-20</v>
      </c>
      <c r="F69">
        <f t="shared" ca="1" si="6"/>
        <v>170</v>
      </c>
      <c r="G69" s="3" t="b">
        <f>COUNTIF(dict_zul_Var_Meth[ID_Methods], table_Methods[[#This Row],[ID]]) &gt; 0</f>
        <v>1</v>
      </c>
      <c r="H69">
        <f t="shared" ca="1" si="7"/>
        <v>14570</v>
      </c>
      <c r="I69">
        <f t="shared" ca="1" si="8"/>
        <v>448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9"/>
        <v>9000</v>
      </c>
      <c r="E70">
        <f t="shared" ca="1" si="5"/>
        <v>30</v>
      </c>
      <c r="F70">
        <f t="shared" ca="1" si="6"/>
        <v>340</v>
      </c>
      <c r="G70" s="3" t="b">
        <f>COUNTIF(dict_zul_Var_Meth[ID_Methods], table_Methods[[#This Row],[ID]]) &gt; 0</f>
        <v>1</v>
      </c>
      <c r="H70">
        <f t="shared" ca="1" si="7"/>
        <v>8628</v>
      </c>
      <c r="I70">
        <f t="shared" ca="1" si="8"/>
        <v>75776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9"/>
        <v>96.000000000000014</v>
      </c>
      <c r="E71">
        <f t="shared" ca="1" si="5"/>
        <v>-40</v>
      </c>
      <c r="F71">
        <f t="shared" ca="1" si="6"/>
        <v>480</v>
      </c>
      <c r="G71" s="3" t="b">
        <f>COUNTIF(dict_zul_Var_Meth[ID_Methods], table_Methods[[#This Row],[ID]]) &gt; 0</f>
        <v>1</v>
      </c>
      <c r="H71">
        <f t="shared" ca="1" si="7"/>
        <v>39968</v>
      </c>
      <c r="I71">
        <f t="shared" ca="1" si="8"/>
        <v>44032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9"/>
        <v>8</v>
      </c>
      <c r="E72">
        <f t="shared" ca="1" si="5"/>
        <v>-10</v>
      </c>
      <c r="F72">
        <f t="shared" ca="1" si="6"/>
        <v>710</v>
      </c>
      <c r="G72" s="3" t="b">
        <f>COUNTIF(dict_zul_Var_Meth[ID_Methods], table_Methods[[#This Row],[ID]]) &gt; 0</f>
        <v>1</v>
      </c>
      <c r="H72">
        <f t="shared" ca="1" si="7"/>
        <v>2241</v>
      </c>
      <c r="I72">
        <f t="shared" ca="1" si="8"/>
        <v>46080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9"/>
        <v>77</v>
      </c>
      <c r="E73">
        <f t="shared" ca="1" si="5"/>
        <v>-70</v>
      </c>
      <c r="F73">
        <f t="shared" ca="1" si="6"/>
        <v>740</v>
      </c>
      <c r="G73" s="3" t="b">
        <f>COUNTIF(dict_zul_Var_Meth[ID_Methods], table_Methods[[#This Row],[ID]]) &gt; 0</f>
        <v>1</v>
      </c>
      <c r="H73">
        <f t="shared" ca="1" si="7"/>
        <v>3744</v>
      </c>
      <c r="I73">
        <f t="shared" ca="1" si="8"/>
        <v>2848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9"/>
        <v>2</v>
      </c>
      <c r="E74">
        <f t="shared" ca="1" si="5"/>
        <v>-100</v>
      </c>
      <c r="F74">
        <f t="shared" ca="1" si="6"/>
        <v>820</v>
      </c>
      <c r="G74" s="3" t="b">
        <f>COUNTIF(dict_zul_Var_Meth[ID_Methods], table_Methods[[#This Row],[ID]]) &gt; 0</f>
        <v>1</v>
      </c>
      <c r="H74">
        <f t="shared" ca="1" si="7"/>
        <v>7940</v>
      </c>
      <c r="I74">
        <f t="shared" ca="1" si="8"/>
        <v>2368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9"/>
        <v>51.000000000000007</v>
      </c>
      <c r="E75">
        <f t="shared" ca="1" si="5"/>
        <v>-30</v>
      </c>
      <c r="F75">
        <f t="shared" ca="1" si="6"/>
        <v>870</v>
      </c>
      <c r="G75" s="3" t="b">
        <f>COUNTIF(dict_zul_Var_Meth[ID_Methods], table_Methods[[#This Row],[ID]]) &gt; 0</f>
        <v>1</v>
      </c>
      <c r="H75">
        <f t="shared" ca="1" si="7"/>
        <v>25144</v>
      </c>
      <c r="I75">
        <f t="shared" ca="1" si="8"/>
        <v>5888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9"/>
        <v>5700</v>
      </c>
      <c r="E76">
        <f t="shared" ca="1" si="5"/>
        <v>-80</v>
      </c>
      <c r="F76">
        <f t="shared" ca="1" si="6"/>
        <v>90</v>
      </c>
      <c r="G76" s="3" t="b">
        <f>COUNTIF(dict_zul_Var_Meth[ID_Methods], table_Methods[[#This Row],[ID]]) &gt; 0</f>
        <v>1</v>
      </c>
      <c r="H76">
        <f t="shared" ca="1" si="7"/>
        <v>19944</v>
      </c>
      <c r="I76">
        <f t="shared" ca="1" si="8"/>
        <v>6144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9"/>
        <v>7000</v>
      </c>
      <c r="E77">
        <f t="shared" ca="1" si="5"/>
        <v>-10</v>
      </c>
      <c r="F77">
        <f t="shared" ca="1" si="6"/>
        <v>270</v>
      </c>
      <c r="G77" s="3" t="b">
        <f>COUNTIF(dict_zul_Var_Meth[ID_Methods], table_Methods[[#This Row],[ID]]) &gt; 0</f>
        <v>1</v>
      </c>
      <c r="H77">
        <f t="shared" ca="1" si="7"/>
        <v>5150</v>
      </c>
      <c r="I77">
        <f t="shared" ca="1" si="8"/>
        <v>1792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9"/>
        <v>560</v>
      </c>
      <c r="E78">
        <f t="shared" ca="1" si="5"/>
        <v>-10</v>
      </c>
      <c r="F78">
        <f t="shared" ca="1" si="6"/>
        <v>580</v>
      </c>
      <c r="G78" s="3" t="b">
        <f>COUNTIF(dict_zul_Var_Meth[ID_Methods], table_Methods[[#This Row],[ID]]) &gt; 0</f>
        <v>1</v>
      </c>
      <c r="H78">
        <f t="shared" ca="1" si="7"/>
        <v>28218</v>
      </c>
      <c r="I78">
        <f t="shared" ca="1" si="8"/>
        <v>40960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9"/>
        <v>7600</v>
      </c>
      <c r="E79">
        <f t="shared" ca="1" si="5"/>
        <v>0</v>
      </c>
      <c r="F79">
        <f t="shared" ca="1" si="6"/>
        <v>740</v>
      </c>
      <c r="G79" s="3" t="b">
        <f>COUNTIF(dict_zul_Var_Meth[ID_Methods], table_Methods[[#This Row],[ID]]) &gt; 0</f>
        <v>1</v>
      </c>
      <c r="H79">
        <f t="shared" ca="1" si="7"/>
        <v>8913</v>
      </c>
      <c r="I79">
        <f t="shared" ca="1" si="8"/>
        <v>4416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9"/>
        <v>7700</v>
      </c>
      <c r="E80">
        <f t="shared" ca="1" si="5"/>
        <v>-30</v>
      </c>
      <c r="F80">
        <f t="shared" ca="1" si="6"/>
        <v>620</v>
      </c>
      <c r="G80" s="3" t="b">
        <f>COUNTIF(dict_zul_Var_Meth[ID_Methods], table_Methods[[#This Row],[ID]]) &gt; 0</f>
        <v>1</v>
      </c>
      <c r="H80">
        <f t="shared" ca="1" si="7"/>
        <v>24492</v>
      </c>
      <c r="I80">
        <f t="shared" ca="1" si="8"/>
        <v>480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9"/>
        <v>7400</v>
      </c>
      <c r="E81">
        <f t="shared" ca="1" si="5"/>
        <v>-30</v>
      </c>
      <c r="F81">
        <f t="shared" ca="1" si="6"/>
        <v>260</v>
      </c>
      <c r="G81" s="3" t="b">
        <f>COUNTIF(dict_zul_Var_Meth[ID_Methods], table_Methods[[#This Row],[ID]]) &gt; 0</f>
        <v>1</v>
      </c>
      <c r="H81">
        <f t="shared" ca="1" si="7"/>
        <v>12448</v>
      </c>
      <c r="I81">
        <f t="shared" ca="1" si="8"/>
        <v>344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9"/>
        <v>25</v>
      </c>
      <c r="E82">
        <f t="shared" ca="1" si="5"/>
        <v>-100</v>
      </c>
      <c r="F82">
        <f t="shared" ca="1" si="6"/>
        <v>340</v>
      </c>
      <c r="G82" s="3" t="b">
        <f>COUNTIF(dict_zul_Var_Meth[ID_Methods], table_Methods[[#This Row],[ID]]) &gt; 0</f>
        <v>1</v>
      </c>
      <c r="H82">
        <f t="shared" ca="1" si="7"/>
        <v>8220</v>
      </c>
      <c r="I82">
        <f t="shared" ca="1" si="8"/>
        <v>536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9"/>
        <v>2900</v>
      </c>
      <c r="E83">
        <f t="shared" ca="1" si="5"/>
        <v>20</v>
      </c>
      <c r="F83">
        <f t="shared" ca="1" si="6"/>
        <v>860</v>
      </c>
      <c r="G83" s="3" t="b">
        <f>COUNTIF(dict_zul_Var_Meth[ID_Methods], table_Methods[[#This Row],[ID]]) &gt; 0</f>
        <v>1</v>
      </c>
      <c r="H83">
        <f t="shared" ca="1" si="7"/>
        <v>7976</v>
      </c>
      <c r="I83">
        <f t="shared" ca="1" si="8"/>
        <v>188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9"/>
        <v>100</v>
      </c>
      <c r="E84">
        <f t="shared" ca="1" si="5"/>
        <v>-40</v>
      </c>
      <c r="F84">
        <f t="shared" ca="1" si="6"/>
        <v>100</v>
      </c>
      <c r="G84" s="3" t="b">
        <f>COUNTIF(dict_zul_Var_Meth[ID_Methods], table_Methods[[#This Row],[ID]]) &gt; 0</f>
        <v>1</v>
      </c>
      <c r="H84">
        <f t="shared" ca="1" si="7"/>
        <v>9062</v>
      </c>
      <c r="I84">
        <f t="shared" ca="1" si="8"/>
        <v>1408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9"/>
        <v>5500</v>
      </c>
      <c r="E85">
        <f t="shared" ca="1" si="5"/>
        <v>-70</v>
      </c>
      <c r="F85">
        <f t="shared" ca="1" si="6"/>
        <v>170</v>
      </c>
      <c r="G85" s="3" t="b">
        <f>COUNTIF(dict_zul_Var_Meth[ID_Methods], table_Methods[[#This Row],[ID]]) &gt; 0</f>
        <v>1</v>
      </c>
      <c r="H85">
        <f t="shared" ca="1" si="7"/>
        <v>12168</v>
      </c>
      <c r="I85">
        <f t="shared" ca="1" si="8"/>
        <v>256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9"/>
        <v>70</v>
      </c>
      <c r="E86">
        <f t="shared" ca="1" si="5"/>
        <v>-30</v>
      </c>
      <c r="F86">
        <f t="shared" ca="1" si="6"/>
        <v>980</v>
      </c>
      <c r="G86" s="3" t="b">
        <f>COUNTIF(dict_zul_Var_Meth[ID_Methods], table_Methods[[#This Row],[ID]]) &gt; 0</f>
        <v>1</v>
      </c>
      <c r="H86">
        <f t="shared" ca="1" si="7"/>
        <v>10350</v>
      </c>
      <c r="I86">
        <f t="shared" ca="1" si="8"/>
        <v>2048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9"/>
        <v>2600</v>
      </c>
      <c r="E87">
        <f t="shared" ca="1" si="5"/>
        <v>-20</v>
      </c>
      <c r="F87">
        <f t="shared" ca="1" si="6"/>
        <v>910</v>
      </c>
      <c r="G87" s="3" t="b">
        <f>COUNTIF(dict_zul_Var_Meth[ID_Methods], table_Methods[[#This Row],[ID]]) &gt; 0</f>
        <v>1</v>
      </c>
      <c r="H87">
        <f t="shared" ca="1" si="7"/>
        <v>23490</v>
      </c>
      <c r="I87">
        <f t="shared" ca="1" si="8"/>
        <v>5952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9"/>
        <v>330</v>
      </c>
      <c r="E88">
        <f t="shared" ca="1" si="5"/>
        <v>-10</v>
      </c>
      <c r="F88">
        <f t="shared" ca="1" si="6"/>
        <v>90</v>
      </c>
      <c r="G88" s="3" t="b">
        <f>COUNTIF(dict_zul_Var_Meth[ID_Methods], table_Methods[[#This Row],[ID]]) &gt; 0</f>
        <v>1</v>
      </c>
      <c r="H88">
        <f t="shared" ca="1" si="7"/>
        <v>46350</v>
      </c>
      <c r="I88">
        <f t="shared" ca="1" si="8"/>
        <v>352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9"/>
        <v>5200</v>
      </c>
      <c r="E89">
        <f t="shared" ca="1" si="5"/>
        <v>0</v>
      </c>
      <c r="F89">
        <f t="shared" ca="1" si="6"/>
        <v>790</v>
      </c>
      <c r="G89" s="3" t="b">
        <f>COUNTIF(dict_zul_Var_Meth[ID_Methods], table_Methods[[#This Row],[ID]]) &gt; 0</f>
        <v>1</v>
      </c>
      <c r="H89">
        <f t="shared" ca="1" si="7"/>
        <v>48000</v>
      </c>
      <c r="I89">
        <f t="shared" ca="1" si="8"/>
        <v>37888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9"/>
        <v>55</v>
      </c>
      <c r="E90">
        <f t="shared" ca="1" si="5"/>
        <v>0</v>
      </c>
      <c r="F90">
        <f t="shared" ca="1" si="6"/>
        <v>840</v>
      </c>
      <c r="G90" s="3" t="b">
        <f>COUNTIF(dict_zul_Var_Meth[ID_Methods], table_Methods[[#This Row],[ID]]) &gt; 0</f>
        <v>1</v>
      </c>
      <c r="H90">
        <f t="shared" ca="1" si="7"/>
        <v>44442</v>
      </c>
      <c r="I90">
        <f t="shared" ca="1" si="8"/>
        <v>82944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9"/>
        <v>5900</v>
      </c>
      <c r="E91">
        <f t="shared" ca="1" si="5"/>
        <v>30</v>
      </c>
      <c r="F91">
        <f t="shared" ca="1" si="6"/>
        <v>660</v>
      </c>
      <c r="G91" s="3" t="b">
        <f>COUNTIF(dict_zul_Var_Meth[ID_Methods], table_Methods[[#This Row],[ID]]) &gt; 0</f>
        <v>1</v>
      </c>
      <c r="H91">
        <f t="shared" ca="1" si="7"/>
        <v>29841</v>
      </c>
      <c r="I91">
        <f t="shared" ca="1" si="8"/>
        <v>1088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9"/>
        <v>9600</v>
      </c>
      <c r="E92">
        <f t="shared" ca="1" si="5"/>
        <v>-90</v>
      </c>
      <c r="F92">
        <f t="shared" ca="1" si="6"/>
        <v>670</v>
      </c>
      <c r="G92" s="3" t="b">
        <f>COUNTIF(dict_zul_Var_Meth[ID_Methods], table_Methods[[#This Row],[ID]]) &gt; 0</f>
        <v>1</v>
      </c>
      <c r="H92">
        <f t="shared" ca="1" si="7"/>
        <v>21552</v>
      </c>
      <c r="I92">
        <f t="shared" ca="1" si="8"/>
        <v>112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9"/>
        <v>340</v>
      </c>
      <c r="E93">
        <f t="shared" ca="1" si="5"/>
        <v>-10</v>
      </c>
      <c r="F93">
        <f t="shared" ca="1" si="6"/>
        <v>250</v>
      </c>
      <c r="G93" s="3" t="b">
        <f>COUNTIF(dict_zul_Var_Meth[ID_Methods], table_Methods[[#This Row],[ID]]) &gt; 0</f>
        <v>1</v>
      </c>
      <c r="H93">
        <f t="shared" ca="1" si="7"/>
        <v>7462</v>
      </c>
      <c r="I93">
        <f t="shared" ca="1" si="8"/>
        <v>1248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9"/>
        <v>700</v>
      </c>
      <c r="E94">
        <f t="shared" ca="1" si="5"/>
        <v>-80</v>
      </c>
      <c r="F94">
        <f t="shared" ca="1" si="6"/>
        <v>880</v>
      </c>
      <c r="G94" s="3" t="b">
        <f>COUNTIF(dict_zul_Var_Meth[ID_Methods], table_Methods[[#This Row],[ID]]) &gt; 0</f>
        <v>1</v>
      </c>
      <c r="H94">
        <f t="shared" ca="1" si="7"/>
        <v>4803</v>
      </c>
      <c r="I94">
        <f t="shared" ca="1" si="8"/>
        <v>1408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9"/>
        <v>700</v>
      </c>
      <c r="E95">
        <f t="shared" ca="1" si="5"/>
        <v>-30</v>
      </c>
      <c r="F95">
        <f t="shared" ca="1" si="6"/>
        <v>860</v>
      </c>
      <c r="G95" s="3" t="b">
        <f>COUNTIF(dict_zul_Var_Meth[ID_Methods], table_Methods[[#This Row],[ID]]) &gt; 0</f>
        <v>1</v>
      </c>
      <c r="H95">
        <f t="shared" ca="1" si="7"/>
        <v>2372</v>
      </c>
      <c r="I95">
        <f t="shared" ca="1" si="8"/>
        <v>4608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9"/>
        <v>8500</v>
      </c>
      <c r="E96">
        <f t="shared" ca="1" si="5"/>
        <v>-10</v>
      </c>
      <c r="F96">
        <f t="shared" ca="1" si="6"/>
        <v>1000</v>
      </c>
      <c r="G96" s="3" t="b">
        <f>COUNTIF(dict_zul_Var_Meth[ID_Methods], table_Methods[[#This Row],[ID]]) &gt; 0</f>
        <v>1</v>
      </c>
      <c r="H96">
        <f t="shared" ca="1" si="7"/>
        <v>14116</v>
      </c>
      <c r="I96">
        <f t="shared" ca="1" si="8"/>
        <v>960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9"/>
        <v>29.000000000000004</v>
      </c>
      <c r="E97">
        <f t="shared" ca="1" si="5"/>
        <v>0</v>
      </c>
      <c r="F97">
        <f t="shared" ca="1" si="6"/>
        <v>300</v>
      </c>
      <c r="G97" s="3" t="b">
        <f>COUNTIF(dict_zul_Var_Meth[ID_Methods], table_Methods[[#This Row],[ID]]) &gt; 0</f>
        <v>1</v>
      </c>
      <c r="H97">
        <f t="shared" ca="1" si="7"/>
        <v>36594</v>
      </c>
      <c r="I97">
        <f t="shared" ca="1" si="8"/>
        <v>74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9"/>
        <v>31</v>
      </c>
      <c r="E98">
        <f t="shared" ca="1" si="5"/>
        <v>-30</v>
      </c>
      <c r="F98">
        <f t="shared" ca="1" si="6"/>
        <v>570</v>
      </c>
      <c r="G98" s="3" t="b">
        <f>COUNTIF(dict_zul_Var_Meth[ID_Methods], table_Methods[[#This Row],[ID]]) &gt; 0</f>
        <v>1</v>
      </c>
      <c r="H98">
        <f t="shared" ca="1" si="7"/>
        <v>12600</v>
      </c>
      <c r="I98">
        <f t="shared" ca="1" si="8"/>
        <v>1536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9"/>
        <v>2900</v>
      </c>
      <c r="E99">
        <f t="shared" ca="1" si="5"/>
        <v>-70</v>
      </c>
      <c r="F99">
        <f t="shared" ca="1" si="6"/>
        <v>900</v>
      </c>
      <c r="G99" s="3" t="b">
        <f>COUNTIF(dict_zul_Var_Meth[ID_Methods], table_Methods[[#This Row],[ID]]) &gt; 0</f>
        <v>1</v>
      </c>
      <c r="H99">
        <f t="shared" ca="1" si="7"/>
        <v>778</v>
      </c>
      <c r="I99">
        <f t="shared" ca="1" si="8"/>
        <v>9984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9"/>
        <v>210</v>
      </c>
      <c r="E100">
        <f t="shared" ref="E100:E163" ca="1" si="10">RANDBETWEEN(-10,3)*10</f>
        <v>-30</v>
      </c>
      <c r="F100">
        <f t="shared" ref="F100:F163" ca="1" si="11">RANDBETWEEN(2,100)*10</f>
        <v>460</v>
      </c>
      <c r="G100" s="3" t="b">
        <f>COUNTIF(dict_zul_Var_Meth[ID_Methods], table_Methods[[#This Row],[ID]]) &gt; 0</f>
        <v>1</v>
      </c>
      <c r="H100">
        <f t="shared" ref="H100:H163" ca="1" si="12">RANDBETWEEN(1,10)*RANDBETWEEN(1,5000)</f>
        <v>9141</v>
      </c>
      <c r="I100">
        <f t="shared" ref="I100:I163" ca="1" si="13">2^RANDBETWEEN(1,10)*RANDBETWEEN(1,100)</f>
        <v>52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9"/>
        <v>5800</v>
      </c>
      <c r="E101">
        <f t="shared" ca="1" si="10"/>
        <v>-10</v>
      </c>
      <c r="F101">
        <f t="shared" ca="1" si="11"/>
        <v>290</v>
      </c>
      <c r="G101" s="3" t="b">
        <f>COUNTIF(dict_zul_Var_Meth[ID_Methods], table_Methods[[#This Row],[ID]]) &gt; 0</f>
        <v>1</v>
      </c>
      <c r="H101">
        <f t="shared" ca="1" si="12"/>
        <v>3910</v>
      </c>
      <c r="I101">
        <f t="shared" ca="1" si="13"/>
        <v>1536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9"/>
        <v>56.000000000000007</v>
      </c>
      <c r="E102">
        <f t="shared" ca="1" si="10"/>
        <v>-30</v>
      </c>
      <c r="F102">
        <f t="shared" ca="1" si="11"/>
        <v>410</v>
      </c>
      <c r="G102" s="3" t="b">
        <f>COUNTIF(dict_zul_Var_Meth[ID_Methods], table_Methods[[#This Row],[ID]]) &gt; 0</f>
        <v>1</v>
      </c>
      <c r="H102">
        <f t="shared" ca="1" si="12"/>
        <v>21852</v>
      </c>
      <c r="I102">
        <f t="shared" ca="1" si="13"/>
        <v>95232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9"/>
        <v>490</v>
      </c>
      <c r="E103">
        <f t="shared" ca="1" si="10"/>
        <v>-30</v>
      </c>
      <c r="F103">
        <f t="shared" ca="1" si="11"/>
        <v>980</v>
      </c>
      <c r="G103" s="3" t="b">
        <f>COUNTIF(dict_zul_Var_Meth[ID_Methods], table_Methods[[#This Row],[ID]]) &gt; 0</f>
        <v>1</v>
      </c>
      <c r="H103">
        <f t="shared" ca="1" si="12"/>
        <v>45190</v>
      </c>
      <c r="I103">
        <f t="shared" ca="1" si="13"/>
        <v>72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9"/>
        <v>28.000000000000004</v>
      </c>
      <c r="E104">
        <f t="shared" ca="1" si="10"/>
        <v>-50</v>
      </c>
      <c r="F104">
        <f t="shared" ca="1" si="11"/>
        <v>660</v>
      </c>
      <c r="G104" s="3" t="b">
        <f>COUNTIF(dict_zul_Var_Meth[ID_Methods], table_Methods[[#This Row],[ID]]) &gt; 0</f>
        <v>1</v>
      </c>
      <c r="H104">
        <f t="shared" ca="1" si="12"/>
        <v>14444</v>
      </c>
      <c r="I104">
        <f t="shared" ca="1" si="13"/>
        <v>360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9"/>
        <v>220</v>
      </c>
      <c r="E105">
        <f t="shared" ca="1" si="10"/>
        <v>20</v>
      </c>
      <c r="F105">
        <f t="shared" ca="1" si="11"/>
        <v>670</v>
      </c>
      <c r="G105" s="3" t="b">
        <f>COUNTIF(dict_zul_Var_Meth[ID_Methods], table_Methods[[#This Row],[ID]]) &gt; 0</f>
        <v>1</v>
      </c>
      <c r="H105">
        <f t="shared" ca="1" si="12"/>
        <v>4478</v>
      </c>
      <c r="I105">
        <f t="shared" ca="1" si="13"/>
        <v>1168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9"/>
        <v>1500</v>
      </c>
      <c r="E106">
        <f t="shared" ca="1" si="10"/>
        <v>-50</v>
      </c>
      <c r="F106">
        <f t="shared" ca="1" si="11"/>
        <v>690</v>
      </c>
      <c r="G106" s="3" t="b">
        <f>COUNTIF(dict_zul_Var_Meth[ID_Methods], table_Methods[[#This Row],[ID]]) &gt; 0</f>
        <v>1</v>
      </c>
      <c r="H106">
        <f t="shared" ca="1" si="12"/>
        <v>12180</v>
      </c>
      <c r="I106">
        <f t="shared" ca="1" si="13"/>
        <v>400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9"/>
        <v>51.000000000000007</v>
      </c>
      <c r="E107">
        <f t="shared" ca="1" si="10"/>
        <v>-40</v>
      </c>
      <c r="F107">
        <f t="shared" ca="1" si="11"/>
        <v>390</v>
      </c>
      <c r="G107" s="3" t="b">
        <f>COUNTIF(dict_zul_Var_Meth[ID_Methods], table_Methods[[#This Row],[ID]]) &gt; 0</f>
        <v>1</v>
      </c>
      <c r="H107">
        <f t="shared" ca="1" si="12"/>
        <v>36208</v>
      </c>
      <c r="I107">
        <f t="shared" ca="1" si="13"/>
        <v>21504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9"/>
        <v>290</v>
      </c>
      <c r="E108">
        <f t="shared" ca="1" si="10"/>
        <v>0</v>
      </c>
      <c r="F108">
        <f t="shared" ca="1" si="11"/>
        <v>290</v>
      </c>
      <c r="G108" s="3" t="b">
        <f>COUNTIF(dict_zul_Var_Meth[ID_Methods], table_Methods[[#This Row],[ID]]) &gt; 0</f>
        <v>1</v>
      </c>
      <c r="H108">
        <f t="shared" ca="1" si="12"/>
        <v>15104</v>
      </c>
      <c r="I108">
        <f t="shared" ca="1" si="13"/>
        <v>49664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9"/>
        <v>9400</v>
      </c>
      <c r="E109">
        <f t="shared" ca="1" si="10"/>
        <v>-80</v>
      </c>
      <c r="F109">
        <f t="shared" ca="1" si="11"/>
        <v>560</v>
      </c>
      <c r="G109" s="3" t="b">
        <f>COUNTIF(dict_zul_Var_Meth[ID_Methods], table_Methods[[#This Row],[ID]]) &gt; 0</f>
        <v>1</v>
      </c>
      <c r="H109">
        <f t="shared" ca="1" si="12"/>
        <v>8148</v>
      </c>
      <c r="I109">
        <f t="shared" ca="1" si="13"/>
        <v>496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9"/>
        <v>5500</v>
      </c>
      <c r="E110">
        <f t="shared" ca="1" si="10"/>
        <v>-90</v>
      </c>
      <c r="F110">
        <f t="shared" ca="1" si="11"/>
        <v>380</v>
      </c>
      <c r="G110" s="3" t="b">
        <f>COUNTIF(dict_zul_Var_Meth[ID_Methods], table_Methods[[#This Row],[ID]]) &gt; 0</f>
        <v>1</v>
      </c>
      <c r="H110">
        <f t="shared" ca="1" si="12"/>
        <v>13456</v>
      </c>
      <c r="I110">
        <f t="shared" ca="1" si="13"/>
        <v>1184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9"/>
        <v>93</v>
      </c>
      <c r="E111">
        <f t="shared" ca="1" si="10"/>
        <v>0</v>
      </c>
      <c r="F111">
        <f t="shared" ca="1" si="11"/>
        <v>610</v>
      </c>
      <c r="G111" s="3" t="b">
        <f>COUNTIF(dict_zul_Var_Meth[ID_Methods], table_Methods[[#This Row],[ID]]) &gt; 0</f>
        <v>1</v>
      </c>
      <c r="H111">
        <f t="shared" ca="1" si="12"/>
        <v>32753</v>
      </c>
      <c r="I111">
        <f t="shared" ca="1" si="13"/>
        <v>5312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9"/>
        <v>3300</v>
      </c>
      <c r="E112">
        <f t="shared" ca="1" si="10"/>
        <v>-90</v>
      </c>
      <c r="F112">
        <f t="shared" ca="1" si="11"/>
        <v>50</v>
      </c>
      <c r="G112" s="3" t="b">
        <f>COUNTIF(dict_zul_Var_Meth[ID_Methods], table_Methods[[#This Row],[ID]]) &gt; 0</f>
        <v>1</v>
      </c>
      <c r="H112">
        <f t="shared" ca="1" si="12"/>
        <v>1560</v>
      </c>
      <c r="I112">
        <f t="shared" ca="1" si="13"/>
        <v>1600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9"/>
        <v>910</v>
      </c>
      <c r="E113">
        <f t="shared" ca="1" si="10"/>
        <v>0</v>
      </c>
      <c r="F113">
        <f t="shared" ca="1" si="11"/>
        <v>830</v>
      </c>
      <c r="G113" s="3" t="b">
        <f>COUNTIF(dict_zul_Var_Meth[ID_Methods], table_Methods[[#This Row],[ID]]) &gt; 0</f>
        <v>1</v>
      </c>
      <c r="H113">
        <f t="shared" ca="1" si="12"/>
        <v>1776</v>
      </c>
      <c r="I113">
        <f t="shared" ca="1" si="13"/>
        <v>92160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9"/>
        <v>5000</v>
      </c>
      <c r="E114">
        <f t="shared" ca="1" si="10"/>
        <v>0</v>
      </c>
      <c r="F114">
        <f t="shared" ca="1" si="11"/>
        <v>660</v>
      </c>
      <c r="G114" s="3" t="b">
        <f>COUNTIF(dict_zul_Var_Meth[ID_Methods], table_Methods[[#This Row],[ID]]) &gt; 0</f>
        <v>1</v>
      </c>
      <c r="H114">
        <f t="shared" ca="1" si="12"/>
        <v>30375</v>
      </c>
      <c r="I114">
        <f t="shared" ca="1" si="13"/>
        <v>44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9"/>
        <v>1800</v>
      </c>
      <c r="E115">
        <f t="shared" ca="1" si="10"/>
        <v>30</v>
      </c>
      <c r="F115">
        <f t="shared" ca="1" si="11"/>
        <v>790</v>
      </c>
      <c r="G115" s="3" t="b">
        <f>COUNTIF(dict_zul_Var_Meth[ID_Methods], table_Methods[[#This Row],[ID]]) &gt; 0</f>
        <v>1</v>
      </c>
      <c r="H115">
        <f t="shared" ca="1" si="12"/>
        <v>14994</v>
      </c>
      <c r="I115">
        <f t="shared" ca="1" si="13"/>
        <v>10240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9"/>
        <v>110</v>
      </c>
      <c r="E116">
        <f t="shared" ca="1" si="10"/>
        <v>-20</v>
      </c>
      <c r="F116">
        <f t="shared" ca="1" si="11"/>
        <v>290</v>
      </c>
      <c r="G116" s="3" t="b">
        <f>COUNTIF(dict_zul_Var_Meth[ID_Methods], table_Methods[[#This Row],[ID]]) &gt; 0</f>
        <v>1</v>
      </c>
      <c r="H116">
        <f t="shared" ca="1" si="12"/>
        <v>22020</v>
      </c>
      <c r="I116">
        <f t="shared" ca="1" si="13"/>
        <v>328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9"/>
        <v>92.000000000000014</v>
      </c>
      <c r="E117">
        <f t="shared" ca="1" si="10"/>
        <v>-70</v>
      </c>
      <c r="F117">
        <f t="shared" ca="1" si="11"/>
        <v>540</v>
      </c>
      <c r="G117" s="3" t="b">
        <f>COUNTIF(dict_zul_Var_Meth[ID_Methods], table_Methods[[#This Row],[ID]]) &gt; 0</f>
        <v>1</v>
      </c>
      <c r="H117">
        <f t="shared" ca="1" si="12"/>
        <v>28688</v>
      </c>
      <c r="I117">
        <f t="shared" ca="1" si="13"/>
        <v>14080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9"/>
        <v>37</v>
      </c>
      <c r="E118">
        <f t="shared" ca="1" si="10"/>
        <v>-40</v>
      </c>
      <c r="F118">
        <f t="shared" ca="1" si="11"/>
        <v>410</v>
      </c>
      <c r="G118" s="3" t="b">
        <f>COUNTIF(dict_zul_Var_Meth[ID_Methods], table_Methods[[#This Row],[ID]]) &gt; 0</f>
        <v>1</v>
      </c>
      <c r="H118">
        <f t="shared" ca="1" si="12"/>
        <v>1032</v>
      </c>
      <c r="I118">
        <f t="shared" ca="1" si="13"/>
        <v>96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9"/>
        <v>83</v>
      </c>
      <c r="E119">
        <f t="shared" ca="1" si="10"/>
        <v>-40</v>
      </c>
      <c r="F119">
        <f t="shared" ca="1" si="11"/>
        <v>790</v>
      </c>
      <c r="G119" s="3" t="b">
        <f>COUNTIF(dict_zul_Var_Meth[ID_Methods], table_Methods[[#This Row],[ID]]) &gt; 0</f>
        <v>1</v>
      </c>
      <c r="H119">
        <f t="shared" ca="1" si="12"/>
        <v>5296</v>
      </c>
      <c r="I119">
        <f t="shared" ca="1" si="13"/>
        <v>144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9"/>
        <v>7800</v>
      </c>
      <c r="E120">
        <f t="shared" ca="1" si="10"/>
        <v>-50</v>
      </c>
      <c r="F120">
        <f t="shared" ca="1" si="11"/>
        <v>530</v>
      </c>
      <c r="G120" s="3" t="b">
        <f>COUNTIF(dict_zul_Var_Meth[ID_Methods], table_Methods[[#This Row],[ID]]) &gt; 0</f>
        <v>1</v>
      </c>
      <c r="H120">
        <f t="shared" ca="1" si="12"/>
        <v>3640</v>
      </c>
      <c r="I120">
        <f t="shared" ca="1" si="13"/>
        <v>6400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9"/>
        <v>3000</v>
      </c>
      <c r="E121">
        <f t="shared" ca="1" si="10"/>
        <v>-10</v>
      </c>
      <c r="F121">
        <f t="shared" ca="1" si="11"/>
        <v>830</v>
      </c>
      <c r="G121" s="3" t="b">
        <f>COUNTIF(dict_zul_Var_Meth[ID_Methods], table_Methods[[#This Row],[ID]]) &gt; 0</f>
        <v>1</v>
      </c>
      <c r="H121">
        <f t="shared" ca="1" si="12"/>
        <v>9474</v>
      </c>
      <c r="I121">
        <f t="shared" ca="1" si="13"/>
        <v>180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9"/>
        <v>6000</v>
      </c>
      <c r="E122">
        <f t="shared" ca="1" si="10"/>
        <v>-40</v>
      </c>
      <c r="F122">
        <f t="shared" ca="1" si="11"/>
        <v>510</v>
      </c>
      <c r="G122" s="3" t="b">
        <f>COUNTIF(dict_zul_Var_Meth[ID_Methods], table_Methods[[#This Row],[ID]]) &gt; 0</f>
        <v>1</v>
      </c>
      <c r="H122">
        <f t="shared" ca="1" si="12"/>
        <v>10720</v>
      </c>
      <c r="I122">
        <f t="shared" ca="1" si="13"/>
        <v>27648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9"/>
        <v>150</v>
      </c>
      <c r="E123">
        <f t="shared" ca="1" si="10"/>
        <v>0</v>
      </c>
      <c r="F123">
        <f t="shared" ca="1" si="11"/>
        <v>470</v>
      </c>
      <c r="G123" s="3" t="b">
        <f>COUNTIF(dict_zul_Var_Meth[ID_Methods], table_Methods[[#This Row],[ID]]) &gt; 0</f>
        <v>1</v>
      </c>
      <c r="H123">
        <f t="shared" ca="1" si="12"/>
        <v>6561</v>
      </c>
      <c r="I123">
        <f t="shared" ca="1" si="13"/>
        <v>4608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9"/>
        <v>11</v>
      </c>
      <c r="E124">
        <f t="shared" ca="1" si="10"/>
        <v>-60</v>
      </c>
      <c r="F124">
        <f t="shared" ca="1" si="11"/>
        <v>460</v>
      </c>
      <c r="G124" s="3" t="b">
        <f>COUNTIF(dict_zul_Var_Meth[ID_Methods], table_Methods[[#This Row],[ID]]) &gt; 0</f>
        <v>1</v>
      </c>
      <c r="H124">
        <f t="shared" ca="1" si="12"/>
        <v>4338</v>
      </c>
      <c r="I124">
        <f t="shared" ca="1" si="13"/>
        <v>1088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9"/>
        <v>570</v>
      </c>
      <c r="E125">
        <f t="shared" ca="1" si="10"/>
        <v>-20</v>
      </c>
      <c r="F125">
        <f t="shared" ca="1" si="11"/>
        <v>690</v>
      </c>
      <c r="G125" s="3" t="b">
        <f>COUNTIF(dict_zul_Var_Meth[ID_Methods], table_Methods[[#This Row],[ID]]) &gt; 0</f>
        <v>1</v>
      </c>
      <c r="H125">
        <f t="shared" ca="1" si="12"/>
        <v>6349</v>
      </c>
      <c r="I125">
        <f t="shared" ca="1" si="13"/>
        <v>22528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9"/>
        <v>47</v>
      </c>
      <c r="E126">
        <f t="shared" ca="1" si="10"/>
        <v>-100</v>
      </c>
      <c r="F126">
        <f t="shared" ca="1" si="11"/>
        <v>490</v>
      </c>
      <c r="G126" s="3" t="b">
        <f>COUNTIF(dict_zul_Var_Meth[ID_Methods], table_Methods[[#This Row],[ID]]) &gt; 0</f>
        <v>1</v>
      </c>
      <c r="H126">
        <f t="shared" ca="1" si="12"/>
        <v>4404</v>
      </c>
      <c r="I126">
        <f t="shared" ca="1" si="13"/>
        <v>3840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9"/>
        <v>57</v>
      </c>
      <c r="E127">
        <f t="shared" ca="1" si="10"/>
        <v>-30</v>
      </c>
      <c r="F127">
        <f t="shared" ca="1" si="11"/>
        <v>700</v>
      </c>
      <c r="G127" s="3" t="b">
        <f>COUNTIF(dict_zul_Var_Meth[ID_Methods], table_Methods[[#This Row],[ID]]) &gt; 0</f>
        <v>1</v>
      </c>
      <c r="H127">
        <f t="shared" ca="1" si="12"/>
        <v>4815</v>
      </c>
      <c r="I127">
        <f t="shared" ca="1" si="13"/>
        <v>192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9"/>
        <v>7300</v>
      </c>
      <c r="E128">
        <f t="shared" ca="1" si="10"/>
        <v>-90</v>
      </c>
      <c r="F128">
        <f t="shared" ca="1" si="11"/>
        <v>270</v>
      </c>
      <c r="G128" s="3" t="b">
        <f>COUNTIF(dict_zul_Var_Meth[ID_Methods], table_Methods[[#This Row],[ID]]) &gt; 0</f>
        <v>1</v>
      </c>
      <c r="H128">
        <f t="shared" ca="1" si="12"/>
        <v>21120</v>
      </c>
      <c r="I128">
        <f t="shared" ca="1" si="13"/>
        <v>34816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9"/>
        <v>7300</v>
      </c>
      <c r="E129">
        <f t="shared" ca="1" si="10"/>
        <v>0</v>
      </c>
      <c r="F129">
        <f t="shared" ca="1" si="11"/>
        <v>50</v>
      </c>
      <c r="G129" s="3" t="b">
        <f>COUNTIF(dict_zul_Var_Meth[ID_Methods], table_Methods[[#This Row],[ID]]) &gt; 0</f>
        <v>1</v>
      </c>
      <c r="H129">
        <f t="shared" ca="1" si="12"/>
        <v>266</v>
      </c>
      <c r="I129">
        <f t="shared" ca="1" si="13"/>
        <v>27136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4">10^(RANDBETWEEN(-1,1))*RANDBETWEEN(1,100)*10</f>
        <v>400</v>
      </c>
      <c r="E130">
        <f t="shared" ca="1" si="10"/>
        <v>-40</v>
      </c>
      <c r="F130">
        <f t="shared" ca="1" si="11"/>
        <v>280</v>
      </c>
      <c r="G130" s="3" t="b">
        <f>COUNTIF(dict_zul_Var_Meth[ID_Methods], table_Methods[[#This Row],[ID]]) &gt; 0</f>
        <v>1</v>
      </c>
      <c r="H130">
        <f t="shared" ca="1" si="12"/>
        <v>22790</v>
      </c>
      <c r="I130">
        <f t="shared" ca="1" si="13"/>
        <v>2304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4"/>
        <v>280</v>
      </c>
      <c r="E131">
        <f t="shared" ca="1" si="10"/>
        <v>-80</v>
      </c>
      <c r="F131">
        <f t="shared" ca="1" si="11"/>
        <v>770</v>
      </c>
      <c r="G131" s="3" t="b">
        <f>COUNTIF(dict_zul_Var_Meth[ID_Methods], table_Methods[[#This Row],[ID]]) &gt; 0</f>
        <v>1</v>
      </c>
      <c r="H131">
        <f t="shared" ca="1" si="12"/>
        <v>33543</v>
      </c>
      <c r="I131">
        <f t="shared" ca="1" si="13"/>
        <v>160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4"/>
        <v>1000</v>
      </c>
      <c r="E132">
        <f t="shared" ca="1" si="10"/>
        <v>-20</v>
      </c>
      <c r="F132">
        <f t="shared" ca="1" si="11"/>
        <v>1000</v>
      </c>
      <c r="G132" s="3" t="b">
        <f>COUNTIF(dict_zul_Var_Meth[ID_Methods], table_Methods[[#This Row],[ID]]) &gt; 0</f>
        <v>1</v>
      </c>
      <c r="H132">
        <f t="shared" ca="1" si="12"/>
        <v>35118</v>
      </c>
      <c r="I132">
        <f t="shared" ca="1" si="13"/>
        <v>2240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4"/>
        <v>9900</v>
      </c>
      <c r="E133">
        <f t="shared" ca="1" si="10"/>
        <v>-20</v>
      </c>
      <c r="F133">
        <f t="shared" ca="1" si="11"/>
        <v>480</v>
      </c>
      <c r="G133" s="3" t="b">
        <f>COUNTIF(dict_zul_Var_Meth[ID_Methods], table_Methods[[#This Row],[ID]]) &gt; 0</f>
        <v>1</v>
      </c>
      <c r="H133">
        <f t="shared" ca="1" si="12"/>
        <v>6720</v>
      </c>
      <c r="I133">
        <f t="shared" ca="1" si="13"/>
        <v>384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4"/>
        <v>2100</v>
      </c>
      <c r="E134">
        <f t="shared" ca="1" si="10"/>
        <v>-70</v>
      </c>
      <c r="F134">
        <f t="shared" ca="1" si="11"/>
        <v>150</v>
      </c>
      <c r="G134" s="3" t="b">
        <f>COUNTIF(dict_zul_Var_Meth[ID_Methods], table_Methods[[#This Row],[ID]]) &gt; 0</f>
        <v>1</v>
      </c>
      <c r="H134">
        <f t="shared" ca="1" si="12"/>
        <v>3570</v>
      </c>
      <c r="I134">
        <f t="shared" ca="1" si="13"/>
        <v>2560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4"/>
        <v>96.000000000000014</v>
      </c>
      <c r="E135">
        <f t="shared" ca="1" si="10"/>
        <v>10</v>
      </c>
      <c r="F135">
        <f t="shared" ca="1" si="11"/>
        <v>190</v>
      </c>
      <c r="G135" s="3" t="b">
        <f>COUNTIF(dict_zul_Var_Meth[ID_Methods], table_Methods[[#This Row],[ID]]) &gt; 0</f>
        <v>1</v>
      </c>
      <c r="H135">
        <f t="shared" ca="1" si="12"/>
        <v>40760</v>
      </c>
      <c r="I135">
        <f t="shared" ca="1" si="13"/>
        <v>4672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4"/>
        <v>7.0000000000000009</v>
      </c>
      <c r="E136">
        <f t="shared" ca="1" si="10"/>
        <v>-10</v>
      </c>
      <c r="F136">
        <f t="shared" ca="1" si="11"/>
        <v>290</v>
      </c>
      <c r="G136" s="3" t="b">
        <f>COUNTIF(dict_zul_Var_Meth[ID_Methods], table_Methods[[#This Row],[ID]]) &gt; 0</f>
        <v>1</v>
      </c>
      <c r="H136">
        <f t="shared" ca="1" si="12"/>
        <v>6344</v>
      </c>
      <c r="I136">
        <f t="shared" ca="1" si="13"/>
        <v>208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4"/>
        <v>570</v>
      </c>
      <c r="E137">
        <f t="shared" ca="1" si="10"/>
        <v>-30</v>
      </c>
      <c r="F137">
        <f t="shared" ca="1" si="11"/>
        <v>670</v>
      </c>
      <c r="G137" s="3" t="b">
        <f>COUNTIF(dict_zul_Var_Meth[ID_Methods], table_Methods[[#This Row],[ID]]) &gt; 0</f>
        <v>1</v>
      </c>
      <c r="H137">
        <f t="shared" ca="1" si="12"/>
        <v>25164</v>
      </c>
      <c r="I137">
        <f t="shared" ca="1" si="13"/>
        <v>3456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4"/>
        <v>2200</v>
      </c>
      <c r="E138">
        <f t="shared" ca="1" si="10"/>
        <v>-70</v>
      </c>
      <c r="F138">
        <f t="shared" ca="1" si="11"/>
        <v>500</v>
      </c>
      <c r="G138" s="3" t="b">
        <f>COUNTIF(dict_zul_Var_Meth[ID_Methods], table_Methods[[#This Row],[ID]]) &gt; 0</f>
        <v>1</v>
      </c>
      <c r="H138">
        <f t="shared" ca="1" si="12"/>
        <v>26416</v>
      </c>
      <c r="I138">
        <f t="shared" ca="1" si="13"/>
        <v>16640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4"/>
        <v>250</v>
      </c>
      <c r="E139">
        <f t="shared" ca="1" si="10"/>
        <v>-40</v>
      </c>
      <c r="F139">
        <f t="shared" ca="1" si="11"/>
        <v>30</v>
      </c>
      <c r="G139" s="3" t="b">
        <f>COUNTIF(dict_zul_Var_Meth[ID_Methods], table_Methods[[#This Row],[ID]]) &gt; 0</f>
        <v>1</v>
      </c>
      <c r="H139">
        <f t="shared" ca="1" si="12"/>
        <v>12963</v>
      </c>
      <c r="I139">
        <f t="shared" ca="1" si="13"/>
        <v>480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4"/>
        <v>680</v>
      </c>
      <c r="E140">
        <f t="shared" ca="1" si="10"/>
        <v>-20</v>
      </c>
      <c r="F140">
        <f t="shared" ca="1" si="11"/>
        <v>600</v>
      </c>
      <c r="G140" s="3" t="b">
        <f>COUNTIF(dict_zul_Var_Meth[ID_Methods], table_Methods[[#This Row],[ID]]) &gt; 0</f>
        <v>1</v>
      </c>
      <c r="H140">
        <f t="shared" ca="1" si="12"/>
        <v>41535</v>
      </c>
      <c r="I140">
        <f t="shared" ca="1" si="13"/>
        <v>552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4"/>
        <v>92.000000000000014</v>
      </c>
      <c r="E141">
        <f t="shared" ca="1" si="10"/>
        <v>-40</v>
      </c>
      <c r="F141">
        <f t="shared" ca="1" si="11"/>
        <v>570</v>
      </c>
      <c r="G141" s="3" t="b">
        <f>COUNTIF(dict_zul_Var_Meth[ID_Methods], table_Methods[[#This Row],[ID]]) &gt; 0</f>
        <v>1</v>
      </c>
      <c r="H141">
        <f t="shared" ca="1" si="12"/>
        <v>9676</v>
      </c>
      <c r="I141">
        <f t="shared" ca="1" si="13"/>
        <v>31232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4"/>
        <v>800</v>
      </c>
      <c r="E142">
        <f t="shared" ca="1" si="10"/>
        <v>-90</v>
      </c>
      <c r="F142">
        <f t="shared" ca="1" si="11"/>
        <v>240</v>
      </c>
      <c r="G142" s="3" t="b">
        <f>COUNTIF(dict_zul_Var_Meth[ID_Methods], table_Methods[[#This Row],[ID]]) &gt; 0</f>
        <v>1</v>
      </c>
      <c r="H142">
        <f t="shared" ca="1" si="12"/>
        <v>1160</v>
      </c>
      <c r="I142">
        <f t="shared" ca="1" si="13"/>
        <v>324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4"/>
        <v>18</v>
      </c>
      <c r="E143">
        <f t="shared" ca="1" si="10"/>
        <v>0</v>
      </c>
      <c r="F143">
        <f t="shared" ca="1" si="11"/>
        <v>830</v>
      </c>
      <c r="G143" s="3" t="b">
        <f>COUNTIF(dict_zul_Var_Meth[ID_Methods], table_Methods[[#This Row],[ID]]) &gt; 0</f>
        <v>1</v>
      </c>
      <c r="H143">
        <f t="shared" ca="1" si="12"/>
        <v>14520</v>
      </c>
      <c r="I143">
        <f t="shared" ca="1" si="13"/>
        <v>432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4"/>
        <v>9400</v>
      </c>
      <c r="E144">
        <f t="shared" ca="1" si="10"/>
        <v>-50</v>
      </c>
      <c r="F144">
        <f t="shared" ca="1" si="11"/>
        <v>140</v>
      </c>
      <c r="G144" s="3" t="b">
        <f>COUNTIF(dict_zul_Var_Meth[ID_Methods], table_Methods[[#This Row],[ID]]) &gt; 0</f>
        <v>1</v>
      </c>
      <c r="H144">
        <f t="shared" ca="1" si="12"/>
        <v>2777</v>
      </c>
      <c r="I144">
        <f t="shared" ca="1" si="13"/>
        <v>2304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4"/>
        <v>30</v>
      </c>
      <c r="E145">
        <f t="shared" ca="1" si="10"/>
        <v>-80</v>
      </c>
      <c r="F145">
        <f t="shared" ca="1" si="11"/>
        <v>440</v>
      </c>
      <c r="G145" s="3" t="b">
        <f>COUNTIF(dict_zul_Var_Meth[ID_Methods], table_Methods[[#This Row],[ID]]) &gt; 0</f>
        <v>1</v>
      </c>
      <c r="H145">
        <f t="shared" ca="1" si="12"/>
        <v>15155</v>
      </c>
      <c r="I145">
        <f t="shared" ca="1" si="13"/>
        <v>24576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4"/>
        <v>2800</v>
      </c>
      <c r="E146">
        <f t="shared" ca="1" si="10"/>
        <v>-60</v>
      </c>
      <c r="F146">
        <f t="shared" ca="1" si="11"/>
        <v>130</v>
      </c>
      <c r="G146" s="3" t="b">
        <f>COUNTIF(dict_zul_Var_Meth[ID_Methods], table_Methods[[#This Row],[ID]]) &gt; 0</f>
        <v>1</v>
      </c>
      <c r="H146">
        <f t="shared" ca="1" si="12"/>
        <v>770</v>
      </c>
      <c r="I146">
        <f t="shared" ca="1" si="13"/>
        <v>3040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4"/>
        <v>630</v>
      </c>
      <c r="E147">
        <f t="shared" ca="1" si="10"/>
        <v>20</v>
      </c>
      <c r="F147">
        <f t="shared" ca="1" si="11"/>
        <v>170</v>
      </c>
      <c r="G147" s="3" t="b">
        <f>COUNTIF(dict_zul_Var_Meth[ID_Methods], table_Methods[[#This Row],[ID]]) &gt; 0</f>
        <v>1</v>
      </c>
      <c r="H147">
        <f t="shared" ca="1" si="12"/>
        <v>27954</v>
      </c>
      <c r="I147">
        <f t="shared" ca="1" si="13"/>
        <v>768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4"/>
        <v>71</v>
      </c>
      <c r="E148">
        <f t="shared" ca="1" si="10"/>
        <v>-100</v>
      </c>
      <c r="F148">
        <f t="shared" ca="1" si="11"/>
        <v>440</v>
      </c>
      <c r="G148" s="3" t="b">
        <f>COUNTIF(dict_zul_Var_Meth[ID_Methods], table_Methods[[#This Row],[ID]]) &gt; 0</f>
        <v>1</v>
      </c>
      <c r="H148">
        <f t="shared" ca="1" si="12"/>
        <v>34952</v>
      </c>
      <c r="I148">
        <f t="shared" ca="1" si="13"/>
        <v>3136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4"/>
        <v>600</v>
      </c>
      <c r="E149">
        <f t="shared" ca="1" si="10"/>
        <v>-20</v>
      </c>
      <c r="F149">
        <f t="shared" ca="1" si="11"/>
        <v>580</v>
      </c>
      <c r="G149" s="3" t="b">
        <f>COUNTIF(dict_zul_Var_Meth[ID_Methods], table_Methods[[#This Row],[ID]]) &gt; 0</f>
        <v>1</v>
      </c>
      <c r="H149">
        <f t="shared" ca="1" si="12"/>
        <v>20850</v>
      </c>
      <c r="I149">
        <f t="shared" ca="1" si="13"/>
        <v>6400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4"/>
        <v>540</v>
      </c>
      <c r="E150">
        <f t="shared" ca="1" si="10"/>
        <v>-10</v>
      </c>
      <c r="F150">
        <f t="shared" ca="1" si="11"/>
        <v>680</v>
      </c>
      <c r="G150" s="3" t="b">
        <f>COUNTIF(dict_zul_Var_Meth[ID_Methods], table_Methods[[#This Row],[ID]]) &gt; 0</f>
        <v>1</v>
      </c>
      <c r="H150">
        <f t="shared" ca="1" si="12"/>
        <v>4708</v>
      </c>
      <c r="I150">
        <f t="shared" ca="1" si="13"/>
        <v>304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4"/>
        <v>930</v>
      </c>
      <c r="E151">
        <f t="shared" ca="1" si="10"/>
        <v>-20</v>
      </c>
      <c r="F151">
        <f t="shared" ca="1" si="11"/>
        <v>700</v>
      </c>
      <c r="G151" s="3" t="b">
        <f>COUNTIF(dict_zul_Var_Meth[ID_Methods], table_Methods[[#This Row],[ID]]) &gt; 0</f>
        <v>1</v>
      </c>
      <c r="H151">
        <f t="shared" ca="1" si="12"/>
        <v>17690</v>
      </c>
      <c r="I151">
        <f t="shared" ca="1" si="13"/>
        <v>7936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4"/>
        <v>96.000000000000014</v>
      </c>
      <c r="E152">
        <f t="shared" ca="1" si="10"/>
        <v>-50</v>
      </c>
      <c r="F152">
        <f t="shared" ca="1" si="11"/>
        <v>280</v>
      </c>
      <c r="G152" s="3" t="b">
        <f>COUNTIF(dict_zul_Var_Meth[ID_Methods], table_Methods[[#This Row],[ID]]) &gt; 0</f>
        <v>1</v>
      </c>
      <c r="H152">
        <f t="shared" ca="1" si="12"/>
        <v>2233</v>
      </c>
      <c r="I152">
        <f t="shared" ca="1" si="13"/>
        <v>3104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4"/>
        <v>37</v>
      </c>
      <c r="E153">
        <f t="shared" ca="1" si="10"/>
        <v>0</v>
      </c>
      <c r="F153">
        <f t="shared" ca="1" si="11"/>
        <v>110</v>
      </c>
      <c r="G153" s="3" t="b">
        <f>COUNTIF(dict_zul_Var_Meth[ID_Methods], table_Methods[[#This Row],[ID]]) &gt; 0</f>
        <v>1</v>
      </c>
      <c r="H153">
        <f t="shared" ca="1" si="12"/>
        <v>7356</v>
      </c>
      <c r="I153">
        <f t="shared" ca="1" si="13"/>
        <v>18432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4"/>
        <v>1700</v>
      </c>
      <c r="E154">
        <f t="shared" ca="1" si="10"/>
        <v>-70</v>
      </c>
      <c r="F154">
        <f t="shared" ca="1" si="11"/>
        <v>500</v>
      </c>
      <c r="G154" s="3" t="b">
        <f>COUNTIF(dict_zul_Var_Meth[ID_Methods], table_Methods[[#This Row],[ID]]) &gt; 0</f>
        <v>1</v>
      </c>
      <c r="H154">
        <f t="shared" ca="1" si="12"/>
        <v>14022</v>
      </c>
      <c r="I154">
        <f t="shared" ca="1" si="13"/>
        <v>26624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4"/>
        <v>720</v>
      </c>
      <c r="E155">
        <f t="shared" ca="1" si="10"/>
        <v>-50</v>
      </c>
      <c r="F155">
        <f t="shared" ca="1" si="11"/>
        <v>550</v>
      </c>
      <c r="G155" s="3" t="b">
        <f>COUNTIF(dict_zul_Var_Meth[ID_Methods], table_Methods[[#This Row],[ID]]) &gt; 0</f>
        <v>1</v>
      </c>
      <c r="H155">
        <f t="shared" ca="1" si="12"/>
        <v>10110</v>
      </c>
      <c r="I155">
        <f t="shared" ca="1" si="13"/>
        <v>10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4"/>
        <v>5600</v>
      </c>
      <c r="E156">
        <f t="shared" ca="1" si="10"/>
        <v>-40</v>
      </c>
      <c r="F156">
        <f t="shared" ca="1" si="11"/>
        <v>180</v>
      </c>
      <c r="G156" s="3" t="b">
        <f>COUNTIF(dict_zul_Var_Meth[ID_Methods], table_Methods[[#This Row],[ID]]) &gt; 0</f>
        <v>1</v>
      </c>
      <c r="H156">
        <f t="shared" ca="1" si="12"/>
        <v>15345</v>
      </c>
      <c r="I156">
        <f t="shared" ca="1" si="13"/>
        <v>44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4"/>
        <v>28.000000000000004</v>
      </c>
      <c r="E157">
        <f t="shared" ca="1" si="10"/>
        <v>-70</v>
      </c>
      <c r="F157">
        <f t="shared" ca="1" si="11"/>
        <v>140</v>
      </c>
      <c r="G157" s="3" t="b">
        <f>COUNTIF(dict_zul_Var_Meth[ID_Methods], table_Methods[[#This Row],[ID]]) &gt; 0</f>
        <v>1</v>
      </c>
      <c r="H157">
        <f t="shared" ca="1" si="12"/>
        <v>3317</v>
      </c>
      <c r="I157">
        <f t="shared" ca="1" si="13"/>
        <v>48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4"/>
        <v>6600</v>
      </c>
      <c r="E158">
        <f t="shared" ca="1" si="10"/>
        <v>-10</v>
      </c>
      <c r="F158">
        <f t="shared" ca="1" si="11"/>
        <v>1000</v>
      </c>
      <c r="G158" s="3" t="b">
        <f>COUNTIF(dict_zul_Var_Meth[ID_Methods], table_Methods[[#This Row],[ID]]) &gt; 0</f>
        <v>1</v>
      </c>
      <c r="H158">
        <f t="shared" ca="1" si="12"/>
        <v>8514</v>
      </c>
      <c r="I158">
        <f t="shared" ca="1" si="13"/>
        <v>1536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4"/>
        <v>2400</v>
      </c>
      <c r="E159">
        <f t="shared" ca="1" si="10"/>
        <v>-50</v>
      </c>
      <c r="F159">
        <f t="shared" ca="1" si="11"/>
        <v>760</v>
      </c>
      <c r="G159" s="3" t="b">
        <f>COUNTIF(dict_zul_Var_Meth[ID_Methods], table_Methods[[#This Row],[ID]]) &gt; 0</f>
        <v>1</v>
      </c>
      <c r="H159">
        <f t="shared" ca="1" si="12"/>
        <v>18565</v>
      </c>
      <c r="I159">
        <f t="shared" ca="1" si="13"/>
        <v>2176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4"/>
        <v>58.000000000000007</v>
      </c>
      <c r="E160">
        <f t="shared" ca="1" si="10"/>
        <v>-30</v>
      </c>
      <c r="F160">
        <f t="shared" ca="1" si="11"/>
        <v>260</v>
      </c>
      <c r="G160" s="3" t="b">
        <f>COUNTIF(dict_zul_Var_Meth[ID_Methods], table_Methods[[#This Row],[ID]]) &gt; 0</f>
        <v>1</v>
      </c>
      <c r="H160">
        <f t="shared" ca="1" si="12"/>
        <v>8442</v>
      </c>
      <c r="I160">
        <f t="shared" ca="1" si="13"/>
        <v>72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4"/>
        <v>600</v>
      </c>
      <c r="E161">
        <f t="shared" ca="1" si="10"/>
        <v>-80</v>
      </c>
      <c r="F161">
        <f t="shared" ca="1" si="11"/>
        <v>160</v>
      </c>
      <c r="G161" s="3" t="b">
        <f>COUNTIF(dict_zul_Var_Meth[ID_Methods], table_Methods[[#This Row],[ID]]) &gt; 0</f>
        <v>1</v>
      </c>
      <c r="H161">
        <f t="shared" ca="1" si="12"/>
        <v>16296</v>
      </c>
      <c r="I161">
        <f t="shared" ca="1" si="13"/>
        <v>94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4"/>
        <v>6700</v>
      </c>
      <c r="E162">
        <f t="shared" ca="1" si="10"/>
        <v>-90</v>
      </c>
      <c r="F162">
        <f t="shared" ca="1" si="11"/>
        <v>860</v>
      </c>
      <c r="G162" s="3" t="b">
        <f>COUNTIF(dict_zul_Var_Meth[ID_Methods], table_Methods[[#This Row],[ID]]) &gt; 0</f>
        <v>1</v>
      </c>
      <c r="H162">
        <f t="shared" ca="1" si="12"/>
        <v>18876</v>
      </c>
      <c r="I162">
        <f t="shared" ca="1" si="13"/>
        <v>5056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4"/>
        <v>320</v>
      </c>
      <c r="E163">
        <f t="shared" ca="1" si="10"/>
        <v>0</v>
      </c>
      <c r="F163">
        <f t="shared" ca="1" si="11"/>
        <v>240</v>
      </c>
      <c r="G163" s="3" t="b">
        <f>COUNTIF(dict_zul_Var_Meth[ID_Methods], table_Methods[[#This Row],[ID]]) &gt; 0</f>
        <v>1</v>
      </c>
      <c r="H163">
        <f t="shared" ca="1" si="12"/>
        <v>36584</v>
      </c>
      <c r="I163">
        <f t="shared" ca="1" si="13"/>
        <v>29184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4"/>
        <v>65</v>
      </c>
      <c r="E164">
        <f t="shared" ref="E164:E227" ca="1" si="15">RANDBETWEEN(-10,3)*10</f>
        <v>-90</v>
      </c>
      <c r="F164">
        <f t="shared" ref="F164:F227" ca="1" si="16">RANDBETWEEN(2,100)*10</f>
        <v>960</v>
      </c>
      <c r="G164" s="3" t="b">
        <f>COUNTIF(dict_zul_Var_Meth[ID_Methods], table_Methods[[#This Row],[ID]]) &gt; 0</f>
        <v>1</v>
      </c>
      <c r="H164">
        <f t="shared" ref="H164:H227" ca="1" si="17">RANDBETWEEN(1,10)*RANDBETWEEN(1,5000)</f>
        <v>28566</v>
      </c>
      <c r="I164">
        <f t="shared" ref="I164:I227" ca="1" si="18">2^RANDBETWEEN(1,10)*RANDBETWEEN(1,100)</f>
        <v>37888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4"/>
        <v>700</v>
      </c>
      <c r="E165">
        <f t="shared" ca="1" si="15"/>
        <v>-100</v>
      </c>
      <c r="F165">
        <f t="shared" ca="1" si="16"/>
        <v>450</v>
      </c>
      <c r="G165" s="3" t="b">
        <f>COUNTIF(dict_zul_Var_Meth[ID_Methods], table_Methods[[#This Row],[ID]]) &gt; 0</f>
        <v>1</v>
      </c>
      <c r="H165">
        <f t="shared" ca="1" si="17"/>
        <v>6440</v>
      </c>
      <c r="I165">
        <f t="shared" ca="1" si="18"/>
        <v>35840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4"/>
        <v>2300</v>
      </c>
      <c r="E166">
        <f t="shared" ca="1" si="15"/>
        <v>0</v>
      </c>
      <c r="F166">
        <f t="shared" ca="1" si="16"/>
        <v>500</v>
      </c>
      <c r="G166" s="3" t="b">
        <f>COUNTIF(dict_zul_Var_Meth[ID_Methods], table_Methods[[#This Row],[ID]]) &gt; 0</f>
        <v>1</v>
      </c>
      <c r="H166">
        <f t="shared" ca="1" si="17"/>
        <v>19962</v>
      </c>
      <c r="I166">
        <f t="shared" ca="1" si="18"/>
        <v>2048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4"/>
        <v>89</v>
      </c>
      <c r="E167">
        <f t="shared" ca="1" si="15"/>
        <v>-100</v>
      </c>
      <c r="F167">
        <f t="shared" ca="1" si="16"/>
        <v>590</v>
      </c>
      <c r="G167" s="3" t="b">
        <f>COUNTIF(dict_zul_Var_Meth[ID_Methods], table_Methods[[#This Row],[ID]]) &gt; 0</f>
        <v>1</v>
      </c>
      <c r="H167">
        <f t="shared" ca="1" si="17"/>
        <v>18970</v>
      </c>
      <c r="I167">
        <f t="shared" ca="1" si="18"/>
        <v>248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4"/>
        <v>940</v>
      </c>
      <c r="E168">
        <f t="shared" ca="1" si="15"/>
        <v>20</v>
      </c>
      <c r="F168">
        <f t="shared" ca="1" si="16"/>
        <v>140</v>
      </c>
      <c r="G168" s="3" t="b">
        <f>COUNTIF(dict_zul_Var_Meth[ID_Methods], table_Methods[[#This Row],[ID]]) &gt; 0</f>
        <v>1</v>
      </c>
      <c r="H168">
        <f t="shared" ca="1" si="17"/>
        <v>5100</v>
      </c>
      <c r="I168">
        <f t="shared" ca="1" si="18"/>
        <v>41472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4"/>
        <v>21</v>
      </c>
      <c r="E169">
        <f t="shared" ca="1" si="15"/>
        <v>-30</v>
      </c>
      <c r="F169">
        <f t="shared" ca="1" si="16"/>
        <v>20</v>
      </c>
      <c r="G169" s="3" t="b">
        <f>COUNTIF(dict_zul_Var_Meth[ID_Methods], table_Methods[[#This Row],[ID]]) &gt; 0</f>
        <v>1</v>
      </c>
      <c r="H169">
        <f t="shared" ca="1" si="17"/>
        <v>19410</v>
      </c>
      <c r="I169">
        <f t="shared" ca="1" si="18"/>
        <v>24576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4"/>
        <v>9500</v>
      </c>
      <c r="E170">
        <f t="shared" ca="1" si="15"/>
        <v>-90</v>
      </c>
      <c r="F170">
        <f t="shared" ca="1" si="16"/>
        <v>450</v>
      </c>
      <c r="G170" s="3" t="b">
        <f>COUNTIF(dict_zul_Var_Meth[ID_Methods], table_Methods[[#This Row],[ID]]) &gt; 0</f>
        <v>1</v>
      </c>
      <c r="H170">
        <f t="shared" ca="1" si="17"/>
        <v>33075</v>
      </c>
      <c r="I170">
        <f t="shared" ca="1" si="18"/>
        <v>212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4"/>
        <v>630</v>
      </c>
      <c r="E171">
        <f t="shared" ca="1" si="15"/>
        <v>20</v>
      </c>
      <c r="F171">
        <f t="shared" ca="1" si="16"/>
        <v>200</v>
      </c>
      <c r="G171" s="3" t="b">
        <f>COUNTIF(dict_zul_Var_Meth[ID_Methods], table_Methods[[#This Row],[ID]]) &gt; 0</f>
        <v>1</v>
      </c>
      <c r="H171">
        <f t="shared" ca="1" si="17"/>
        <v>29134</v>
      </c>
      <c r="I171">
        <f t="shared" ca="1" si="18"/>
        <v>1024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4"/>
        <v>730</v>
      </c>
      <c r="E172">
        <f t="shared" ca="1" si="15"/>
        <v>0</v>
      </c>
      <c r="F172">
        <f t="shared" ca="1" si="16"/>
        <v>550</v>
      </c>
      <c r="G172" s="3" t="b">
        <f>COUNTIF(dict_zul_Var_Meth[ID_Methods], table_Methods[[#This Row],[ID]]) &gt; 0</f>
        <v>1</v>
      </c>
      <c r="H172">
        <f t="shared" ca="1" si="17"/>
        <v>4412</v>
      </c>
      <c r="I172">
        <f t="shared" ca="1" si="18"/>
        <v>1152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4"/>
        <v>9</v>
      </c>
      <c r="E173">
        <f t="shared" ca="1" si="15"/>
        <v>-100</v>
      </c>
      <c r="F173">
        <f t="shared" ca="1" si="16"/>
        <v>900</v>
      </c>
      <c r="G173" s="3" t="b">
        <f>COUNTIF(dict_zul_Var_Meth[ID_Methods], table_Methods[[#This Row],[ID]]) &gt; 0</f>
        <v>1</v>
      </c>
      <c r="H173">
        <f t="shared" ca="1" si="17"/>
        <v>24084</v>
      </c>
      <c r="I173">
        <f t="shared" ca="1" si="18"/>
        <v>7936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4"/>
        <v>7800</v>
      </c>
      <c r="E174">
        <f t="shared" ca="1" si="15"/>
        <v>-90</v>
      </c>
      <c r="F174">
        <f t="shared" ca="1" si="16"/>
        <v>840</v>
      </c>
      <c r="G174" s="3" t="b">
        <f>COUNTIF(dict_zul_Var_Meth[ID_Methods], table_Methods[[#This Row],[ID]]) &gt; 0</f>
        <v>1</v>
      </c>
      <c r="H174">
        <f t="shared" ca="1" si="17"/>
        <v>5132</v>
      </c>
      <c r="I174">
        <f t="shared" ca="1" si="18"/>
        <v>38400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4"/>
        <v>70</v>
      </c>
      <c r="E175">
        <f t="shared" ca="1" si="15"/>
        <v>-100</v>
      </c>
      <c r="F175">
        <f t="shared" ca="1" si="16"/>
        <v>810</v>
      </c>
      <c r="G175" s="3" t="b">
        <f>COUNTIF(dict_zul_Var_Meth[ID_Methods], table_Methods[[#This Row],[ID]]) &gt; 0</f>
        <v>1</v>
      </c>
      <c r="H175">
        <f t="shared" ca="1" si="17"/>
        <v>17976</v>
      </c>
      <c r="I175">
        <f t="shared" ca="1" si="18"/>
        <v>38400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4"/>
        <v>4000</v>
      </c>
      <c r="E176">
        <f t="shared" ca="1" si="15"/>
        <v>-100</v>
      </c>
      <c r="F176">
        <f t="shared" ca="1" si="16"/>
        <v>980</v>
      </c>
      <c r="G176" s="3" t="b">
        <f>COUNTIF(dict_zul_Var_Meth[ID_Methods], table_Methods[[#This Row],[ID]]) &gt; 0</f>
        <v>1</v>
      </c>
      <c r="H176">
        <f t="shared" ca="1" si="17"/>
        <v>1374</v>
      </c>
      <c r="I176">
        <f t="shared" ca="1" si="18"/>
        <v>39936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4"/>
        <v>960</v>
      </c>
      <c r="E177">
        <f t="shared" ca="1" si="15"/>
        <v>20</v>
      </c>
      <c r="F177">
        <f t="shared" ca="1" si="16"/>
        <v>700</v>
      </c>
      <c r="G177" s="3" t="b">
        <f>COUNTIF(dict_zul_Var_Meth[ID_Methods], table_Methods[[#This Row],[ID]]) &gt; 0</f>
        <v>1</v>
      </c>
      <c r="H177">
        <f t="shared" ca="1" si="17"/>
        <v>7568</v>
      </c>
      <c r="I177">
        <f t="shared" ca="1" si="18"/>
        <v>3136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4"/>
        <v>890</v>
      </c>
      <c r="E178">
        <f t="shared" ca="1" si="15"/>
        <v>20</v>
      </c>
      <c r="F178">
        <f t="shared" ca="1" si="16"/>
        <v>680</v>
      </c>
      <c r="G178" s="3" t="b">
        <f>COUNTIF(dict_zul_Var_Meth[ID_Methods], table_Methods[[#This Row],[ID]]) &gt; 0</f>
        <v>1</v>
      </c>
      <c r="H178">
        <f t="shared" ca="1" si="17"/>
        <v>47860</v>
      </c>
      <c r="I178">
        <f t="shared" ca="1" si="18"/>
        <v>64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4"/>
        <v>7000</v>
      </c>
      <c r="E179">
        <f t="shared" ca="1" si="15"/>
        <v>0</v>
      </c>
      <c r="F179">
        <f t="shared" ca="1" si="16"/>
        <v>880</v>
      </c>
      <c r="G179" s="3" t="b">
        <f>COUNTIF(dict_zul_Var_Meth[ID_Methods], table_Methods[[#This Row],[ID]]) &gt; 0</f>
        <v>1</v>
      </c>
      <c r="H179">
        <f t="shared" ca="1" si="17"/>
        <v>13194</v>
      </c>
      <c r="I179">
        <f t="shared" ca="1" si="18"/>
        <v>11264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4"/>
        <v>810</v>
      </c>
      <c r="E180">
        <f t="shared" ca="1" si="15"/>
        <v>-100</v>
      </c>
      <c r="F180">
        <f t="shared" ca="1" si="16"/>
        <v>850</v>
      </c>
      <c r="G180" s="3" t="b">
        <f>COUNTIF(dict_zul_Var_Meth[ID_Methods], table_Methods[[#This Row],[ID]]) &gt; 0</f>
        <v>1</v>
      </c>
      <c r="H180">
        <f t="shared" ca="1" si="17"/>
        <v>970</v>
      </c>
      <c r="I180">
        <f t="shared" ca="1" si="18"/>
        <v>2176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4"/>
        <v>64</v>
      </c>
      <c r="E181">
        <f t="shared" ca="1" si="15"/>
        <v>-100</v>
      </c>
      <c r="F181">
        <f t="shared" ca="1" si="16"/>
        <v>230</v>
      </c>
      <c r="G181" s="3" t="b">
        <f>COUNTIF(dict_zul_Var_Meth[ID_Methods], table_Methods[[#This Row],[ID]]) &gt; 0</f>
        <v>1</v>
      </c>
      <c r="H181">
        <f t="shared" ca="1" si="17"/>
        <v>3500</v>
      </c>
      <c r="I181">
        <f t="shared" ca="1" si="18"/>
        <v>8192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4"/>
        <v>46.000000000000007</v>
      </c>
      <c r="E182">
        <f t="shared" ca="1" si="15"/>
        <v>20</v>
      </c>
      <c r="F182">
        <f t="shared" ca="1" si="16"/>
        <v>110</v>
      </c>
      <c r="G182" s="3" t="b">
        <f>COUNTIF(dict_zul_Var_Meth[ID_Methods], table_Methods[[#This Row],[ID]]) &gt; 0</f>
        <v>1</v>
      </c>
      <c r="H182">
        <f t="shared" ca="1" si="17"/>
        <v>3450</v>
      </c>
      <c r="I182">
        <f t="shared" ca="1" si="18"/>
        <v>31744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4"/>
        <v>4000</v>
      </c>
      <c r="E183">
        <f t="shared" ca="1" si="15"/>
        <v>-20</v>
      </c>
      <c r="F183">
        <f t="shared" ca="1" si="16"/>
        <v>160</v>
      </c>
      <c r="G183" s="3" t="b">
        <f>COUNTIF(dict_zul_Var_Meth[ID_Methods], table_Methods[[#This Row],[ID]]) &gt; 0</f>
        <v>1</v>
      </c>
      <c r="H183">
        <f t="shared" ca="1" si="17"/>
        <v>42426</v>
      </c>
      <c r="I183">
        <f t="shared" ca="1" si="18"/>
        <v>6400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4"/>
        <v>17</v>
      </c>
      <c r="E184">
        <f t="shared" ca="1" si="15"/>
        <v>-40</v>
      </c>
      <c r="F184">
        <f t="shared" ca="1" si="16"/>
        <v>20</v>
      </c>
      <c r="G184" s="3" t="b">
        <f>COUNTIF(dict_zul_Var_Meth[ID_Methods], table_Methods[[#This Row],[ID]]) &gt; 0</f>
        <v>1</v>
      </c>
      <c r="H184">
        <f t="shared" ca="1" si="17"/>
        <v>3104</v>
      </c>
      <c r="I184">
        <f t="shared" ca="1" si="18"/>
        <v>4992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4"/>
        <v>51.000000000000007</v>
      </c>
      <c r="E185">
        <f t="shared" ca="1" si="15"/>
        <v>-30</v>
      </c>
      <c r="F185">
        <f t="shared" ca="1" si="16"/>
        <v>550</v>
      </c>
      <c r="G185" s="3" t="b">
        <f>COUNTIF(dict_zul_Var_Meth[ID_Methods], table_Methods[[#This Row],[ID]]) &gt; 0</f>
        <v>1</v>
      </c>
      <c r="H185">
        <f t="shared" ca="1" si="17"/>
        <v>18450</v>
      </c>
      <c r="I185">
        <f t="shared" ca="1" si="18"/>
        <v>23808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4"/>
        <v>690</v>
      </c>
      <c r="E186">
        <f t="shared" ca="1" si="15"/>
        <v>-90</v>
      </c>
      <c r="F186">
        <f t="shared" ca="1" si="16"/>
        <v>130</v>
      </c>
      <c r="G186" s="3" t="b">
        <f>COUNTIF(dict_zul_Var_Meth[ID_Methods], table_Methods[[#This Row],[ID]]) &gt; 0</f>
        <v>1</v>
      </c>
      <c r="H186">
        <f t="shared" ca="1" si="17"/>
        <v>8305</v>
      </c>
      <c r="I186">
        <f t="shared" ca="1" si="18"/>
        <v>186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4"/>
        <v>4800</v>
      </c>
      <c r="E187">
        <f t="shared" ca="1" si="15"/>
        <v>-10</v>
      </c>
      <c r="F187">
        <f t="shared" ca="1" si="16"/>
        <v>600</v>
      </c>
      <c r="G187" s="3" t="b">
        <f>COUNTIF(dict_zul_Var_Meth[ID_Methods], table_Methods[[#This Row],[ID]]) &gt; 0</f>
        <v>1</v>
      </c>
      <c r="H187">
        <f t="shared" ca="1" si="17"/>
        <v>3736</v>
      </c>
      <c r="I187">
        <f t="shared" ca="1" si="18"/>
        <v>608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4"/>
        <v>5</v>
      </c>
      <c r="E188">
        <f t="shared" ca="1" si="15"/>
        <v>-90</v>
      </c>
      <c r="F188">
        <f t="shared" ca="1" si="16"/>
        <v>20</v>
      </c>
      <c r="G188" s="3" t="b">
        <f>COUNTIF(dict_zul_Var_Meth[ID_Methods], table_Methods[[#This Row],[ID]]) &gt; 0</f>
        <v>1</v>
      </c>
      <c r="H188">
        <f t="shared" ca="1" si="17"/>
        <v>9615</v>
      </c>
      <c r="I188">
        <f t="shared" ca="1" si="18"/>
        <v>2816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4"/>
        <v>44</v>
      </c>
      <c r="E189">
        <f t="shared" ca="1" si="15"/>
        <v>-90</v>
      </c>
      <c r="F189">
        <f t="shared" ca="1" si="16"/>
        <v>870</v>
      </c>
      <c r="G189" s="3" t="b">
        <f>COUNTIF(dict_zul_Var_Meth[ID_Methods], table_Methods[[#This Row],[ID]]) &gt; 0</f>
        <v>1</v>
      </c>
      <c r="H189">
        <f t="shared" ca="1" si="17"/>
        <v>9892</v>
      </c>
      <c r="I189">
        <f t="shared" ca="1" si="18"/>
        <v>132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4"/>
        <v>370</v>
      </c>
      <c r="E190">
        <f t="shared" ca="1" si="15"/>
        <v>-90</v>
      </c>
      <c r="F190">
        <f t="shared" ca="1" si="16"/>
        <v>420</v>
      </c>
      <c r="G190" s="3" t="b">
        <f>COUNTIF(dict_zul_Var_Meth[ID_Methods], table_Methods[[#This Row],[ID]]) &gt; 0</f>
        <v>1</v>
      </c>
      <c r="H190">
        <f t="shared" ca="1" si="17"/>
        <v>6304</v>
      </c>
      <c r="I190">
        <f t="shared" ca="1" si="18"/>
        <v>16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4"/>
        <v>4400</v>
      </c>
      <c r="E191">
        <f t="shared" ca="1" si="15"/>
        <v>-20</v>
      </c>
      <c r="F191">
        <f t="shared" ca="1" si="16"/>
        <v>600</v>
      </c>
      <c r="G191" s="3" t="b">
        <f>COUNTIF(dict_zul_Var_Meth[ID_Methods], table_Methods[[#This Row],[ID]]) &gt; 0</f>
        <v>1</v>
      </c>
      <c r="H191">
        <f t="shared" ca="1" si="17"/>
        <v>4600</v>
      </c>
      <c r="I191">
        <f t="shared" ca="1" si="18"/>
        <v>6400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4"/>
        <v>990</v>
      </c>
      <c r="E192">
        <f t="shared" ca="1" si="15"/>
        <v>-70</v>
      </c>
      <c r="F192">
        <f t="shared" ca="1" si="16"/>
        <v>480</v>
      </c>
      <c r="G192" s="3" t="b">
        <f>COUNTIF(dict_zul_Var_Meth[ID_Methods], table_Methods[[#This Row],[ID]]) &gt; 0</f>
        <v>1</v>
      </c>
      <c r="H192">
        <f t="shared" ca="1" si="17"/>
        <v>6076</v>
      </c>
      <c r="I192">
        <f t="shared" ca="1" si="18"/>
        <v>784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4"/>
        <v>40</v>
      </c>
      <c r="E193">
        <f t="shared" ca="1" si="15"/>
        <v>30</v>
      </c>
      <c r="F193">
        <f t="shared" ca="1" si="16"/>
        <v>610</v>
      </c>
      <c r="G193" s="3" t="b">
        <f>COUNTIF(dict_zul_Var_Meth[ID_Methods], table_Methods[[#This Row],[ID]]) &gt; 0</f>
        <v>1</v>
      </c>
      <c r="H193">
        <f t="shared" ca="1" si="17"/>
        <v>31260</v>
      </c>
      <c r="I193">
        <f t="shared" ca="1" si="18"/>
        <v>1472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19">10^(RANDBETWEEN(-1,1))*RANDBETWEEN(1,100)*10</f>
        <v>87.000000000000014</v>
      </c>
      <c r="E194">
        <f t="shared" ca="1" si="15"/>
        <v>-30</v>
      </c>
      <c r="F194">
        <f t="shared" ca="1" si="16"/>
        <v>860</v>
      </c>
      <c r="G194" s="3" t="b">
        <f>COUNTIF(dict_zul_Var_Meth[ID_Methods], table_Methods[[#This Row],[ID]]) &gt; 0</f>
        <v>1</v>
      </c>
      <c r="H194">
        <f t="shared" ca="1" si="17"/>
        <v>7938</v>
      </c>
      <c r="I194">
        <f t="shared" ca="1" si="18"/>
        <v>1472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19"/>
        <v>70</v>
      </c>
      <c r="E195">
        <f t="shared" ca="1" si="15"/>
        <v>10</v>
      </c>
      <c r="F195">
        <f t="shared" ca="1" si="16"/>
        <v>370</v>
      </c>
      <c r="G195" s="3" t="b">
        <f>COUNTIF(dict_zul_Var_Meth[ID_Methods], table_Methods[[#This Row],[ID]]) &gt; 0</f>
        <v>1</v>
      </c>
      <c r="H195">
        <f t="shared" ca="1" si="17"/>
        <v>30536</v>
      </c>
      <c r="I195">
        <f t="shared" ca="1" si="18"/>
        <v>36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19"/>
        <v>540</v>
      </c>
      <c r="E196">
        <f t="shared" ca="1" si="15"/>
        <v>-70</v>
      </c>
      <c r="F196">
        <f t="shared" ca="1" si="16"/>
        <v>540</v>
      </c>
      <c r="G196" s="3" t="b">
        <f>COUNTIF(dict_zul_Var_Meth[ID_Methods], table_Methods[[#This Row],[ID]]) &gt; 0</f>
        <v>1</v>
      </c>
      <c r="H196">
        <f t="shared" ca="1" si="17"/>
        <v>20868</v>
      </c>
      <c r="I196">
        <f t="shared" ca="1" si="18"/>
        <v>296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19"/>
        <v>57</v>
      </c>
      <c r="E197">
        <f t="shared" ca="1" si="15"/>
        <v>10</v>
      </c>
      <c r="F197">
        <f t="shared" ca="1" si="16"/>
        <v>700</v>
      </c>
      <c r="G197" s="3" t="b">
        <f>COUNTIF(dict_zul_Var_Meth[ID_Methods], table_Methods[[#This Row],[ID]]) &gt; 0</f>
        <v>1</v>
      </c>
      <c r="H197">
        <f t="shared" ca="1" si="17"/>
        <v>26424</v>
      </c>
      <c r="I197">
        <f t="shared" ca="1" si="18"/>
        <v>28672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19"/>
        <v>7500</v>
      </c>
      <c r="E198">
        <f t="shared" ca="1" si="15"/>
        <v>-40</v>
      </c>
      <c r="F198">
        <f t="shared" ca="1" si="16"/>
        <v>850</v>
      </c>
      <c r="G198" s="3" t="b">
        <f>COUNTIF(dict_zul_Var_Meth[ID_Methods], table_Methods[[#This Row],[ID]]) &gt; 0</f>
        <v>1</v>
      </c>
      <c r="H198">
        <f t="shared" ca="1" si="17"/>
        <v>24845</v>
      </c>
      <c r="I198">
        <f t="shared" ca="1" si="18"/>
        <v>1728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19"/>
        <v>8400</v>
      </c>
      <c r="E199">
        <f t="shared" ca="1" si="15"/>
        <v>-40</v>
      </c>
      <c r="F199">
        <f t="shared" ca="1" si="16"/>
        <v>340</v>
      </c>
      <c r="G199" s="3" t="b">
        <f>COUNTIF(dict_zul_Var_Meth[ID_Methods], table_Methods[[#This Row],[ID]]) &gt; 0</f>
        <v>1</v>
      </c>
      <c r="H199">
        <f t="shared" ca="1" si="17"/>
        <v>8546</v>
      </c>
      <c r="I199">
        <f t="shared" ca="1" si="18"/>
        <v>2784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19"/>
        <v>5200</v>
      </c>
      <c r="E200">
        <f t="shared" ca="1" si="15"/>
        <v>-50</v>
      </c>
      <c r="F200">
        <f t="shared" ca="1" si="16"/>
        <v>750</v>
      </c>
      <c r="G200" s="3" t="b">
        <f>COUNTIF(dict_zul_Var_Meth[ID_Methods], table_Methods[[#This Row],[ID]]) &gt; 0</f>
        <v>1</v>
      </c>
      <c r="H200">
        <f t="shared" ca="1" si="17"/>
        <v>11790</v>
      </c>
      <c r="I200">
        <f t="shared" ca="1" si="18"/>
        <v>1600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19"/>
        <v>4600</v>
      </c>
      <c r="E201">
        <f t="shared" ca="1" si="15"/>
        <v>-10</v>
      </c>
      <c r="F201">
        <f t="shared" ca="1" si="16"/>
        <v>980</v>
      </c>
      <c r="G201" s="3" t="b">
        <f>COUNTIF(dict_zul_Var_Meth[ID_Methods], table_Methods[[#This Row],[ID]]) &gt; 0</f>
        <v>1</v>
      </c>
      <c r="H201">
        <f t="shared" ca="1" si="17"/>
        <v>12884</v>
      </c>
      <c r="I201">
        <f t="shared" ca="1" si="18"/>
        <v>3200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19"/>
        <v>370</v>
      </c>
      <c r="E202">
        <f t="shared" ca="1" si="15"/>
        <v>-40</v>
      </c>
      <c r="F202">
        <f t="shared" ca="1" si="16"/>
        <v>550</v>
      </c>
      <c r="G202" s="3" t="b">
        <f>COUNTIF(dict_zul_Var_Meth[ID_Methods], table_Methods[[#This Row],[ID]]) &gt; 0</f>
        <v>1</v>
      </c>
      <c r="H202">
        <f t="shared" ca="1" si="17"/>
        <v>23150</v>
      </c>
      <c r="I202">
        <f t="shared" ca="1" si="18"/>
        <v>2048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19"/>
        <v>2900</v>
      </c>
      <c r="E203">
        <f t="shared" ca="1" si="15"/>
        <v>-70</v>
      </c>
      <c r="F203">
        <f t="shared" ca="1" si="16"/>
        <v>560</v>
      </c>
      <c r="G203" s="3" t="b">
        <f>COUNTIF(dict_zul_Var_Meth[ID_Methods], table_Methods[[#This Row],[ID]]) &gt; 0</f>
        <v>1</v>
      </c>
      <c r="H203">
        <f t="shared" ca="1" si="17"/>
        <v>6636</v>
      </c>
      <c r="I203">
        <f t="shared" ca="1" si="18"/>
        <v>144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19"/>
        <v>610</v>
      </c>
      <c r="E204">
        <f t="shared" ca="1" si="15"/>
        <v>-10</v>
      </c>
      <c r="F204">
        <f t="shared" ca="1" si="16"/>
        <v>120</v>
      </c>
      <c r="G204" s="3" t="b">
        <f>COUNTIF(dict_zul_Var_Meth[ID_Methods], table_Methods[[#This Row],[ID]]) &gt; 0</f>
        <v>1</v>
      </c>
      <c r="H204">
        <f t="shared" ca="1" si="17"/>
        <v>7560</v>
      </c>
      <c r="I204">
        <f t="shared" ca="1" si="18"/>
        <v>62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19"/>
        <v>5300</v>
      </c>
      <c r="E205">
        <f t="shared" ca="1" si="15"/>
        <v>-50</v>
      </c>
      <c r="F205">
        <f t="shared" ca="1" si="16"/>
        <v>750</v>
      </c>
      <c r="G205" s="3" t="b">
        <f>COUNTIF(dict_zul_Var_Meth[ID_Methods], table_Methods[[#This Row],[ID]]) &gt; 0</f>
        <v>1</v>
      </c>
      <c r="H205">
        <f t="shared" ca="1" si="17"/>
        <v>7104</v>
      </c>
      <c r="I205">
        <f t="shared" ca="1" si="18"/>
        <v>544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19"/>
        <v>5100</v>
      </c>
      <c r="E206">
        <f t="shared" ca="1" si="15"/>
        <v>30</v>
      </c>
      <c r="F206">
        <f t="shared" ca="1" si="16"/>
        <v>990</v>
      </c>
      <c r="G206" s="3" t="b">
        <f>COUNTIF(dict_zul_Var_Meth[ID_Methods], table_Methods[[#This Row],[ID]]) &gt; 0</f>
        <v>1</v>
      </c>
      <c r="H206">
        <f t="shared" ca="1" si="17"/>
        <v>13287</v>
      </c>
      <c r="I206">
        <f t="shared" ca="1" si="18"/>
        <v>3136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19"/>
        <v>100</v>
      </c>
      <c r="E207">
        <f t="shared" ca="1" si="15"/>
        <v>-90</v>
      </c>
      <c r="F207">
        <f t="shared" ca="1" si="16"/>
        <v>910</v>
      </c>
      <c r="G207" s="3" t="b">
        <f>COUNTIF(dict_zul_Var_Meth[ID_Methods], table_Methods[[#This Row],[ID]]) &gt; 0</f>
        <v>1</v>
      </c>
      <c r="H207">
        <f t="shared" ca="1" si="17"/>
        <v>5595</v>
      </c>
      <c r="I207">
        <f t="shared" ca="1" si="18"/>
        <v>16896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19"/>
        <v>160</v>
      </c>
      <c r="E208">
        <f t="shared" ca="1" si="15"/>
        <v>-50</v>
      </c>
      <c r="F208">
        <f t="shared" ca="1" si="16"/>
        <v>300</v>
      </c>
      <c r="G208" s="3" t="b">
        <f>COUNTIF(dict_zul_Var_Meth[ID_Methods], table_Methods[[#This Row],[ID]]) &gt; 0</f>
        <v>1</v>
      </c>
      <c r="H208">
        <f t="shared" ca="1" si="17"/>
        <v>4774</v>
      </c>
      <c r="I208">
        <f t="shared" ca="1" si="18"/>
        <v>128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19"/>
        <v>2700</v>
      </c>
      <c r="E209">
        <f t="shared" ca="1" si="15"/>
        <v>30</v>
      </c>
      <c r="F209">
        <f t="shared" ca="1" si="16"/>
        <v>860</v>
      </c>
      <c r="G209" s="3" t="b">
        <f>COUNTIF(dict_zul_Var_Meth[ID_Methods], table_Methods[[#This Row],[ID]]) &gt; 0</f>
        <v>1</v>
      </c>
      <c r="H209">
        <f t="shared" ca="1" si="17"/>
        <v>2916</v>
      </c>
      <c r="I209">
        <f t="shared" ca="1" si="18"/>
        <v>16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19"/>
        <v>9</v>
      </c>
      <c r="E210">
        <f t="shared" ca="1" si="15"/>
        <v>-60</v>
      </c>
      <c r="F210">
        <f t="shared" ca="1" si="16"/>
        <v>320</v>
      </c>
      <c r="G210" s="3" t="b">
        <f>COUNTIF(dict_zul_Var_Meth[ID_Methods], table_Methods[[#This Row],[ID]]) &gt; 0</f>
        <v>1</v>
      </c>
      <c r="H210">
        <f t="shared" ca="1" si="17"/>
        <v>931</v>
      </c>
      <c r="I210">
        <f t="shared" ca="1" si="18"/>
        <v>520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19"/>
        <v>8</v>
      </c>
      <c r="E211">
        <f t="shared" ca="1" si="15"/>
        <v>-60</v>
      </c>
      <c r="F211">
        <f t="shared" ca="1" si="16"/>
        <v>860</v>
      </c>
      <c r="G211" s="3" t="b">
        <f>COUNTIF(dict_zul_Var_Meth[ID_Methods], table_Methods[[#This Row],[ID]]) &gt; 0</f>
        <v>1</v>
      </c>
      <c r="H211">
        <f t="shared" ca="1" si="17"/>
        <v>5872</v>
      </c>
      <c r="I211">
        <f t="shared" ca="1" si="18"/>
        <v>5120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19"/>
        <v>8500</v>
      </c>
      <c r="E212">
        <f t="shared" ca="1" si="15"/>
        <v>-60</v>
      </c>
      <c r="F212">
        <f t="shared" ca="1" si="16"/>
        <v>940</v>
      </c>
      <c r="G212" s="3" t="b">
        <f>COUNTIF(dict_zul_Var_Meth[ID_Methods], table_Methods[[#This Row],[ID]]) &gt; 0</f>
        <v>1</v>
      </c>
      <c r="H212">
        <f t="shared" ca="1" si="17"/>
        <v>4920</v>
      </c>
      <c r="I212">
        <f t="shared" ca="1" si="18"/>
        <v>1568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19"/>
        <v>38</v>
      </c>
      <c r="E213">
        <f t="shared" ca="1" si="15"/>
        <v>-20</v>
      </c>
      <c r="F213">
        <f t="shared" ca="1" si="16"/>
        <v>330</v>
      </c>
      <c r="G213" s="3" t="b">
        <f>COUNTIF(dict_zul_Var_Meth[ID_Methods], table_Methods[[#This Row],[ID]]) &gt; 0</f>
        <v>1</v>
      </c>
      <c r="H213">
        <f t="shared" ca="1" si="17"/>
        <v>12236</v>
      </c>
      <c r="I213">
        <f t="shared" ca="1" si="18"/>
        <v>41984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19"/>
        <v>31</v>
      </c>
      <c r="E214">
        <f t="shared" ca="1" si="15"/>
        <v>-60</v>
      </c>
      <c r="F214">
        <f t="shared" ca="1" si="16"/>
        <v>220</v>
      </c>
      <c r="G214" s="3" t="b">
        <f>COUNTIF(dict_zul_Var_Meth[ID_Methods], table_Methods[[#This Row],[ID]]) &gt; 0</f>
        <v>1</v>
      </c>
      <c r="H214">
        <f t="shared" ca="1" si="17"/>
        <v>2004</v>
      </c>
      <c r="I214">
        <f t="shared" ca="1" si="18"/>
        <v>15104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19"/>
        <v>1</v>
      </c>
      <c r="E215">
        <f t="shared" ca="1" si="15"/>
        <v>0</v>
      </c>
      <c r="F215">
        <f t="shared" ca="1" si="16"/>
        <v>140</v>
      </c>
      <c r="G215" s="3" t="b">
        <f>COUNTIF(dict_zul_Var_Meth[ID_Methods], table_Methods[[#This Row],[ID]]) &gt; 0</f>
        <v>1</v>
      </c>
      <c r="H215">
        <f t="shared" ca="1" si="17"/>
        <v>16808</v>
      </c>
      <c r="I215">
        <f t="shared" ca="1" si="18"/>
        <v>300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19"/>
        <v>800</v>
      </c>
      <c r="E216">
        <f t="shared" ca="1" si="15"/>
        <v>-100</v>
      </c>
      <c r="F216">
        <f t="shared" ca="1" si="16"/>
        <v>210</v>
      </c>
      <c r="G216" s="3" t="b">
        <f>COUNTIF(dict_zul_Var_Meth[ID_Methods], table_Methods[[#This Row],[ID]]) &gt; 0</f>
        <v>1</v>
      </c>
      <c r="H216">
        <f t="shared" ca="1" si="17"/>
        <v>294</v>
      </c>
      <c r="I216">
        <f t="shared" ca="1" si="18"/>
        <v>160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19"/>
        <v>2900</v>
      </c>
      <c r="E217">
        <f t="shared" ca="1" si="15"/>
        <v>-40</v>
      </c>
      <c r="F217">
        <f t="shared" ca="1" si="16"/>
        <v>770</v>
      </c>
      <c r="G217" s="3" t="b">
        <f>COUNTIF(dict_zul_Var_Meth[ID_Methods], table_Methods[[#This Row],[ID]]) &gt; 0</f>
        <v>1</v>
      </c>
      <c r="H217">
        <f t="shared" ca="1" si="17"/>
        <v>27545</v>
      </c>
      <c r="I217">
        <f t="shared" ca="1" si="18"/>
        <v>3584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19"/>
        <v>39</v>
      </c>
      <c r="E218">
        <f t="shared" ca="1" si="15"/>
        <v>-10</v>
      </c>
      <c r="F218">
        <f t="shared" ca="1" si="16"/>
        <v>140</v>
      </c>
      <c r="G218" s="3" t="b">
        <f>COUNTIF(dict_zul_Var_Meth[ID_Methods], table_Methods[[#This Row],[ID]]) &gt; 0</f>
        <v>1</v>
      </c>
      <c r="H218">
        <f t="shared" ca="1" si="17"/>
        <v>3089</v>
      </c>
      <c r="I218">
        <f t="shared" ca="1" si="18"/>
        <v>47104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19"/>
        <v>580</v>
      </c>
      <c r="E219">
        <f t="shared" ca="1" si="15"/>
        <v>-30</v>
      </c>
      <c r="F219">
        <f t="shared" ca="1" si="16"/>
        <v>550</v>
      </c>
      <c r="G219" s="3" t="b">
        <f>COUNTIF(dict_zul_Var_Meth[ID_Methods], table_Methods[[#This Row],[ID]]) &gt; 0</f>
        <v>1</v>
      </c>
      <c r="H219">
        <f t="shared" ca="1" si="17"/>
        <v>8872</v>
      </c>
      <c r="I219">
        <f t="shared" ca="1" si="18"/>
        <v>11776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19"/>
        <v>9100</v>
      </c>
      <c r="E220">
        <f t="shared" ca="1" si="15"/>
        <v>-70</v>
      </c>
      <c r="F220">
        <f t="shared" ca="1" si="16"/>
        <v>430</v>
      </c>
      <c r="G220" s="3" t="b">
        <f>COUNTIF(dict_zul_Var_Meth[ID_Methods], table_Methods[[#This Row],[ID]]) &gt; 0</f>
        <v>1</v>
      </c>
      <c r="H220">
        <f t="shared" ca="1" si="17"/>
        <v>10800</v>
      </c>
      <c r="I220">
        <f t="shared" ca="1" si="18"/>
        <v>2144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19"/>
        <v>630</v>
      </c>
      <c r="E221">
        <f t="shared" ca="1" si="15"/>
        <v>-10</v>
      </c>
      <c r="F221">
        <f t="shared" ca="1" si="16"/>
        <v>450</v>
      </c>
      <c r="G221" s="3" t="b">
        <f>COUNTIF(dict_zul_Var_Meth[ID_Methods], table_Methods[[#This Row],[ID]]) &gt; 0</f>
        <v>1</v>
      </c>
      <c r="H221">
        <f t="shared" ca="1" si="17"/>
        <v>15921</v>
      </c>
      <c r="I221">
        <f t="shared" ca="1" si="18"/>
        <v>7168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19"/>
        <v>360</v>
      </c>
      <c r="E222">
        <f t="shared" ca="1" si="15"/>
        <v>-40</v>
      </c>
      <c r="F222">
        <f t="shared" ca="1" si="16"/>
        <v>240</v>
      </c>
      <c r="G222" s="3" t="b">
        <f>COUNTIF(dict_zul_Var_Meth[ID_Methods], table_Methods[[#This Row],[ID]]) &gt; 0</f>
        <v>1</v>
      </c>
      <c r="H222">
        <f t="shared" ca="1" si="17"/>
        <v>16468</v>
      </c>
      <c r="I222">
        <f t="shared" ca="1" si="18"/>
        <v>2240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19"/>
        <v>24.000000000000004</v>
      </c>
      <c r="E223">
        <f t="shared" ca="1" si="15"/>
        <v>0</v>
      </c>
      <c r="F223">
        <f t="shared" ca="1" si="16"/>
        <v>130</v>
      </c>
      <c r="G223" s="3" t="b">
        <f>COUNTIF(dict_zul_Var_Meth[ID_Methods], table_Methods[[#This Row],[ID]]) &gt; 0</f>
        <v>1</v>
      </c>
      <c r="H223">
        <f t="shared" ca="1" si="17"/>
        <v>19161</v>
      </c>
      <c r="I223">
        <f t="shared" ca="1" si="18"/>
        <v>5376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19"/>
        <v>6600</v>
      </c>
      <c r="E224">
        <f t="shared" ca="1" si="15"/>
        <v>-50</v>
      </c>
      <c r="F224">
        <f t="shared" ca="1" si="16"/>
        <v>670</v>
      </c>
      <c r="G224" s="3" t="b">
        <f>COUNTIF(dict_zul_Var_Meth[ID_Methods], table_Methods[[#This Row],[ID]]) &gt; 0</f>
        <v>1</v>
      </c>
      <c r="H224">
        <f t="shared" ca="1" si="17"/>
        <v>12867</v>
      </c>
      <c r="I224">
        <f t="shared" ca="1" si="18"/>
        <v>1456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19"/>
        <v>3900</v>
      </c>
      <c r="E225">
        <f t="shared" ca="1" si="15"/>
        <v>30</v>
      </c>
      <c r="F225">
        <f t="shared" ca="1" si="16"/>
        <v>400</v>
      </c>
      <c r="G225" s="3" t="b">
        <f>COUNTIF(dict_zul_Var_Meth[ID_Methods], table_Methods[[#This Row],[ID]]) &gt; 0</f>
        <v>1</v>
      </c>
      <c r="H225">
        <f t="shared" ca="1" si="17"/>
        <v>41210</v>
      </c>
      <c r="I225">
        <f t="shared" ca="1" si="18"/>
        <v>80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19"/>
        <v>36</v>
      </c>
      <c r="E226">
        <f t="shared" ca="1" si="15"/>
        <v>-90</v>
      </c>
      <c r="F226">
        <f t="shared" ca="1" si="16"/>
        <v>50</v>
      </c>
      <c r="G226" s="3" t="b">
        <f>COUNTIF(dict_zul_Var_Meth[ID_Methods], table_Methods[[#This Row],[ID]]) &gt; 0</f>
        <v>1</v>
      </c>
      <c r="H226">
        <f t="shared" ca="1" si="17"/>
        <v>2692</v>
      </c>
      <c r="I226">
        <f t="shared" ca="1" si="18"/>
        <v>3072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19"/>
        <v>970</v>
      </c>
      <c r="E227">
        <f t="shared" ca="1" si="15"/>
        <v>0</v>
      </c>
      <c r="F227">
        <f t="shared" ca="1" si="16"/>
        <v>320</v>
      </c>
      <c r="G227" s="3" t="b">
        <f>COUNTIF(dict_zul_Var_Meth[ID_Methods], table_Methods[[#This Row],[ID]]) &gt; 0</f>
        <v>1</v>
      </c>
      <c r="H227">
        <f t="shared" ca="1" si="17"/>
        <v>18044</v>
      </c>
      <c r="I227">
        <f t="shared" ca="1" si="18"/>
        <v>28672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19"/>
        <v>430</v>
      </c>
      <c r="E228">
        <f t="shared" ref="E228:E291" ca="1" si="20">RANDBETWEEN(-10,3)*10</f>
        <v>30</v>
      </c>
      <c r="F228">
        <f t="shared" ref="F228:F291" ca="1" si="21">RANDBETWEEN(2,100)*10</f>
        <v>330</v>
      </c>
      <c r="G228" s="3" t="b">
        <f>COUNTIF(dict_zul_Var_Meth[ID_Methods], table_Methods[[#This Row],[ID]]) &gt; 0</f>
        <v>1</v>
      </c>
      <c r="H228">
        <f t="shared" ref="H228:H291" ca="1" si="22">RANDBETWEEN(1,10)*RANDBETWEEN(1,5000)</f>
        <v>8414</v>
      </c>
      <c r="I228">
        <f t="shared" ref="I228:I291" ca="1" si="23">2^RANDBETWEEN(1,10)*RANDBETWEEN(1,100)</f>
        <v>224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19"/>
        <v>1300</v>
      </c>
      <c r="E229">
        <f t="shared" ca="1" si="20"/>
        <v>-80</v>
      </c>
      <c r="F229">
        <f t="shared" ca="1" si="21"/>
        <v>1000</v>
      </c>
      <c r="G229" s="3" t="b">
        <f>COUNTIF(dict_zul_Var_Meth[ID_Methods], table_Methods[[#This Row],[ID]]) &gt; 0</f>
        <v>1</v>
      </c>
      <c r="H229">
        <f t="shared" ca="1" si="22"/>
        <v>4760</v>
      </c>
      <c r="I229">
        <f t="shared" ca="1" si="23"/>
        <v>122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19"/>
        <v>560</v>
      </c>
      <c r="E230">
        <f t="shared" ca="1" si="20"/>
        <v>-100</v>
      </c>
      <c r="F230">
        <f t="shared" ca="1" si="21"/>
        <v>710</v>
      </c>
      <c r="G230" s="3" t="b">
        <f>COUNTIF(dict_zul_Var_Meth[ID_Methods], table_Methods[[#This Row],[ID]]) &gt; 0</f>
        <v>1</v>
      </c>
      <c r="H230">
        <f t="shared" ca="1" si="22"/>
        <v>30247</v>
      </c>
      <c r="I230">
        <f t="shared" ca="1" si="23"/>
        <v>25600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19"/>
        <v>6400</v>
      </c>
      <c r="E231">
        <f t="shared" ca="1" si="20"/>
        <v>-50</v>
      </c>
      <c r="F231">
        <f t="shared" ca="1" si="21"/>
        <v>670</v>
      </c>
      <c r="G231" s="3" t="b">
        <f>COUNTIF(dict_zul_Var_Meth[ID_Methods], table_Methods[[#This Row],[ID]]) &gt; 0</f>
        <v>1</v>
      </c>
      <c r="H231">
        <f t="shared" ca="1" si="22"/>
        <v>23785</v>
      </c>
      <c r="I231">
        <f t="shared" ca="1" si="23"/>
        <v>1664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19"/>
        <v>3900</v>
      </c>
      <c r="E232">
        <f t="shared" ca="1" si="20"/>
        <v>-80</v>
      </c>
      <c r="F232">
        <f t="shared" ca="1" si="21"/>
        <v>630</v>
      </c>
      <c r="G232" s="3" t="b">
        <f>COUNTIF(dict_zul_Var_Meth[ID_Methods], table_Methods[[#This Row],[ID]]) &gt; 0</f>
        <v>1</v>
      </c>
      <c r="H232">
        <f t="shared" ca="1" si="22"/>
        <v>34200</v>
      </c>
      <c r="I232">
        <f t="shared" ca="1" si="23"/>
        <v>4096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19"/>
        <v>10</v>
      </c>
      <c r="E233">
        <f t="shared" ca="1" si="20"/>
        <v>-40</v>
      </c>
      <c r="F233">
        <f t="shared" ca="1" si="21"/>
        <v>250</v>
      </c>
      <c r="G233" s="3" t="b">
        <f>COUNTIF(dict_zul_Var_Meth[ID_Methods], table_Methods[[#This Row],[ID]]) &gt; 0</f>
        <v>1</v>
      </c>
      <c r="H233">
        <f t="shared" ca="1" si="22"/>
        <v>12910</v>
      </c>
      <c r="I233">
        <f t="shared" ca="1" si="23"/>
        <v>1088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19"/>
        <v>17</v>
      </c>
      <c r="E234">
        <f t="shared" ca="1" si="20"/>
        <v>-10</v>
      </c>
      <c r="F234">
        <f t="shared" ca="1" si="21"/>
        <v>620</v>
      </c>
      <c r="G234" s="3" t="b">
        <f>COUNTIF(dict_zul_Var_Meth[ID_Methods], table_Methods[[#This Row],[ID]]) &gt; 0</f>
        <v>1</v>
      </c>
      <c r="H234">
        <f t="shared" ca="1" si="22"/>
        <v>29980</v>
      </c>
      <c r="I234">
        <f t="shared" ca="1" si="23"/>
        <v>29696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19"/>
        <v>58.000000000000007</v>
      </c>
      <c r="E235">
        <f t="shared" ca="1" si="20"/>
        <v>-60</v>
      </c>
      <c r="F235">
        <f t="shared" ca="1" si="21"/>
        <v>260</v>
      </c>
      <c r="G235" s="3" t="b">
        <f>COUNTIF(dict_zul_Var_Meth[ID_Methods], table_Methods[[#This Row],[ID]]) &gt; 0</f>
        <v>1</v>
      </c>
      <c r="H235">
        <f t="shared" ca="1" si="22"/>
        <v>15564</v>
      </c>
      <c r="I235">
        <f t="shared" ca="1" si="23"/>
        <v>18688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19"/>
        <v>1900</v>
      </c>
      <c r="E236">
        <f t="shared" ca="1" si="20"/>
        <v>30</v>
      </c>
      <c r="F236">
        <f t="shared" ca="1" si="21"/>
        <v>510</v>
      </c>
      <c r="G236" s="3" t="b">
        <f>COUNTIF(dict_zul_Var_Meth[ID_Methods], table_Methods[[#This Row],[ID]]) &gt; 0</f>
        <v>1</v>
      </c>
      <c r="H236">
        <f t="shared" ca="1" si="22"/>
        <v>13155</v>
      </c>
      <c r="I236">
        <f t="shared" ca="1" si="23"/>
        <v>3904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19"/>
        <v>5500</v>
      </c>
      <c r="E237">
        <f t="shared" ca="1" si="20"/>
        <v>-10</v>
      </c>
      <c r="F237">
        <f t="shared" ca="1" si="21"/>
        <v>740</v>
      </c>
      <c r="G237" s="3" t="b">
        <f>COUNTIF(dict_zul_Var_Meth[ID_Methods], table_Methods[[#This Row],[ID]]) &gt; 0</f>
        <v>1</v>
      </c>
      <c r="H237">
        <f t="shared" ca="1" si="22"/>
        <v>4600</v>
      </c>
      <c r="I237">
        <f t="shared" ca="1" si="23"/>
        <v>396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19"/>
        <v>57</v>
      </c>
      <c r="E238">
        <f t="shared" ca="1" si="20"/>
        <v>-70</v>
      </c>
      <c r="F238">
        <f t="shared" ca="1" si="21"/>
        <v>930</v>
      </c>
      <c r="G238" s="3" t="b">
        <f>COUNTIF(dict_zul_Var_Meth[ID_Methods], table_Methods[[#This Row],[ID]]) &gt; 0</f>
        <v>1</v>
      </c>
      <c r="H238">
        <f t="shared" ca="1" si="22"/>
        <v>35001</v>
      </c>
      <c r="I238">
        <f t="shared" ca="1" si="23"/>
        <v>64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19"/>
        <v>6.0000000000000009</v>
      </c>
      <c r="E239">
        <f t="shared" ca="1" si="20"/>
        <v>-20</v>
      </c>
      <c r="F239">
        <f t="shared" ca="1" si="21"/>
        <v>800</v>
      </c>
      <c r="G239" s="3" t="b">
        <f>COUNTIF(dict_zul_Var_Meth[ID_Methods], table_Methods[[#This Row],[ID]]) &gt; 0</f>
        <v>1</v>
      </c>
      <c r="H239">
        <f t="shared" ca="1" si="22"/>
        <v>34290</v>
      </c>
      <c r="I239">
        <f t="shared" ca="1" si="23"/>
        <v>46592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19"/>
        <v>86</v>
      </c>
      <c r="E240">
        <f t="shared" ca="1" si="20"/>
        <v>0</v>
      </c>
      <c r="F240">
        <f t="shared" ca="1" si="21"/>
        <v>130</v>
      </c>
      <c r="G240" s="3" t="b">
        <f>COUNTIF(dict_zul_Var_Meth[ID_Methods], table_Methods[[#This Row],[ID]]) &gt; 0</f>
        <v>1</v>
      </c>
      <c r="H240">
        <f t="shared" ca="1" si="22"/>
        <v>5364</v>
      </c>
      <c r="I240">
        <f t="shared" ca="1" si="23"/>
        <v>11904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19"/>
        <v>87.000000000000014</v>
      </c>
      <c r="E241">
        <f t="shared" ca="1" si="20"/>
        <v>-20</v>
      </c>
      <c r="F241">
        <f t="shared" ca="1" si="21"/>
        <v>580</v>
      </c>
      <c r="G241" s="3" t="b">
        <f>COUNTIF(dict_zul_Var_Meth[ID_Methods], table_Methods[[#This Row],[ID]]) &gt; 0</f>
        <v>1</v>
      </c>
      <c r="H241">
        <f t="shared" ca="1" si="22"/>
        <v>1068</v>
      </c>
      <c r="I241">
        <f t="shared" ca="1" si="23"/>
        <v>3840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19"/>
        <v>57</v>
      </c>
      <c r="E242">
        <f t="shared" ca="1" si="20"/>
        <v>-80</v>
      </c>
      <c r="F242">
        <f t="shared" ca="1" si="21"/>
        <v>550</v>
      </c>
      <c r="G242" s="3" t="b">
        <f>COUNTIF(dict_zul_Var_Meth[ID_Methods], table_Methods[[#This Row],[ID]]) &gt; 0</f>
        <v>1</v>
      </c>
      <c r="H242">
        <f t="shared" ca="1" si="22"/>
        <v>16005</v>
      </c>
      <c r="I242">
        <f t="shared" ca="1" si="23"/>
        <v>34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19"/>
        <v>3000</v>
      </c>
      <c r="E243">
        <f t="shared" ca="1" si="20"/>
        <v>-80</v>
      </c>
      <c r="F243">
        <f t="shared" ca="1" si="21"/>
        <v>650</v>
      </c>
      <c r="G243" s="3" t="b">
        <f>COUNTIF(dict_zul_Var_Meth[ID_Methods], table_Methods[[#This Row],[ID]]) &gt; 0</f>
        <v>1</v>
      </c>
      <c r="H243">
        <f t="shared" ca="1" si="22"/>
        <v>40572</v>
      </c>
      <c r="I243">
        <f t="shared" ca="1" si="23"/>
        <v>130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19"/>
        <v>6900</v>
      </c>
      <c r="E244">
        <f t="shared" ca="1" si="20"/>
        <v>-20</v>
      </c>
      <c r="F244">
        <f t="shared" ca="1" si="21"/>
        <v>450</v>
      </c>
      <c r="G244" s="3" t="b">
        <f>COUNTIF(dict_zul_Var_Meth[ID_Methods], table_Methods[[#This Row],[ID]]) &gt; 0</f>
        <v>1</v>
      </c>
      <c r="H244">
        <f t="shared" ca="1" si="22"/>
        <v>12153</v>
      </c>
      <c r="I244">
        <f t="shared" ca="1" si="23"/>
        <v>4608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19"/>
        <v>8500</v>
      </c>
      <c r="E245">
        <f t="shared" ca="1" si="20"/>
        <v>10</v>
      </c>
      <c r="F245">
        <f t="shared" ca="1" si="21"/>
        <v>760</v>
      </c>
      <c r="G245" s="3" t="b">
        <f>COUNTIF(dict_zul_Var_Meth[ID_Methods], table_Methods[[#This Row],[ID]]) &gt; 0</f>
        <v>1</v>
      </c>
      <c r="H245">
        <f t="shared" ca="1" si="22"/>
        <v>10968</v>
      </c>
      <c r="I245">
        <f t="shared" ca="1" si="23"/>
        <v>39936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19"/>
        <v>290</v>
      </c>
      <c r="E246">
        <f t="shared" ca="1" si="20"/>
        <v>-100</v>
      </c>
      <c r="F246">
        <f t="shared" ca="1" si="21"/>
        <v>760</v>
      </c>
      <c r="G246" s="3" t="b">
        <f>COUNTIF(dict_zul_Var_Meth[ID_Methods], table_Methods[[#This Row],[ID]]) &gt; 0</f>
        <v>1</v>
      </c>
      <c r="H246">
        <f t="shared" ca="1" si="22"/>
        <v>3974</v>
      </c>
      <c r="I246">
        <f t="shared" ca="1" si="23"/>
        <v>3584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19"/>
        <v>390</v>
      </c>
      <c r="E247">
        <f t="shared" ca="1" si="20"/>
        <v>-100</v>
      </c>
      <c r="F247">
        <f t="shared" ca="1" si="21"/>
        <v>320</v>
      </c>
      <c r="G247" s="3" t="b">
        <f>COUNTIF(dict_zul_Var_Meth[ID_Methods], table_Methods[[#This Row],[ID]]) &gt; 0</f>
        <v>1</v>
      </c>
      <c r="H247">
        <f t="shared" ca="1" si="22"/>
        <v>27900</v>
      </c>
      <c r="I247">
        <f t="shared" ca="1" si="23"/>
        <v>36352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19"/>
        <v>38</v>
      </c>
      <c r="E248">
        <f t="shared" ca="1" si="20"/>
        <v>-50</v>
      </c>
      <c r="F248">
        <f t="shared" ca="1" si="21"/>
        <v>460</v>
      </c>
      <c r="G248" s="3" t="b">
        <f>COUNTIF(dict_zul_Var_Meth[ID_Methods], table_Methods[[#This Row],[ID]]) &gt; 0</f>
        <v>1</v>
      </c>
      <c r="H248">
        <f t="shared" ca="1" si="22"/>
        <v>11748</v>
      </c>
      <c r="I248">
        <f t="shared" ca="1" si="23"/>
        <v>1920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19"/>
        <v>5100</v>
      </c>
      <c r="E249">
        <f t="shared" ca="1" si="20"/>
        <v>-90</v>
      </c>
      <c r="F249">
        <f t="shared" ca="1" si="21"/>
        <v>620</v>
      </c>
      <c r="G249" s="3" t="b">
        <f>COUNTIF(dict_zul_Var_Meth[ID_Methods], table_Methods[[#This Row],[ID]]) &gt; 0</f>
        <v>1</v>
      </c>
      <c r="H249">
        <f t="shared" ca="1" si="22"/>
        <v>422</v>
      </c>
      <c r="I249">
        <f t="shared" ca="1" si="23"/>
        <v>5440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19"/>
        <v>30</v>
      </c>
      <c r="E250">
        <f t="shared" ca="1" si="20"/>
        <v>-10</v>
      </c>
      <c r="F250">
        <f t="shared" ca="1" si="21"/>
        <v>570</v>
      </c>
      <c r="G250" s="3" t="b">
        <f>COUNTIF(dict_zul_Var_Meth[ID_Methods], table_Methods[[#This Row],[ID]]) &gt; 0</f>
        <v>1</v>
      </c>
      <c r="H250">
        <f t="shared" ca="1" si="22"/>
        <v>15984</v>
      </c>
      <c r="I250">
        <f t="shared" ca="1" si="23"/>
        <v>1072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19"/>
        <v>72</v>
      </c>
      <c r="E251">
        <f t="shared" ca="1" si="20"/>
        <v>-40</v>
      </c>
      <c r="F251">
        <f t="shared" ca="1" si="21"/>
        <v>220</v>
      </c>
      <c r="G251" s="3" t="b">
        <f>COUNTIF(dict_zul_Var_Meth[ID_Methods], table_Methods[[#This Row],[ID]]) &gt; 0</f>
        <v>1</v>
      </c>
      <c r="H251">
        <f t="shared" ca="1" si="22"/>
        <v>4440</v>
      </c>
      <c r="I251">
        <f t="shared" ca="1" si="23"/>
        <v>232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19"/>
        <v>630</v>
      </c>
      <c r="E252">
        <f t="shared" ca="1" si="20"/>
        <v>-60</v>
      </c>
      <c r="F252">
        <f t="shared" ca="1" si="21"/>
        <v>790</v>
      </c>
      <c r="G252" s="3" t="b">
        <f>COUNTIF(dict_zul_Var_Meth[ID_Methods], table_Methods[[#This Row],[ID]]) &gt; 0</f>
        <v>1</v>
      </c>
      <c r="H252">
        <f t="shared" ca="1" si="22"/>
        <v>8600</v>
      </c>
      <c r="I252">
        <f t="shared" ca="1" si="23"/>
        <v>5120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19"/>
        <v>720</v>
      </c>
      <c r="E253">
        <f t="shared" ca="1" si="20"/>
        <v>10</v>
      </c>
      <c r="F253">
        <f t="shared" ca="1" si="21"/>
        <v>990</v>
      </c>
      <c r="G253" s="3" t="b">
        <f>COUNTIF(dict_zul_Var_Meth[ID_Methods], table_Methods[[#This Row],[ID]]) &gt; 0</f>
        <v>1</v>
      </c>
      <c r="H253">
        <f t="shared" ca="1" si="22"/>
        <v>4806</v>
      </c>
      <c r="I253">
        <f t="shared" ca="1" si="23"/>
        <v>7168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19"/>
        <v>79</v>
      </c>
      <c r="E254">
        <f t="shared" ca="1" si="20"/>
        <v>-60</v>
      </c>
      <c r="F254">
        <f t="shared" ca="1" si="21"/>
        <v>780</v>
      </c>
      <c r="G254" s="3" t="b">
        <f>COUNTIF(dict_zul_Var_Meth[ID_Methods], table_Methods[[#This Row],[ID]]) &gt; 0</f>
        <v>1</v>
      </c>
      <c r="H254">
        <f t="shared" ca="1" si="22"/>
        <v>1496</v>
      </c>
      <c r="I254">
        <f t="shared" ca="1" si="23"/>
        <v>174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19"/>
        <v>9200</v>
      </c>
      <c r="E255">
        <f t="shared" ca="1" si="20"/>
        <v>-40</v>
      </c>
      <c r="F255">
        <f t="shared" ca="1" si="21"/>
        <v>880</v>
      </c>
      <c r="G255" s="3" t="b">
        <f>COUNTIF(dict_zul_Var_Meth[ID_Methods], table_Methods[[#This Row],[ID]]) &gt; 0</f>
        <v>1</v>
      </c>
      <c r="H255">
        <f t="shared" ca="1" si="22"/>
        <v>35420</v>
      </c>
      <c r="I255">
        <f t="shared" ca="1" si="23"/>
        <v>416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19"/>
        <v>940</v>
      </c>
      <c r="E256">
        <f t="shared" ca="1" si="20"/>
        <v>-30</v>
      </c>
      <c r="F256">
        <f t="shared" ca="1" si="21"/>
        <v>460</v>
      </c>
      <c r="G256" s="3" t="b">
        <f>COUNTIF(dict_zul_Var_Meth[ID_Methods], table_Methods[[#This Row],[ID]]) &gt; 0</f>
        <v>1</v>
      </c>
      <c r="H256">
        <f t="shared" ca="1" si="22"/>
        <v>15400</v>
      </c>
      <c r="I256">
        <f t="shared" ca="1" si="23"/>
        <v>2080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19"/>
        <v>10000</v>
      </c>
      <c r="E257">
        <f t="shared" ca="1" si="20"/>
        <v>-100</v>
      </c>
      <c r="F257">
        <f t="shared" ca="1" si="21"/>
        <v>710</v>
      </c>
      <c r="G257" s="3" t="b">
        <f>COUNTIF(dict_zul_Var_Meth[ID_Methods], table_Methods[[#This Row],[ID]]) &gt; 0</f>
        <v>1</v>
      </c>
      <c r="H257">
        <f t="shared" ca="1" si="22"/>
        <v>12145</v>
      </c>
      <c r="I257">
        <f t="shared" ca="1" si="23"/>
        <v>528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4">10^(RANDBETWEEN(-1,1))*RANDBETWEEN(1,100)*10</f>
        <v>660</v>
      </c>
      <c r="E258">
        <f t="shared" ca="1" si="20"/>
        <v>-10</v>
      </c>
      <c r="F258">
        <f t="shared" ca="1" si="21"/>
        <v>540</v>
      </c>
      <c r="G258" s="3" t="b">
        <f>COUNTIF(dict_zul_Var_Meth[ID_Methods], table_Methods[[#This Row],[ID]]) &gt; 0</f>
        <v>1</v>
      </c>
      <c r="H258">
        <f t="shared" ca="1" si="22"/>
        <v>34210</v>
      </c>
      <c r="I258">
        <f t="shared" ca="1" si="23"/>
        <v>14848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4"/>
        <v>3800</v>
      </c>
      <c r="E259">
        <f t="shared" ca="1" si="20"/>
        <v>-70</v>
      </c>
      <c r="F259">
        <f t="shared" ca="1" si="21"/>
        <v>450</v>
      </c>
      <c r="G259" s="3" t="b">
        <f>COUNTIF(dict_zul_Var_Meth[ID_Methods], table_Methods[[#This Row],[ID]]) &gt; 0</f>
        <v>1</v>
      </c>
      <c r="H259">
        <f t="shared" ca="1" si="22"/>
        <v>3850</v>
      </c>
      <c r="I259">
        <f t="shared" ca="1" si="23"/>
        <v>192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4"/>
        <v>46.000000000000007</v>
      </c>
      <c r="E260">
        <f t="shared" ca="1" si="20"/>
        <v>-10</v>
      </c>
      <c r="F260">
        <f t="shared" ca="1" si="21"/>
        <v>80</v>
      </c>
      <c r="G260" s="3" t="b">
        <f>COUNTIF(dict_zul_Var_Meth[ID_Methods], table_Methods[[#This Row],[ID]]) &gt; 0</f>
        <v>1</v>
      </c>
      <c r="H260">
        <f t="shared" ca="1" si="22"/>
        <v>840</v>
      </c>
      <c r="I260">
        <f t="shared" ca="1" si="23"/>
        <v>5632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4"/>
        <v>850</v>
      </c>
      <c r="E261">
        <f t="shared" ca="1" si="20"/>
        <v>10</v>
      </c>
      <c r="F261">
        <f t="shared" ca="1" si="21"/>
        <v>300</v>
      </c>
      <c r="G261" s="3" t="b">
        <f>COUNTIF(dict_zul_Var_Meth[ID_Methods], table_Methods[[#This Row],[ID]]) &gt; 0</f>
        <v>1</v>
      </c>
      <c r="H261">
        <f t="shared" ca="1" si="22"/>
        <v>7085</v>
      </c>
      <c r="I261">
        <f t="shared" ca="1" si="23"/>
        <v>116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4"/>
        <v>480</v>
      </c>
      <c r="E262">
        <f t="shared" ca="1" si="20"/>
        <v>20</v>
      </c>
      <c r="F262">
        <f t="shared" ca="1" si="21"/>
        <v>820</v>
      </c>
      <c r="G262" s="3" t="b">
        <f>COUNTIF(dict_zul_Var_Meth[ID_Methods], table_Methods[[#This Row],[ID]]) &gt; 0</f>
        <v>1</v>
      </c>
      <c r="H262">
        <f t="shared" ca="1" si="22"/>
        <v>3157</v>
      </c>
      <c r="I262">
        <f t="shared" ca="1" si="23"/>
        <v>10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4"/>
        <v>340</v>
      </c>
      <c r="E263">
        <f t="shared" ca="1" si="20"/>
        <v>-20</v>
      </c>
      <c r="F263">
        <f t="shared" ca="1" si="21"/>
        <v>550</v>
      </c>
      <c r="G263" s="3" t="b">
        <f>COUNTIF(dict_zul_Var_Meth[ID_Methods], table_Methods[[#This Row],[ID]]) &gt; 0</f>
        <v>1</v>
      </c>
      <c r="H263">
        <f t="shared" ca="1" si="22"/>
        <v>36960</v>
      </c>
      <c r="I263">
        <f t="shared" ca="1" si="23"/>
        <v>7680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4"/>
        <v>3600</v>
      </c>
      <c r="E264">
        <f t="shared" ca="1" si="20"/>
        <v>10</v>
      </c>
      <c r="F264">
        <f t="shared" ca="1" si="21"/>
        <v>80</v>
      </c>
      <c r="G264" s="3" t="b">
        <f>COUNTIF(dict_zul_Var_Meth[ID_Methods], table_Methods[[#This Row],[ID]]) &gt; 0</f>
        <v>1</v>
      </c>
      <c r="H264">
        <f t="shared" ca="1" si="22"/>
        <v>35700</v>
      </c>
      <c r="I264">
        <f t="shared" ca="1" si="23"/>
        <v>89088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4"/>
        <v>9</v>
      </c>
      <c r="E265">
        <f t="shared" ca="1" si="20"/>
        <v>-10</v>
      </c>
      <c r="F265">
        <f t="shared" ca="1" si="21"/>
        <v>900</v>
      </c>
      <c r="G265" s="3" t="b">
        <f>COUNTIF(dict_zul_Var_Meth[ID_Methods], table_Methods[[#This Row],[ID]]) &gt; 0</f>
        <v>1</v>
      </c>
      <c r="H265">
        <f t="shared" ca="1" si="22"/>
        <v>22880</v>
      </c>
      <c r="I265">
        <f t="shared" ca="1" si="23"/>
        <v>512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4"/>
        <v>16</v>
      </c>
      <c r="E266">
        <f t="shared" ca="1" si="20"/>
        <v>10</v>
      </c>
      <c r="F266">
        <f t="shared" ca="1" si="21"/>
        <v>420</v>
      </c>
      <c r="G266" s="3" t="b">
        <f>COUNTIF(dict_zul_Var_Meth[ID_Methods], table_Methods[[#This Row],[ID]]) &gt; 0</f>
        <v>1</v>
      </c>
      <c r="H266">
        <f t="shared" ca="1" si="22"/>
        <v>20830</v>
      </c>
      <c r="I266">
        <f t="shared" ca="1" si="23"/>
        <v>1952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4"/>
        <v>570</v>
      </c>
      <c r="E267">
        <f t="shared" ca="1" si="20"/>
        <v>-20</v>
      </c>
      <c r="F267">
        <f t="shared" ca="1" si="21"/>
        <v>910</v>
      </c>
      <c r="G267" s="3" t="b">
        <f>COUNTIF(dict_zul_Var_Meth[ID_Methods], table_Methods[[#This Row],[ID]]) &gt; 0</f>
        <v>1</v>
      </c>
      <c r="H267">
        <f t="shared" ca="1" si="22"/>
        <v>22744</v>
      </c>
      <c r="I267">
        <f t="shared" ca="1" si="23"/>
        <v>18944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4"/>
        <v>25</v>
      </c>
      <c r="E268">
        <f t="shared" ca="1" si="20"/>
        <v>20</v>
      </c>
      <c r="F268">
        <f t="shared" ca="1" si="21"/>
        <v>310</v>
      </c>
      <c r="G268" s="3" t="b">
        <f>COUNTIF(dict_zul_Var_Meth[ID_Methods], table_Methods[[#This Row],[ID]]) &gt; 0</f>
        <v>1</v>
      </c>
      <c r="H268">
        <f t="shared" ca="1" si="22"/>
        <v>12910</v>
      </c>
      <c r="I268">
        <f t="shared" ca="1" si="23"/>
        <v>3840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4"/>
        <v>730</v>
      </c>
      <c r="E269">
        <f t="shared" ca="1" si="20"/>
        <v>20</v>
      </c>
      <c r="F269">
        <f t="shared" ca="1" si="21"/>
        <v>200</v>
      </c>
      <c r="G269" s="3" t="b">
        <f>COUNTIF(dict_zul_Var_Meth[ID_Methods], table_Methods[[#This Row],[ID]]) &gt; 0</f>
        <v>1</v>
      </c>
      <c r="H269">
        <f t="shared" ca="1" si="22"/>
        <v>3726</v>
      </c>
      <c r="I269">
        <f t="shared" ca="1" si="23"/>
        <v>5120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4"/>
        <v>8600</v>
      </c>
      <c r="E270">
        <f t="shared" ca="1" si="20"/>
        <v>-80</v>
      </c>
      <c r="F270">
        <f t="shared" ca="1" si="21"/>
        <v>40</v>
      </c>
      <c r="G270" s="3" t="b">
        <f>COUNTIF(dict_zul_Var_Meth[ID_Methods], table_Methods[[#This Row],[ID]]) &gt; 0</f>
        <v>1</v>
      </c>
      <c r="H270">
        <f t="shared" ca="1" si="22"/>
        <v>5210</v>
      </c>
      <c r="I270">
        <f t="shared" ca="1" si="23"/>
        <v>512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4"/>
        <v>83</v>
      </c>
      <c r="E271">
        <f t="shared" ca="1" si="20"/>
        <v>30</v>
      </c>
      <c r="F271">
        <f t="shared" ca="1" si="21"/>
        <v>660</v>
      </c>
      <c r="G271" s="3" t="b">
        <f>COUNTIF(dict_zul_Var_Meth[ID_Methods], table_Methods[[#This Row],[ID]]) &gt; 0</f>
        <v>1</v>
      </c>
      <c r="H271">
        <f t="shared" ca="1" si="22"/>
        <v>34027</v>
      </c>
      <c r="I271">
        <f t="shared" ca="1" si="23"/>
        <v>640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4"/>
        <v>100</v>
      </c>
      <c r="E272">
        <f t="shared" ca="1" si="20"/>
        <v>-60</v>
      </c>
      <c r="F272">
        <f t="shared" ca="1" si="21"/>
        <v>790</v>
      </c>
      <c r="G272" s="3" t="b">
        <f>COUNTIF(dict_zul_Var_Meth[ID_Methods], table_Methods[[#This Row],[ID]]) &gt; 0</f>
        <v>1</v>
      </c>
      <c r="H272">
        <f t="shared" ca="1" si="22"/>
        <v>21376</v>
      </c>
      <c r="I272">
        <f t="shared" ca="1" si="23"/>
        <v>92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4"/>
        <v>1200</v>
      </c>
      <c r="E273">
        <f t="shared" ca="1" si="20"/>
        <v>20</v>
      </c>
      <c r="F273">
        <f t="shared" ca="1" si="21"/>
        <v>540</v>
      </c>
      <c r="G273" s="3" t="b">
        <f>COUNTIF(dict_zul_Var_Meth[ID_Methods], table_Methods[[#This Row],[ID]]) &gt; 0</f>
        <v>1</v>
      </c>
      <c r="H273">
        <f t="shared" ca="1" si="22"/>
        <v>29781</v>
      </c>
      <c r="I273">
        <f t="shared" ca="1" si="23"/>
        <v>4224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4"/>
        <v>550</v>
      </c>
      <c r="E274">
        <f t="shared" ca="1" si="20"/>
        <v>-30</v>
      </c>
      <c r="F274">
        <f t="shared" ca="1" si="21"/>
        <v>320</v>
      </c>
      <c r="G274" s="3" t="b">
        <f>COUNTIF(dict_zul_Var_Meth[ID_Methods], table_Methods[[#This Row],[ID]]) &gt; 0</f>
        <v>1</v>
      </c>
      <c r="H274">
        <f t="shared" ca="1" si="22"/>
        <v>3966</v>
      </c>
      <c r="I274">
        <f t="shared" ca="1" si="23"/>
        <v>1024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4"/>
        <v>4000</v>
      </c>
      <c r="E275">
        <f t="shared" ca="1" si="20"/>
        <v>-50</v>
      </c>
      <c r="F275">
        <f t="shared" ca="1" si="21"/>
        <v>260</v>
      </c>
      <c r="G275" s="3" t="b">
        <f>COUNTIF(dict_zul_Var_Meth[ID_Methods], table_Methods[[#This Row],[ID]]) &gt; 0</f>
        <v>1</v>
      </c>
      <c r="H275">
        <f t="shared" ca="1" si="22"/>
        <v>17058</v>
      </c>
      <c r="I275">
        <f t="shared" ca="1" si="23"/>
        <v>1024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4"/>
        <v>5300</v>
      </c>
      <c r="E276">
        <f t="shared" ca="1" si="20"/>
        <v>20</v>
      </c>
      <c r="F276">
        <f t="shared" ca="1" si="21"/>
        <v>180</v>
      </c>
      <c r="G276" s="3" t="b">
        <f>COUNTIF(dict_zul_Var_Meth[ID_Methods], table_Methods[[#This Row],[ID]]) &gt; 0</f>
        <v>1</v>
      </c>
      <c r="H276">
        <f t="shared" ca="1" si="22"/>
        <v>11964</v>
      </c>
      <c r="I276">
        <f t="shared" ca="1" si="23"/>
        <v>20480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4"/>
        <v>76</v>
      </c>
      <c r="E277">
        <f t="shared" ca="1" si="20"/>
        <v>-20</v>
      </c>
      <c r="F277">
        <f t="shared" ca="1" si="21"/>
        <v>710</v>
      </c>
      <c r="G277" s="3" t="b">
        <f>COUNTIF(dict_zul_Var_Meth[ID_Methods], table_Methods[[#This Row],[ID]]) &gt; 0</f>
        <v>1</v>
      </c>
      <c r="H277">
        <f t="shared" ca="1" si="22"/>
        <v>4025</v>
      </c>
      <c r="I277">
        <f t="shared" ca="1" si="23"/>
        <v>392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4"/>
        <v>940</v>
      </c>
      <c r="E278">
        <f t="shared" ca="1" si="20"/>
        <v>-80</v>
      </c>
      <c r="F278">
        <f t="shared" ca="1" si="21"/>
        <v>520</v>
      </c>
      <c r="G278" s="3" t="b">
        <f>COUNTIF(dict_zul_Var_Meth[ID_Methods], table_Methods[[#This Row],[ID]]) &gt; 0</f>
        <v>1</v>
      </c>
      <c r="H278">
        <f t="shared" ca="1" si="22"/>
        <v>32136</v>
      </c>
      <c r="I278">
        <f t="shared" ca="1" si="23"/>
        <v>608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4"/>
        <v>7300</v>
      </c>
      <c r="E279">
        <f t="shared" ca="1" si="20"/>
        <v>-100</v>
      </c>
      <c r="F279">
        <f t="shared" ca="1" si="21"/>
        <v>810</v>
      </c>
      <c r="G279" s="3" t="b">
        <f>COUNTIF(dict_zul_Var_Meth[ID_Methods], table_Methods[[#This Row],[ID]]) &gt; 0</f>
        <v>1</v>
      </c>
      <c r="H279">
        <f t="shared" ca="1" si="22"/>
        <v>31682</v>
      </c>
      <c r="I279">
        <f t="shared" ca="1" si="23"/>
        <v>424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4"/>
        <v>7700</v>
      </c>
      <c r="E280">
        <f t="shared" ca="1" si="20"/>
        <v>20</v>
      </c>
      <c r="F280">
        <f t="shared" ca="1" si="21"/>
        <v>410</v>
      </c>
      <c r="G280" s="3" t="b">
        <f>COUNTIF(dict_zul_Var_Meth[ID_Methods], table_Methods[[#This Row],[ID]]) &gt; 0</f>
        <v>1</v>
      </c>
      <c r="H280">
        <f t="shared" ca="1" si="22"/>
        <v>3801</v>
      </c>
      <c r="I280">
        <f t="shared" ca="1" si="23"/>
        <v>344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4"/>
        <v>700</v>
      </c>
      <c r="E281">
        <f t="shared" ca="1" si="20"/>
        <v>0</v>
      </c>
      <c r="F281">
        <f t="shared" ca="1" si="21"/>
        <v>330</v>
      </c>
      <c r="G281" s="3" t="b">
        <f>COUNTIF(dict_zul_Var_Meth[ID_Methods], table_Methods[[#This Row],[ID]]) &gt; 0</f>
        <v>1</v>
      </c>
      <c r="H281">
        <f t="shared" ca="1" si="22"/>
        <v>9840</v>
      </c>
      <c r="I281">
        <f t="shared" ca="1" si="23"/>
        <v>472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4"/>
        <v>2</v>
      </c>
      <c r="E282">
        <f t="shared" ca="1" si="20"/>
        <v>20</v>
      </c>
      <c r="F282">
        <f t="shared" ca="1" si="21"/>
        <v>620</v>
      </c>
      <c r="G282" s="3" t="b">
        <f>COUNTIF(dict_zul_Var_Meth[ID_Methods], table_Methods[[#This Row],[ID]]) &gt; 0</f>
        <v>1</v>
      </c>
      <c r="H282">
        <f t="shared" ca="1" si="22"/>
        <v>5064</v>
      </c>
      <c r="I282">
        <f t="shared" ca="1" si="23"/>
        <v>696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4"/>
        <v>28.000000000000004</v>
      </c>
      <c r="E283">
        <f t="shared" ca="1" si="20"/>
        <v>0</v>
      </c>
      <c r="F283">
        <f t="shared" ca="1" si="21"/>
        <v>480</v>
      </c>
      <c r="G283" s="3" t="b">
        <f>COUNTIF(dict_zul_Var_Meth[ID_Methods], table_Methods[[#This Row],[ID]]) &gt; 0</f>
        <v>1</v>
      </c>
      <c r="H283">
        <f t="shared" ca="1" si="22"/>
        <v>3312</v>
      </c>
      <c r="I283">
        <f t="shared" ca="1" si="23"/>
        <v>3712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4"/>
        <v>20</v>
      </c>
      <c r="E284">
        <f t="shared" ca="1" si="20"/>
        <v>30</v>
      </c>
      <c r="F284">
        <f t="shared" ca="1" si="21"/>
        <v>940</v>
      </c>
      <c r="G284" s="3" t="b">
        <f>COUNTIF(dict_zul_Var_Meth[ID_Methods], table_Methods[[#This Row],[ID]]) &gt; 0</f>
        <v>1</v>
      </c>
      <c r="H284">
        <f t="shared" ca="1" si="22"/>
        <v>24804</v>
      </c>
      <c r="I284">
        <f t="shared" ca="1" si="23"/>
        <v>22528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4"/>
        <v>750</v>
      </c>
      <c r="E285">
        <f t="shared" ca="1" si="20"/>
        <v>-10</v>
      </c>
      <c r="F285">
        <f t="shared" ca="1" si="21"/>
        <v>20</v>
      </c>
      <c r="G285" s="3" t="b">
        <f>COUNTIF(dict_zul_Var_Meth[ID_Methods], table_Methods[[#This Row],[ID]]) &gt; 0</f>
        <v>1</v>
      </c>
      <c r="H285">
        <f t="shared" ca="1" si="22"/>
        <v>1876</v>
      </c>
      <c r="I285">
        <f t="shared" ca="1" si="23"/>
        <v>48128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4"/>
        <v>150</v>
      </c>
      <c r="E286">
        <f t="shared" ca="1" si="20"/>
        <v>-40</v>
      </c>
      <c r="F286">
        <f t="shared" ca="1" si="21"/>
        <v>820</v>
      </c>
      <c r="G286" s="3" t="b">
        <f>COUNTIF(dict_zul_Var_Meth[ID_Methods], table_Methods[[#This Row],[ID]]) &gt; 0</f>
        <v>1</v>
      </c>
      <c r="H286">
        <f t="shared" ca="1" si="22"/>
        <v>10124</v>
      </c>
      <c r="I286">
        <f t="shared" ca="1" si="23"/>
        <v>2048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4"/>
        <v>60</v>
      </c>
      <c r="E287">
        <f t="shared" ca="1" si="20"/>
        <v>-50</v>
      </c>
      <c r="F287">
        <f t="shared" ca="1" si="21"/>
        <v>140</v>
      </c>
      <c r="G287" s="3" t="b">
        <f>COUNTIF(dict_zul_Var_Meth[ID_Methods], table_Methods[[#This Row],[ID]]) &gt; 0</f>
        <v>1</v>
      </c>
      <c r="H287">
        <f t="shared" ca="1" si="22"/>
        <v>585</v>
      </c>
      <c r="I287">
        <f t="shared" ca="1" si="23"/>
        <v>24576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4"/>
        <v>310</v>
      </c>
      <c r="E288">
        <f t="shared" ca="1" si="20"/>
        <v>30</v>
      </c>
      <c r="F288">
        <f t="shared" ca="1" si="21"/>
        <v>780</v>
      </c>
      <c r="G288" s="3" t="b">
        <f>COUNTIF(dict_zul_Var_Meth[ID_Methods], table_Methods[[#This Row],[ID]]) &gt; 0</f>
        <v>1</v>
      </c>
      <c r="H288">
        <f t="shared" ca="1" si="22"/>
        <v>20070</v>
      </c>
      <c r="I288">
        <f t="shared" ca="1" si="23"/>
        <v>186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4"/>
        <v>100</v>
      </c>
      <c r="E289">
        <f t="shared" ca="1" si="20"/>
        <v>-30</v>
      </c>
      <c r="F289">
        <f t="shared" ca="1" si="21"/>
        <v>290</v>
      </c>
      <c r="G289" s="3" t="b">
        <f>COUNTIF(dict_zul_Var_Meth[ID_Methods], table_Methods[[#This Row],[ID]]) &gt; 0</f>
        <v>1</v>
      </c>
      <c r="H289">
        <f t="shared" ca="1" si="22"/>
        <v>39280</v>
      </c>
      <c r="I289">
        <f t="shared" ca="1" si="23"/>
        <v>144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4"/>
        <v>6900</v>
      </c>
      <c r="E290">
        <f t="shared" ca="1" si="20"/>
        <v>-60</v>
      </c>
      <c r="F290">
        <f t="shared" ca="1" si="21"/>
        <v>300</v>
      </c>
      <c r="G290" s="3" t="b">
        <f>COUNTIF(dict_zul_Var_Meth[ID_Methods], table_Methods[[#This Row],[ID]]) &gt; 0</f>
        <v>1</v>
      </c>
      <c r="H290">
        <f t="shared" ca="1" si="22"/>
        <v>19420</v>
      </c>
      <c r="I290">
        <f t="shared" ca="1" si="23"/>
        <v>10112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4"/>
        <v>19</v>
      </c>
      <c r="E291">
        <f t="shared" ca="1" si="20"/>
        <v>0</v>
      </c>
      <c r="F291">
        <f t="shared" ca="1" si="21"/>
        <v>290</v>
      </c>
      <c r="G291" s="3" t="b">
        <f>COUNTIF(dict_zul_Var_Meth[ID_Methods], table_Methods[[#This Row],[ID]]) &gt; 0</f>
        <v>1</v>
      </c>
      <c r="H291">
        <f t="shared" ca="1" si="22"/>
        <v>14190</v>
      </c>
      <c r="I291">
        <f t="shared" ca="1" si="23"/>
        <v>2560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4"/>
        <v>17</v>
      </c>
      <c r="E292">
        <f t="shared" ref="E292:E355" ca="1" si="25">RANDBETWEEN(-10,3)*10</f>
        <v>-10</v>
      </c>
      <c r="F292">
        <f t="shared" ref="F292:F355" ca="1" si="26">RANDBETWEEN(2,100)*10</f>
        <v>280</v>
      </c>
      <c r="G292" s="3" t="b">
        <f>COUNTIF(dict_zul_Var_Meth[ID_Methods], table_Methods[[#This Row],[ID]]) &gt; 0</f>
        <v>1</v>
      </c>
      <c r="H292">
        <f t="shared" ref="H292:H355" ca="1" si="27">RANDBETWEEN(1,10)*RANDBETWEEN(1,5000)</f>
        <v>14571</v>
      </c>
      <c r="I292">
        <f t="shared" ref="I292:I355" ca="1" si="28">2^RANDBETWEEN(1,10)*RANDBETWEEN(1,100)</f>
        <v>5888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4"/>
        <v>6400</v>
      </c>
      <c r="E293">
        <f t="shared" ca="1" si="25"/>
        <v>10</v>
      </c>
      <c r="F293">
        <f t="shared" ca="1" si="26"/>
        <v>820</v>
      </c>
      <c r="G293" s="3" t="b">
        <f>COUNTIF(dict_zul_Var_Meth[ID_Methods], table_Methods[[#This Row],[ID]]) &gt; 0</f>
        <v>1</v>
      </c>
      <c r="H293">
        <f t="shared" ca="1" si="27"/>
        <v>405</v>
      </c>
      <c r="I293">
        <f t="shared" ca="1" si="28"/>
        <v>248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4"/>
        <v>2600</v>
      </c>
      <c r="E294">
        <f t="shared" ca="1" si="25"/>
        <v>-20</v>
      </c>
      <c r="F294">
        <f t="shared" ca="1" si="26"/>
        <v>360</v>
      </c>
      <c r="G294" s="3" t="b">
        <f>COUNTIF(dict_zul_Var_Meth[ID_Methods], table_Methods[[#This Row],[ID]]) &gt; 0</f>
        <v>1</v>
      </c>
      <c r="H294">
        <f t="shared" ca="1" si="27"/>
        <v>112</v>
      </c>
      <c r="I294">
        <f t="shared" ca="1" si="28"/>
        <v>20736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4"/>
        <v>51.000000000000007</v>
      </c>
      <c r="E295">
        <f t="shared" ca="1" si="25"/>
        <v>-80</v>
      </c>
      <c r="F295">
        <f t="shared" ca="1" si="26"/>
        <v>850</v>
      </c>
      <c r="G295" s="3" t="b">
        <f>COUNTIF(dict_zul_Var_Meth[ID_Methods], table_Methods[[#This Row],[ID]]) &gt; 0</f>
        <v>1</v>
      </c>
      <c r="H295">
        <f t="shared" ca="1" si="27"/>
        <v>45440</v>
      </c>
      <c r="I295">
        <f t="shared" ca="1" si="28"/>
        <v>6528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4"/>
        <v>91</v>
      </c>
      <c r="E296">
        <f t="shared" ca="1" si="25"/>
        <v>-60</v>
      </c>
      <c r="F296">
        <f t="shared" ca="1" si="26"/>
        <v>860</v>
      </c>
      <c r="G296" s="3" t="b">
        <f>COUNTIF(dict_zul_Var_Meth[ID_Methods], table_Methods[[#This Row],[ID]]) &gt; 0</f>
        <v>1</v>
      </c>
      <c r="H296">
        <f t="shared" ca="1" si="27"/>
        <v>22800</v>
      </c>
      <c r="I296">
        <f t="shared" ca="1" si="28"/>
        <v>180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4"/>
        <v>920</v>
      </c>
      <c r="E297">
        <f t="shared" ca="1" si="25"/>
        <v>10</v>
      </c>
      <c r="F297">
        <f t="shared" ca="1" si="26"/>
        <v>20</v>
      </c>
      <c r="G297" s="3" t="b">
        <f>COUNTIF(dict_zul_Var_Meth[ID_Methods], table_Methods[[#This Row],[ID]]) &gt; 0</f>
        <v>1</v>
      </c>
      <c r="H297">
        <f t="shared" ca="1" si="27"/>
        <v>4389</v>
      </c>
      <c r="I297">
        <f t="shared" ca="1" si="28"/>
        <v>3072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4"/>
        <v>2400</v>
      </c>
      <c r="E298">
        <f t="shared" ca="1" si="25"/>
        <v>0</v>
      </c>
      <c r="F298">
        <f t="shared" ca="1" si="26"/>
        <v>220</v>
      </c>
      <c r="G298" s="3" t="b">
        <f>COUNTIF(dict_zul_Var_Meth[ID_Methods], table_Methods[[#This Row],[ID]]) &gt; 0</f>
        <v>1</v>
      </c>
      <c r="H298">
        <f t="shared" ca="1" si="27"/>
        <v>2124</v>
      </c>
      <c r="I298">
        <f t="shared" ca="1" si="28"/>
        <v>40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4"/>
        <v>6300</v>
      </c>
      <c r="E299">
        <f t="shared" ca="1" si="25"/>
        <v>-60</v>
      </c>
      <c r="F299">
        <f t="shared" ca="1" si="26"/>
        <v>520</v>
      </c>
      <c r="G299" s="3" t="b">
        <f>COUNTIF(dict_zul_Var_Meth[ID_Methods], table_Methods[[#This Row],[ID]]) &gt; 0</f>
        <v>1</v>
      </c>
      <c r="H299">
        <f t="shared" ca="1" si="27"/>
        <v>1188</v>
      </c>
      <c r="I299">
        <f t="shared" ca="1" si="28"/>
        <v>800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4"/>
        <v>290</v>
      </c>
      <c r="E300">
        <f t="shared" ca="1" si="25"/>
        <v>-60</v>
      </c>
      <c r="F300">
        <f t="shared" ca="1" si="26"/>
        <v>540</v>
      </c>
      <c r="G300" s="3" t="b">
        <f>COUNTIF(dict_zul_Var_Meth[ID_Methods], table_Methods[[#This Row],[ID]]) &gt; 0</f>
        <v>1</v>
      </c>
      <c r="H300">
        <f t="shared" ca="1" si="27"/>
        <v>1479</v>
      </c>
      <c r="I300">
        <f t="shared" ca="1" si="28"/>
        <v>101376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4"/>
        <v>30</v>
      </c>
      <c r="E301">
        <f t="shared" ca="1" si="25"/>
        <v>-70</v>
      </c>
      <c r="F301">
        <f t="shared" ca="1" si="26"/>
        <v>340</v>
      </c>
      <c r="G301" s="3" t="b">
        <f>COUNTIF(dict_zul_Var_Meth[ID_Methods], table_Methods[[#This Row],[ID]]) &gt; 0</f>
        <v>1</v>
      </c>
      <c r="H301">
        <f t="shared" ca="1" si="27"/>
        <v>5424</v>
      </c>
      <c r="I301">
        <f t="shared" ca="1" si="28"/>
        <v>2048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4"/>
        <v>410</v>
      </c>
      <c r="E302">
        <f t="shared" ca="1" si="25"/>
        <v>-50</v>
      </c>
      <c r="F302">
        <f t="shared" ca="1" si="26"/>
        <v>190</v>
      </c>
      <c r="G302" s="3" t="b">
        <f>COUNTIF(dict_zul_Var_Meth[ID_Methods], table_Methods[[#This Row],[ID]]) &gt; 0</f>
        <v>1</v>
      </c>
      <c r="H302">
        <f t="shared" ca="1" si="27"/>
        <v>16947</v>
      </c>
      <c r="I302">
        <f t="shared" ca="1" si="28"/>
        <v>640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4"/>
        <v>2900</v>
      </c>
      <c r="E303">
        <f t="shared" ca="1" si="25"/>
        <v>-100</v>
      </c>
      <c r="F303">
        <f t="shared" ca="1" si="26"/>
        <v>200</v>
      </c>
      <c r="G303" s="3" t="b">
        <f>COUNTIF(dict_zul_Var_Meth[ID_Methods], table_Methods[[#This Row],[ID]]) &gt; 0</f>
        <v>1</v>
      </c>
      <c r="H303">
        <f t="shared" ca="1" si="27"/>
        <v>19408</v>
      </c>
      <c r="I303">
        <f t="shared" ca="1" si="28"/>
        <v>1984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4"/>
        <v>500</v>
      </c>
      <c r="E304">
        <f t="shared" ca="1" si="25"/>
        <v>-50</v>
      </c>
      <c r="F304">
        <f t="shared" ca="1" si="26"/>
        <v>120</v>
      </c>
      <c r="G304" s="3" t="b">
        <f>COUNTIF(dict_zul_Var_Meth[ID_Methods], table_Methods[[#This Row],[ID]]) &gt; 0</f>
        <v>1</v>
      </c>
      <c r="H304">
        <f t="shared" ca="1" si="27"/>
        <v>46380</v>
      </c>
      <c r="I304">
        <f t="shared" ca="1" si="28"/>
        <v>1504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4"/>
        <v>800</v>
      </c>
      <c r="E305">
        <f t="shared" ca="1" si="25"/>
        <v>-80</v>
      </c>
      <c r="F305">
        <f t="shared" ca="1" si="26"/>
        <v>430</v>
      </c>
      <c r="G305" s="3" t="b">
        <f>COUNTIF(dict_zul_Var_Meth[ID_Methods], table_Methods[[#This Row],[ID]]) &gt; 0</f>
        <v>1</v>
      </c>
      <c r="H305">
        <f t="shared" ca="1" si="27"/>
        <v>17235</v>
      </c>
      <c r="I305">
        <f t="shared" ca="1" si="28"/>
        <v>108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4"/>
        <v>920</v>
      </c>
      <c r="E306">
        <f t="shared" ca="1" si="25"/>
        <v>20</v>
      </c>
      <c r="F306">
        <f t="shared" ca="1" si="26"/>
        <v>270</v>
      </c>
      <c r="G306" s="3" t="b">
        <f>COUNTIF(dict_zul_Var_Meth[ID_Methods], table_Methods[[#This Row],[ID]]) &gt; 0</f>
        <v>1</v>
      </c>
      <c r="H306">
        <f t="shared" ca="1" si="27"/>
        <v>206</v>
      </c>
      <c r="I306">
        <f t="shared" ca="1" si="28"/>
        <v>168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4"/>
        <v>1000</v>
      </c>
      <c r="E307">
        <f t="shared" ca="1" si="25"/>
        <v>0</v>
      </c>
      <c r="F307">
        <f t="shared" ca="1" si="26"/>
        <v>120</v>
      </c>
      <c r="G307" s="3" t="b">
        <f>COUNTIF(dict_zul_Var_Meth[ID_Methods], table_Methods[[#This Row],[ID]]) &gt; 0</f>
        <v>1</v>
      </c>
      <c r="H307">
        <f t="shared" ca="1" si="27"/>
        <v>12336</v>
      </c>
      <c r="I307">
        <f t="shared" ca="1" si="28"/>
        <v>61440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4"/>
        <v>150</v>
      </c>
      <c r="E308">
        <f t="shared" ca="1" si="25"/>
        <v>20</v>
      </c>
      <c r="F308">
        <f t="shared" ca="1" si="26"/>
        <v>440</v>
      </c>
      <c r="G308" s="3" t="b">
        <f>COUNTIF(dict_zul_Var_Meth[ID_Methods], table_Methods[[#This Row],[ID]]) &gt; 0</f>
        <v>1</v>
      </c>
      <c r="H308">
        <f t="shared" ca="1" si="27"/>
        <v>21665</v>
      </c>
      <c r="I308">
        <f t="shared" ca="1" si="28"/>
        <v>192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4"/>
        <v>42</v>
      </c>
      <c r="E309">
        <f t="shared" ca="1" si="25"/>
        <v>-30</v>
      </c>
      <c r="F309">
        <f t="shared" ca="1" si="26"/>
        <v>850</v>
      </c>
      <c r="G309" s="3" t="b">
        <f>COUNTIF(dict_zul_Var_Meth[ID_Methods], table_Methods[[#This Row],[ID]]) &gt; 0</f>
        <v>1</v>
      </c>
      <c r="H309">
        <f t="shared" ca="1" si="27"/>
        <v>10240</v>
      </c>
      <c r="I309">
        <f t="shared" ca="1" si="28"/>
        <v>4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4"/>
        <v>100</v>
      </c>
      <c r="E310">
        <f t="shared" ca="1" si="25"/>
        <v>10</v>
      </c>
      <c r="F310">
        <f t="shared" ca="1" si="26"/>
        <v>710</v>
      </c>
      <c r="G310" s="3" t="b">
        <f>COUNTIF(dict_zul_Var_Meth[ID_Methods], table_Methods[[#This Row],[ID]]) &gt; 0</f>
        <v>1</v>
      </c>
      <c r="H310">
        <f t="shared" ca="1" si="27"/>
        <v>10900</v>
      </c>
      <c r="I310">
        <f t="shared" ca="1" si="28"/>
        <v>19200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4"/>
        <v>490</v>
      </c>
      <c r="E311">
        <f t="shared" ca="1" si="25"/>
        <v>-90</v>
      </c>
      <c r="F311">
        <f t="shared" ca="1" si="26"/>
        <v>520</v>
      </c>
      <c r="G311" s="3" t="b">
        <f>COUNTIF(dict_zul_Var_Meth[ID_Methods], table_Methods[[#This Row],[ID]]) &gt; 0</f>
        <v>1</v>
      </c>
      <c r="H311">
        <f t="shared" ca="1" si="27"/>
        <v>25242</v>
      </c>
      <c r="I311">
        <f t="shared" ca="1" si="28"/>
        <v>1568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4"/>
        <v>1400</v>
      </c>
      <c r="E312">
        <f t="shared" ca="1" si="25"/>
        <v>-50</v>
      </c>
      <c r="F312">
        <f t="shared" ca="1" si="26"/>
        <v>550</v>
      </c>
      <c r="G312" s="3" t="b">
        <f>COUNTIF(dict_zul_Var_Meth[ID_Methods], table_Methods[[#This Row],[ID]]) &gt; 0</f>
        <v>1</v>
      </c>
      <c r="H312">
        <f t="shared" ca="1" si="27"/>
        <v>3060</v>
      </c>
      <c r="I312">
        <f t="shared" ca="1" si="28"/>
        <v>2656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4"/>
        <v>800</v>
      </c>
      <c r="E313">
        <f t="shared" ca="1" si="25"/>
        <v>-70</v>
      </c>
      <c r="F313">
        <f t="shared" ca="1" si="26"/>
        <v>750</v>
      </c>
      <c r="G313" s="3" t="b">
        <f>COUNTIF(dict_zul_Var_Meth[ID_Methods], table_Methods[[#This Row],[ID]]) &gt; 0</f>
        <v>1</v>
      </c>
      <c r="H313">
        <f t="shared" ca="1" si="27"/>
        <v>3161</v>
      </c>
      <c r="I313">
        <f t="shared" ca="1" si="28"/>
        <v>992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4"/>
        <v>1600</v>
      </c>
      <c r="E314">
        <f t="shared" ca="1" si="25"/>
        <v>-80</v>
      </c>
      <c r="F314">
        <f t="shared" ca="1" si="26"/>
        <v>820</v>
      </c>
      <c r="G314" s="3" t="b">
        <f>COUNTIF(dict_zul_Var_Meth[ID_Methods], table_Methods[[#This Row],[ID]]) &gt; 0</f>
        <v>1</v>
      </c>
      <c r="H314">
        <f t="shared" ca="1" si="27"/>
        <v>9800</v>
      </c>
      <c r="I314">
        <f t="shared" ca="1" si="28"/>
        <v>192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4"/>
        <v>66</v>
      </c>
      <c r="E315">
        <f t="shared" ca="1" si="25"/>
        <v>-20</v>
      </c>
      <c r="F315">
        <f t="shared" ca="1" si="26"/>
        <v>770</v>
      </c>
      <c r="G315" s="3" t="b">
        <f>COUNTIF(dict_zul_Var_Meth[ID_Methods], table_Methods[[#This Row],[ID]]) &gt; 0</f>
        <v>1</v>
      </c>
      <c r="H315">
        <f t="shared" ca="1" si="27"/>
        <v>13134</v>
      </c>
      <c r="I315">
        <f t="shared" ca="1" si="28"/>
        <v>34816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4"/>
        <v>490</v>
      </c>
      <c r="E316">
        <f t="shared" ca="1" si="25"/>
        <v>-20</v>
      </c>
      <c r="F316">
        <f t="shared" ca="1" si="26"/>
        <v>130</v>
      </c>
      <c r="G316" s="3" t="b">
        <f>COUNTIF(dict_zul_Var_Meth[ID_Methods], table_Methods[[#This Row],[ID]]) &gt; 0</f>
        <v>1</v>
      </c>
      <c r="H316">
        <f t="shared" ca="1" si="27"/>
        <v>9890</v>
      </c>
      <c r="I316">
        <f t="shared" ca="1" si="28"/>
        <v>19456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4"/>
        <v>530</v>
      </c>
      <c r="E317">
        <f t="shared" ca="1" si="25"/>
        <v>-70</v>
      </c>
      <c r="F317">
        <f t="shared" ca="1" si="26"/>
        <v>620</v>
      </c>
      <c r="G317" s="3" t="b">
        <f>COUNTIF(dict_zul_Var_Meth[ID_Methods], table_Methods[[#This Row],[ID]]) &gt; 0</f>
        <v>1</v>
      </c>
      <c r="H317">
        <f t="shared" ca="1" si="27"/>
        <v>8808</v>
      </c>
      <c r="I317">
        <f t="shared" ca="1" si="28"/>
        <v>152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4"/>
        <v>740</v>
      </c>
      <c r="E318">
        <f t="shared" ca="1" si="25"/>
        <v>-60</v>
      </c>
      <c r="F318">
        <f t="shared" ca="1" si="26"/>
        <v>600</v>
      </c>
      <c r="G318" s="3" t="b">
        <f>COUNTIF(dict_zul_Var_Meth[ID_Methods], table_Methods[[#This Row],[ID]]) &gt; 0</f>
        <v>1</v>
      </c>
      <c r="H318">
        <f t="shared" ca="1" si="27"/>
        <v>2723</v>
      </c>
      <c r="I318">
        <f t="shared" ca="1" si="28"/>
        <v>256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4"/>
        <v>68</v>
      </c>
      <c r="E319">
        <f t="shared" ca="1" si="25"/>
        <v>0</v>
      </c>
      <c r="F319">
        <f t="shared" ca="1" si="26"/>
        <v>210</v>
      </c>
      <c r="G319" s="3" t="b">
        <f>COUNTIF(dict_zul_Var_Meth[ID_Methods], table_Methods[[#This Row],[ID]]) &gt; 0</f>
        <v>1</v>
      </c>
      <c r="H319">
        <f t="shared" ca="1" si="27"/>
        <v>4036</v>
      </c>
      <c r="I319">
        <f t="shared" ca="1" si="28"/>
        <v>35840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4"/>
        <v>1600</v>
      </c>
      <c r="E320">
        <f t="shared" ca="1" si="25"/>
        <v>-90</v>
      </c>
      <c r="F320">
        <f t="shared" ca="1" si="26"/>
        <v>960</v>
      </c>
      <c r="G320" s="3" t="b">
        <f>COUNTIF(dict_zul_Var_Meth[ID_Methods], table_Methods[[#This Row],[ID]]) &gt; 0</f>
        <v>1</v>
      </c>
      <c r="H320">
        <f t="shared" ca="1" si="27"/>
        <v>7692</v>
      </c>
      <c r="I320">
        <f t="shared" ca="1" si="28"/>
        <v>1120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4"/>
        <v>64</v>
      </c>
      <c r="E321">
        <f t="shared" ca="1" si="25"/>
        <v>-30</v>
      </c>
      <c r="F321">
        <f t="shared" ca="1" si="26"/>
        <v>970</v>
      </c>
      <c r="G321" s="3" t="b">
        <f>COUNTIF(dict_zul_Var_Meth[ID_Methods], table_Methods[[#This Row],[ID]]) &gt; 0</f>
        <v>1</v>
      </c>
      <c r="H321">
        <f t="shared" ca="1" si="27"/>
        <v>23624</v>
      </c>
      <c r="I321">
        <f t="shared" ca="1" si="28"/>
        <v>24320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29">10^(RANDBETWEEN(-1,1))*RANDBETWEEN(1,100)*10</f>
        <v>75</v>
      </c>
      <c r="E322">
        <f t="shared" ca="1" si="25"/>
        <v>30</v>
      </c>
      <c r="F322">
        <f t="shared" ca="1" si="26"/>
        <v>250</v>
      </c>
      <c r="G322" s="3" t="b">
        <f>COUNTIF(dict_zul_Var_Meth[ID_Methods], table_Methods[[#This Row],[ID]]) &gt; 0</f>
        <v>1</v>
      </c>
      <c r="H322">
        <f t="shared" ca="1" si="27"/>
        <v>536</v>
      </c>
      <c r="I322">
        <f t="shared" ca="1" si="28"/>
        <v>45568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29"/>
        <v>8000</v>
      </c>
      <c r="E323">
        <f t="shared" ca="1" si="25"/>
        <v>30</v>
      </c>
      <c r="F323">
        <f t="shared" ca="1" si="26"/>
        <v>620</v>
      </c>
      <c r="G323" s="3" t="b">
        <f>COUNTIF(dict_zul_Var_Meth[ID_Methods], table_Methods[[#This Row],[ID]]) &gt; 0</f>
        <v>1</v>
      </c>
      <c r="H323">
        <f t="shared" ca="1" si="27"/>
        <v>1872</v>
      </c>
      <c r="I323">
        <f t="shared" ca="1" si="28"/>
        <v>24832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29"/>
        <v>3700</v>
      </c>
      <c r="E324">
        <f t="shared" ca="1" si="25"/>
        <v>-100</v>
      </c>
      <c r="F324">
        <f t="shared" ca="1" si="26"/>
        <v>420</v>
      </c>
      <c r="G324" s="3" t="b">
        <f>COUNTIF(dict_zul_Var_Meth[ID_Methods], table_Methods[[#This Row],[ID]]) &gt; 0</f>
        <v>1</v>
      </c>
      <c r="H324">
        <f t="shared" ca="1" si="27"/>
        <v>803</v>
      </c>
      <c r="I324">
        <f t="shared" ca="1" si="28"/>
        <v>4928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29"/>
        <v>3700</v>
      </c>
      <c r="E325">
        <f t="shared" ca="1" si="25"/>
        <v>-60</v>
      </c>
      <c r="F325">
        <f t="shared" ca="1" si="26"/>
        <v>50</v>
      </c>
      <c r="G325" s="3" t="b">
        <f>COUNTIF(dict_zul_Var_Meth[ID_Methods], table_Methods[[#This Row],[ID]]) &gt; 0</f>
        <v>1</v>
      </c>
      <c r="H325">
        <f t="shared" ca="1" si="27"/>
        <v>10392</v>
      </c>
      <c r="I325">
        <f t="shared" ca="1" si="28"/>
        <v>28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29"/>
        <v>8400</v>
      </c>
      <c r="E326">
        <f t="shared" ca="1" si="25"/>
        <v>-10</v>
      </c>
      <c r="F326">
        <f t="shared" ca="1" si="26"/>
        <v>980</v>
      </c>
      <c r="G326" s="3" t="b">
        <f>COUNTIF(dict_zul_Var_Meth[ID_Methods], table_Methods[[#This Row],[ID]]) &gt; 0</f>
        <v>1</v>
      </c>
      <c r="H326">
        <f t="shared" ca="1" si="27"/>
        <v>36360</v>
      </c>
      <c r="I326">
        <f t="shared" ca="1" si="28"/>
        <v>1792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29"/>
        <v>4</v>
      </c>
      <c r="E327">
        <f t="shared" ca="1" si="25"/>
        <v>-60</v>
      </c>
      <c r="F327">
        <f t="shared" ca="1" si="26"/>
        <v>50</v>
      </c>
      <c r="G327" s="3" t="b">
        <f>COUNTIF(dict_zul_Var_Meth[ID_Methods], table_Methods[[#This Row],[ID]]) &gt; 0</f>
        <v>1</v>
      </c>
      <c r="H327">
        <f t="shared" ca="1" si="27"/>
        <v>20041</v>
      </c>
      <c r="I327">
        <f t="shared" ca="1" si="28"/>
        <v>66560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29"/>
        <v>640</v>
      </c>
      <c r="E328">
        <f t="shared" ca="1" si="25"/>
        <v>-50</v>
      </c>
      <c r="F328">
        <f t="shared" ca="1" si="26"/>
        <v>30</v>
      </c>
      <c r="G328" s="3" t="b">
        <f>COUNTIF(dict_zul_Var_Meth[ID_Methods], table_Methods[[#This Row],[ID]]) &gt; 0</f>
        <v>1</v>
      </c>
      <c r="H328">
        <f t="shared" ca="1" si="27"/>
        <v>18324</v>
      </c>
      <c r="I328">
        <f t="shared" ca="1" si="28"/>
        <v>368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29"/>
        <v>250</v>
      </c>
      <c r="E329">
        <f t="shared" ca="1" si="25"/>
        <v>-10</v>
      </c>
      <c r="F329">
        <f t="shared" ca="1" si="26"/>
        <v>820</v>
      </c>
      <c r="G329" s="3" t="b">
        <f>COUNTIF(dict_zul_Var_Meth[ID_Methods], table_Methods[[#This Row],[ID]]) &gt; 0</f>
        <v>1</v>
      </c>
      <c r="H329">
        <f t="shared" ca="1" si="27"/>
        <v>6534</v>
      </c>
      <c r="I329">
        <f t="shared" ca="1" si="28"/>
        <v>2528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29"/>
        <v>600</v>
      </c>
      <c r="E330">
        <f t="shared" ca="1" si="25"/>
        <v>-10</v>
      </c>
      <c r="F330">
        <f t="shared" ca="1" si="26"/>
        <v>270</v>
      </c>
      <c r="G330" s="3" t="b">
        <f>COUNTIF(dict_zul_Var_Meth[ID_Methods], table_Methods[[#This Row],[ID]]) &gt; 0</f>
        <v>1</v>
      </c>
      <c r="H330">
        <f t="shared" ca="1" si="27"/>
        <v>13146</v>
      </c>
      <c r="I330">
        <f t="shared" ca="1" si="28"/>
        <v>5760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29"/>
        <v>260</v>
      </c>
      <c r="E331">
        <f t="shared" ca="1" si="25"/>
        <v>-100</v>
      </c>
      <c r="F331">
        <f t="shared" ca="1" si="26"/>
        <v>780</v>
      </c>
      <c r="G331" s="3" t="b">
        <f>COUNTIF(dict_zul_Var_Meth[ID_Methods], table_Methods[[#This Row],[ID]]) &gt; 0</f>
        <v>1</v>
      </c>
      <c r="H331">
        <f t="shared" ca="1" si="27"/>
        <v>9732</v>
      </c>
      <c r="I331">
        <f t="shared" ca="1" si="28"/>
        <v>42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29"/>
        <v>510</v>
      </c>
      <c r="E332">
        <f t="shared" ca="1" si="25"/>
        <v>-70</v>
      </c>
      <c r="F332">
        <f t="shared" ca="1" si="26"/>
        <v>340</v>
      </c>
      <c r="G332" s="3" t="b">
        <f>COUNTIF(dict_zul_Var_Meth[ID_Methods], table_Methods[[#This Row],[ID]]) &gt; 0</f>
        <v>1</v>
      </c>
      <c r="H332">
        <f t="shared" ca="1" si="27"/>
        <v>43700</v>
      </c>
      <c r="I332">
        <f t="shared" ca="1" si="28"/>
        <v>5120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29"/>
        <v>3100</v>
      </c>
      <c r="E333">
        <f t="shared" ca="1" si="25"/>
        <v>20</v>
      </c>
      <c r="F333">
        <f t="shared" ca="1" si="26"/>
        <v>140</v>
      </c>
      <c r="G333" s="3" t="b">
        <f>COUNTIF(dict_zul_Var_Meth[ID_Methods], table_Methods[[#This Row],[ID]]) &gt; 0</f>
        <v>1</v>
      </c>
      <c r="H333">
        <f t="shared" ca="1" si="27"/>
        <v>28672</v>
      </c>
      <c r="I333">
        <f t="shared" ca="1" si="28"/>
        <v>12032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29"/>
        <v>4500</v>
      </c>
      <c r="E334">
        <f t="shared" ca="1" si="25"/>
        <v>-40</v>
      </c>
      <c r="F334">
        <f t="shared" ca="1" si="26"/>
        <v>840</v>
      </c>
      <c r="G334" s="3" t="b">
        <f>COUNTIF(dict_zul_Var_Meth[ID_Methods], table_Methods[[#This Row],[ID]]) &gt; 0</f>
        <v>1</v>
      </c>
      <c r="H334">
        <f t="shared" ca="1" si="27"/>
        <v>30040</v>
      </c>
      <c r="I334">
        <f t="shared" ca="1" si="28"/>
        <v>10752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29"/>
        <v>50</v>
      </c>
      <c r="E335">
        <f t="shared" ca="1" si="25"/>
        <v>0</v>
      </c>
      <c r="F335">
        <f t="shared" ca="1" si="26"/>
        <v>720</v>
      </c>
      <c r="G335" s="3" t="b">
        <f>COUNTIF(dict_zul_Var_Meth[ID_Methods], table_Methods[[#This Row],[ID]]) &gt; 0</f>
        <v>1</v>
      </c>
      <c r="H335">
        <f t="shared" ca="1" si="27"/>
        <v>2638</v>
      </c>
      <c r="I335">
        <f t="shared" ca="1" si="28"/>
        <v>896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29"/>
        <v>60</v>
      </c>
      <c r="E336">
        <f t="shared" ca="1" si="25"/>
        <v>-30</v>
      </c>
      <c r="F336">
        <f t="shared" ca="1" si="26"/>
        <v>790</v>
      </c>
      <c r="G336" s="3" t="b">
        <f>COUNTIF(dict_zul_Var_Meth[ID_Methods], table_Methods[[#This Row],[ID]]) &gt; 0</f>
        <v>1</v>
      </c>
      <c r="H336">
        <f t="shared" ca="1" si="27"/>
        <v>9676</v>
      </c>
      <c r="I336">
        <f t="shared" ca="1" si="28"/>
        <v>10240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29"/>
        <v>840</v>
      </c>
      <c r="E337">
        <f t="shared" ca="1" si="25"/>
        <v>30</v>
      </c>
      <c r="F337">
        <f t="shared" ca="1" si="26"/>
        <v>20</v>
      </c>
      <c r="G337" s="3" t="b">
        <f>COUNTIF(dict_zul_Var_Meth[ID_Methods], table_Methods[[#This Row],[ID]]) &gt; 0</f>
        <v>1</v>
      </c>
      <c r="H337">
        <f t="shared" ca="1" si="27"/>
        <v>1811</v>
      </c>
      <c r="I337">
        <f t="shared" ca="1" si="28"/>
        <v>224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29"/>
        <v>7100</v>
      </c>
      <c r="E338">
        <f t="shared" ca="1" si="25"/>
        <v>20</v>
      </c>
      <c r="F338">
        <f t="shared" ca="1" si="26"/>
        <v>860</v>
      </c>
      <c r="G338" s="3" t="b">
        <f>COUNTIF(dict_zul_Var_Meth[ID_Methods], table_Methods[[#This Row],[ID]]) &gt; 0</f>
        <v>1</v>
      </c>
      <c r="H338">
        <f t="shared" ca="1" si="27"/>
        <v>10404</v>
      </c>
      <c r="I338">
        <f t="shared" ca="1" si="28"/>
        <v>3520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29"/>
        <v>55</v>
      </c>
      <c r="E339">
        <f t="shared" ca="1" si="25"/>
        <v>-50</v>
      </c>
      <c r="F339">
        <f t="shared" ca="1" si="26"/>
        <v>470</v>
      </c>
      <c r="G339" s="3" t="b">
        <f>COUNTIF(dict_zul_Var_Meth[ID_Methods], table_Methods[[#This Row],[ID]]) &gt; 0</f>
        <v>1</v>
      </c>
      <c r="H339">
        <f t="shared" ca="1" si="27"/>
        <v>12918</v>
      </c>
      <c r="I339">
        <f t="shared" ca="1" si="28"/>
        <v>17408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29"/>
        <v>95</v>
      </c>
      <c r="E340">
        <f t="shared" ca="1" si="25"/>
        <v>30</v>
      </c>
      <c r="F340">
        <f t="shared" ca="1" si="26"/>
        <v>580</v>
      </c>
      <c r="G340" s="3" t="b">
        <f>COUNTIF(dict_zul_Var_Meth[ID_Methods], table_Methods[[#This Row],[ID]]) &gt; 0</f>
        <v>1</v>
      </c>
      <c r="H340">
        <f t="shared" ca="1" si="27"/>
        <v>1456</v>
      </c>
      <c r="I340">
        <f t="shared" ca="1" si="28"/>
        <v>5504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29"/>
        <v>17</v>
      </c>
      <c r="E341">
        <f t="shared" ca="1" si="25"/>
        <v>-50</v>
      </c>
      <c r="F341">
        <f t="shared" ca="1" si="26"/>
        <v>350</v>
      </c>
      <c r="G341" s="3" t="b">
        <f>COUNTIF(dict_zul_Var_Meth[ID_Methods], table_Methods[[#This Row],[ID]]) &gt; 0</f>
        <v>1</v>
      </c>
      <c r="H341">
        <f t="shared" ca="1" si="27"/>
        <v>35424</v>
      </c>
      <c r="I341">
        <f t="shared" ca="1" si="28"/>
        <v>1552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29"/>
        <v>9200</v>
      </c>
      <c r="E342">
        <f t="shared" ca="1" si="25"/>
        <v>20</v>
      </c>
      <c r="F342">
        <f t="shared" ca="1" si="26"/>
        <v>200</v>
      </c>
      <c r="G342" s="3" t="b">
        <f>COUNTIF(dict_zul_Var_Meth[ID_Methods], table_Methods[[#This Row],[ID]]) &gt; 0</f>
        <v>1</v>
      </c>
      <c r="H342">
        <f t="shared" ca="1" si="27"/>
        <v>7722</v>
      </c>
      <c r="I342">
        <f t="shared" ca="1" si="28"/>
        <v>56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29"/>
        <v>37</v>
      </c>
      <c r="E343">
        <f t="shared" ca="1" si="25"/>
        <v>10</v>
      </c>
      <c r="F343">
        <f t="shared" ca="1" si="26"/>
        <v>680</v>
      </c>
      <c r="G343" s="3" t="b">
        <f>COUNTIF(dict_zul_Var_Meth[ID_Methods], table_Methods[[#This Row],[ID]]) &gt; 0</f>
        <v>1</v>
      </c>
      <c r="H343">
        <f t="shared" ca="1" si="27"/>
        <v>18672</v>
      </c>
      <c r="I343">
        <f t="shared" ca="1" si="28"/>
        <v>2048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29"/>
        <v>750</v>
      </c>
      <c r="E344">
        <f t="shared" ca="1" si="25"/>
        <v>-70</v>
      </c>
      <c r="F344">
        <f t="shared" ca="1" si="26"/>
        <v>520</v>
      </c>
      <c r="G344" s="3" t="b">
        <f>COUNTIF(dict_zul_Var_Meth[ID_Methods], table_Methods[[#This Row],[ID]]) &gt; 0</f>
        <v>1</v>
      </c>
      <c r="H344">
        <f t="shared" ca="1" si="27"/>
        <v>16375</v>
      </c>
      <c r="I344">
        <f t="shared" ca="1" si="28"/>
        <v>232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29"/>
        <v>5200</v>
      </c>
      <c r="E345">
        <f t="shared" ca="1" si="25"/>
        <v>0</v>
      </c>
      <c r="F345">
        <f t="shared" ca="1" si="26"/>
        <v>60</v>
      </c>
      <c r="G345" s="3" t="b">
        <f>COUNTIF(dict_zul_Var_Meth[ID_Methods], table_Methods[[#This Row],[ID]]) &gt; 0</f>
        <v>1</v>
      </c>
      <c r="H345">
        <f t="shared" ca="1" si="27"/>
        <v>16685</v>
      </c>
      <c r="I345">
        <f t="shared" ca="1" si="28"/>
        <v>6144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29"/>
        <v>6500</v>
      </c>
      <c r="E346">
        <f t="shared" ca="1" si="25"/>
        <v>30</v>
      </c>
      <c r="F346">
        <f t="shared" ca="1" si="26"/>
        <v>510</v>
      </c>
      <c r="G346" s="3" t="b">
        <f>COUNTIF(dict_zul_Var_Meth[ID_Methods], table_Methods[[#This Row],[ID]]) &gt; 0</f>
        <v>1</v>
      </c>
      <c r="H346">
        <f t="shared" ca="1" si="27"/>
        <v>292</v>
      </c>
      <c r="I346">
        <f t="shared" ca="1" si="28"/>
        <v>17152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29"/>
        <v>50</v>
      </c>
      <c r="E347">
        <f t="shared" ca="1" si="25"/>
        <v>-10</v>
      </c>
      <c r="F347">
        <f t="shared" ca="1" si="26"/>
        <v>630</v>
      </c>
      <c r="G347" s="3" t="b">
        <f>COUNTIF(dict_zul_Var_Meth[ID_Methods], table_Methods[[#This Row],[ID]]) &gt; 0</f>
        <v>1</v>
      </c>
      <c r="H347">
        <f t="shared" ca="1" si="27"/>
        <v>38896</v>
      </c>
      <c r="I347">
        <f t="shared" ca="1" si="28"/>
        <v>65536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29"/>
        <v>87.000000000000014</v>
      </c>
      <c r="E348">
        <f t="shared" ca="1" si="25"/>
        <v>-40</v>
      </c>
      <c r="F348">
        <f t="shared" ca="1" si="26"/>
        <v>360</v>
      </c>
      <c r="G348" s="3" t="b">
        <f>COUNTIF(dict_zul_Var_Meth[ID_Methods], table_Methods[[#This Row],[ID]]) &gt; 0</f>
        <v>1</v>
      </c>
      <c r="H348">
        <f t="shared" ca="1" si="27"/>
        <v>11840</v>
      </c>
      <c r="I348">
        <f t="shared" ca="1" si="28"/>
        <v>896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29"/>
        <v>42</v>
      </c>
      <c r="E349">
        <f t="shared" ca="1" si="25"/>
        <v>-30</v>
      </c>
      <c r="F349">
        <f t="shared" ca="1" si="26"/>
        <v>820</v>
      </c>
      <c r="G349" s="3" t="b">
        <f>COUNTIF(dict_zul_Var_Meth[ID_Methods], table_Methods[[#This Row],[ID]]) &gt; 0</f>
        <v>1</v>
      </c>
      <c r="H349">
        <f t="shared" ca="1" si="27"/>
        <v>29832</v>
      </c>
      <c r="I349">
        <f t="shared" ca="1" si="28"/>
        <v>64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29"/>
        <v>770</v>
      </c>
      <c r="E350">
        <f t="shared" ca="1" si="25"/>
        <v>20</v>
      </c>
      <c r="F350">
        <f t="shared" ca="1" si="26"/>
        <v>310</v>
      </c>
      <c r="G350" s="3" t="b">
        <f>COUNTIF(dict_zul_Var_Meth[ID_Methods], table_Methods[[#This Row],[ID]]) &gt; 0</f>
        <v>1</v>
      </c>
      <c r="H350">
        <f t="shared" ca="1" si="27"/>
        <v>12664</v>
      </c>
      <c r="I350">
        <f t="shared" ca="1" si="28"/>
        <v>656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29"/>
        <v>32</v>
      </c>
      <c r="E351">
        <f t="shared" ca="1" si="25"/>
        <v>-20</v>
      </c>
      <c r="F351">
        <f t="shared" ca="1" si="26"/>
        <v>650</v>
      </c>
      <c r="G351" s="3" t="b">
        <f>COUNTIF(dict_zul_Var_Meth[ID_Methods], table_Methods[[#This Row],[ID]]) &gt; 0</f>
        <v>1</v>
      </c>
      <c r="H351">
        <f t="shared" ca="1" si="27"/>
        <v>3857</v>
      </c>
      <c r="I351">
        <f t="shared" ca="1" si="28"/>
        <v>19968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29"/>
        <v>550</v>
      </c>
      <c r="E352">
        <f t="shared" ca="1" si="25"/>
        <v>0</v>
      </c>
      <c r="F352">
        <f t="shared" ca="1" si="26"/>
        <v>730</v>
      </c>
      <c r="G352" s="3" t="b">
        <f>COUNTIF(dict_zul_Var_Meth[ID_Methods], table_Methods[[#This Row],[ID]]) &gt; 0</f>
        <v>1</v>
      </c>
      <c r="H352">
        <f t="shared" ca="1" si="27"/>
        <v>5406</v>
      </c>
      <c r="I352">
        <f t="shared" ca="1" si="28"/>
        <v>2432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29"/>
        <v>2900</v>
      </c>
      <c r="E353">
        <f t="shared" ca="1" si="25"/>
        <v>-20</v>
      </c>
      <c r="F353">
        <f t="shared" ca="1" si="26"/>
        <v>840</v>
      </c>
      <c r="G353" s="3" t="b">
        <f>COUNTIF(dict_zul_Var_Meth[ID_Methods], table_Methods[[#This Row],[ID]]) &gt; 0</f>
        <v>1</v>
      </c>
      <c r="H353">
        <f t="shared" ca="1" si="27"/>
        <v>1725</v>
      </c>
      <c r="I353">
        <f t="shared" ca="1" si="28"/>
        <v>118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29"/>
        <v>860</v>
      </c>
      <c r="E354">
        <f t="shared" ca="1" si="25"/>
        <v>10</v>
      </c>
      <c r="F354">
        <f t="shared" ca="1" si="26"/>
        <v>40</v>
      </c>
      <c r="G354" s="3" t="b">
        <f>COUNTIF(dict_zul_Var_Meth[ID_Methods], table_Methods[[#This Row],[ID]]) &gt; 0</f>
        <v>1</v>
      </c>
      <c r="H354">
        <f t="shared" ca="1" si="27"/>
        <v>3000</v>
      </c>
      <c r="I354">
        <f t="shared" ca="1" si="28"/>
        <v>4608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29"/>
        <v>6400</v>
      </c>
      <c r="E355">
        <f t="shared" ca="1" si="25"/>
        <v>10</v>
      </c>
      <c r="F355">
        <f t="shared" ca="1" si="26"/>
        <v>590</v>
      </c>
      <c r="G355" s="3" t="b">
        <f>COUNTIF(dict_zul_Var_Meth[ID_Methods], table_Methods[[#This Row],[ID]]) &gt; 0</f>
        <v>1</v>
      </c>
      <c r="H355">
        <f t="shared" ca="1" si="27"/>
        <v>9408</v>
      </c>
      <c r="I355">
        <f t="shared" ca="1" si="28"/>
        <v>9728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29"/>
        <v>61.000000000000007</v>
      </c>
      <c r="E356">
        <f t="shared" ref="E356:E419" ca="1" si="30">RANDBETWEEN(-10,3)*10</f>
        <v>-10</v>
      </c>
      <c r="F356">
        <f t="shared" ref="F356:F419" ca="1" si="31">RANDBETWEEN(2,100)*10</f>
        <v>430</v>
      </c>
      <c r="G356" s="3" t="b">
        <f>COUNTIF(dict_zul_Var_Meth[ID_Methods], table_Methods[[#This Row],[ID]]) &gt; 0</f>
        <v>1</v>
      </c>
      <c r="H356">
        <f t="shared" ref="H356:H419" ca="1" si="32">RANDBETWEEN(1,10)*RANDBETWEEN(1,5000)</f>
        <v>870</v>
      </c>
      <c r="I356">
        <f t="shared" ref="I356:I419" ca="1" si="33">2^RANDBETWEEN(1,10)*RANDBETWEEN(1,100)</f>
        <v>328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29"/>
        <v>150</v>
      </c>
      <c r="E357">
        <f t="shared" ca="1" si="30"/>
        <v>-10</v>
      </c>
      <c r="F357">
        <f t="shared" ca="1" si="31"/>
        <v>530</v>
      </c>
      <c r="G357" s="3" t="b">
        <f>COUNTIF(dict_zul_Var_Meth[ID_Methods], table_Methods[[#This Row],[ID]]) &gt; 0</f>
        <v>1</v>
      </c>
      <c r="H357">
        <f t="shared" ca="1" si="32"/>
        <v>2455</v>
      </c>
      <c r="I357">
        <f t="shared" ca="1" si="33"/>
        <v>44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29"/>
        <v>5900</v>
      </c>
      <c r="E358">
        <f t="shared" ca="1" si="30"/>
        <v>-60</v>
      </c>
      <c r="F358">
        <f t="shared" ca="1" si="31"/>
        <v>560</v>
      </c>
      <c r="G358" s="3" t="b">
        <f>COUNTIF(dict_zul_Var_Meth[ID_Methods], table_Methods[[#This Row],[ID]]) &gt; 0</f>
        <v>1</v>
      </c>
      <c r="H358">
        <f t="shared" ca="1" si="32"/>
        <v>28215</v>
      </c>
      <c r="I358">
        <f t="shared" ca="1" si="33"/>
        <v>640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29"/>
        <v>4500</v>
      </c>
      <c r="E359">
        <f t="shared" ca="1" si="30"/>
        <v>20</v>
      </c>
      <c r="F359">
        <f t="shared" ca="1" si="31"/>
        <v>870</v>
      </c>
      <c r="G359" s="3" t="b">
        <f>COUNTIF(dict_zul_Var_Meth[ID_Methods], table_Methods[[#This Row],[ID]]) &gt; 0</f>
        <v>1</v>
      </c>
      <c r="H359">
        <f t="shared" ca="1" si="32"/>
        <v>33310</v>
      </c>
      <c r="I359">
        <f t="shared" ca="1" si="33"/>
        <v>12800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29"/>
        <v>7000</v>
      </c>
      <c r="E360">
        <f t="shared" ca="1" si="30"/>
        <v>0</v>
      </c>
      <c r="F360">
        <f t="shared" ca="1" si="31"/>
        <v>950</v>
      </c>
      <c r="G360" s="3" t="b">
        <f>COUNTIF(dict_zul_Var_Meth[ID_Methods], table_Methods[[#This Row],[ID]]) &gt; 0</f>
        <v>1</v>
      </c>
      <c r="H360">
        <f t="shared" ca="1" si="32"/>
        <v>24970</v>
      </c>
      <c r="I360">
        <f t="shared" ca="1" si="33"/>
        <v>432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29"/>
        <v>870</v>
      </c>
      <c r="E361">
        <f t="shared" ca="1" si="30"/>
        <v>-10</v>
      </c>
      <c r="F361">
        <f t="shared" ca="1" si="31"/>
        <v>430</v>
      </c>
      <c r="G361" s="3" t="b">
        <f>COUNTIF(dict_zul_Var_Meth[ID_Methods], table_Methods[[#This Row],[ID]]) &gt; 0</f>
        <v>1</v>
      </c>
      <c r="H361">
        <f t="shared" ca="1" si="32"/>
        <v>2390</v>
      </c>
      <c r="I361">
        <f t="shared" ca="1" si="33"/>
        <v>20992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29"/>
        <v>30</v>
      </c>
      <c r="E362">
        <f t="shared" ca="1" si="30"/>
        <v>-100</v>
      </c>
      <c r="F362">
        <f t="shared" ca="1" si="31"/>
        <v>120</v>
      </c>
      <c r="G362" s="3" t="b">
        <f>COUNTIF(dict_zul_Var_Meth[ID_Methods], table_Methods[[#This Row],[ID]]) &gt; 0</f>
        <v>1</v>
      </c>
      <c r="H362">
        <f t="shared" ca="1" si="32"/>
        <v>2201</v>
      </c>
      <c r="I362">
        <f t="shared" ca="1" si="33"/>
        <v>11264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29"/>
        <v>750</v>
      </c>
      <c r="E363">
        <f t="shared" ca="1" si="30"/>
        <v>-50</v>
      </c>
      <c r="F363">
        <f t="shared" ca="1" si="31"/>
        <v>600</v>
      </c>
      <c r="G363" s="3" t="b">
        <f>COUNTIF(dict_zul_Var_Meth[ID_Methods], table_Methods[[#This Row],[ID]]) &gt; 0</f>
        <v>1</v>
      </c>
      <c r="H363">
        <f t="shared" ca="1" si="32"/>
        <v>1456</v>
      </c>
      <c r="I363">
        <f t="shared" ca="1" si="33"/>
        <v>20480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29"/>
        <v>100</v>
      </c>
      <c r="E364">
        <f t="shared" ca="1" si="30"/>
        <v>-90</v>
      </c>
      <c r="F364">
        <f t="shared" ca="1" si="31"/>
        <v>350</v>
      </c>
      <c r="G364" s="3" t="b">
        <f>COUNTIF(dict_zul_Var_Meth[ID_Methods], table_Methods[[#This Row],[ID]]) &gt; 0</f>
        <v>1</v>
      </c>
      <c r="H364">
        <f t="shared" ca="1" si="32"/>
        <v>16910</v>
      </c>
      <c r="I364">
        <f t="shared" ca="1" si="33"/>
        <v>82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29"/>
        <v>10000</v>
      </c>
      <c r="E365">
        <f t="shared" ca="1" si="30"/>
        <v>-80</v>
      </c>
      <c r="F365">
        <f t="shared" ca="1" si="31"/>
        <v>600</v>
      </c>
      <c r="G365" s="3" t="b">
        <f>COUNTIF(dict_zul_Var_Meth[ID_Methods], table_Methods[[#This Row],[ID]]) &gt; 0</f>
        <v>1</v>
      </c>
      <c r="H365">
        <f t="shared" ca="1" si="32"/>
        <v>21650</v>
      </c>
      <c r="I365">
        <f t="shared" ca="1" si="33"/>
        <v>84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29"/>
        <v>39</v>
      </c>
      <c r="E366">
        <f t="shared" ca="1" si="30"/>
        <v>-10</v>
      </c>
      <c r="F366">
        <f t="shared" ca="1" si="31"/>
        <v>130</v>
      </c>
      <c r="G366" s="3" t="b">
        <f>COUNTIF(dict_zul_Var_Meth[ID_Methods], table_Methods[[#This Row],[ID]]) &gt; 0</f>
        <v>1</v>
      </c>
      <c r="H366">
        <f t="shared" ca="1" si="32"/>
        <v>20230</v>
      </c>
      <c r="I366">
        <f t="shared" ca="1" si="33"/>
        <v>138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29"/>
        <v>40</v>
      </c>
      <c r="E367">
        <f t="shared" ca="1" si="30"/>
        <v>-70</v>
      </c>
      <c r="F367">
        <f t="shared" ca="1" si="31"/>
        <v>770</v>
      </c>
      <c r="G367" s="3" t="b">
        <f>COUNTIF(dict_zul_Var_Meth[ID_Methods], table_Methods[[#This Row],[ID]]) &gt; 0</f>
        <v>1</v>
      </c>
      <c r="H367">
        <f t="shared" ca="1" si="32"/>
        <v>700</v>
      </c>
      <c r="I367">
        <f t="shared" ca="1" si="33"/>
        <v>19456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29"/>
        <v>85</v>
      </c>
      <c r="E368">
        <f t="shared" ca="1" si="30"/>
        <v>0</v>
      </c>
      <c r="F368">
        <f t="shared" ca="1" si="31"/>
        <v>850</v>
      </c>
      <c r="G368" s="3" t="b">
        <f>COUNTIF(dict_zul_Var_Meth[ID_Methods], table_Methods[[#This Row],[ID]]) &gt; 0</f>
        <v>1</v>
      </c>
      <c r="H368">
        <f t="shared" ca="1" si="32"/>
        <v>735</v>
      </c>
      <c r="I368">
        <f t="shared" ca="1" si="33"/>
        <v>5632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29"/>
        <v>120</v>
      </c>
      <c r="E369">
        <f t="shared" ca="1" si="30"/>
        <v>-30</v>
      </c>
      <c r="F369">
        <f t="shared" ca="1" si="31"/>
        <v>720</v>
      </c>
      <c r="G369" s="3" t="b">
        <f>COUNTIF(dict_zul_Var_Meth[ID_Methods], table_Methods[[#This Row],[ID]]) &gt; 0</f>
        <v>1</v>
      </c>
      <c r="H369">
        <f t="shared" ca="1" si="32"/>
        <v>17590</v>
      </c>
      <c r="I369">
        <f t="shared" ca="1" si="33"/>
        <v>272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29"/>
        <v>5</v>
      </c>
      <c r="E370">
        <f t="shared" ca="1" si="30"/>
        <v>-80</v>
      </c>
      <c r="F370">
        <f t="shared" ca="1" si="31"/>
        <v>320</v>
      </c>
      <c r="G370" s="3" t="b">
        <f>COUNTIF(dict_zul_Var_Meth[ID_Methods], table_Methods[[#This Row],[ID]]) &gt; 0</f>
        <v>1</v>
      </c>
      <c r="H370">
        <f t="shared" ca="1" si="32"/>
        <v>10716</v>
      </c>
      <c r="I370">
        <f t="shared" ca="1" si="33"/>
        <v>5632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29"/>
        <v>8500</v>
      </c>
      <c r="E371">
        <f t="shared" ca="1" si="30"/>
        <v>10</v>
      </c>
      <c r="F371">
        <f t="shared" ca="1" si="31"/>
        <v>940</v>
      </c>
      <c r="G371" s="3" t="b">
        <f>COUNTIF(dict_zul_Var_Meth[ID_Methods], table_Methods[[#This Row],[ID]]) &gt; 0</f>
        <v>1</v>
      </c>
      <c r="H371">
        <f t="shared" ca="1" si="32"/>
        <v>2440</v>
      </c>
      <c r="I371">
        <f t="shared" ca="1" si="33"/>
        <v>3264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29"/>
        <v>3500</v>
      </c>
      <c r="E372">
        <f t="shared" ca="1" si="30"/>
        <v>20</v>
      </c>
      <c r="F372">
        <f t="shared" ca="1" si="31"/>
        <v>450</v>
      </c>
      <c r="G372" s="3" t="b">
        <f>COUNTIF(dict_zul_Var_Meth[ID_Methods], table_Methods[[#This Row],[ID]]) &gt; 0</f>
        <v>1</v>
      </c>
      <c r="H372">
        <f t="shared" ca="1" si="32"/>
        <v>2755</v>
      </c>
      <c r="I372">
        <f t="shared" ca="1" si="33"/>
        <v>8960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29"/>
        <v>8000</v>
      </c>
      <c r="E373">
        <f t="shared" ca="1" si="30"/>
        <v>20</v>
      </c>
      <c r="F373">
        <f t="shared" ca="1" si="31"/>
        <v>790</v>
      </c>
      <c r="G373" s="3" t="b">
        <f>COUNTIF(dict_zul_Var_Meth[ID_Methods], table_Methods[[#This Row],[ID]]) &gt; 0</f>
        <v>1</v>
      </c>
      <c r="H373">
        <f t="shared" ca="1" si="32"/>
        <v>24585</v>
      </c>
      <c r="I373">
        <f t="shared" ca="1" si="33"/>
        <v>23552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29"/>
        <v>60</v>
      </c>
      <c r="E374">
        <f t="shared" ca="1" si="30"/>
        <v>-100</v>
      </c>
      <c r="F374">
        <f t="shared" ca="1" si="31"/>
        <v>70</v>
      </c>
      <c r="G374" s="3" t="b">
        <f>COUNTIF(dict_zul_Var_Meth[ID_Methods], table_Methods[[#This Row],[ID]]) &gt; 0</f>
        <v>1</v>
      </c>
      <c r="H374">
        <f t="shared" ca="1" si="32"/>
        <v>8342</v>
      </c>
      <c r="I374">
        <f t="shared" ca="1" si="33"/>
        <v>6656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29"/>
        <v>20</v>
      </c>
      <c r="E375">
        <f t="shared" ca="1" si="30"/>
        <v>30</v>
      </c>
      <c r="F375">
        <f t="shared" ca="1" si="31"/>
        <v>390</v>
      </c>
      <c r="G375" s="3" t="b">
        <f>COUNTIF(dict_zul_Var_Meth[ID_Methods], table_Methods[[#This Row],[ID]]) &gt; 0</f>
        <v>1</v>
      </c>
      <c r="H375">
        <f t="shared" ca="1" si="32"/>
        <v>4426</v>
      </c>
      <c r="I375">
        <f t="shared" ca="1" si="33"/>
        <v>39936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29"/>
        <v>84</v>
      </c>
      <c r="E376">
        <f t="shared" ca="1" si="30"/>
        <v>-90</v>
      </c>
      <c r="F376">
        <f t="shared" ca="1" si="31"/>
        <v>810</v>
      </c>
      <c r="G376" s="3" t="b">
        <f>COUNTIF(dict_zul_Var_Meth[ID_Methods], table_Methods[[#This Row],[ID]]) &gt; 0</f>
        <v>1</v>
      </c>
      <c r="H376">
        <f t="shared" ca="1" si="32"/>
        <v>8764</v>
      </c>
      <c r="I376">
        <f t="shared" ca="1" si="33"/>
        <v>3712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29"/>
        <v>7500</v>
      </c>
      <c r="E377">
        <f t="shared" ca="1" si="30"/>
        <v>-80</v>
      </c>
      <c r="F377">
        <f t="shared" ca="1" si="31"/>
        <v>590</v>
      </c>
      <c r="G377" s="3" t="b">
        <f>COUNTIF(dict_zul_Var_Meth[ID_Methods], table_Methods[[#This Row],[ID]]) &gt; 0</f>
        <v>1</v>
      </c>
      <c r="H377">
        <f t="shared" ca="1" si="32"/>
        <v>14228</v>
      </c>
      <c r="I377">
        <f t="shared" ca="1" si="33"/>
        <v>168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29"/>
        <v>500</v>
      </c>
      <c r="E378">
        <f t="shared" ca="1" si="30"/>
        <v>-60</v>
      </c>
      <c r="F378">
        <f t="shared" ca="1" si="31"/>
        <v>950</v>
      </c>
      <c r="G378" s="3" t="b">
        <f>COUNTIF(dict_zul_Var_Meth[ID_Methods], table_Methods[[#This Row],[ID]]) &gt; 0</f>
        <v>1</v>
      </c>
      <c r="H378">
        <f t="shared" ca="1" si="32"/>
        <v>14224</v>
      </c>
      <c r="I378">
        <f t="shared" ca="1" si="33"/>
        <v>992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29"/>
        <v>890</v>
      </c>
      <c r="E379">
        <f t="shared" ca="1" si="30"/>
        <v>20</v>
      </c>
      <c r="F379">
        <f t="shared" ca="1" si="31"/>
        <v>960</v>
      </c>
      <c r="G379" s="3" t="b">
        <f>COUNTIF(dict_zul_Var_Meth[ID_Methods], table_Methods[[#This Row],[ID]]) &gt; 0</f>
        <v>1</v>
      </c>
      <c r="H379">
        <f t="shared" ca="1" si="32"/>
        <v>24280</v>
      </c>
      <c r="I379">
        <f t="shared" ca="1" si="33"/>
        <v>5376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29"/>
        <v>630</v>
      </c>
      <c r="E380">
        <f t="shared" ca="1" si="30"/>
        <v>-30</v>
      </c>
      <c r="F380">
        <f t="shared" ca="1" si="31"/>
        <v>980</v>
      </c>
      <c r="G380" s="3" t="b">
        <f>COUNTIF(dict_zul_Var_Meth[ID_Methods], table_Methods[[#This Row],[ID]]) &gt; 0</f>
        <v>1</v>
      </c>
      <c r="H380">
        <f t="shared" ca="1" si="32"/>
        <v>4338</v>
      </c>
      <c r="I380">
        <f t="shared" ca="1" si="33"/>
        <v>896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29"/>
        <v>930</v>
      </c>
      <c r="E381">
        <f t="shared" ca="1" si="30"/>
        <v>-70</v>
      </c>
      <c r="F381">
        <f t="shared" ca="1" si="31"/>
        <v>800</v>
      </c>
      <c r="G381" s="3" t="b">
        <f>COUNTIF(dict_zul_Var_Meth[ID_Methods], table_Methods[[#This Row],[ID]]) &gt; 0</f>
        <v>1</v>
      </c>
      <c r="H381">
        <f t="shared" ca="1" si="32"/>
        <v>16825</v>
      </c>
      <c r="I381">
        <f t="shared" ca="1" si="33"/>
        <v>60416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29"/>
        <v>18</v>
      </c>
      <c r="E382">
        <f t="shared" ca="1" si="30"/>
        <v>-20</v>
      </c>
      <c r="F382">
        <f t="shared" ca="1" si="31"/>
        <v>930</v>
      </c>
      <c r="G382" s="3" t="b">
        <f>COUNTIF(dict_zul_Var_Meth[ID_Methods], table_Methods[[#This Row],[ID]]) &gt; 0</f>
        <v>1</v>
      </c>
      <c r="H382">
        <f t="shared" ca="1" si="32"/>
        <v>19880</v>
      </c>
      <c r="I382">
        <f t="shared" ca="1" si="33"/>
        <v>400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29"/>
        <v>960</v>
      </c>
      <c r="E383">
        <f t="shared" ca="1" si="30"/>
        <v>-100</v>
      </c>
      <c r="F383">
        <f t="shared" ca="1" si="31"/>
        <v>500</v>
      </c>
      <c r="G383" s="3" t="b">
        <f>COUNTIF(dict_zul_Var_Meth[ID_Methods], table_Methods[[#This Row],[ID]]) &gt; 0</f>
        <v>1</v>
      </c>
      <c r="H383">
        <f t="shared" ca="1" si="32"/>
        <v>4420</v>
      </c>
      <c r="I383">
        <f t="shared" ca="1" si="33"/>
        <v>3104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29"/>
        <v>8100</v>
      </c>
      <c r="E384">
        <f t="shared" ca="1" si="30"/>
        <v>10</v>
      </c>
      <c r="F384">
        <f t="shared" ca="1" si="31"/>
        <v>870</v>
      </c>
      <c r="G384" s="3" t="b">
        <f>COUNTIF(dict_zul_Var_Meth[ID_Methods], table_Methods[[#This Row],[ID]]) &gt; 0</f>
        <v>1</v>
      </c>
      <c r="H384">
        <f t="shared" ca="1" si="32"/>
        <v>13050</v>
      </c>
      <c r="I384">
        <f t="shared" ca="1" si="33"/>
        <v>12288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29"/>
        <v>11</v>
      </c>
      <c r="E385">
        <f t="shared" ca="1" si="30"/>
        <v>-30</v>
      </c>
      <c r="F385">
        <f t="shared" ca="1" si="31"/>
        <v>590</v>
      </c>
      <c r="G385" s="3" t="b">
        <f>COUNTIF(dict_zul_Var_Meth[ID_Methods], table_Methods[[#This Row],[ID]]) &gt; 0</f>
        <v>1</v>
      </c>
      <c r="H385">
        <f t="shared" ca="1" si="32"/>
        <v>16068</v>
      </c>
      <c r="I385">
        <f t="shared" ca="1" si="33"/>
        <v>696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34">10^(RANDBETWEEN(-1,1))*RANDBETWEEN(1,100)*10</f>
        <v>900</v>
      </c>
      <c r="E386">
        <f t="shared" ca="1" si="30"/>
        <v>-100</v>
      </c>
      <c r="F386">
        <f t="shared" ca="1" si="31"/>
        <v>920</v>
      </c>
      <c r="G386" s="3" t="b">
        <f>COUNTIF(dict_zul_Var_Meth[ID_Methods], table_Methods[[#This Row],[ID]]) &gt; 0</f>
        <v>1</v>
      </c>
      <c r="H386">
        <f t="shared" ca="1" si="32"/>
        <v>1384</v>
      </c>
      <c r="I386">
        <f t="shared" ca="1" si="33"/>
        <v>44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34"/>
        <v>1100</v>
      </c>
      <c r="E387">
        <f t="shared" ca="1" si="30"/>
        <v>-30</v>
      </c>
      <c r="F387">
        <f t="shared" ca="1" si="31"/>
        <v>450</v>
      </c>
      <c r="G387" s="3" t="b">
        <f>COUNTIF(dict_zul_Var_Meth[ID_Methods], table_Methods[[#This Row],[ID]]) &gt; 0</f>
        <v>1</v>
      </c>
      <c r="H387">
        <f t="shared" ca="1" si="32"/>
        <v>5978</v>
      </c>
      <c r="I387">
        <f t="shared" ca="1" si="33"/>
        <v>4736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34"/>
        <v>190</v>
      </c>
      <c r="E388">
        <f t="shared" ca="1" si="30"/>
        <v>0</v>
      </c>
      <c r="F388">
        <f t="shared" ca="1" si="31"/>
        <v>330</v>
      </c>
      <c r="G388" s="3" t="b">
        <f>COUNTIF(dict_zul_Var_Meth[ID_Methods], table_Methods[[#This Row],[ID]]) &gt; 0</f>
        <v>1</v>
      </c>
      <c r="H388">
        <f t="shared" ca="1" si="32"/>
        <v>3430</v>
      </c>
      <c r="I388">
        <f t="shared" ca="1" si="33"/>
        <v>10752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34"/>
        <v>9800</v>
      </c>
      <c r="E389">
        <f t="shared" ca="1" si="30"/>
        <v>-100</v>
      </c>
      <c r="F389">
        <f t="shared" ca="1" si="31"/>
        <v>700</v>
      </c>
      <c r="G389" s="3" t="b">
        <f>COUNTIF(dict_zul_Var_Meth[ID_Methods], table_Methods[[#This Row],[ID]]) &gt; 0</f>
        <v>1</v>
      </c>
      <c r="H389">
        <f t="shared" ca="1" si="32"/>
        <v>724</v>
      </c>
      <c r="I389">
        <f t="shared" ca="1" si="33"/>
        <v>32256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34"/>
        <v>30</v>
      </c>
      <c r="E390">
        <f t="shared" ca="1" si="30"/>
        <v>-60</v>
      </c>
      <c r="F390">
        <f t="shared" ca="1" si="31"/>
        <v>410</v>
      </c>
      <c r="G390" s="3" t="b">
        <f>COUNTIF(dict_zul_Var_Meth[ID_Methods], table_Methods[[#This Row],[ID]]) &gt; 0</f>
        <v>1</v>
      </c>
      <c r="H390">
        <f t="shared" ca="1" si="32"/>
        <v>49540</v>
      </c>
      <c r="I390">
        <f t="shared" ca="1" si="33"/>
        <v>120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34"/>
        <v>4000</v>
      </c>
      <c r="E391">
        <f t="shared" ca="1" si="30"/>
        <v>-90</v>
      </c>
      <c r="F391">
        <f t="shared" ca="1" si="31"/>
        <v>120</v>
      </c>
      <c r="G391" s="3" t="b">
        <f>COUNTIF(dict_zul_Var_Meth[ID_Methods], table_Methods[[#This Row],[ID]]) &gt; 0</f>
        <v>1</v>
      </c>
      <c r="H391">
        <f t="shared" ca="1" si="32"/>
        <v>1836</v>
      </c>
      <c r="I391">
        <f t="shared" ca="1" si="33"/>
        <v>2880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34"/>
        <v>1400</v>
      </c>
      <c r="E392">
        <f t="shared" ca="1" si="30"/>
        <v>-40</v>
      </c>
      <c r="F392">
        <f t="shared" ca="1" si="31"/>
        <v>630</v>
      </c>
      <c r="G392" s="3" t="b">
        <f>COUNTIF(dict_zul_Var_Meth[ID_Methods], table_Methods[[#This Row],[ID]]) &gt; 0</f>
        <v>1</v>
      </c>
      <c r="H392">
        <f t="shared" ca="1" si="32"/>
        <v>21312</v>
      </c>
      <c r="I392">
        <f t="shared" ca="1" si="33"/>
        <v>276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34"/>
        <v>7600</v>
      </c>
      <c r="E393">
        <f t="shared" ca="1" si="30"/>
        <v>-40</v>
      </c>
      <c r="F393">
        <f t="shared" ca="1" si="31"/>
        <v>940</v>
      </c>
      <c r="G393" s="3" t="b">
        <f>COUNTIF(dict_zul_Var_Meth[ID_Methods], table_Methods[[#This Row],[ID]]) &gt; 0</f>
        <v>1</v>
      </c>
      <c r="H393">
        <f t="shared" ca="1" si="32"/>
        <v>2968</v>
      </c>
      <c r="I393">
        <f t="shared" ca="1" si="33"/>
        <v>3072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34"/>
        <v>920</v>
      </c>
      <c r="E394">
        <f t="shared" ca="1" si="30"/>
        <v>0</v>
      </c>
      <c r="F394">
        <f t="shared" ca="1" si="31"/>
        <v>60</v>
      </c>
      <c r="G394" s="3" t="b">
        <f>COUNTIF(dict_zul_Var_Meth[ID_Methods], table_Methods[[#This Row],[ID]]) &gt; 0</f>
        <v>1</v>
      </c>
      <c r="H394">
        <f t="shared" ca="1" si="32"/>
        <v>8030</v>
      </c>
      <c r="I394">
        <f t="shared" ca="1" si="33"/>
        <v>29184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34"/>
        <v>72</v>
      </c>
      <c r="E395">
        <f t="shared" ca="1" si="30"/>
        <v>0</v>
      </c>
      <c r="F395">
        <f t="shared" ca="1" si="31"/>
        <v>240</v>
      </c>
      <c r="G395" s="3" t="b">
        <f>COUNTIF(dict_zul_Var_Meth[ID_Methods], table_Methods[[#This Row],[ID]]) &gt; 0</f>
        <v>1</v>
      </c>
      <c r="H395">
        <f t="shared" ca="1" si="32"/>
        <v>21078</v>
      </c>
      <c r="I395">
        <f t="shared" ca="1" si="33"/>
        <v>12672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34"/>
        <v>830</v>
      </c>
      <c r="E396">
        <f t="shared" ca="1" si="30"/>
        <v>-20</v>
      </c>
      <c r="F396">
        <f t="shared" ca="1" si="31"/>
        <v>970</v>
      </c>
      <c r="G396" s="3" t="b">
        <f>COUNTIF(dict_zul_Var_Meth[ID_Methods], table_Methods[[#This Row],[ID]]) &gt; 0</f>
        <v>1</v>
      </c>
      <c r="H396">
        <f t="shared" ca="1" si="32"/>
        <v>9926</v>
      </c>
      <c r="I396">
        <f t="shared" ca="1" si="33"/>
        <v>8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34"/>
        <v>7500</v>
      </c>
      <c r="E397">
        <f t="shared" ca="1" si="30"/>
        <v>-90</v>
      </c>
      <c r="F397">
        <f t="shared" ca="1" si="31"/>
        <v>670</v>
      </c>
      <c r="G397" s="3" t="b">
        <f>COUNTIF(dict_zul_Var_Meth[ID_Methods], table_Methods[[#This Row],[ID]]) &gt; 0</f>
        <v>1</v>
      </c>
      <c r="H397">
        <f t="shared" ca="1" si="32"/>
        <v>9208</v>
      </c>
      <c r="I397">
        <f t="shared" ca="1" si="33"/>
        <v>3008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34"/>
        <v>75</v>
      </c>
      <c r="E398">
        <f t="shared" ca="1" si="30"/>
        <v>-100</v>
      </c>
      <c r="F398">
        <f t="shared" ca="1" si="31"/>
        <v>530</v>
      </c>
      <c r="G398" s="3" t="b">
        <f>COUNTIF(dict_zul_Var_Meth[ID_Methods], table_Methods[[#This Row],[ID]]) &gt; 0</f>
        <v>1</v>
      </c>
      <c r="H398">
        <f t="shared" ca="1" si="32"/>
        <v>24595</v>
      </c>
      <c r="I398">
        <f t="shared" ca="1" si="33"/>
        <v>18176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34"/>
        <v>660</v>
      </c>
      <c r="E399">
        <f t="shared" ca="1" si="30"/>
        <v>-50</v>
      </c>
      <c r="F399">
        <f t="shared" ca="1" si="31"/>
        <v>960</v>
      </c>
      <c r="G399" s="3" t="b">
        <f>COUNTIF(dict_zul_Var_Meth[ID_Methods], table_Methods[[#This Row],[ID]]) &gt; 0</f>
        <v>1</v>
      </c>
      <c r="H399">
        <f t="shared" ca="1" si="32"/>
        <v>5428</v>
      </c>
      <c r="I399">
        <f t="shared" ca="1" si="33"/>
        <v>5120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34"/>
        <v>730</v>
      </c>
      <c r="E400">
        <f t="shared" ca="1" si="30"/>
        <v>0</v>
      </c>
      <c r="F400">
        <f t="shared" ca="1" si="31"/>
        <v>190</v>
      </c>
      <c r="G400" s="3" t="b">
        <f>COUNTIF(dict_zul_Var_Meth[ID_Methods], table_Methods[[#This Row],[ID]]) &gt; 0</f>
        <v>1</v>
      </c>
      <c r="H400">
        <f t="shared" ca="1" si="32"/>
        <v>11370</v>
      </c>
      <c r="I400">
        <f t="shared" ca="1" si="33"/>
        <v>5120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34"/>
        <v>8200</v>
      </c>
      <c r="E401">
        <f t="shared" ca="1" si="30"/>
        <v>-40</v>
      </c>
      <c r="F401">
        <f t="shared" ca="1" si="31"/>
        <v>960</v>
      </c>
      <c r="G401" s="3" t="b">
        <f>COUNTIF(dict_zul_Var_Meth[ID_Methods], table_Methods[[#This Row],[ID]]) &gt; 0</f>
        <v>1</v>
      </c>
      <c r="H401">
        <f t="shared" ca="1" si="32"/>
        <v>26264</v>
      </c>
      <c r="I401">
        <f t="shared" ca="1" si="33"/>
        <v>32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34"/>
        <v>55</v>
      </c>
      <c r="E402">
        <f t="shared" ca="1" si="30"/>
        <v>-60</v>
      </c>
      <c r="F402">
        <f t="shared" ca="1" si="31"/>
        <v>350</v>
      </c>
      <c r="G402" s="3" t="b">
        <f>COUNTIF(dict_zul_Var_Meth[ID_Methods], table_Methods[[#This Row],[ID]]) &gt; 0</f>
        <v>1</v>
      </c>
      <c r="H402">
        <f t="shared" ca="1" si="32"/>
        <v>262</v>
      </c>
      <c r="I402">
        <f t="shared" ca="1" si="33"/>
        <v>44544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34"/>
        <v>2300</v>
      </c>
      <c r="E403">
        <f t="shared" ca="1" si="30"/>
        <v>20</v>
      </c>
      <c r="F403">
        <f t="shared" ca="1" si="31"/>
        <v>620</v>
      </c>
      <c r="G403" s="3" t="b">
        <f>COUNTIF(dict_zul_Var_Meth[ID_Methods], table_Methods[[#This Row],[ID]]) &gt; 0</f>
        <v>1</v>
      </c>
      <c r="H403">
        <f t="shared" ca="1" si="32"/>
        <v>26322</v>
      </c>
      <c r="I403">
        <f t="shared" ca="1" si="33"/>
        <v>552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34"/>
        <v>3600</v>
      </c>
      <c r="E404">
        <f t="shared" ca="1" si="30"/>
        <v>-100</v>
      </c>
      <c r="F404">
        <f t="shared" ca="1" si="31"/>
        <v>50</v>
      </c>
      <c r="G404" s="3" t="b">
        <f>COUNTIF(dict_zul_Var_Meth[ID_Methods], table_Methods[[#This Row],[ID]]) &gt; 0</f>
        <v>1</v>
      </c>
      <c r="H404">
        <f t="shared" ca="1" si="32"/>
        <v>39789</v>
      </c>
      <c r="I404">
        <f t="shared" ca="1" si="33"/>
        <v>384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34"/>
        <v>980</v>
      </c>
      <c r="E405">
        <f t="shared" ca="1" si="30"/>
        <v>-100</v>
      </c>
      <c r="F405">
        <f t="shared" ca="1" si="31"/>
        <v>440</v>
      </c>
      <c r="G405" s="3" t="b">
        <f>COUNTIF(dict_zul_Var_Meth[ID_Methods], table_Methods[[#This Row],[ID]]) &gt; 0</f>
        <v>1</v>
      </c>
      <c r="H405">
        <f t="shared" ca="1" si="32"/>
        <v>7108</v>
      </c>
      <c r="I405">
        <f t="shared" ca="1" si="33"/>
        <v>10752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34"/>
        <v>1300</v>
      </c>
      <c r="E406">
        <f t="shared" ca="1" si="30"/>
        <v>-20</v>
      </c>
      <c r="F406">
        <f t="shared" ca="1" si="31"/>
        <v>630</v>
      </c>
      <c r="G406" s="3" t="b">
        <f>COUNTIF(dict_zul_Var_Meth[ID_Methods], table_Methods[[#This Row],[ID]]) &gt; 0</f>
        <v>1</v>
      </c>
      <c r="H406">
        <f t="shared" ca="1" si="32"/>
        <v>21300</v>
      </c>
      <c r="I406">
        <f t="shared" ca="1" si="33"/>
        <v>60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34"/>
        <v>3800</v>
      </c>
      <c r="E407">
        <f t="shared" ca="1" si="30"/>
        <v>0</v>
      </c>
      <c r="F407">
        <f t="shared" ca="1" si="31"/>
        <v>280</v>
      </c>
      <c r="G407" s="3" t="b">
        <f>COUNTIF(dict_zul_Var_Meth[ID_Methods], table_Methods[[#This Row],[ID]]) &gt; 0</f>
        <v>1</v>
      </c>
      <c r="H407">
        <f t="shared" ca="1" si="32"/>
        <v>20622</v>
      </c>
      <c r="I407">
        <f t="shared" ca="1" si="33"/>
        <v>12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34"/>
        <v>430</v>
      </c>
      <c r="E408">
        <f t="shared" ca="1" si="30"/>
        <v>-100</v>
      </c>
      <c r="F408">
        <f t="shared" ca="1" si="31"/>
        <v>620</v>
      </c>
      <c r="G408" s="3" t="b">
        <f>COUNTIF(dict_zul_Var_Meth[ID_Methods], table_Methods[[#This Row],[ID]]) &gt; 0</f>
        <v>1</v>
      </c>
      <c r="H408">
        <f t="shared" ca="1" si="32"/>
        <v>26172</v>
      </c>
      <c r="I408">
        <f t="shared" ca="1" si="33"/>
        <v>3168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34"/>
        <v>240</v>
      </c>
      <c r="E409">
        <f t="shared" ca="1" si="30"/>
        <v>-30</v>
      </c>
      <c r="F409">
        <f t="shared" ca="1" si="31"/>
        <v>910</v>
      </c>
      <c r="G409" s="3" t="b">
        <f>COUNTIF(dict_zul_Var_Meth[ID_Methods], table_Methods[[#This Row],[ID]]) &gt; 0</f>
        <v>1</v>
      </c>
      <c r="H409">
        <f t="shared" ca="1" si="32"/>
        <v>9780</v>
      </c>
      <c r="I409">
        <f t="shared" ca="1" si="33"/>
        <v>1200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34"/>
        <v>490</v>
      </c>
      <c r="E410">
        <f t="shared" ca="1" si="30"/>
        <v>-90</v>
      </c>
      <c r="F410">
        <f t="shared" ca="1" si="31"/>
        <v>700</v>
      </c>
      <c r="G410" s="3" t="b">
        <f>COUNTIF(dict_zul_Var_Meth[ID_Methods], table_Methods[[#This Row],[ID]]) &gt; 0</f>
        <v>1</v>
      </c>
      <c r="H410">
        <f t="shared" ca="1" si="32"/>
        <v>3249</v>
      </c>
      <c r="I410">
        <f t="shared" ca="1" si="33"/>
        <v>312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34"/>
        <v>5100</v>
      </c>
      <c r="E411">
        <f t="shared" ca="1" si="30"/>
        <v>-50</v>
      </c>
      <c r="F411">
        <f t="shared" ca="1" si="31"/>
        <v>480</v>
      </c>
      <c r="G411" s="3" t="b">
        <f>COUNTIF(dict_zul_Var_Meth[ID_Methods], table_Methods[[#This Row],[ID]]) &gt; 0</f>
        <v>1</v>
      </c>
      <c r="H411">
        <f t="shared" ca="1" si="32"/>
        <v>44271</v>
      </c>
      <c r="I411">
        <f t="shared" ca="1" si="33"/>
        <v>5312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34"/>
        <v>50</v>
      </c>
      <c r="E412">
        <f t="shared" ca="1" si="30"/>
        <v>10</v>
      </c>
      <c r="F412">
        <f t="shared" ca="1" si="31"/>
        <v>40</v>
      </c>
      <c r="G412" s="3" t="b">
        <f>COUNTIF(dict_zul_Var_Meth[ID_Methods], table_Methods[[#This Row],[ID]]) &gt; 0</f>
        <v>1</v>
      </c>
      <c r="H412">
        <f t="shared" ca="1" si="32"/>
        <v>8928</v>
      </c>
      <c r="I412">
        <f t="shared" ca="1" si="33"/>
        <v>92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34"/>
        <v>10</v>
      </c>
      <c r="E413">
        <f t="shared" ca="1" si="30"/>
        <v>-90</v>
      </c>
      <c r="F413">
        <f t="shared" ca="1" si="31"/>
        <v>180</v>
      </c>
      <c r="G413" s="3" t="b">
        <f>COUNTIF(dict_zul_Var_Meth[ID_Methods], table_Methods[[#This Row],[ID]]) &gt; 0</f>
        <v>1</v>
      </c>
      <c r="H413">
        <f t="shared" ca="1" si="32"/>
        <v>2517</v>
      </c>
      <c r="I413">
        <f t="shared" ca="1" si="33"/>
        <v>480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34"/>
        <v>22</v>
      </c>
      <c r="E414">
        <f t="shared" ca="1" si="30"/>
        <v>0</v>
      </c>
      <c r="F414">
        <f t="shared" ca="1" si="31"/>
        <v>50</v>
      </c>
      <c r="G414" s="3" t="b">
        <f>COUNTIF(dict_zul_Var_Meth[ID_Methods], table_Methods[[#This Row],[ID]]) &gt; 0</f>
        <v>1</v>
      </c>
      <c r="H414">
        <f t="shared" ca="1" si="32"/>
        <v>19242</v>
      </c>
      <c r="I414">
        <f t="shared" ca="1" si="33"/>
        <v>9216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34"/>
        <v>810</v>
      </c>
      <c r="E415">
        <f t="shared" ca="1" si="30"/>
        <v>-50</v>
      </c>
      <c r="F415">
        <f t="shared" ca="1" si="31"/>
        <v>770</v>
      </c>
      <c r="G415" s="3" t="b">
        <f>COUNTIF(dict_zul_Var_Meth[ID_Methods], table_Methods[[#This Row],[ID]]) &gt; 0</f>
        <v>1</v>
      </c>
      <c r="H415">
        <f t="shared" ca="1" si="32"/>
        <v>9440</v>
      </c>
      <c r="I415">
        <f t="shared" ca="1" si="33"/>
        <v>256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34"/>
        <v>80</v>
      </c>
      <c r="E416">
        <f t="shared" ca="1" si="30"/>
        <v>-50</v>
      </c>
      <c r="F416">
        <f t="shared" ca="1" si="31"/>
        <v>700</v>
      </c>
      <c r="G416" s="3" t="b">
        <f>COUNTIF(dict_zul_Var_Meth[ID_Methods], table_Methods[[#This Row],[ID]]) &gt; 0</f>
        <v>1</v>
      </c>
      <c r="H416">
        <f t="shared" ca="1" si="32"/>
        <v>9624</v>
      </c>
      <c r="I416">
        <f t="shared" ca="1" si="33"/>
        <v>1584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34"/>
        <v>27</v>
      </c>
      <c r="E417">
        <f t="shared" ca="1" si="30"/>
        <v>20</v>
      </c>
      <c r="F417">
        <f t="shared" ca="1" si="31"/>
        <v>450</v>
      </c>
      <c r="G417" s="3" t="b">
        <f>COUNTIF(dict_zul_Var_Meth[ID_Methods], table_Methods[[#This Row],[ID]]) &gt; 0</f>
        <v>1</v>
      </c>
      <c r="H417">
        <f t="shared" ca="1" si="32"/>
        <v>18576</v>
      </c>
      <c r="I417">
        <f t="shared" ca="1" si="33"/>
        <v>768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34"/>
        <v>1300</v>
      </c>
      <c r="E418">
        <f t="shared" ca="1" si="30"/>
        <v>-30</v>
      </c>
      <c r="F418">
        <f t="shared" ca="1" si="31"/>
        <v>580</v>
      </c>
      <c r="G418" s="3" t="b">
        <f>COUNTIF(dict_zul_Var_Meth[ID_Methods], table_Methods[[#This Row],[ID]]) &gt; 0</f>
        <v>1</v>
      </c>
      <c r="H418">
        <f t="shared" ca="1" si="32"/>
        <v>1152</v>
      </c>
      <c r="I418">
        <f t="shared" ca="1" si="33"/>
        <v>7936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34"/>
        <v>44</v>
      </c>
      <c r="E419">
        <f t="shared" ca="1" si="30"/>
        <v>-20</v>
      </c>
      <c r="F419">
        <f t="shared" ca="1" si="31"/>
        <v>600</v>
      </c>
      <c r="G419" s="3" t="b">
        <f>COUNTIF(dict_zul_Var_Meth[ID_Methods], table_Methods[[#This Row],[ID]]) &gt; 0</f>
        <v>1</v>
      </c>
      <c r="H419">
        <f t="shared" ca="1" si="32"/>
        <v>927</v>
      </c>
      <c r="I419">
        <f t="shared" ca="1" si="33"/>
        <v>9600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34"/>
        <v>6400</v>
      </c>
      <c r="E420">
        <f t="shared" ref="E420:E483" ca="1" si="35">RANDBETWEEN(-10,3)*10</f>
        <v>-60</v>
      </c>
      <c r="F420">
        <f t="shared" ref="F420:F483" ca="1" si="36">RANDBETWEEN(2,100)*10</f>
        <v>270</v>
      </c>
      <c r="G420" s="3" t="b">
        <f>COUNTIF(dict_zul_Var_Meth[ID_Methods], table_Methods[[#This Row],[ID]]) &gt; 0</f>
        <v>1</v>
      </c>
      <c r="H420">
        <f t="shared" ref="H420:H483" ca="1" si="37">RANDBETWEEN(1,10)*RANDBETWEEN(1,5000)</f>
        <v>34010</v>
      </c>
      <c r="I420">
        <f t="shared" ref="I420:I483" ca="1" si="38">2^RANDBETWEEN(1,10)*RANDBETWEEN(1,100)</f>
        <v>6528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34"/>
        <v>410</v>
      </c>
      <c r="E421">
        <f t="shared" ca="1" si="35"/>
        <v>-50</v>
      </c>
      <c r="F421">
        <f t="shared" ca="1" si="36"/>
        <v>480</v>
      </c>
      <c r="G421" s="3" t="b">
        <f>COUNTIF(dict_zul_Var_Meth[ID_Methods], table_Methods[[#This Row],[ID]]) &gt; 0</f>
        <v>1</v>
      </c>
      <c r="H421">
        <f t="shared" ca="1" si="37"/>
        <v>2160</v>
      </c>
      <c r="I421">
        <f t="shared" ca="1" si="38"/>
        <v>96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34"/>
        <v>540</v>
      </c>
      <c r="E422">
        <f t="shared" ca="1" si="35"/>
        <v>-30</v>
      </c>
      <c r="F422">
        <f t="shared" ca="1" si="36"/>
        <v>460</v>
      </c>
      <c r="G422" s="3" t="b">
        <f>COUNTIF(dict_zul_Var_Meth[ID_Methods], table_Methods[[#This Row],[ID]]) &gt; 0</f>
        <v>1</v>
      </c>
      <c r="H422">
        <f t="shared" ca="1" si="37"/>
        <v>6936</v>
      </c>
      <c r="I422">
        <f t="shared" ca="1" si="38"/>
        <v>14592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34"/>
        <v>920</v>
      </c>
      <c r="E423">
        <f t="shared" ca="1" si="35"/>
        <v>-20</v>
      </c>
      <c r="F423">
        <f t="shared" ca="1" si="36"/>
        <v>800</v>
      </c>
      <c r="G423" s="3" t="b">
        <f>COUNTIF(dict_zul_Var_Meth[ID_Methods], table_Methods[[#This Row],[ID]]) &gt; 0</f>
        <v>1</v>
      </c>
      <c r="H423">
        <f t="shared" ca="1" si="37"/>
        <v>4990</v>
      </c>
      <c r="I423">
        <f t="shared" ca="1" si="38"/>
        <v>1472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34"/>
        <v>100</v>
      </c>
      <c r="E424">
        <f t="shared" ca="1" si="35"/>
        <v>10</v>
      </c>
      <c r="F424">
        <f t="shared" ca="1" si="36"/>
        <v>730</v>
      </c>
      <c r="G424" s="3" t="b">
        <f>COUNTIF(dict_zul_Var_Meth[ID_Methods], table_Methods[[#This Row],[ID]]) &gt; 0</f>
        <v>1</v>
      </c>
      <c r="H424">
        <f t="shared" ca="1" si="37"/>
        <v>16340</v>
      </c>
      <c r="I424">
        <f t="shared" ca="1" si="38"/>
        <v>1792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34"/>
        <v>1000</v>
      </c>
      <c r="E425">
        <f t="shared" ca="1" si="35"/>
        <v>-20</v>
      </c>
      <c r="F425">
        <f t="shared" ca="1" si="36"/>
        <v>430</v>
      </c>
      <c r="G425" s="3" t="b">
        <f>COUNTIF(dict_zul_Var_Meth[ID_Methods], table_Methods[[#This Row],[ID]]) &gt; 0</f>
        <v>1</v>
      </c>
      <c r="H425">
        <f t="shared" ca="1" si="37"/>
        <v>1076</v>
      </c>
      <c r="I425">
        <f t="shared" ca="1" si="38"/>
        <v>17664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34"/>
        <v>34</v>
      </c>
      <c r="E426">
        <f t="shared" ca="1" si="35"/>
        <v>-20</v>
      </c>
      <c r="F426">
        <f t="shared" ca="1" si="36"/>
        <v>790</v>
      </c>
      <c r="G426" s="3" t="b">
        <f>COUNTIF(dict_zul_Var_Meth[ID_Methods], table_Methods[[#This Row],[ID]]) &gt; 0</f>
        <v>1</v>
      </c>
      <c r="H426">
        <f t="shared" ca="1" si="37"/>
        <v>22720</v>
      </c>
      <c r="I426">
        <f t="shared" ca="1" si="38"/>
        <v>128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34"/>
        <v>6100</v>
      </c>
      <c r="E427">
        <f t="shared" ca="1" si="35"/>
        <v>30</v>
      </c>
      <c r="F427">
        <f t="shared" ca="1" si="36"/>
        <v>660</v>
      </c>
      <c r="G427" s="3" t="b">
        <f>COUNTIF(dict_zul_Var_Meth[ID_Methods], table_Methods[[#This Row],[ID]]) &gt; 0</f>
        <v>1</v>
      </c>
      <c r="H427">
        <f t="shared" ca="1" si="37"/>
        <v>10950</v>
      </c>
      <c r="I427">
        <f t="shared" ca="1" si="38"/>
        <v>16128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34"/>
        <v>4700</v>
      </c>
      <c r="E428">
        <f t="shared" ca="1" si="35"/>
        <v>-30</v>
      </c>
      <c r="F428">
        <f t="shared" ca="1" si="36"/>
        <v>740</v>
      </c>
      <c r="G428" s="3" t="b">
        <f>COUNTIF(dict_zul_Var_Meth[ID_Methods], table_Methods[[#This Row],[ID]]) &gt; 0</f>
        <v>1</v>
      </c>
      <c r="H428">
        <f t="shared" ca="1" si="37"/>
        <v>1098</v>
      </c>
      <c r="I428">
        <f t="shared" ca="1" si="38"/>
        <v>37888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34"/>
        <v>87.000000000000014</v>
      </c>
      <c r="E429">
        <f t="shared" ca="1" si="35"/>
        <v>0</v>
      </c>
      <c r="F429">
        <f t="shared" ca="1" si="36"/>
        <v>700</v>
      </c>
      <c r="G429" s="3" t="b">
        <f>COUNTIF(dict_zul_Var_Meth[ID_Methods], table_Methods[[#This Row],[ID]]) &gt; 0</f>
        <v>1</v>
      </c>
      <c r="H429">
        <f t="shared" ca="1" si="37"/>
        <v>5794</v>
      </c>
      <c r="I429">
        <f t="shared" ca="1" si="38"/>
        <v>1520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34"/>
        <v>2800</v>
      </c>
      <c r="E430">
        <f t="shared" ca="1" si="35"/>
        <v>20</v>
      </c>
      <c r="F430">
        <f t="shared" ca="1" si="36"/>
        <v>810</v>
      </c>
      <c r="G430" s="3" t="b">
        <f>COUNTIF(dict_zul_Var_Meth[ID_Methods], table_Methods[[#This Row],[ID]]) &gt; 0</f>
        <v>1</v>
      </c>
      <c r="H430">
        <f t="shared" ca="1" si="37"/>
        <v>17892</v>
      </c>
      <c r="I430">
        <f t="shared" ca="1" si="38"/>
        <v>15360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34"/>
        <v>50</v>
      </c>
      <c r="E431">
        <f t="shared" ca="1" si="35"/>
        <v>30</v>
      </c>
      <c r="F431">
        <f t="shared" ca="1" si="36"/>
        <v>660</v>
      </c>
      <c r="G431" s="3" t="b">
        <f>COUNTIF(dict_zul_Var_Meth[ID_Methods], table_Methods[[#This Row],[ID]]) &gt; 0</f>
        <v>1</v>
      </c>
      <c r="H431">
        <f t="shared" ca="1" si="37"/>
        <v>9348</v>
      </c>
      <c r="I431">
        <f t="shared" ca="1" si="38"/>
        <v>12544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34"/>
        <v>6000</v>
      </c>
      <c r="E432">
        <f t="shared" ca="1" si="35"/>
        <v>10</v>
      </c>
      <c r="F432">
        <f t="shared" ca="1" si="36"/>
        <v>220</v>
      </c>
      <c r="G432" s="3" t="b">
        <f>COUNTIF(dict_zul_Var_Meth[ID_Methods], table_Methods[[#This Row],[ID]]) &gt; 0</f>
        <v>1</v>
      </c>
      <c r="H432">
        <f t="shared" ca="1" si="37"/>
        <v>2064</v>
      </c>
      <c r="I432">
        <f t="shared" ca="1" si="38"/>
        <v>2624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34"/>
        <v>50</v>
      </c>
      <c r="E433">
        <f t="shared" ca="1" si="35"/>
        <v>-90</v>
      </c>
      <c r="F433">
        <f t="shared" ca="1" si="36"/>
        <v>670</v>
      </c>
      <c r="G433" s="3" t="b">
        <f>COUNTIF(dict_zul_Var_Meth[ID_Methods], table_Methods[[#This Row],[ID]]) &gt; 0</f>
        <v>1</v>
      </c>
      <c r="H433">
        <f t="shared" ca="1" si="37"/>
        <v>3123</v>
      </c>
      <c r="I433">
        <f t="shared" ca="1" si="38"/>
        <v>2112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34"/>
        <v>70</v>
      </c>
      <c r="E434">
        <f t="shared" ca="1" si="35"/>
        <v>-90</v>
      </c>
      <c r="F434">
        <f t="shared" ca="1" si="36"/>
        <v>190</v>
      </c>
      <c r="G434" s="3" t="b">
        <f>COUNTIF(dict_zul_Var_Meth[ID_Methods], table_Methods[[#This Row],[ID]]) &gt; 0</f>
        <v>1</v>
      </c>
      <c r="H434">
        <f t="shared" ca="1" si="37"/>
        <v>14540</v>
      </c>
      <c r="I434">
        <f t="shared" ca="1" si="38"/>
        <v>34816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34"/>
        <v>4600</v>
      </c>
      <c r="E435">
        <f t="shared" ca="1" si="35"/>
        <v>0</v>
      </c>
      <c r="F435">
        <f t="shared" ca="1" si="36"/>
        <v>520</v>
      </c>
      <c r="G435" s="3" t="b">
        <f>COUNTIF(dict_zul_Var_Meth[ID_Methods], table_Methods[[#This Row],[ID]]) &gt; 0</f>
        <v>1</v>
      </c>
      <c r="H435">
        <f t="shared" ca="1" si="37"/>
        <v>5330</v>
      </c>
      <c r="I435">
        <f t="shared" ca="1" si="38"/>
        <v>7808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34"/>
        <v>70</v>
      </c>
      <c r="E436">
        <f t="shared" ca="1" si="35"/>
        <v>0</v>
      </c>
      <c r="F436">
        <f t="shared" ca="1" si="36"/>
        <v>1000</v>
      </c>
      <c r="G436" s="3" t="b">
        <f>COUNTIF(dict_zul_Var_Meth[ID_Methods], table_Methods[[#This Row],[ID]]) &gt; 0</f>
        <v>1</v>
      </c>
      <c r="H436">
        <f t="shared" ca="1" si="37"/>
        <v>18536</v>
      </c>
      <c r="I436">
        <f t="shared" ca="1" si="38"/>
        <v>140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34"/>
        <v>5800</v>
      </c>
      <c r="E437">
        <f t="shared" ca="1" si="35"/>
        <v>-60</v>
      </c>
      <c r="F437">
        <f t="shared" ca="1" si="36"/>
        <v>360</v>
      </c>
      <c r="G437" s="3" t="b">
        <f>COUNTIF(dict_zul_Var_Meth[ID_Methods], table_Methods[[#This Row],[ID]]) &gt; 0</f>
        <v>1</v>
      </c>
      <c r="H437">
        <f t="shared" ca="1" si="37"/>
        <v>12234</v>
      </c>
      <c r="I437">
        <f t="shared" ca="1" si="38"/>
        <v>3776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34"/>
        <v>40</v>
      </c>
      <c r="E438">
        <f t="shared" ca="1" si="35"/>
        <v>-80</v>
      </c>
      <c r="F438">
        <f t="shared" ca="1" si="36"/>
        <v>160</v>
      </c>
      <c r="G438" s="3" t="b">
        <f>COUNTIF(dict_zul_Var_Meth[ID_Methods], table_Methods[[#This Row],[ID]]) &gt; 0</f>
        <v>1</v>
      </c>
      <c r="H438">
        <f t="shared" ca="1" si="37"/>
        <v>9774</v>
      </c>
      <c r="I438">
        <f t="shared" ca="1" si="38"/>
        <v>12800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34"/>
        <v>750</v>
      </c>
      <c r="E439">
        <f t="shared" ca="1" si="35"/>
        <v>10</v>
      </c>
      <c r="F439">
        <f t="shared" ca="1" si="36"/>
        <v>330</v>
      </c>
      <c r="G439" s="3" t="b">
        <f>COUNTIF(dict_zul_Var_Meth[ID_Methods], table_Methods[[#This Row],[ID]]) &gt; 0</f>
        <v>1</v>
      </c>
      <c r="H439">
        <f t="shared" ca="1" si="37"/>
        <v>16144</v>
      </c>
      <c r="I439">
        <f t="shared" ca="1" si="38"/>
        <v>16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34"/>
        <v>7.0000000000000009</v>
      </c>
      <c r="E440">
        <f t="shared" ca="1" si="35"/>
        <v>-50</v>
      </c>
      <c r="F440">
        <f t="shared" ca="1" si="36"/>
        <v>200</v>
      </c>
      <c r="G440" s="3" t="b">
        <f>COUNTIF(dict_zul_Var_Meth[ID_Methods], table_Methods[[#This Row],[ID]]) &gt; 0</f>
        <v>1</v>
      </c>
      <c r="H440">
        <f t="shared" ca="1" si="37"/>
        <v>17065</v>
      </c>
      <c r="I440">
        <f t="shared" ca="1" si="38"/>
        <v>752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34"/>
        <v>7900</v>
      </c>
      <c r="E441">
        <f t="shared" ca="1" si="35"/>
        <v>-30</v>
      </c>
      <c r="F441">
        <f t="shared" ca="1" si="36"/>
        <v>790</v>
      </c>
      <c r="G441" s="3" t="b">
        <f>COUNTIF(dict_zul_Var_Meth[ID_Methods], table_Methods[[#This Row],[ID]]) &gt; 0</f>
        <v>1</v>
      </c>
      <c r="H441">
        <f t="shared" ca="1" si="37"/>
        <v>10890</v>
      </c>
      <c r="I441">
        <f t="shared" ca="1" si="38"/>
        <v>800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34"/>
        <v>100</v>
      </c>
      <c r="E442">
        <f t="shared" ca="1" si="35"/>
        <v>0</v>
      </c>
      <c r="F442">
        <f t="shared" ca="1" si="36"/>
        <v>720</v>
      </c>
      <c r="G442" s="3" t="b">
        <f>COUNTIF(dict_zul_Var_Meth[ID_Methods], table_Methods[[#This Row],[ID]]) &gt; 0</f>
        <v>1</v>
      </c>
      <c r="H442">
        <f t="shared" ca="1" si="37"/>
        <v>8913</v>
      </c>
      <c r="I442">
        <f t="shared" ca="1" si="38"/>
        <v>7552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34"/>
        <v>790</v>
      </c>
      <c r="E443">
        <f t="shared" ca="1" si="35"/>
        <v>-20</v>
      </c>
      <c r="F443">
        <f t="shared" ca="1" si="36"/>
        <v>910</v>
      </c>
      <c r="G443" s="3" t="b">
        <f>COUNTIF(dict_zul_Var_Meth[ID_Methods], table_Methods[[#This Row],[ID]]) &gt; 0</f>
        <v>1</v>
      </c>
      <c r="H443">
        <f t="shared" ca="1" si="37"/>
        <v>17680</v>
      </c>
      <c r="I443">
        <f t="shared" ca="1" si="38"/>
        <v>176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34"/>
        <v>43</v>
      </c>
      <c r="E444">
        <f t="shared" ca="1" si="35"/>
        <v>0</v>
      </c>
      <c r="F444">
        <f t="shared" ca="1" si="36"/>
        <v>230</v>
      </c>
      <c r="G444" s="3" t="b">
        <f>COUNTIF(dict_zul_Var_Meth[ID_Methods], table_Methods[[#This Row],[ID]]) &gt; 0</f>
        <v>1</v>
      </c>
      <c r="H444">
        <f t="shared" ca="1" si="37"/>
        <v>3860</v>
      </c>
      <c r="I444">
        <f t="shared" ca="1" si="38"/>
        <v>760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34"/>
        <v>7900</v>
      </c>
      <c r="E445">
        <f t="shared" ca="1" si="35"/>
        <v>-10</v>
      </c>
      <c r="F445">
        <f t="shared" ca="1" si="36"/>
        <v>950</v>
      </c>
      <c r="G445" s="3" t="b">
        <f>COUNTIF(dict_zul_Var_Meth[ID_Methods], table_Methods[[#This Row],[ID]]) &gt; 0</f>
        <v>1</v>
      </c>
      <c r="H445">
        <f t="shared" ca="1" si="37"/>
        <v>13818</v>
      </c>
      <c r="I445">
        <f t="shared" ca="1" si="38"/>
        <v>15360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34"/>
        <v>50</v>
      </c>
      <c r="E446">
        <f t="shared" ca="1" si="35"/>
        <v>-70</v>
      </c>
      <c r="F446">
        <f t="shared" ca="1" si="36"/>
        <v>700</v>
      </c>
      <c r="G446" s="3" t="b">
        <f>COUNTIF(dict_zul_Var_Meth[ID_Methods], table_Methods[[#This Row],[ID]]) &gt; 0</f>
        <v>1</v>
      </c>
      <c r="H446">
        <f t="shared" ca="1" si="37"/>
        <v>18600</v>
      </c>
      <c r="I446">
        <f t="shared" ca="1" si="38"/>
        <v>25088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34"/>
        <v>1500</v>
      </c>
      <c r="E447">
        <f t="shared" ca="1" si="35"/>
        <v>-20</v>
      </c>
      <c r="F447">
        <f t="shared" ca="1" si="36"/>
        <v>90</v>
      </c>
      <c r="G447" s="3" t="b">
        <f>COUNTIF(dict_zul_Var_Meth[ID_Methods], table_Methods[[#This Row],[ID]]) &gt; 0</f>
        <v>1</v>
      </c>
      <c r="H447">
        <f t="shared" ca="1" si="37"/>
        <v>4048</v>
      </c>
      <c r="I447">
        <f t="shared" ca="1" si="38"/>
        <v>4032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34"/>
        <v>270</v>
      </c>
      <c r="E448">
        <f t="shared" ca="1" si="35"/>
        <v>-100</v>
      </c>
      <c r="F448">
        <f t="shared" ca="1" si="36"/>
        <v>620</v>
      </c>
      <c r="G448" s="3" t="b">
        <f>COUNTIF(dict_zul_Var_Meth[ID_Methods], table_Methods[[#This Row],[ID]]) &gt; 0</f>
        <v>1</v>
      </c>
      <c r="H448">
        <f t="shared" ca="1" si="37"/>
        <v>2650</v>
      </c>
      <c r="I448">
        <f t="shared" ca="1" si="38"/>
        <v>48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34"/>
        <v>4000</v>
      </c>
      <c r="E449">
        <f t="shared" ca="1" si="35"/>
        <v>-90</v>
      </c>
      <c r="F449">
        <f t="shared" ca="1" si="36"/>
        <v>470</v>
      </c>
      <c r="G449" s="3" t="b">
        <f>COUNTIF(dict_zul_Var_Meth[ID_Methods], table_Methods[[#This Row],[ID]]) &gt; 0</f>
        <v>1</v>
      </c>
      <c r="H449">
        <f t="shared" ca="1" si="37"/>
        <v>31328</v>
      </c>
      <c r="I449">
        <f t="shared" ca="1" si="38"/>
        <v>134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39">10^(RANDBETWEEN(-1,1))*RANDBETWEEN(1,100)*10</f>
        <v>1</v>
      </c>
      <c r="E450">
        <f t="shared" ca="1" si="35"/>
        <v>-20</v>
      </c>
      <c r="F450">
        <f t="shared" ca="1" si="36"/>
        <v>70</v>
      </c>
      <c r="G450" s="3" t="b">
        <f>COUNTIF(dict_zul_Var_Meth[ID_Methods], table_Methods[[#This Row],[ID]]) &gt; 0</f>
        <v>1</v>
      </c>
      <c r="H450">
        <f t="shared" ca="1" si="37"/>
        <v>2662</v>
      </c>
      <c r="I450">
        <f t="shared" ca="1" si="38"/>
        <v>2400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39"/>
        <v>97.000000000000014</v>
      </c>
      <c r="E451">
        <f t="shared" ca="1" si="35"/>
        <v>-40</v>
      </c>
      <c r="F451">
        <f t="shared" ca="1" si="36"/>
        <v>590</v>
      </c>
      <c r="G451" s="3" t="b">
        <f>COUNTIF(dict_zul_Var_Meth[ID_Methods], table_Methods[[#This Row],[ID]]) &gt; 0</f>
        <v>1</v>
      </c>
      <c r="H451">
        <f t="shared" ca="1" si="37"/>
        <v>10884</v>
      </c>
      <c r="I451">
        <f t="shared" ca="1" si="38"/>
        <v>2624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39"/>
        <v>59</v>
      </c>
      <c r="E452">
        <f t="shared" ca="1" si="35"/>
        <v>-50</v>
      </c>
      <c r="F452">
        <f t="shared" ca="1" si="36"/>
        <v>920</v>
      </c>
      <c r="G452" s="3" t="b">
        <f>COUNTIF(dict_zul_Var_Meth[ID_Methods], table_Methods[[#This Row],[ID]]) &gt; 0</f>
        <v>1</v>
      </c>
      <c r="H452">
        <f t="shared" ca="1" si="37"/>
        <v>11976</v>
      </c>
      <c r="I452">
        <f t="shared" ca="1" si="38"/>
        <v>128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39"/>
        <v>30</v>
      </c>
      <c r="E453">
        <f t="shared" ca="1" si="35"/>
        <v>-50</v>
      </c>
      <c r="F453">
        <f t="shared" ca="1" si="36"/>
        <v>80</v>
      </c>
      <c r="G453" s="3" t="b">
        <f>COUNTIF(dict_zul_Var_Meth[ID_Methods], table_Methods[[#This Row],[ID]]) &gt; 0</f>
        <v>1</v>
      </c>
      <c r="H453">
        <f t="shared" ca="1" si="37"/>
        <v>6804</v>
      </c>
      <c r="I453">
        <f t="shared" ca="1" si="38"/>
        <v>776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39"/>
        <v>800</v>
      </c>
      <c r="E454">
        <f t="shared" ca="1" si="35"/>
        <v>-80</v>
      </c>
      <c r="F454">
        <f t="shared" ca="1" si="36"/>
        <v>390</v>
      </c>
      <c r="G454" s="3" t="b">
        <f>COUNTIF(dict_zul_Var_Meth[ID_Methods], table_Methods[[#This Row],[ID]]) &gt; 0</f>
        <v>1</v>
      </c>
      <c r="H454">
        <f t="shared" ca="1" si="37"/>
        <v>13668</v>
      </c>
      <c r="I454">
        <f t="shared" ca="1" si="38"/>
        <v>62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39"/>
        <v>380</v>
      </c>
      <c r="E455">
        <f t="shared" ca="1" si="35"/>
        <v>-40</v>
      </c>
      <c r="F455">
        <f t="shared" ca="1" si="36"/>
        <v>110</v>
      </c>
      <c r="G455" s="3" t="b">
        <f>COUNTIF(dict_zul_Var_Meth[ID_Methods], table_Methods[[#This Row],[ID]]) &gt; 0</f>
        <v>1</v>
      </c>
      <c r="H455">
        <f t="shared" ca="1" si="37"/>
        <v>3493</v>
      </c>
      <c r="I455">
        <f t="shared" ca="1" si="38"/>
        <v>12032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39"/>
        <v>200</v>
      </c>
      <c r="E456">
        <f t="shared" ca="1" si="35"/>
        <v>-80</v>
      </c>
      <c r="F456">
        <f t="shared" ca="1" si="36"/>
        <v>400</v>
      </c>
      <c r="G456" s="3" t="b">
        <f>COUNTIF(dict_zul_Var_Meth[ID_Methods], table_Methods[[#This Row],[ID]]) &gt; 0</f>
        <v>1</v>
      </c>
      <c r="H456">
        <f t="shared" ca="1" si="37"/>
        <v>3375</v>
      </c>
      <c r="I456">
        <f t="shared" ca="1" si="38"/>
        <v>88064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39"/>
        <v>90</v>
      </c>
      <c r="E457">
        <f t="shared" ca="1" si="35"/>
        <v>-30</v>
      </c>
      <c r="F457">
        <f t="shared" ca="1" si="36"/>
        <v>290</v>
      </c>
      <c r="G457" s="3" t="b">
        <f>COUNTIF(dict_zul_Var_Meth[ID_Methods], table_Methods[[#This Row],[ID]]) &gt; 0</f>
        <v>1</v>
      </c>
      <c r="H457">
        <f t="shared" ca="1" si="37"/>
        <v>10008</v>
      </c>
      <c r="I457">
        <f t="shared" ca="1" si="38"/>
        <v>25088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39"/>
        <v>8200</v>
      </c>
      <c r="E458">
        <f t="shared" ca="1" si="35"/>
        <v>-70</v>
      </c>
      <c r="F458">
        <f t="shared" ca="1" si="36"/>
        <v>270</v>
      </c>
      <c r="G458" s="3" t="b">
        <f>COUNTIF(dict_zul_Var_Meth[ID_Methods], table_Methods[[#This Row],[ID]]) &gt; 0</f>
        <v>1</v>
      </c>
      <c r="H458">
        <f t="shared" ca="1" si="37"/>
        <v>10950</v>
      </c>
      <c r="I458">
        <f t="shared" ca="1" si="38"/>
        <v>512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39"/>
        <v>10000</v>
      </c>
      <c r="E459">
        <f t="shared" ca="1" si="35"/>
        <v>-40</v>
      </c>
      <c r="F459">
        <f t="shared" ca="1" si="36"/>
        <v>750</v>
      </c>
      <c r="G459" s="3" t="b">
        <f>COUNTIF(dict_zul_Var_Meth[ID_Methods], table_Methods[[#This Row],[ID]]) &gt; 0</f>
        <v>1</v>
      </c>
      <c r="H459">
        <f t="shared" ca="1" si="37"/>
        <v>16512</v>
      </c>
      <c r="I459">
        <f t="shared" ca="1" si="38"/>
        <v>5888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39"/>
        <v>6800</v>
      </c>
      <c r="E460">
        <f t="shared" ca="1" si="35"/>
        <v>-40</v>
      </c>
      <c r="F460">
        <f t="shared" ca="1" si="36"/>
        <v>750</v>
      </c>
      <c r="G460" s="3" t="b">
        <f>COUNTIF(dict_zul_Var_Meth[ID_Methods], table_Methods[[#This Row],[ID]]) &gt; 0</f>
        <v>1</v>
      </c>
      <c r="H460">
        <f t="shared" ca="1" si="37"/>
        <v>11952</v>
      </c>
      <c r="I460">
        <f t="shared" ca="1" si="38"/>
        <v>45056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39"/>
        <v>340</v>
      </c>
      <c r="E461">
        <f t="shared" ca="1" si="35"/>
        <v>-50</v>
      </c>
      <c r="F461">
        <f t="shared" ca="1" si="36"/>
        <v>80</v>
      </c>
      <c r="G461" s="3" t="b">
        <f>COUNTIF(dict_zul_Var_Meth[ID_Methods], table_Methods[[#This Row],[ID]]) &gt; 0</f>
        <v>1</v>
      </c>
      <c r="H461">
        <f t="shared" ca="1" si="37"/>
        <v>2790</v>
      </c>
      <c r="I461">
        <f t="shared" ca="1" si="38"/>
        <v>64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39"/>
        <v>62</v>
      </c>
      <c r="E462">
        <f t="shared" ca="1" si="35"/>
        <v>-90</v>
      </c>
      <c r="F462">
        <f t="shared" ca="1" si="36"/>
        <v>400</v>
      </c>
      <c r="G462" s="3" t="b">
        <f>COUNTIF(dict_zul_Var_Meth[ID_Methods], table_Methods[[#This Row],[ID]]) &gt; 0</f>
        <v>1</v>
      </c>
      <c r="H462">
        <f t="shared" ca="1" si="37"/>
        <v>5344</v>
      </c>
      <c r="I462">
        <f t="shared" ca="1" si="38"/>
        <v>56320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39"/>
        <v>67</v>
      </c>
      <c r="E463">
        <f t="shared" ca="1" si="35"/>
        <v>-90</v>
      </c>
      <c r="F463">
        <f t="shared" ca="1" si="36"/>
        <v>710</v>
      </c>
      <c r="G463" s="3" t="b">
        <f>COUNTIF(dict_zul_Var_Meth[ID_Methods], table_Methods[[#This Row],[ID]]) &gt; 0</f>
        <v>1</v>
      </c>
      <c r="H463">
        <f t="shared" ca="1" si="37"/>
        <v>9541</v>
      </c>
      <c r="I463">
        <f t="shared" ca="1" si="38"/>
        <v>90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39"/>
        <v>570</v>
      </c>
      <c r="E464">
        <f t="shared" ca="1" si="35"/>
        <v>-90</v>
      </c>
      <c r="F464">
        <f t="shared" ca="1" si="36"/>
        <v>200</v>
      </c>
      <c r="G464" s="3" t="b">
        <f>COUNTIF(dict_zul_Var_Meth[ID_Methods], table_Methods[[#This Row],[ID]]) &gt; 0</f>
        <v>1</v>
      </c>
      <c r="H464">
        <f t="shared" ca="1" si="37"/>
        <v>9506</v>
      </c>
      <c r="I464">
        <f t="shared" ca="1" si="38"/>
        <v>752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39"/>
        <v>66</v>
      </c>
      <c r="E465">
        <f t="shared" ca="1" si="35"/>
        <v>20</v>
      </c>
      <c r="F465">
        <f t="shared" ca="1" si="36"/>
        <v>140</v>
      </c>
      <c r="G465" s="3" t="b">
        <f>COUNTIF(dict_zul_Var_Meth[ID_Methods], table_Methods[[#This Row],[ID]]) &gt; 0</f>
        <v>1</v>
      </c>
      <c r="H465">
        <f t="shared" ca="1" si="37"/>
        <v>246</v>
      </c>
      <c r="I465">
        <f t="shared" ca="1" si="38"/>
        <v>2976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39"/>
        <v>75</v>
      </c>
      <c r="E466">
        <f t="shared" ca="1" si="35"/>
        <v>-80</v>
      </c>
      <c r="F466">
        <f t="shared" ca="1" si="36"/>
        <v>210</v>
      </c>
      <c r="G466" s="3" t="b">
        <f>COUNTIF(dict_zul_Var_Meth[ID_Methods], table_Methods[[#This Row],[ID]]) &gt; 0</f>
        <v>1</v>
      </c>
      <c r="H466">
        <f t="shared" ca="1" si="37"/>
        <v>13326</v>
      </c>
      <c r="I466">
        <f t="shared" ca="1" si="38"/>
        <v>5120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39"/>
        <v>66</v>
      </c>
      <c r="E467">
        <f t="shared" ca="1" si="35"/>
        <v>-60</v>
      </c>
      <c r="F467">
        <f t="shared" ca="1" si="36"/>
        <v>60</v>
      </c>
      <c r="G467" s="3" t="b">
        <f>COUNTIF(dict_zul_Var_Meth[ID_Methods], table_Methods[[#This Row],[ID]]) &gt; 0</f>
        <v>1</v>
      </c>
      <c r="H467">
        <f t="shared" ca="1" si="37"/>
        <v>5378</v>
      </c>
      <c r="I467">
        <f t="shared" ca="1" si="38"/>
        <v>10240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39"/>
        <v>500</v>
      </c>
      <c r="E468">
        <f t="shared" ca="1" si="35"/>
        <v>0</v>
      </c>
      <c r="F468">
        <f t="shared" ca="1" si="36"/>
        <v>140</v>
      </c>
      <c r="G468" s="3" t="b">
        <f>COUNTIF(dict_zul_Var_Meth[ID_Methods], table_Methods[[#This Row],[ID]]) &gt; 0</f>
        <v>1</v>
      </c>
      <c r="H468">
        <f t="shared" ca="1" si="37"/>
        <v>17596</v>
      </c>
      <c r="I468">
        <f t="shared" ca="1" si="38"/>
        <v>33792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39"/>
        <v>7600</v>
      </c>
      <c r="E469">
        <f t="shared" ca="1" si="35"/>
        <v>-80</v>
      </c>
      <c r="F469">
        <f t="shared" ca="1" si="36"/>
        <v>250</v>
      </c>
      <c r="G469" s="3" t="b">
        <f>COUNTIF(dict_zul_Var_Meth[ID_Methods], table_Methods[[#This Row],[ID]]) &gt; 0</f>
        <v>1</v>
      </c>
      <c r="H469">
        <f t="shared" ca="1" si="37"/>
        <v>30321</v>
      </c>
      <c r="I469">
        <f t="shared" ca="1" si="38"/>
        <v>288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39"/>
        <v>5700</v>
      </c>
      <c r="E470">
        <f t="shared" ca="1" si="35"/>
        <v>-60</v>
      </c>
      <c r="F470">
        <f t="shared" ca="1" si="36"/>
        <v>300</v>
      </c>
      <c r="G470" s="3" t="b">
        <f>COUNTIF(dict_zul_Var_Meth[ID_Methods], table_Methods[[#This Row],[ID]]) &gt; 0</f>
        <v>1</v>
      </c>
      <c r="H470">
        <f t="shared" ca="1" si="37"/>
        <v>682</v>
      </c>
      <c r="I470">
        <f t="shared" ca="1" si="38"/>
        <v>2720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39"/>
        <v>900</v>
      </c>
      <c r="E471">
        <f t="shared" ca="1" si="35"/>
        <v>-80</v>
      </c>
      <c r="F471">
        <f t="shared" ca="1" si="36"/>
        <v>620</v>
      </c>
      <c r="G471" s="3" t="b">
        <f>COUNTIF(dict_zul_Var_Meth[ID_Methods], table_Methods[[#This Row],[ID]]) &gt; 0</f>
        <v>1</v>
      </c>
      <c r="H471">
        <f t="shared" ca="1" si="37"/>
        <v>8865</v>
      </c>
      <c r="I471">
        <f t="shared" ca="1" si="38"/>
        <v>152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39"/>
        <v>7100</v>
      </c>
      <c r="E472">
        <f t="shared" ca="1" si="35"/>
        <v>-70</v>
      </c>
      <c r="F472">
        <f t="shared" ca="1" si="36"/>
        <v>550</v>
      </c>
      <c r="G472" s="3" t="b">
        <f>COUNTIF(dict_zul_Var_Meth[ID_Methods], table_Methods[[#This Row],[ID]]) &gt; 0</f>
        <v>1</v>
      </c>
      <c r="H472">
        <f t="shared" ca="1" si="37"/>
        <v>15351</v>
      </c>
      <c r="I472">
        <f t="shared" ca="1" si="38"/>
        <v>25088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39"/>
        <v>990</v>
      </c>
      <c r="E473">
        <f t="shared" ca="1" si="35"/>
        <v>-10</v>
      </c>
      <c r="F473">
        <f t="shared" ca="1" si="36"/>
        <v>420</v>
      </c>
      <c r="G473" s="3" t="b">
        <f>COUNTIF(dict_zul_Var_Meth[ID_Methods], table_Methods[[#This Row],[ID]]) &gt; 0</f>
        <v>1</v>
      </c>
      <c r="H473">
        <f t="shared" ca="1" si="37"/>
        <v>19720</v>
      </c>
      <c r="I473">
        <f t="shared" ca="1" si="38"/>
        <v>3264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39"/>
        <v>4500</v>
      </c>
      <c r="E474">
        <f t="shared" ca="1" si="35"/>
        <v>-40</v>
      </c>
      <c r="F474">
        <f t="shared" ca="1" si="36"/>
        <v>240</v>
      </c>
      <c r="G474" s="3" t="b">
        <f>COUNTIF(dict_zul_Var_Meth[ID_Methods], table_Methods[[#This Row],[ID]]) &gt; 0</f>
        <v>1</v>
      </c>
      <c r="H474">
        <f t="shared" ca="1" si="37"/>
        <v>5697</v>
      </c>
      <c r="I474">
        <f t="shared" ca="1" si="38"/>
        <v>160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39"/>
        <v>1600</v>
      </c>
      <c r="E475">
        <f t="shared" ca="1" si="35"/>
        <v>-20</v>
      </c>
      <c r="F475">
        <f t="shared" ca="1" si="36"/>
        <v>800</v>
      </c>
      <c r="G475" s="3" t="b">
        <f>COUNTIF(dict_zul_Var_Meth[ID_Methods], table_Methods[[#This Row],[ID]]) &gt; 0</f>
        <v>1</v>
      </c>
      <c r="H475">
        <f t="shared" ca="1" si="37"/>
        <v>31608</v>
      </c>
      <c r="I475">
        <f t="shared" ca="1" si="38"/>
        <v>160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39"/>
        <v>97.000000000000014</v>
      </c>
      <c r="E476">
        <f t="shared" ca="1" si="35"/>
        <v>-30</v>
      </c>
      <c r="F476">
        <f t="shared" ca="1" si="36"/>
        <v>600</v>
      </c>
      <c r="G476" s="3" t="b">
        <f>COUNTIF(dict_zul_Var_Meth[ID_Methods], table_Methods[[#This Row],[ID]]) &gt; 0</f>
        <v>1</v>
      </c>
      <c r="H476">
        <f t="shared" ca="1" si="37"/>
        <v>3345</v>
      </c>
      <c r="I476">
        <f t="shared" ca="1" si="38"/>
        <v>632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39"/>
        <v>3100</v>
      </c>
      <c r="E477">
        <f t="shared" ca="1" si="35"/>
        <v>-30</v>
      </c>
      <c r="F477">
        <f t="shared" ca="1" si="36"/>
        <v>960</v>
      </c>
      <c r="G477" s="3" t="b">
        <f>COUNTIF(dict_zul_Var_Meth[ID_Methods], table_Methods[[#This Row],[ID]]) &gt; 0</f>
        <v>1</v>
      </c>
      <c r="H477">
        <f t="shared" ca="1" si="37"/>
        <v>4785</v>
      </c>
      <c r="I477">
        <f t="shared" ca="1" si="38"/>
        <v>5312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39"/>
        <v>77</v>
      </c>
      <c r="E478">
        <f t="shared" ca="1" si="35"/>
        <v>-80</v>
      </c>
      <c r="F478">
        <f t="shared" ca="1" si="36"/>
        <v>250</v>
      </c>
      <c r="G478" s="3" t="b">
        <f>COUNTIF(dict_zul_Var_Meth[ID_Methods], table_Methods[[#This Row],[ID]]) &gt; 0</f>
        <v>1</v>
      </c>
      <c r="H478">
        <f t="shared" ca="1" si="37"/>
        <v>31220</v>
      </c>
      <c r="I478">
        <f t="shared" ca="1" si="38"/>
        <v>1056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39"/>
        <v>9</v>
      </c>
      <c r="E479">
        <f t="shared" ca="1" si="35"/>
        <v>-20</v>
      </c>
      <c r="F479">
        <f t="shared" ca="1" si="36"/>
        <v>430</v>
      </c>
      <c r="G479" s="3" t="b">
        <f>COUNTIF(dict_zul_Var_Meth[ID_Methods], table_Methods[[#This Row],[ID]]) &gt; 0</f>
        <v>1</v>
      </c>
      <c r="H479">
        <f t="shared" ca="1" si="37"/>
        <v>5145</v>
      </c>
      <c r="I479">
        <f t="shared" ca="1" si="38"/>
        <v>760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39"/>
        <v>300</v>
      </c>
      <c r="E480">
        <f t="shared" ca="1" si="35"/>
        <v>10</v>
      </c>
      <c r="F480">
        <f t="shared" ca="1" si="36"/>
        <v>990</v>
      </c>
      <c r="G480" s="3" t="b">
        <f>COUNTIF(dict_zul_Var_Meth[ID_Methods], table_Methods[[#This Row],[ID]]) &gt; 0</f>
        <v>1</v>
      </c>
      <c r="H480">
        <f t="shared" ca="1" si="37"/>
        <v>25236</v>
      </c>
      <c r="I480">
        <f t="shared" ca="1" si="38"/>
        <v>14848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39"/>
        <v>300</v>
      </c>
      <c r="E481">
        <f t="shared" ca="1" si="35"/>
        <v>-90</v>
      </c>
      <c r="F481">
        <f t="shared" ca="1" si="36"/>
        <v>520</v>
      </c>
      <c r="G481" s="3" t="b">
        <f>COUNTIF(dict_zul_Var_Meth[ID_Methods], table_Methods[[#This Row],[ID]]) &gt; 0</f>
        <v>1</v>
      </c>
      <c r="H481">
        <f t="shared" ca="1" si="37"/>
        <v>28864</v>
      </c>
      <c r="I481">
        <f t="shared" ca="1" si="38"/>
        <v>11776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39"/>
        <v>52</v>
      </c>
      <c r="E482">
        <f t="shared" ca="1" si="35"/>
        <v>-60</v>
      </c>
      <c r="F482">
        <f t="shared" ca="1" si="36"/>
        <v>890</v>
      </c>
      <c r="G482" s="3" t="b">
        <f>COUNTIF(dict_zul_Var_Meth[ID_Methods], table_Methods[[#This Row],[ID]]) &gt; 0</f>
        <v>1</v>
      </c>
      <c r="H482">
        <f t="shared" ca="1" si="37"/>
        <v>28656</v>
      </c>
      <c r="I482">
        <f t="shared" ca="1" si="38"/>
        <v>38912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39"/>
        <v>1400</v>
      </c>
      <c r="E483">
        <f t="shared" ca="1" si="35"/>
        <v>-40</v>
      </c>
      <c r="F483">
        <f t="shared" ca="1" si="36"/>
        <v>920</v>
      </c>
      <c r="G483" s="3" t="b">
        <f>COUNTIF(dict_zul_Var_Meth[ID_Methods], table_Methods[[#This Row],[ID]]) &gt; 0</f>
        <v>1</v>
      </c>
      <c r="H483">
        <f t="shared" ca="1" si="37"/>
        <v>14097</v>
      </c>
      <c r="I483">
        <f t="shared" ca="1" si="38"/>
        <v>56320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39"/>
        <v>400</v>
      </c>
      <c r="E484">
        <f t="shared" ref="E484:E547" ca="1" si="40">RANDBETWEEN(-10,3)*10</f>
        <v>-60</v>
      </c>
      <c r="F484">
        <f t="shared" ref="F484:F547" ca="1" si="41">RANDBETWEEN(2,100)*10</f>
        <v>930</v>
      </c>
      <c r="G484" s="3" t="b">
        <f>COUNTIF(dict_zul_Var_Meth[ID_Methods], table_Methods[[#This Row],[ID]]) &gt; 0</f>
        <v>1</v>
      </c>
      <c r="H484">
        <f t="shared" ref="H484:H547" ca="1" si="42">RANDBETWEEN(1,10)*RANDBETWEEN(1,5000)</f>
        <v>14586</v>
      </c>
      <c r="I484">
        <f t="shared" ref="I484:I547" ca="1" si="43">2^RANDBETWEEN(1,10)*RANDBETWEEN(1,100)</f>
        <v>440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39"/>
        <v>77</v>
      </c>
      <c r="E485">
        <f t="shared" ca="1" si="40"/>
        <v>-20</v>
      </c>
      <c r="F485">
        <f t="shared" ca="1" si="41"/>
        <v>210</v>
      </c>
      <c r="G485" s="3" t="b">
        <f>COUNTIF(dict_zul_Var_Meth[ID_Methods], table_Methods[[#This Row],[ID]]) &gt; 0</f>
        <v>1</v>
      </c>
      <c r="H485">
        <f t="shared" ca="1" si="42"/>
        <v>5120</v>
      </c>
      <c r="I485">
        <f t="shared" ca="1" si="43"/>
        <v>1408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39"/>
        <v>7700</v>
      </c>
      <c r="E486">
        <f t="shared" ca="1" si="40"/>
        <v>-80</v>
      </c>
      <c r="F486">
        <f t="shared" ca="1" si="41"/>
        <v>40</v>
      </c>
      <c r="G486" s="3" t="b">
        <f>COUNTIF(dict_zul_Var_Meth[ID_Methods], table_Methods[[#This Row],[ID]]) &gt; 0</f>
        <v>1</v>
      </c>
      <c r="H486">
        <f t="shared" ca="1" si="42"/>
        <v>13863</v>
      </c>
      <c r="I486">
        <f t="shared" ca="1" si="43"/>
        <v>7296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39"/>
        <v>15</v>
      </c>
      <c r="E487">
        <f t="shared" ca="1" si="40"/>
        <v>-60</v>
      </c>
      <c r="F487">
        <f t="shared" ca="1" si="41"/>
        <v>670</v>
      </c>
      <c r="G487" s="3" t="b">
        <f>COUNTIF(dict_zul_Var_Meth[ID_Methods], table_Methods[[#This Row],[ID]]) &gt; 0</f>
        <v>1</v>
      </c>
      <c r="H487">
        <f t="shared" ca="1" si="42"/>
        <v>41355</v>
      </c>
      <c r="I487">
        <f t="shared" ca="1" si="43"/>
        <v>560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39"/>
        <v>4500</v>
      </c>
      <c r="E488">
        <f t="shared" ca="1" si="40"/>
        <v>-80</v>
      </c>
      <c r="F488">
        <f t="shared" ca="1" si="41"/>
        <v>820</v>
      </c>
      <c r="G488" s="3" t="b">
        <f>COUNTIF(dict_zul_Var_Meth[ID_Methods], table_Methods[[#This Row],[ID]]) &gt; 0</f>
        <v>1</v>
      </c>
      <c r="H488">
        <f t="shared" ca="1" si="42"/>
        <v>8985</v>
      </c>
      <c r="I488">
        <f t="shared" ca="1" si="43"/>
        <v>108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39"/>
        <v>3000</v>
      </c>
      <c r="E489">
        <f t="shared" ca="1" si="40"/>
        <v>20</v>
      </c>
      <c r="F489">
        <f t="shared" ca="1" si="41"/>
        <v>460</v>
      </c>
      <c r="G489" s="3" t="b">
        <f>COUNTIF(dict_zul_Var_Meth[ID_Methods], table_Methods[[#This Row],[ID]]) &gt; 0</f>
        <v>1</v>
      </c>
      <c r="H489">
        <f t="shared" ca="1" si="42"/>
        <v>14945</v>
      </c>
      <c r="I489">
        <f t="shared" ca="1" si="43"/>
        <v>380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39"/>
        <v>8</v>
      </c>
      <c r="E490">
        <f t="shared" ca="1" si="40"/>
        <v>-30</v>
      </c>
      <c r="F490">
        <f t="shared" ca="1" si="41"/>
        <v>830</v>
      </c>
      <c r="G490" s="3" t="b">
        <f>COUNTIF(dict_zul_Var_Meth[ID_Methods], table_Methods[[#This Row],[ID]]) &gt; 0</f>
        <v>1</v>
      </c>
      <c r="H490">
        <f t="shared" ca="1" si="42"/>
        <v>14802</v>
      </c>
      <c r="I490">
        <f t="shared" ca="1" si="43"/>
        <v>144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39"/>
        <v>3400</v>
      </c>
      <c r="E491">
        <f t="shared" ca="1" si="40"/>
        <v>-60</v>
      </c>
      <c r="F491">
        <f t="shared" ca="1" si="41"/>
        <v>170</v>
      </c>
      <c r="G491" s="3" t="b">
        <f>COUNTIF(dict_zul_Var_Meth[ID_Methods], table_Methods[[#This Row],[ID]]) &gt; 0</f>
        <v>1</v>
      </c>
      <c r="H491">
        <f t="shared" ca="1" si="42"/>
        <v>2187</v>
      </c>
      <c r="I491">
        <f t="shared" ca="1" si="43"/>
        <v>7936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39"/>
        <v>60</v>
      </c>
      <c r="E492">
        <f t="shared" ca="1" si="40"/>
        <v>-30</v>
      </c>
      <c r="F492">
        <f t="shared" ca="1" si="41"/>
        <v>510</v>
      </c>
      <c r="G492" s="3" t="b">
        <f>COUNTIF(dict_zul_Var_Meth[ID_Methods], table_Methods[[#This Row],[ID]]) &gt; 0</f>
        <v>1</v>
      </c>
      <c r="H492">
        <f t="shared" ca="1" si="42"/>
        <v>19638</v>
      </c>
      <c r="I492">
        <f t="shared" ca="1" si="43"/>
        <v>8832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39"/>
        <v>7.0000000000000009</v>
      </c>
      <c r="E493">
        <f t="shared" ca="1" si="40"/>
        <v>-90</v>
      </c>
      <c r="F493">
        <f t="shared" ca="1" si="41"/>
        <v>470</v>
      </c>
      <c r="G493" s="3" t="b">
        <f>COUNTIF(dict_zul_Var_Meth[ID_Methods], table_Methods[[#This Row],[ID]]) &gt; 0</f>
        <v>1</v>
      </c>
      <c r="H493">
        <f t="shared" ca="1" si="42"/>
        <v>16404</v>
      </c>
      <c r="I493">
        <f t="shared" ca="1" si="43"/>
        <v>11776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39"/>
        <v>28.000000000000004</v>
      </c>
      <c r="E494">
        <f t="shared" ca="1" si="40"/>
        <v>10</v>
      </c>
      <c r="F494">
        <f t="shared" ca="1" si="41"/>
        <v>400</v>
      </c>
      <c r="G494" s="3" t="b">
        <f>COUNTIF(dict_zul_Var_Meth[ID_Methods], table_Methods[[#This Row],[ID]]) &gt; 0</f>
        <v>1</v>
      </c>
      <c r="H494">
        <f t="shared" ca="1" si="42"/>
        <v>8124</v>
      </c>
      <c r="I494">
        <f t="shared" ca="1" si="43"/>
        <v>544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39"/>
        <v>3400</v>
      </c>
      <c r="E495">
        <f t="shared" ca="1" si="40"/>
        <v>-80</v>
      </c>
      <c r="F495">
        <f t="shared" ca="1" si="41"/>
        <v>30</v>
      </c>
      <c r="G495" s="3" t="b">
        <f>COUNTIF(dict_zul_Var_Meth[ID_Methods], table_Methods[[#This Row],[ID]]) &gt; 0</f>
        <v>1</v>
      </c>
      <c r="H495">
        <f t="shared" ca="1" si="42"/>
        <v>8936</v>
      </c>
      <c r="I495">
        <f t="shared" ca="1" si="43"/>
        <v>488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39"/>
        <v>70</v>
      </c>
      <c r="E496">
        <f t="shared" ca="1" si="40"/>
        <v>0</v>
      </c>
      <c r="F496">
        <f t="shared" ca="1" si="41"/>
        <v>70</v>
      </c>
      <c r="G496" s="3" t="b">
        <f>COUNTIF(dict_zul_Var_Meth[ID_Methods], table_Methods[[#This Row],[ID]]) &gt; 0</f>
        <v>1</v>
      </c>
      <c r="H496">
        <f t="shared" ca="1" si="42"/>
        <v>22990</v>
      </c>
      <c r="I496">
        <f t="shared" ca="1" si="43"/>
        <v>4224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39"/>
        <v>3400</v>
      </c>
      <c r="E497">
        <f t="shared" ca="1" si="40"/>
        <v>30</v>
      </c>
      <c r="F497">
        <f t="shared" ca="1" si="41"/>
        <v>310</v>
      </c>
      <c r="G497" s="3" t="b">
        <f>COUNTIF(dict_zul_Var_Meth[ID_Methods], table_Methods[[#This Row],[ID]]) &gt; 0</f>
        <v>1</v>
      </c>
      <c r="H497">
        <f t="shared" ca="1" si="42"/>
        <v>11440</v>
      </c>
      <c r="I497">
        <f t="shared" ca="1" si="43"/>
        <v>1792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39"/>
        <v>6000</v>
      </c>
      <c r="E498">
        <f t="shared" ca="1" si="40"/>
        <v>10</v>
      </c>
      <c r="F498">
        <f t="shared" ca="1" si="41"/>
        <v>590</v>
      </c>
      <c r="G498" s="3" t="b">
        <f>COUNTIF(dict_zul_Var_Meth[ID_Methods], table_Methods[[#This Row],[ID]]) &gt; 0</f>
        <v>1</v>
      </c>
      <c r="H498">
        <f t="shared" ca="1" si="42"/>
        <v>914</v>
      </c>
      <c r="I498">
        <f t="shared" ca="1" si="43"/>
        <v>8448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39"/>
        <v>8100</v>
      </c>
      <c r="E499">
        <f t="shared" ca="1" si="40"/>
        <v>-40</v>
      </c>
      <c r="F499">
        <f t="shared" ca="1" si="41"/>
        <v>850</v>
      </c>
      <c r="G499" s="3" t="b">
        <f>COUNTIF(dict_zul_Var_Meth[ID_Methods], table_Methods[[#This Row],[ID]]) &gt; 0</f>
        <v>1</v>
      </c>
      <c r="H499">
        <f t="shared" ca="1" si="42"/>
        <v>4792</v>
      </c>
      <c r="I499">
        <f t="shared" ca="1" si="43"/>
        <v>284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39"/>
        <v>2900</v>
      </c>
      <c r="E500">
        <f t="shared" ca="1" si="40"/>
        <v>-90</v>
      </c>
      <c r="F500">
        <f t="shared" ca="1" si="41"/>
        <v>650</v>
      </c>
      <c r="G500" s="3" t="b">
        <f>COUNTIF(dict_zul_Var_Meth[ID_Methods], table_Methods[[#This Row],[ID]]) &gt; 0</f>
        <v>1</v>
      </c>
      <c r="H500">
        <f t="shared" ca="1" si="42"/>
        <v>1904</v>
      </c>
      <c r="I500">
        <f t="shared" ca="1" si="43"/>
        <v>228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39"/>
        <v>83</v>
      </c>
      <c r="E501">
        <f t="shared" ca="1" si="40"/>
        <v>-80</v>
      </c>
      <c r="F501">
        <f t="shared" ca="1" si="41"/>
        <v>250</v>
      </c>
      <c r="G501" s="3" t="b">
        <f>COUNTIF(dict_zul_Var_Meth[ID_Methods], table_Methods[[#This Row],[ID]]) &gt; 0</f>
        <v>1</v>
      </c>
      <c r="H501">
        <f t="shared" ca="1" si="42"/>
        <v>15016</v>
      </c>
      <c r="I501">
        <f t="shared" ca="1" si="43"/>
        <v>70656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39"/>
        <v>460</v>
      </c>
      <c r="E502">
        <f t="shared" ca="1" si="40"/>
        <v>30</v>
      </c>
      <c r="F502">
        <f t="shared" ca="1" si="41"/>
        <v>430</v>
      </c>
      <c r="G502" s="3" t="b">
        <f>COUNTIF(dict_zul_Var_Meth[ID_Methods], table_Methods[[#This Row],[ID]]) &gt; 0</f>
        <v>1</v>
      </c>
      <c r="H502">
        <f t="shared" ca="1" si="42"/>
        <v>20350</v>
      </c>
      <c r="I502">
        <f t="shared" ca="1" si="43"/>
        <v>128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39"/>
        <v>27</v>
      </c>
      <c r="E503">
        <f t="shared" ca="1" si="40"/>
        <v>-90</v>
      </c>
      <c r="F503">
        <f t="shared" ca="1" si="41"/>
        <v>380</v>
      </c>
      <c r="G503" s="3" t="b">
        <f>COUNTIF(dict_zul_Var_Meth[ID_Methods], table_Methods[[#This Row],[ID]]) &gt; 0</f>
        <v>1</v>
      </c>
      <c r="H503">
        <f t="shared" ca="1" si="42"/>
        <v>4943</v>
      </c>
      <c r="I503">
        <f t="shared" ca="1" si="43"/>
        <v>146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39"/>
        <v>530</v>
      </c>
      <c r="E504">
        <f t="shared" ca="1" si="40"/>
        <v>-60</v>
      </c>
      <c r="F504">
        <f t="shared" ca="1" si="41"/>
        <v>770</v>
      </c>
      <c r="G504" s="3" t="b">
        <f>COUNTIF(dict_zul_Var_Meth[ID_Methods], table_Methods[[#This Row],[ID]]) &gt; 0</f>
        <v>1</v>
      </c>
      <c r="H504">
        <f t="shared" ca="1" si="42"/>
        <v>9384</v>
      </c>
      <c r="I504">
        <f t="shared" ca="1" si="43"/>
        <v>736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39"/>
        <v>850</v>
      </c>
      <c r="E505">
        <f t="shared" ca="1" si="40"/>
        <v>30</v>
      </c>
      <c r="F505">
        <f t="shared" ca="1" si="41"/>
        <v>770</v>
      </c>
      <c r="G505" s="3" t="b">
        <f>COUNTIF(dict_zul_Var_Meth[ID_Methods], table_Methods[[#This Row],[ID]]) &gt; 0</f>
        <v>1</v>
      </c>
      <c r="H505">
        <f t="shared" ca="1" si="42"/>
        <v>6520</v>
      </c>
      <c r="I505">
        <f t="shared" ca="1" si="43"/>
        <v>1664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39"/>
        <v>4</v>
      </c>
      <c r="E506">
        <f t="shared" ca="1" si="40"/>
        <v>30</v>
      </c>
      <c r="F506">
        <f t="shared" ca="1" si="41"/>
        <v>970</v>
      </c>
      <c r="G506" s="3" t="b">
        <f>COUNTIF(dict_zul_Var_Meth[ID_Methods], table_Methods[[#This Row],[ID]]) &gt; 0</f>
        <v>1</v>
      </c>
      <c r="H506">
        <f t="shared" ca="1" si="42"/>
        <v>6348</v>
      </c>
      <c r="I506">
        <f t="shared" ca="1" si="43"/>
        <v>4352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39"/>
        <v>21</v>
      </c>
      <c r="E507">
        <f t="shared" ca="1" si="40"/>
        <v>30</v>
      </c>
      <c r="F507">
        <f t="shared" ca="1" si="41"/>
        <v>100</v>
      </c>
      <c r="G507" s="3" t="b">
        <f>COUNTIF(dict_zul_Var_Meth[ID_Methods], table_Methods[[#This Row],[ID]]) &gt; 0</f>
        <v>1</v>
      </c>
      <c r="H507">
        <f t="shared" ca="1" si="42"/>
        <v>26775</v>
      </c>
      <c r="I507">
        <f t="shared" ca="1" si="43"/>
        <v>3072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39"/>
        <v>70</v>
      </c>
      <c r="E508">
        <f t="shared" ca="1" si="40"/>
        <v>20</v>
      </c>
      <c r="F508">
        <f t="shared" ca="1" si="41"/>
        <v>280</v>
      </c>
      <c r="G508" s="3" t="b">
        <f>COUNTIF(dict_zul_Var_Meth[ID_Methods], table_Methods[[#This Row],[ID]]) &gt; 0</f>
        <v>1</v>
      </c>
      <c r="H508">
        <f t="shared" ca="1" si="42"/>
        <v>4725</v>
      </c>
      <c r="I508">
        <f t="shared" ca="1" si="43"/>
        <v>152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39"/>
        <v>4600</v>
      </c>
      <c r="E509">
        <f t="shared" ca="1" si="40"/>
        <v>-90</v>
      </c>
      <c r="F509">
        <f t="shared" ca="1" si="41"/>
        <v>560</v>
      </c>
      <c r="G509" s="3" t="b">
        <f>COUNTIF(dict_zul_Var_Meth[ID_Methods], table_Methods[[#This Row],[ID]]) &gt; 0</f>
        <v>1</v>
      </c>
      <c r="H509">
        <f t="shared" ca="1" si="42"/>
        <v>37485</v>
      </c>
      <c r="I509">
        <f t="shared" ca="1" si="43"/>
        <v>4608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39"/>
        <v>210</v>
      </c>
      <c r="E510">
        <f t="shared" ca="1" si="40"/>
        <v>-60</v>
      </c>
      <c r="F510">
        <f t="shared" ca="1" si="41"/>
        <v>910</v>
      </c>
      <c r="G510" s="3" t="b">
        <f>COUNTIF(dict_zul_Var_Meth[ID_Methods], table_Methods[[#This Row],[ID]]) &gt; 0</f>
        <v>1</v>
      </c>
      <c r="H510">
        <f t="shared" ca="1" si="42"/>
        <v>13506</v>
      </c>
      <c r="I510">
        <f t="shared" ca="1" si="43"/>
        <v>496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39"/>
        <v>2000</v>
      </c>
      <c r="E511">
        <f t="shared" ca="1" si="40"/>
        <v>20</v>
      </c>
      <c r="F511">
        <f t="shared" ca="1" si="41"/>
        <v>820</v>
      </c>
      <c r="G511" s="3" t="b">
        <f>COUNTIF(dict_zul_Var_Meth[ID_Methods], table_Methods[[#This Row],[ID]]) &gt; 0</f>
        <v>1</v>
      </c>
      <c r="H511">
        <f t="shared" ca="1" si="42"/>
        <v>5022</v>
      </c>
      <c r="I511">
        <f t="shared" ca="1" si="43"/>
        <v>1056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39"/>
        <v>49</v>
      </c>
      <c r="E512">
        <f t="shared" ca="1" si="40"/>
        <v>-90</v>
      </c>
      <c r="F512">
        <f t="shared" ca="1" si="41"/>
        <v>180</v>
      </c>
      <c r="G512" s="3" t="b">
        <f>COUNTIF(dict_zul_Var_Meth[ID_Methods], table_Methods[[#This Row],[ID]]) &gt; 0</f>
        <v>1</v>
      </c>
      <c r="H512">
        <f t="shared" ca="1" si="42"/>
        <v>11440</v>
      </c>
      <c r="I512">
        <f t="shared" ca="1" si="43"/>
        <v>752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39"/>
        <v>2100</v>
      </c>
      <c r="E513">
        <f t="shared" ca="1" si="40"/>
        <v>-80</v>
      </c>
      <c r="F513">
        <f t="shared" ca="1" si="41"/>
        <v>750</v>
      </c>
      <c r="G513" s="3" t="b">
        <f>COUNTIF(dict_zul_Var_Meth[ID_Methods], table_Methods[[#This Row],[ID]]) &gt; 0</f>
        <v>1</v>
      </c>
      <c r="H513">
        <f t="shared" ca="1" si="42"/>
        <v>7284</v>
      </c>
      <c r="I513">
        <f t="shared" ca="1" si="43"/>
        <v>140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44">10^(RANDBETWEEN(-1,1))*RANDBETWEEN(1,100)*10</f>
        <v>10</v>
      </c>
      <c r="E514">
        <f t="shared" ca="1" si="40"/>
        <v>-90</v>
      </c>
      <c r="F514">
        <f t="shared" ca="1" si="41"/>
        <v>530</v>
      </c>
      <c r="G514" s="3" t="b">
        <f>COUNTIF(dict_zul_Var_Meth[ID_Methods], table_Methods[[#This Row],[ID]]) &gt; 0</f>
        <v>1</v>
      </c>
      <c r="H514">
        <f t="shared" ca="1" si="42"/>
        <v>13139</v>
      </c>
      <c r="I514">
        <f t="shared" ca="1" si="43"/>
        <v>5248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44"/>
        <v>10000</v>
      </c>
      <c r="E515">
        <f t="shared" ca="1" si="40"/>
        <v>-40</v>
      </c>
      <c r="F515">
        <f t="shared" ca="1" si="41"/>
        <v>770</v>
      </c>
      <c r="G515" s="3" t="b">
        <f>COUNTIF(dict_zul_Var_Meth[ID_Methods], table_Methods[[#This Row],[ID]]) &gt; 0</f>
        <v>1</v>
      </c>
      <c r="H515">
        <f t="shared" ca="1" si="42"/>
        <v>33355</v>
      </c>
      <c r="I515">
        <f t="shared" ca="1" si="43"/>
        <v>5376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44"/>
        <v>670</v>
      </c>
      <c r="E516">
        <f t="shared" ca="1" si="40"/>
        <v>-70</v>
      </c>
      <c r="F516">
        <f t="shared" ca="1" si="41"/>
        <v>760</v>
      </c>
      <c r="G516" s="3" t="b">
        <f>COUNTIF(dict_zul_Var_Meth[ID_Methods], table_Methods[[#This Row],[ID]]) &gt; 0</f>
        <v>1</v>
      </c>
      <c r="H516">
        <f t="shared" ca="1" si="42"/>
        <v>21126</v>
      </c>
      <c r="I516">
        <f t="shared" ca="1" si="43"/>
        <v>172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44"/>
        <v>620</v>
      </c>
      <c r="E517">
        <f t="shared" ca="1" si="40"/>
        <v>-40</v>
      </c>
      <c r="F517">
        <f t="shared" ca="1" si="41"/>
        <v>730</v>
      </c>
      <c r="G517" s="3" t="b">
        <f>COUNTIF(dict_zul_Var_Meth[ID_Methods], table_Methods[[#This Row],[ID]]) &gt; 0</f>
        <v>1</v>
      </c>
      <c r="H517">
        <f t="shared" ca="1" si="42"/>
        <v>7738</v>
      </c>
      <c r="I517">
        <f t="shared" ca="1" si="43"/>
        <v>1120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44"/>
        <v>88</v>
      </c>
      <c r="E518">
        <f t="shared" ca="1" si="40"/>
        <v>-70</v>
      </c>
      <c r="F518">
        <f t="shared" ca="1" si="41"/>
        <v>890</v>
      </c>
      <c r="G518" s="3" t="b">
        <f>COUNTIF(dict_zul_Var_Meth[ID_Methods], table_Methods[[#This Row],[ID]]) &gt; 0</f>
        <v>1</v>
      </c>
      <c r="H518">
        <f t="shared" ca="1" si="42"/>
        <v>9317</v>
      </c>
      <c r="I518">
        <f t="shared" ca="1" si="43"/>
        <v>832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44"/>
        <v>31</v>
      </c>
      <c r="E519">
        <f t="shared" ca="1" si="40"/>
        <v>-100</v>
      </c>
      <c r="F519">
        <f t="shared" ca="1" si="41"/>
        <v>780</v>
      </c>
      <c r="G519" s="3" t="b">
        <f>COUNTIF(dict_zul_Var_Meth[ID_Methods], table_Methods[[#This Row],[ID]]) &gt; 0</f>
        <v>1</v>
      </c>
      <c r="H519">
        <f t="shared" ca="1" si="42"/>
        <v>18210</v>
      </c>
      <c r="I519">
        <f t="shared" ca="1" si="43"/>
        <v>108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44"/>
        <v>93</v>
      </c>
      <c r="E520">
        <f t="shared" ca="1" si="40"/>
        <v>-90</v>
      </c>
      <c r="F520">
        <f t="shared" ca="1" si="41"/>
        <v>880</v>
      </c>
      <c r="G520" s="3" t="b">
        <f>COUNTIF(dict_zul_Var_Meth[ID_Methods], table_Methods[[#This Row],[ID]]) &gt; 0</f>
        <v>1</v>
      </c>
      <c r="H520">
        <f t="shared" ca="1" si="42"/>
        <v>346</v>
      </c>
      <c r="I520">
        <f t="shared" ca="1" si="43"/>
        <v>34816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44"/>
        <v>310</v>
      </c>
      <c r="E521">
        <f t="shared" ca="1" si="40"/>
        <v>-50</v>
      </c>
      <c r="F521">
        <f t="shared" ca="1" si="41"/>
        <v>290</v>
      </c>
      <c r="G521" s="3" t="b">
        <f>COUNTIF(dict_zul_Var_Meth[ID_Methods], table_Methods[[#This Row],[ID]]) &gt; 0</f>
        <v>1</v>
      </c>
      <c r="H521">
        <f t="shared" ca="1" si="42"/>
        <v>26700</v>
      </c>
      <c r="I521">
        <f t="shared" ca="1" si="43"/>
        <v>6656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44"/>
        <v>6300</v>
      </c>
      <c r="E522">
        <f t="shared" ca="1" si="40"/>
        <v>30</v>
      </c>
      <c r="F522">
        <f t="shared" ca="1" si="41"/>
        <v>360</v>
      </c>
      <c r="G522" s="3" t="b">
        <f>COUNTIF(dict_zul_Var_Meth[ID_Methods], table_Methods[[#This Row],[ID]]) &gt; 0</f>
        <v>1</v>
      </c>
      <c r="H522">
        <f t="shared" ca="1" si="42"/>
        <v>24760</v>
      </c>
      <c r="I522">
        <f t="shared" ca="1" si="43"/>
        <v>296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44"/>
        <v>3500</v>
      </c>
      <c r="E523">
        <f t="shared" ca="1" si="40"/>
        <v>-60</v>
      </c>
      <c r="F523">
        <f t="shared" ca="1" si="41"/>
        <v>70</v>
      </c>
      <c r="G523" s="3" t="b">
        <f>COUNTIF(dict_zul_Var_Meth[ID_Methods], table_Methods[[#This Row],[ID]]) &gt; 0</f>
        <v>1</v>
      </c>
      <c r="H523">
        <f t="shared" ca="1" si="42"/>
        <v>5946</v>
      </c>
      <c r="I523">
        <f t="shared" ca="1" si="43"/>
        <v>592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44"/>
        <v>96.000000000000014</v>
      </c>
      <c r="E524">
        <f t="shared" ca="1" si="40"/>
        <v>10</v>
      </c>
      <c r="F524">
        <f t="shared" ca="1" si="41"/>
        <v>240</v>
      </c>
      <c r="G524" s="3" t="b">
        <f>COUNTIF(dict_zul_Var_Meth[ID_Methods], table_Methods[[#This Row],[ID]]) &gt; 0</f>
        <v>1</v>
      </c>
      <c r="H524">
        <f t="shared" ca="1" si="42"/>
        <v>47120</v>
      </c>
      <c r="I524">
        <f t="shared" ca="1" si="43"/>
        <v>28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44"/>
        <v>20</v>
      </c>
      <c r="E525">
        <f t="shared" ca="1" si="40"/>
        <v>-80</v>
      </c>
      <c r="F525">
        <f t="shared" ca="1" si="41"/>
        <v>320</v>
      </c>
      <c r="G525" s="3" t="b">
        <f>COUNTIF(dict_zul_Var_Meth[ID_Methods], table_Methods[[#This Row],[ID]]) &gt; 0</f>
        <v>1</v>
      </c>
      <c r="H525">
        <f t="shared" ca="1" si="42"/>
        <v>11016</v>
      </c>
      <c r="I525">
        <f t="shared" ca="1" si="43"/>
        <v>21504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44"/>
        <v>13</v>
      </c>
      <c r="E526">
        <f t="shared" ca="1" si="40"/>
        <v>-80</v>
      </c>
      <c r="F526">
        <f t="shared" ca="1" si="41"/>
        <v>280</v>
      </c>
      <c r="G526" s="3" t="b">
        <f>COUNTIF(dict_zul_Var_Meth[ID_Methods], table_Methods[[#This Row],[ID]]) &gt; 0</f>
        <v>1</v>
      </c>
      <c r="H526">
        <f t="shared" ca="1" si="42"/>
        <v>14880</v>
      </c>
      <c r="I526">
        <f t="shared" ca="1" si="43"/>
        <v>10880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44"/>
        <v>6300</v>
      </c>
      <c r="E527">
        <f t="shared" ca="1" si="40"/>
        <v>10</v>
      </c>
      <c r="F527">
        <f t="shared" ca="1" si="41"/>
        <v>100</v>
      </c>
      <c r="G527" s="3" t="b">
        <f>COUNTIF(dict_zul_Var_Meth[ID_Methods], table_Methods[[#This Row],[ID]]) &gt; 0</f>
        <v>1</v>
      </c>
      <c r="H527">
        <f t="shared" ca="1" si="42"/>
        <v>6537</v>
      </c>
      <c r="I527">
        <f t="shared" ca="1" si="43"/>
        <v>3072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44"/>
        <v>39</v>
      </c>
      <c r="E528">
        <f t="shared" ca="1" si="40"/>
        <v>-90</v>
      </c>
      <c r="F528">
        <f t="shared" ca="1" si="41"/>
        <v>600</v>
      </c>
      <c r="G528" s="3" t="b">
        <f>COUNTIF(dict_zul_Var_Meth[ID_Methods], table_Methods[[#This Row],[ID]]) &gt; 0</f>
        <v>1</v>
      </c>
      <c r="H528">
        <f t="shared" ca="1" si="42"/>
        <v>26350</v>
      </c>
      <c r="I528">
        <f t="shared" ca="1" si="43"/>
        <v>5696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44"/>
        <v>8100</v>
      </c>
      <c r="E529">
        <f t="shared" ca="1" si="40"/>
        <v>-60</v>
      </c>
      <c r="F529">
        <f t="shared" ca="1" si="41"/>
        <v>210</v>
      </c>
      <c r="G529" s="3" t="b">
        <f>COUNTIF(dict_zul_Var_Meth[ID_Methods], table_Methods[[#This Row],[ID]]) &gt; 0</f>
        <v>1</v>
      </c>
      <c r="H529">
        <f t="shared" ca="1" si="42"/>
        <v>2086</v>
      </c>
      <c r="I529">
        <f t="shared" ca="1" si="43"/>
        <v>832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44"/>
        <v>650</v>
      </c>
      <c r="E530">
        <f t="shared" ca="1" si="40"/>
        <v>-30</v>
      </c>
      <c r="F530">
        <f t="shared" ca="1" si="41"/>
        <v>400</v>
      </c>
      <c r="G530" s="3" t="b">
        <f>COUNTIF(dict_zul_Var_Meth[ID_Methods], table_Methods[[#This Row],[ID]]) &gt; 0</f>
        <v>1</v>
      </c>
      <c r="H530">
        <f t="shared" ca="1" si="42"/>
        <v>9873</v>
      </c>
      <c r="I530">
        <f t="shared" ca="1" si="43"/>
        <v>23040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44"/>
        <v>8900</v>
      </c>
      <c r="E531">
        <f t="shared" ca="1" si="40"/>
        <v>-100</v>
      </c>
      <c r="F531">
        <f t="shared" ca="1" si="41"/>
        <v>540</v>
      </c>
      <c r="G531" s="3" t="b">
        <f>COUNTIF(dict_zul_Var_Meth[ID_Methods], table_Methods[[#This Row],[ID]]) &gt; 0</f>
        <v>1</v>
      </c>
      <c r="H531">
        <f t="shared" ca="1" si="42"/>
        <v>591</v>
      </c>
      <c r="I531">
        <f t="shared" ca="1" si="43"/>
        <v>1664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44"/>
        <v>27</v>
      </c>
      <c r="E532">
        <f t="shared" ca="1" si="40"/>
        <v>10</v>
      </c>
      <c r="F532">
        <f t="shared" ca="1" si="41"/>
        <v>190</v>
      </c>
      <c r="G532" s="3" t="b">
        <f>COUNTIF(dict_zul_Var_Meth[ID_Methods], table_Methods[[#This Row],[ID]]) &gt; 0</f>
        <v>1</v>
      </c>
      <c r="H532">
        <f t="shared" ca="1" si="42"/>
        <v>11010</v>
      </c>
      <c r="I532">
        <f t="shared" ca="1" si="43"/>
        <v>256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44"/>
        <v>1200</v>
      </c>
      <c r="E533">
        <f t="shared" ca="1" si="40"/>
        <v>30</v>
      </c>
      <c r="F533">
        <f t="shared" ca="1" si="41"/>
        <v>670</v>
      </c>
      <c r="G533" s="3" t="b">
        <f>COUNTIF(dict_zul_Var_Meth[ID_Methods], table_Methods[[#This Row],[ID]]) &gt; 0</f>
        <v>1</v>
      </c>
      <c r="H533">
        <f t="shared" ca="1" si="42"/>
        <v>5994</v>
      </c>
      <c r="I533">
        <f t="shared" ca="1" si="43"/>
        <v>13824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44"/>
        <v>570</v>
      </c>
      <c r="E534">
        <f t="shared" ca="1" si="40"/>
        <v>-20</v>
      </c>
      <c r="F534">
        <f t="shared" ca="1" si="41"/>
        <v>270</v>
      </c>
      <c r="G534" s="3" t="b">
        <f>COUNTIF(dict_zul_Var_Meth[ID_Methods], table_Methods[[#This Row],[ID]]) &gt; 0</f>
        <v>1</v>
      </c>
      <c r="H534">
        <f t="shared" ca="1" si="42"/>
        <v>660</v>
      </c>
      <c r="I534">
        <f t="shared" ca="1" si="43"/>
        <v>62464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44"/>
        <v>6.0000000000000009</v>
      </c>
      <c r="E535">
        <f t="shared" ca="1" si="40"/>
        <v>-100</v>
      </c>
      <c r="F535">
        <f t="shared" ca="1" si="41"/>
        <v>830</v>
      </c>
      <c r="G535" s="3" t="b">
        <f>COUNTIF(dict_zul_Var_Meth[ID_Methods], table_Methods[[#This Row],[ID]]) &gt; 0</f>
        <v>1</v>
      </c>
      <c r="H535">
        <f t="shared" ca="1" si="42"/>
        <v>7175</v>
      </c>
      <c r="I535">
        <f t="shared" ca="1" si="43"/>
        <v>10368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44"/>
        <v>740</v>
      </c>
      <c r="E536">
        <f t="shared" ca="1" si="40"/>
        <v>-40</v>
      </c>
      <c r="F536">
        <f t="shared" ca="1" si="41"/>
        <v>730</v>
      </c>
      <c r="G536" s="3" t="b">
        <f>COUNTIF(dict_zul_Var_Meth[ID_Methods], table_Methods[[#This Row],[ID]]) &gt; 0</f>
        <v>1</v>
      </c>
      <c r="H536">
        <f t="shared" ca="1" si="42"/>
        <v>22285</v>
      </c>
      <c r="I536">
        <f t="shared" ca="1" si="43"/>
        <v>132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44"/>
        <v>83</v>
      </c>
      <c r="E537">
        <f t="shared" ca="1" si="40"/>
        <v>20</v>
      </c>
      <c r="F537">
        <f t="shared" ca="1" si="41"/>
        <v>870</v>
      </c>
      <c r="G537" s="3" t="b">
        <f>COUNTIF(dict_zul_Var_Meth[ID_Methods], table_Methods[[#This Row],[ID]]) &gt; 0</f>
        <v>1</v>
      </c>
      <c r="H537">
        <f t="shared" ca="1" si="42"/>
        <v>7792</v>
      </c>
      <c r="I537">
        <f t="shared" ca="1" si="43"/>
        <v>8192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44"/>
        <v>47</v>
      </c>
      <c r="E538">
        <f t="shared" ca="1" si="40"/>
        <v>-100</v>
      </c>
      <c r="F538">
        <f t="shared" ca="1" si="41"/>
        <v>60</v>
      </c>
      <c r="G538" s="3" t="b">
        <f>COUNTIF(dict_zul_Var_Meth[ID_Methods], table_Methods[[#This Row],[ID]]) &gt; 0</f>
        <v>1</v>
      </c>
      <c r="H538">
        <f t="shared" ca="1" si="42"/>
        <v>42860</v>
      </c>
      <c r="I538">
        <f t="shared" ca="1" si="43"/>
        <v>228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44"/>
        <v>700</v>
      </c>
      <c r="E539">
        <f t="shared" ca="1" si="40"/>
        <v>-70</v>
      </c>
      <c r="F539">
        <f t="shared" ca="1" si="41"/>
        <v>220</v>
      </c>
      <c r="G539" s="3" t="b">
        <f>COUNTIF(dict_zul_Var_Meth[ID_Methods], table_Methods[[#This Row],[ID]]) &gt; 0</f>
        <v>1</v>
      </c>
      <c r="H539">
        <f t="shared" ca="1" si="42"/>
        <v>484</v>
      </c>
      <c r="I539">
        <f t="shared" ca="1" si="43"/>
        <v>10368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44"/>
        <v>99</v>
      </c>
      <c r="E540">
        <f t="shared" ca="1" si="40"/>
        <v>-50</v>
      </c>
      <c r="F540">
        <f t="shared" ca="1" si="41"/>
        <v>260</v>
      </c>
      <c r="G540" s="3" t="b">
        <f>COUNTIF(dict_zul_Var_Meth[ID_Methods], table_Methods[[#This Row],[ID]]) &gt; 0</f>
        <v>1</v>
      </c>
      <c r="H540">
        <f t="shared" ca="1" si="42"/>
        <v>19364</v>
      </c>
      <c r="I540">
        <f t="shared" ca="1" si="43"/>
        <v>11008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44"/>
        <v>4700</v>
      </c>
      <c r="E541">
        <f t="shared" ca="1" si="40"/>
        <v>-70</v>
      </c>
      <c r="F541">
        <f t="shared" ca="1" si="41"/>
        <v>580</v>
      </c>
      <c r="G541" s="3" t="b">
        <f>COUNTIF(dict_zul_Var_Meth[ID_Methods], table_Methods[[#This Row],[ID]]) &gt; 0</f>
        <v>1</v>
      </c>
      <c r="H541">
        <f t="shared" ca="1" si="42"/>
        <v>31950</v>
      </c>
      <c r="I541">
        <f t="shared" ca="1" si="43"/>
        <v>18944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44"/>
        <v>820</v>
      </c>
      <c r="E542">
        <f t="shared" ca="1" si="40"/>
        <v>30</v>
      </c>
      <c r="F542">
        <f t="shared" ca="1" si="41"/>
        <v>640</v>
      </c>
      <c r="G542" s="3" t="b">
        <f>COUNTIF(dict_zul_Var_Meth[ID_Methods], table_Methods[[#This Row],[ID]]) &gt; 0</f>
        <v>1</v>
      </c>
      <c r="H542">
        <f t="shared" ca="1" si="42"/>
        <v>8384</v>
      </c>
      <c r="I542">
        <f t="shared" ca="1" si="43"/>
        <v>1264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44"/>
        <v>53.000000000000007</v>
      </c>
      <c r="E543">
        <f t="shared" ca="1" si="40"/>
        <v>20</v>
      </c>
      <c r="F543">
        <f t="shared" ca="1" si="41"/>
        <v>720</v>
      </c>
      <c r="G543" s="3" t="b">
        <f>COUNTIF(dict_zul_Var_Meth[ID_Methods], table_Methods[[#This Row],[ID]]) &gt; 0</f>
        <v>1</v>
      </c>
      <c r="H543">
        <f t="shared" ca="1" si="42"/>
        <v>8015</v>
      </c>
      <c r="I543">
        <f t="shared" ca="1" si="43"/>
        <v>11008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44"/>
        <v>950</v>
      </c>
      <c r="E544">
        <f t="shared" ca="1" si="40"/>
        <v>-10</v>
      </c>
      <c r="F544">
        <f t="shared" ca="1" si="41"/>
        <v>220</v>
      </c>
      <c r="G544" s="3" t="b">
        <f>COUNTIF(dict_zul_Var_Meth[ID_Methods], table_Methods[[#This Row],[ID]]) &gt; 0</f>
        <v>1</v>
      </c>
      <c r="H544">
        <f t="shared" ca="1" si="42"/>
        <v>1748</v>
      </c>
      <c r="I544">
        <f t="shared" ca="1" si="43"/>
        <v>304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44"/>
        <v>98</v>
      </c>
      <c r="E545">
        <f t="shared" ca="1" si="40"/>
        <v>-80</v>
      </c>
      <c r="F545">
        <f t="shared" ca="1" si="41"/>
        <v>460</v>
      </c>
      <c r="G545" s="3" t="b">
        <f>COUNTIF(dict_zul_Var_Meth[ID_Methods], table_Methods[[#This Row],[ID]]) &gt; 0</f>
        <v>1</v>
      </c>
      <c r="H545">
        <f t="shared" ca="1" si="42"/>
        <v>7080</v>
      </c>
      <c r="I545">
        <f t="shared" ca="1" si="43"/>
        <v>152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44"/>
        <v>4900</v>
      </c>
      <c r="E546">
        <f t="shared" ca="1" si="40"/>
        <v>-90</v>
      </c>
      <c r="F546">
        <f t="shared" ca="1" si="41"/>
        <v>950</v>
      </c>
      <c r="G546" s="3" t="b">
        <f>COUNTIF(dict_zul_Var_Meth[ID_Methods], table_Methods[[#This Row],[ID]]) &gt; 0</f>
        <v>1</v>
      </c>
      <c r="H546">
        <f t="shared" ca="1" si="42"/>
        <v>42190</v>
      </c>
      <c r="I546">
        <f t="shared" ca="1" si="43"/>
        <v>9728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44"/>
        <v>9</v>
      </c>
      <c r="E547">
        <f t="shared" ca="1" si="40"/>
        <v>0</v>
      </c>
      <c r="F547">
        <f t="shared" ca="1" si="41"/>
        <v>490</v>
      </c>
      <c r="G547" s="3" t="b">
        <f>COUNTIF(dict_zul_Var_Meth[ID_Methods], table_Methods[[#This Row],[ID]]) &gt; 0</f>
        <v>1</v>
      </c>
      <c r="H547">
        <f t="shared" ca="1" si="42"/>
        <v>1450</v>
      </c>
      <c r="I547">
        <f t="shared" ca="1" si="43"/>
        <v>32768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44"/>
        <v>1500</v>
      </c>
      <c r="E548">
        <f t="shared" ref="E548:E611" ca="1" si="45">RANDBETWEEN(-10,3)*10</f>
        <v>30</v>
      </c>
      <c r="F548">
        <f t="shared" ref="F548:F611" ca="1" si="46">RANDBETWEEN(2,100)*10</f>
        <v>740</v>
      </c>
      <c r="G548" s="3" t="b">
        <f>COUNTIF(dict_zul_Var_Meth[ID_Methods], table_Methods[[#This Row],[ID]]) &gt; 0</f>
        <v>1</v>
      </c>
      <c r="H548">
        <f t="shared" ref="H548:H611" ca="1" si="47">RANDBETWEEN(1,10)*RANDBETWEEN(1,5000)</f>
        <v>1212</v>
      </c>
      <c r="I548">
        <f t="shared" ref="I548:I611" ca="1" si="48">2^RANDBETWEEN(1,10)*RANDBETWEEN(1,100)</f>
        <v>114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44"/>
        <v>920</v>
      </c>
      <c r="E549">
        <f t="shared" ca="1" si="45"/>
        <v>-90</v>
      </c>
      <c r="F549">
        <f t="shared" ca="1" si="46"/>
        <v>220</v>
      </c>
      <c r="G549" s="3" t="b">
        <f>COUNTIF(dict_zul_Var_Meth[ID_Methods], table_Methods[[#This Row],[ID]]) &gt; 0</f>
        <v>1</v>
      </c>
      <c r="H549">
        <f t="shared" ca="1" si="47"/>
        <v>4925</v>
      </c>
      <c r="I549">
        <f t="shared" ca="1" si="48"/>
        <v>11776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44"/>
        <v>6.0000000000000009</v>
      </c>
      <c r="E550">
        <f t="shared" ca="1" si="45"/>
        <v>-50</v>
      </c>
      <c r="F550">
        <f t="shared" ca="1" si="46"/>
        <v>280</v>
      </c>
      <c r="G550" s="3" t="b">
        <f>COUNTIF(dict_zul_Var_Meth[ID_Methods], table_Methods[[#This Row],[ID]]) &gt; 0</f>
        <v>1</v>
      </c>
      <c r="H550">
        <f t="shared" ca="1" si="47"/>
        <v>2042</v>
      </c>
      <c r="I550">
        <f t="shared" ca="1" si="48"/>
        <v>5376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44"/>
        <v>960</v>
      </c>
      <c r="E551">
        <f t="shared" ca="1" si="45"/>
        <v>20</v>
      </c>
      <c r="F551">
        <f t="shared" ca="1" si="46"/>
        <v>440</v>
      </c>
      <c r="G551" s="3" t="b">
        <f>COUNTIF(dict_zul_Var_Meth[ID_Methods], table_Methods[[#This Row],[ID]]) &gt; 0</f>
        <v>1</v>
      </c>
      <c r="H551">
        <f t="shared" ca="1" si="47"/>
        <v>27282</v>
      </c>
      <c r="I551">
        <f t="shared" ca="1" si="48"/>
        <v>384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44"/>
        <v>310</v>
      </c>
      <c r="E552">
        <f t="shared" ca="1" si="45"/>
        <v>-40</v>
      </c>
      <c r="F552">
        <f t="shared" ca="1" si="46"/>
        <v>360</v>
      </c>
      <c r="G552" s="3" t="b">
        <f>COUNTIF(dict_zul_Var_Meth[ID_Methods], table_Methods[[#This Row],[ID]]) &gt; 0</f>
        <v>1</v>
      </c>
      <c r="H552">
        <f t="shared" ca="1" si="47"/>
        <v>9560</v>
      </c>
      <c r="I552">
        <f t="shared" ca="1" si="48"/>
        <v>312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44"/>
        <v>400</v>
      </c>
      <c r="E553">
        <f t="shared" ca="1" si="45"/>
        <v>-40</v>
      </c>
      <c r="F553">
        <f t="shared" ca="1" si="46"/>
        <v>800</v>
      </c>
      <c r="G553" s="3" t="b">
        <f>COUNTIF(dict_zul_Var_Meth[ID_Methods], table_Methods[[#This Row],[ID]]) &gt; 0</f>
        <v>1</v>
      </c>
      <c r="H553">
        <f t="shared" ca="1" si="47"/>
        <v>7216</v>
      </c>
      <c r="I553">
        <f t="shared" ca="1" si="48"/>
        <v>8192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44"/>
        <v>40</v>
      </c>
      <c r="E554">
        <f t="shared" ca="1" si="45"/>
        <v>-70</v>
      </c>
      <c r="F554">
        <f t="shared" ca="1" si="46"/>
        <v>710</v>
      </c>
      <c r="G554" s="3" t="b">
        <f>COUNTIF(dict_zul_Var_Meth[ID_Methods], table_Methods[[#This Row],[ID]]) &gt; 0</f>
        <v>1</v>
      </c>
      <c r="H554">
        <f t="shared" ca="1" si="47"/>
        <v>4356</v>
      </c>
      <c r="I554">
        <f t="shared" ca="1" si="48"/>
        <v>1136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44"/>
        <v>660</v>
      </c>
      <c r="E555">
        <f t="shared" ca="1" si="45"/>
        <v>-40</v>
      </c>
      <c r="F555">
        <f t="shared" ca="1" si="46"/>
        <v>140</v>
      </c>
      <c r="G555" s="3" t="b">
        <f>COUNTIF(dict_zul_Var_Meth[ID_Methods], table_Methods[[#This Row],[ID]]) &gt; 0</f>
        <v>1</v>
      </c>
      <c r="H555">
        <f t="shared" ca="1" si="47"/>
        <v>2634</v>
      </c>
      <c r="I555">
        <f t="shared" ca="1" si="48"/>
        <v>11904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44"/>
        <v>6.0000000000000009</v>
      </c>
      <c r="E556">
        <f t="shared" ca="1" si="45"/>
        <v>-60</v>
      </c>
      <c r="F556">
        <f t="shared" ca="1" si="46"/>
        <v>90</v>
      </c>
      <c r="G556" s="3" t="b">
        <f>COUNTIF(dict_zul_Var_Meth[ID_Methods], table_Methods[[#This Row],[ID]]) &gt; 0</f>
        <v>1</v>
      </c>
      <c r="H556">
        <f t="shared" ca="1" si="47"/>
        <v>32598</v>
      </c>
      <c r="I556">
        <f t="shared" ca="1" si="48"/>
        <v>61440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44"/>
        <v>590</v>
      </c>
      <c r="E557">
        <f t="shared" ca="1" si="45"/>
        <v>-10</v>
      </c>
      <c r="F557">
        <f t="shared" ca="1" si="46"/>
        <v>990</v>
      </c>
      <c r="G557" s="3" t="b">
        <f>COUNTIF(dict_zul_Var_Meth[ID_Methods], table_Methods[[#This Row],[ID]]) &gt; 0</f>
        <v>1</v>
      </c>
      <c r="H557">
        <f t="shared" ca="1" si="47"/>
        <v>33070</v>
      </c>
      <c r="I557">
        <f t="shared" ca="1" si="48"/>
        <v>45568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44"/>
        <v>66</v>
      </c>
      <c r="E558">
        <f t="shared" ca="1" si="45"/>
        <v>-100</v>
      </c>
      <c r="F558">
        <f t="shared" ca="1" si="46"/>
        <v>120</v>
      </c>
      <c r="G558" s="3" t="b">
        <f>COUNTIF(dict_zul_Var_Meth[ID_Methods], table_Methods[[#This Row],[ID]]) &gt; 0</f>
        <v>1</v>
      </c>
      <c r="H558">
        <f t="shared" ca="1" si="47"/>
        <v>5463</v>
      </c>
      <c r="I558">
        <f t="shared" ca="1" si="48"/>
        <v>512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44"/>
        <v>70</v>
      </c>
      <c r="E559">
        <f t="shared" ca="1" si="45"/>
        <v>-60</v>
      </c>
      <c r="F559">
        <f t="shared" ca="1" si="46"/>
        <v>810</v>
      </c>
      <c r="G559" s="3" t="b">
        <f>COUNTIF(dict_zul_Var_Meth[ID_Methods], table_Methods[[#This Row],[ID]]) &gt; 0</f>
        <v>1</v>
      </c>
      <c r="H559">
        <f t="shared" ca="1" si="47"/>
        <v>2835</v>
      </c>
      <c r="I559">
        <f t="shared" ca="1" si="48"/>
        <v>240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44"/>
        <v>1700</v>
      </c>
      <c r="E560">
        <f t="shared" ca="1" si="45"/>
        <v>-80</v>
      </c>
      <c r="F560">
        <f t="shared" ca="1" si="46"/>
        <v>80</v>
      </c>
      <c r="G560" s="3" t="b">
        <f>COUNTIF(dict_zul_Var_Meth[ID_Methods], table_Methods[[#This Row],[ID]]) &gt; 0</f>
        <v>1</v>
      </c>
      <c r="H560">
        <f t="shared" ca="1" si="47"/>
        <v>25080</v>
      </c>
      <c r="I560">
        <f t="shared" ca="1" si="48"/>
        <v>8192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44"/>
        <v>9700</v>
      </c>
      <c r="E561">
        <f t="shared" ca="1" si="45"/>
        <v>-100</v>
      </c>
      <c r="F561">
        <f t="shared" ca="1" si="46"/>
        <v>170</v>
      </c>
      <c r="G561" s="3" t="b">
        <f>COUNTIF(dict_zul_Var_Meth[ID_Methods], table_Methods[[#This Row],[ID]]) &gt; 0</f>
        <v>1</v>
      </c>
      <c r="H561">
        <f t="shared" ca="1" si="47"/>
        <v>14349</v>
      </c>
      <c r="I561">
        <f t="shared" ca="1" si="48"/>
        <v>64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44"/>
        <v>500</v>
      </c>
      <c r="E562">
        <f t="shared" ca="1" si="45"/>
        <v>10</v>
      </c>
      <c r="F562">
        <f t="shared" ca="1" si="46"/>
        <v>730</v>
      </c>
      <c r="G562" s="3" t="b">
        <f>COUNTIF(dict_zul_Var_Meth[ID_Methods], table_Methods[[#This Row],[ID]]) &gt; 0</f>
        <v>1</v>
      </c>
      <c r="H562">
        <f t="shared" ca="1" si="47"/>
        <v>2980</v>
      </c>
      <c r="I562">
        <f t="shared" ca="1" si="48"/>
        <v>40448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44"/>
        <v>900</v>
      </c>
      <c r="E563">
        <f t="shared" ca="1" si="45"/>
        <v>-30</v>
      </c>
      <c r="F563">
        <f t="shared" ca="1" si="46"/>
        <v>760</v>
      </c>
      <c r="G563" s="3" t="b">
        <f>COUNTIF(dict_zul_Var_Meth[ID_Methods], table_Methods[[#This Row],[ID]]) &gt; 0</f>
        <v>1</v>
      </c>
      <c r="H563">
        <f t="shared" ca="1" si="47"/>
        <v>13188</v>
      </c>
      <c r="I563">
        <f t="shared" ca="1" si="48"/>
        <v>4096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44"/>
        <v>770</v>
      </c>
      <c r="E564">
        <f t="shared" ca="1" si="45"/>
        <v>20</v>
      </c>
      <c r="F564">
        <f t="shared" ca="1" si="46"/>
        <v>20</v>
      </c>
      <c r="G564" s="3" t="b">
        <f>COUNTIF(dict_zul_Var_Meth[ID_Methods], table_Methods[[#This Row],[ID]]) &gt; 0</f>
        <v>1</v>
      </c>
      <c r="H564">
        <f t="shared" ca="1" si="47"/>
        <v>9878</v>
      </c>
      <c r="I564">
        <f t="shared" ca="1" si="48"/>
        <v>32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44"/>
        <v>650</v>
      </c>
      <c r="E565">
        <f t="shared" ca="1" si="45"/>
        <v>-20</v>
      </c>
      <c r="F565">
        <f t="shared" ca="1" si="46"/>
        <v>350</v>
      </c>
      <c r="G565" s="3" t="b">
        <f>COUNTIF(dict_zul_Var_Meth[ID_Methods], table_Methods[[#This Row],[ID]]) &gt; 0</f>
        <v>1</v>
      </c>
      <c r="H565">
        <f t="shared" ca="1" si="47"/>
        <v>1725</v>
      </c>
      <c r="I565">
        <f t="shared" ca="1" si="48"/>
        <v>512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44"/>
        <v>280</v>
      </c>
      <c r="E566">
        <f t="shared" ca="1" si="45"/>
        <v>-70</v>
      </c>
      <c r="F566">
        <f t="shared" ca="1" si="46"/>
        <v>950</v>
      </c>
      <c r="G566" s="3" t="b">
        <f>COUNTIF(dict_zul_Var_Meth[ID_Methods], table_Methods[[#This Row],[ID]]) &gt; 0</f>
        <v>1</v>
      </c>
      <c r="H566">
        <f t="shared" ca="1" si="47"/>
        <v>13705</v>
      </c>
      <c r="I566">
        <f t="shared" ca="1" si="48"/>
        <v>89088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44"/>
        <v>300</v>
      </c>
      <c r="E567">
        <f t="shared" ca="1" si="45"/>
        <v>10</v>
      </c>
      <c r="F567">
        <f t="shared" ca="1" si="46"/>
        <v>30</v>
      </c>
      <c r="G567" s="3" t="b">
        <f>COUNTIF(dict_zul_Var_Meth[ID_Methods], table_Methods[[#This Row],[ID]]) &gt; 0</f>
        <v>1</v>
      </c>
      <c r="H567">
        <f t="shared" ca="1" si="47"/>
        <v>7034</v>
      </c>
      <c r="I567">
        <f t="shared" ca="1" si="48"/>
        <v>1408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44"/>
        <v>2</v>
      </c>
      <c r="E568">
        <f t="shared" ca="1" si="45"/>
        <v>-60</v>
      </c>
      <c r="F568">
        <f t="shared" ca="1" si="46"/>
        <v>690</v>
      </c>
      <c r="G568" s="3" t="b">
        <f>COUNTIF(dict_zul_Var_Meth[ID_Methods], table_Methods[[#This Row],[ID]]) &gt; 0</f>
        <v>1</v>
      </c>
      <c r="H568">
        <f t="shared" ca="1" si="47"/>
        <v>16170</v>
      </c>
      <c r="I568">
        <f t="shared" ca="1" si="48"/>
        <v>608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44"/>
        <v>860</v>
      </c>
      <c r="E569">
        <f t="shared" ca="1" si="45"/>
        <v>-100</v>
      </c>
      <c r="F569">
        <f t="shared" ca="1" si="46"/>
        <v>90</v>
      </c>
      <c r="G569" s="3" t="b">
        <f>COUNTIF(dict_zul_Var_Meth[ID_Methods], table_Methods[[#This Row],[ID]]) &gt; 0</f>
        <v>1</v>
      </c>
      <c r="H569">
        <f t="shared" ca="1" si="47"/>
        <v>27496</v>
      </c>
      <c r="I569">
        <f t="shared" ca="1" si="48"/>
        <v>1136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44"/>
        <v>500</v>
      </c>
      <c r="E570">
        <f t="shared" ca="1" si="45"/>
        <v>-60</v>
      </c>
      <c r="F570">
        <f t="shared" ca="1" si="46"/>
        <v>180</v>
      </c>
      <c r="G570" s="3" t="b">
        <f>COUNTIF(dict_zul_Var_Meth[ID_Methods], table_Methods[[#This Row],[ID]]) &gt; 0</f>
        <v>1</v>
      </c>
      <c r="H570">
        <f t="shared" ca="1" si="47"/>
        <v>18560</v>
      </c>
      <c r="I570">
        <f t="shared" ca="1" si="48"/>
        <v>1264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44"/>
        <v>310</v>
      </c>
      <c r="E571">
        <f t="shared" ca="1" si="45"/>
        <v>-80</v>
      </c>
      <c r="F571">
        <f t="shared" ca="1" si="46"/>
        <v>510</v>
      </c>
      <c r="G571" s="3" t="b">
        <f>COUNTIF(dict_zul_Var_Meth[ID_Methods], table_Methods[[#This Row],[ID]]) &gt; 0</f>
        <v>1</v>
      </c>
      <c r="H571">
        <f t="shared" ca="1" si="47"/>
        <v>29784</v>
      </c>
      <c r="I571">
        <f t="shared" ca="1" si="48"/>
        <v>21248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44"/>
        <v>660</v>
      </c>
      <c r="E572">
        <f t="shared" ca="1" si="45"/>
        <v>-70</v>
      </c>
      <c r="F572">
        <f t="shared" ca="1" si="46"/>
        <v>730</v>
      </c>
      <c r="G572" s="3" t="b">
        <f>COUNTIF(dict_zul_Var_Meth[ID_Methods], table_Methods[[#This Row],[ID]]) &gt; 0</f>
        <v>1</v>
      </c>
      <c r="H572">
        <f t="shared" ca="1" si="47"/>
        <v>16008</v>
      </c>
      <c r="I572">
        <f t="shared" ca="1" si="48"/>
        <v>96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44"/>
        <v>50</v>
      </c>
      <c r="E573">
        <f t="shared" ca="1" si="45"/>
        <v>-10</v>
      </c>
      <c r="F573">
        <f t="shared" ca="1" si="46"/>
        <v>1000</v>
      </c>
      <c r="G573" s="3" t="b">
        <f>COUNTIF(dict_zul_Var_Meth[ID_Methods], table_Methods[[#This Row],[ID]]) &gt; 0</f>
        <v>1</v>
      </c>
      <c r="H573">
        <f t="shared" ca="1" si="47"/>
        <v>11178</v>
      </c>
      <c r="I573">
        <f t="shared" ca="1" si="48"/>
        <v>144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44"/>
        <v>3.0000000000000004</v>
      </c>
      <c r="E574">
        <f t="shared" ca="1" si="45"/>
        <v>-70</v>
      </c>
      <c r="F574">
        <f t="shared" ca="1" si="46"/>
        <v>470</v>
      </c>
      <c r="G574" s="3" t="b">
        <f>COUNTIF(dict_zul_Var_Meth[ID_Methods], table_Methods[[#This Row],[ID]]) &gt; 0</f>
        <v>1</v>
      </c>
      <c r="H574">
        <f t="shared" ca="1" si="47"/>
        <v>1108</v>
      </c>
      <c r="I574">
        <f t="shared" ca="1" si="48"/>
        <v>11008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44"/>
        <v>38</v>
      </c>
      <c r="E575">
        <f t="shared" ca="1" si="45"/>
        <v>20</v>
      </c>
      <c r="F575">
        <f t="shared" ca="1" si="46"/>
        <v>140</v>
      </c>
      <c r="G575" s="3" t="b">
        <f>COUNTIF(dict_zul_Var_Meth[ID_Methods], table_Methods[[#This Row],[ID]]) &gt; 0</f>
        <v>1</v>
      </c>
      <c r="H575">
        <f t="shared" ca="1" si="47"/>
        <v>3539</v>
      </c>
      <c r="I575">
        <f t="shared" ca="1" si="48"/>
        <v>68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44"/>
        <v>9600</v>
      </c>
      <c r="E576">
        <f t="shared" ca="1" si="45"/>
        <v>20</v>
      </c>
      <c r="F576">
        <f t="shared" ca="1" si="46"/>
        <v>760</v>
      </c>
      <c r="G576" s="3" t="b">
        <f>COUNTIF(dict_zul_Var_Meth[ID_Methods], table_Methods[[#This Row],[ID]]) &gt; 0</f>
        <v>1</v>
      </c>
      <c r="H576">
        <f t="shared" ca="1" si="47"/>
        <v>11990</v>
      </c>
      <c r="I576">
        <f t="shared" ca="1" si="48"/>
        <v>1328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44"/>
        <v>8</v>
      </c>
      <c r="E577">
        <f t="shared" ca="1" si="45"/>
        <v>30</v>
      </c>
      <c r="F577">
        <f t="shared" ca="1" si="46"/>
        <v>510</v>
      </c>
      <c r="G577" s="3" t="b">
        <f>COUNTIF(dict_zul_Var_Meth[ID_Methods], table_Methods[[#This Row],[ID]]) &gt; 0</f>
        <v>1</v>
      </c>
      <c r="H577">
        <f t="shared" ca="1" si="47"/>
        <v>34888</v>
      </c>
      <c r="I577">
        <f t="shared" ca="1" si="48"/>
        <v>3712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49">10^(RANDBETWEEN(-1,1))*RANDBETWEEN(1,100)*10</f>
        <v>140</v>
      </c>
      <c r="E578">
        <f t="shared" ca="1" si="45"/>
        <v>-70</v>
      </c>
      <c r="F578">
        <f t="shared" ca="1" si="46"/>
        <v>940</v>
      </c>
      <c r="G578" s="3" t="b">
        <f>COUNTIF(dict_zul_Var_Meth[ID_Methods], table_Methods[[#This Row],[ID]]) &gt; 0</f>
        <v>1</v>
      </c>
      <c r="H578">
        <f t="shared" ca="1" si="47"/>
        <v>2625</v>
      </c>
      <c r="I578">
        <f t="shared" ca="1" si="48"/>
        <v>204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49"/>
        <v>9</v>
      </c>
      <c r="E579">
        <f t="shared" ca="1" si="45"/>
        <v>-10</v>
      </c>
      <c r="F579">
        <f t="shared" ca="1" si="46"/>
        <v>750</v>
      </c>
      <c r="G579" s="3" t="b">
        <f>COUNTIF(dict_zul_Var_Meth[ID_Methods], table_Methods[[#This Row],[ID]]) &gt; 0</f>
        <v>1</v>
      </c>
      <c r="H579">
        <f t="shared" ca="1" si="47"/>
        <v>3318</v>
      </c>
      <c r="I579">
        <f t="shared" ca="1" si="48"/>
        <v>54272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49"/>
        <v>5700</v>
      </c>
      <c r="E580">
        <f t="shared" ca="1" si="45"/>
        <v>20</v>
      </c>
      <c r="F580">
        <f t="shared" ca="1" si="46"/>
        <v>140</v>
      </c>
      <c r="G580" s="3" t="b">
        <f>COUNTIF(dict_zul_Var_Meth[ID_Methods], table_Methods[[#This Row],[ID]]) &gt; 0</f>
        <v>1</v>
      </c>
      <c r="H580">
        <f t="shared" ca="1" si="47"/>
        <v>13870</v>
      </c>
      <c r="I580">
        <f t="shared" ca="1" si="48"/>
        <v>9600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49"/>
        <v>1600</v>
      </c>
      <c r="E581">
        <f t="shared" ca="1" si="45"/>
        <v>20</v>
      </c>
      <c r="F581">
        <f t="shared" ca="1" si="46"/>
        <v>20</v>
      </c>
      <c r="G581" s="3" t="b">
        <f>COUNTIF(dict_zul_Var_Meth[ID_Methods], table_Methods[[#This Row],[ID]]) &gt; 0</f>
        <v>1</v>
      </c>
      <c r="H581">
        <f t="shared" ca="1" si="47"/>
        <v>43940</v>
      </c>
      <c r="I581">
        <f t="shared" ca="1" si="48"/>
        <v>896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49"/>
        <v>3100</v>
      </c>
      <c r="E582">
        <f t="shared" ca="1" si="45"/>
        <v>-20</v>
      </c>
      <c r="F582">
        <f t="shared" ca="1" si="46"/>
        <v>50</v>
      </c>
      <c r="G582" s="3" t="b">
        <f>COUNTIF(dict_zul_Var_Meth[ID_Methods], table_Methods[[#This Row],[ID]]) &gt; 0</f>
        <v>1</v>
      </c>
      <c r="H582">
        <f t="shared" ca="1" si="47"/>
        <v>22554</v>
      </c>
      <c r="I582">
        <f t="shared" ca="1" si="48"/>
        <v>24832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49"/>
        <v>43</v>
      </c>
      <c r="E583">
        <f t="shared" ca="1" si="45"/>
        <v>-20</v>
      </c>
      <c r="F583">
        <f t="shared" ca="1" si="46"/>
        <v>300</v>
      </c>
      <c r="G583" s="3" t="b">
        <f>COUNTIF(dict_zul_Var_Meth[ID_Methods], table_Methods[[#This Row],[ID]]) &gt; 0</f>
        <v>1</v>
      </c>
      <c r="H583">
        <f t="shared" ca="1" si="47"/>
        <v>24770</v>
      </c>
      <c r="I583">
        <f t="shared" ca="1" si="48"/>
        <v>23040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49"/>
        <v>19</v>
      </c>
      <c r="E584">
        <f t="shared" ca="1" si="45"/>
        <v>-40</v>
      </c>
      <c r="F584">
        <f t="shared" ca="1" si="46"/>
        <v>990</v>
      </c>
      <c r="G584" s="3" t="b">
        <f>COUNTIF(dict_zul_Var_Meth[ID_Methods], table_Methods[[#This Row],[ID]]) &gt; 0</f>
        <v>1</v>
      </c>
      <c r="H584">
        <f t="shared" ca="1" si="47"/>
        <v>7378</v>
      </c>
      <c r="I584">
        <f t="shared" ca="1" si="48"/>
        <v>37376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49"/>
        <v>180</v>
      </c>
      <c r="E585">
        <f t="shared" ca="1" si="45"/>
        <v>-10</v>
      </c>
      <c r="F585">
        <f t="shared" ca="1" si="46"/>
        <v>130</v>
      </c>
      <c r="G585" s="3" t="b">
        <f>COUNTIF(dict_zul_Var_Meth[ID_Methods], table_Methods[[#This Row],[ID]]) &gt; 0</f>
        <v>1</v>
      </c>
      <c r="H585">
        <f t="shared" ca="1" si="47"/>
        <v>4468</v>
      </c>
      <c r="I585">
        <f t="shared" ca="1" si="48"/>
        <v>2368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49"/>
        <v>830</v>
      </c>
      <c r="E586">
        <f t="shared" ca="1" si="45"/>
        <v>-80</v>
      </c>
      <c r="F586">
        <f t="shared" ca="1" si="46"/>
        <v>690</v>
      </c>
      <c r="G586" s="3" t="b">
        <f>COUNTIF(dict_zul_Var_Meth[ID_Methods], table_Methods[[#This Row],[ID]]) &gt; 0</f>
        <v>1</v>
      </c>
      <c r="H586">
        <f t="shared" ca="1" si="47"/>
        <v>22995</v>
      </c>
      <c r="I586">
        <f t="shared" ca="1" si="48"/>
        <v>12416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49"/>
        <v>67</v>
      </c>
      <c r="E587">
        <f t="shared" ca="1" si="45"/>
        <v>-20</v>
      </c>
      <c r="F587">
        <f t="shared" ca="1" si="46"/>
        <v>450</v>
      </c>
      <c r="G587" s="3" t="b">
        <f>COUNTIF(dict_zul_Var_Meth[ID_Methods], table_Methods[[#This Row],[ID]]) &gt; 0</f>
        <v>1</v>
      </c>
      <c r="H587">
        <f t="shared" ca="1" si="47"/>
        <v>1491</v>
      </c>
      <c r="I587">
        <f t="shared" ca="1" si="48"/>
        <v>5376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49"/>
        <v>800</v>
      </c>
      <c r="E588">
        <f t="shared" ca="1" si="45"/>
        <v>-90</v>
      </c>
      <c r="F588">
        <f t="shared" ca="1" si="46"/>
        <v>820</v>
      </c>
      <c r="G588" s="3" t="b">
        <f>COUNTIF(dict_zul_Var_Meth[ID_Methods], table_Methods[[#This Row],[ID]]) &gt; 0</f>
        <v>1</v>
      </c>
      <c r="H588">
        <f t="shared" ca="1" si="47"/>
        <v>32630</v>
      </c>
      <c r="I588">
        <f t="shared" ca="1" si="48"/>
        <v>2816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49"/>
        <v>6.0000000000000009</v>
      </c>
      <c r="E589">
        <f t="shared" ca="1" si="45"/>
        <v>-30</v>
      </c>
      <c r="F589">
        <f t="shared" ca="1" si="46"/>
        <v>200</v>
      </c>
      <c r="G589" s="3" t="b">
        <f>COUNTIF(dict_zul_Var_Meth[ID_Methods], table_Methods[[#This Row],[ID]]) &gt; 0</f>
        <v>1</v>
      </c>
      <c r="H589">
        <f t="shared" ca="1" si="47"/>
        <v>528</v>
      </c>
      <c r="I589">
        <f t="shared" ca="1" si="48"/>
        <v>376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49"/>
        <v>9000</v>
      </c>
      <c r="E590">
        <f t="shared" ca="1" si="45"/>
        <v>-90</v>
      </c>
      <c r="F590">
        <f t="shared" ca="1" si="46"/>
        <v>690</v>
      </c>
      <c r="G590" s="3" t="b">
        <f>COUNTIF(dict_zul_Var_Meth[ID_Methods], table_Methods[[#This Row],[ID]]) &gt; 0</f>
        <v>1</v>
      </c>
      <c r="H590">
        <f t="shared" ca="1" si="47"/>
        <v>1272</v>
      </c>
      <c r="I590">
        <f t="shared" ca="1" si="48"/>
        <v>45056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49"/>
        <v>740</v>
      </c>
      <c r="E591">
        <f t="shared" ca="1" si="45"/>
        <v>20</v>
      </c>
      <c r="F591">
        <f t="shared" ca="1" si="46"/>
        <v>800</v>
      </c>
      <c r="G591" s="3" t="b">
        <f>COUNTIF(dict_zul_Var_Meth[ID_Methods], table_Methods[[#This Row],[ID]]) &gt; 0</f>
        <v>1</v>
      </c>
      <c r="H591">
        <f t="shared" ca="1" si="47"/>
        <v>6186</v>
      </c>
      <c r="I591">
        <f t="shared" ca="1" si="48"/>
        <v>24576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49"/>
        <v>75</v>
      </c>
      <c r="E592">
        <f t="shared" ca="1" si="45"/>
        <v>0</v>
      </c>
      <c r="F592">
        <f t="shared" ca="1" si="46"/>
        <v>260</v>
      </c>
      <c r="G592" s="3" t="b">
        <f>COUNTIF(dict_zul_Var_Meth[ID_Methods], table_Methods[[#This Row],[ID]]) &gt; 0</f>
        <v>1</v>
      </c>
      <c r="H592">
        <f t="shared" ca="1" si="47"/>
        <v>11688</v>
      </c>
      <c r="I592">
        <f t="shared" ca="1" si="48"/>
        <v>108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49"/>
        <v>830</v>
      </c>
      <c r="E593">
        <f t="shared" ca="1" si="45"/>
        <v>30</v>
      </c>
      <c r="F593">
        <f t="shared" ca="1" si="46"/>
        <v>590</v>
      </c>
      <c r="G593" s="3" t="b">
        <f>COUNTIF(dict_zul_Var_Meth[ID_Methods], table_Methods[[#This Row],[ID]]) &gt; 0</f>
        <v>1</v>
      </c>
      <c r="H593">
        <f t="shared" ca="1" si="47"/>
        <v>6897</v>
      </c>
      <c r="I593">
        <f t="shared" ca="1" si="48"/>
        <v>160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49"/>
        <v>23.000000000000004</v>
      </c>
      <c r="E594">
        <f t="shared" ca="1" si="45"/>
        <v>-30</v>
      </c>
      <c r="F594">
        <f t="shared" ca="1" si="46"/>
        <v>880</v>
      </c>
      <c r="G594" s="3" t="b">
        <f>COUNTIF(dict_zul_Var_Meth[ID_Methods], table_Methods[[#This Row],[ID]]) &gt; 0</f>
        <v>1</v>
      </c>
      <c r="H594">
        <f t="shared" ca="1" si="47"/>
        <v>7210</v>
      </c>
      <c r="I594">
        <f t="shared" ca="1" si="48"/>
        <v>2752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49"/>
        <v>350</v>
      </c>
      <c r="E595">
        <f t="shared" ca="1" si="45"/>
        <v>-100</v>
      </c>
      <c r="F595">
        <f t="shared" ca="1" si="46"/>
        <v>400</v>
      </c>
      <c r="G595" s="3" t="b">
        <f>COUNTIF(dict_zul_Var_Meth[ID_Methods], table_Methods[[#This Row],[ID]]) &gt; 0</f>
        <v>1</v>
      </c>
      <c r="H595">
        <f t="shared" ca="1" si="47"/>
        <v>872</v>
      </c>
      <c r="I595">
        <f t="shared" ca="1" si="48"/>
        <v>336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49"/>
        <v>1800</v>
      </c>
      <c r="E596">
        <f t="shared" ca="1" si="45"/>
        <v>-20</v>
      </c>
      <c r="F596">
        <f t="shared" ca="1" si="46"/>
        <v>960</v>
      </c>
      <c r="G596" s="3" t="b">
        <f>COUNTIF(dict_zul_Var_Meth[ID_Methods], table_Methods[[#This Row],[ID]]) &gt; 0</f>
        <v>1</v>
      </c>
      <c r="H596">
        <f t="shared" ca="1" si="47"/>
        <v>26808</v>
      </c>
      <c r="I596">
        <f t="shared" ca="1" si="48"/>
        <v>256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49"/>
        <v>45</v>
      </c>
      <c r="E597">
        <f t="shared" ca="1" si="45"/>
        <v>0</v>
      </c>
      <c r="F597">
        <f t="shared" ca="1" si="46"/>
        <v>980</v>
      </c>
      <c r="G597" s="3" t="b">
        <f>COUNTIF(dict_zul_Var_Meth[ID_Methods], table_Methods[[#This Row],[ID]]) &gt; 0</f>
        <v>1</v>
      </c>
      <c r="H597">
        <f t="shared" ca="1" si="47"/>
        <v>16824</v>
      </c>
      <c r="I597">
        <f t="shared" ca="1" si="48"/>
        <v>1376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49"/>
        <v>10</v>
      </c>
      <c r="E598">
        <f t="shared" ca="1" si="45"/>
        <v>-70</v>
      </c>
      <c r="F598">
        <f t="shared" ca="1" si="46"/>
        <v>520</v>
      </c>
      <c r="G598" s="3" t="b">
        <f>COUNTIF(dict_zul_Var_Meth[ID_Methods], table_Methods[[#This Row],[ID]]) &gt; 0</f>
        <v>1</v>
      </c>
      <c r="H598">
        <f t="shared" ca="1" si="47"/>
        <v>9590</v>
      </c>
      <c r="I598">
        <f t="shared" ca="1" si="48"/>
        <v>106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49"/>
        <v>2900</v>
      </c>
      <c r="E599">
        <f t="shared" ca="1" si="45"/>
        <v>30</v>
      </c>
      <c r="F599">
        <f t="shared" ca="1" si="46"/>
        <v>200</v>
      </c>
      <c r="G599" s="3" t="b">
        <f>COUNTIF(dict_zul_Var_Meth[ID_Methods], table_Methods[[#This Row],[ID]]) &gt; 0</f>
        <v>1</v>
      </c>
      <c r="H599">
        <f t="shared" ca="1" si="47"/>
        <v>18774</v>
      </c>
      <c r="I599">
        <f t="shared" ca="1" si="48"/>
        <v>50176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49"/>
        <v>960</v>
      </c>
      <c r="E600">
        <f t="shared" ca="1" si="45"/>
        <v>-100</v>
      </c>
      <c r="F600">
        <f t="shared" ca="1" si="46"/>
        <v>600</v>
      </c>
      <c r="G600" s="3" t="b">
        <f>COUNTIF(dict_zul_Var_Meth[ID_Methods], table_Methods[[#This Row],[ID]]) &gt; 0</f>
        <v>1</v>
      </c>
      <c r="H600">
        <f t="shared" ca="1" si="47"/>
        <v>29638</v>
      </c>
      <c r="I600">
        <f t="shared" ca="1" si="48"/>
        <v>158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49"/>
        <v>8900</v>
      </c>
      <c r="E601">
        <f t="shared" ca="1" si="45"/>
        <v>30</v>
      </c>
      <c r="F601">
        <f t="shared" ca="1" si="46"/>
        <v>920</v>
      </c>
      <c r="G601" s="3" t="b">
        <f>COUNTIF(dict_zul_Var_Meth[ID_Methods], table_Methods[[#This Row],[ID]]) &gt; 0</f>
        <v>1</v>
      </c>
      <c r="H601">
        <f t="shared" ca="1" si="47"/>
        <v>23898</v>
      </c>
      <c r="I601">
        <f t="shared" ca="1" si="48"/>
        <v>52224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49"/>
        <v>160</v>
      </c>
      <c r="E602">
        <f t="shared" ca="1" si="45"/>
        <v>-90</v>
      </c>
      <c r="F602">
        <f t="shared" ca="1" si="46"/>
        <v>660</v>
      </c>
      <c r="G602" s="3" t="b">
        <f>COUNTIF(dict_zul_Var_Meth[ID_Methods], table_Methods[[#This Row],[ID]]) &gt; 0</f>
        <v>1</v>
      </c>
      <c r="H602">
        <f t="shared" ca="1" si="47"/>
        <v>9410</v>
      </c>
      <c r="I602">
        <f t="shared" ca="1" si="48"/>
        <v>2848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49"/>
        <v>320</v>
      </c>
      <c r="E603">
        <f t="shared" ca="1" si="45"/>
        <v>-70</v>
      </c>
      <c r="F603">
        <f t="shared" ca="1" si="46"/>
        <v>70</v>
      </c>
      <c r="G603" s="3" t="b">
        <f>COUNTIF(dict_zul_Var_Meth[ID_Methods], table_Methods[[#This Row],[ID]]) &gt; 0</f>
        <v>1</v>
      </c>
      <c r="H603">
        <f t="shared" ca="1" si="47"/>
        <v>9975</v>
      </c>
      <c r="I603">
        <f t="shared" ca="1" si="48"/>
        <v>138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49"/>
        <v>4500</v>
      </c>
      <c r="E604">
        <f t="shared" ca="1" si="45"/>
        <v>-90</v>
      </c>
      <c r="F604">
        <f t="shared" ca="1" si="46"/>
        <v>640</v>
      </c>
      <c r="G604" s="3" t="b">
        <f>COUNTIF(dict_zul_Var_Meth[ID_Methods], table_Methods[[#This Row],[ID]]) &gt; 0</f>
        <v>1</v>
      </c>
      <c r="H604">
        <f t="shared" ca="1" si="47"/>
        <v>26677</v>
      </c>
      <c r="I604">
        <f t="shared" ca="1" si="48"/>
        <v>512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49"/>
        <v>4500</v>
      </c>
      <c r="E605">
        <f t="shared" ca="1" si="45"/>
        <v>0</v>
      </c>
      <c r="F605">
        <f t="shared" ca="1" si="46"/>
        <v>810</v>
      </c>
      <c r="G605" s="3" t="b">
        <f>COUNTIF(dict_zul_Var_Meth[ID_Methods], table_Methods[[#This Row],[ID]]) &gt; 0</f>
        <v>1</v>
      </c>
      <c r="H605">
        <f t="shared" ca="1" si="47"/>
        <v>4716</v>
      </c>
      <c r="I605">
        <f t="shared" ca="1" si="48"/>
        <v>2592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49"/>
        <v>160</v>
      </c>
      <c r="E606">
        <f t="shared" ca="1" si="45"/>
        <v>-50</v>
      </c>
      <c r="F606">
        <f t="shared" ca="1" si="46"/>
        <v>840</v>
      </c>
      <c r="G606" s="3" t="b">
        <f>COUNTIF(dict_zul_Var_Meth[ID_Methods], table_Methods[[#This Row],[ID]]) &gt; 0</f>
        <v>1</v>
      </c>
      <c r="H606">
        <f t="shared" ca="1" si="47"/>
        <v>1260</v>
      </c>
      <c r="I606">
        <f t="shared" ca="1" si="48"/>
        <v>16128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49"/>
        <v>7600</v>
      </c>
      <c r="E607">
        <f t="shared" ca="1" si="45"/>
        <v>10</v>
      </c>
      <c r="F607">
        <f t="shared" ca="1" si="46"/>
        <v>50</v>
      </c>
      <c r="G607" s="3" t="b">
        <f>COUNTIF(dict_zul_Var_Meth[ID_Methods], table_Methods[[#This Row],[ID]]) &gt; 0</f>
        <v>1</v>
      </c>
      <c r="H607">
        <f t="shared" ca="1" si="47"/>
        <v>19750</v>
      </c>
      <c r="I607">
        <f t="shared" ca="1" si="48"/>
        <v>1664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49"/>
        <v>17</v>
      </c>
      <c r="E608">
        <f t="shared" ca="1" si="45"/>
        <v>-10</v>
      </c>
      <c r="F608">
        <f t="shared" ca="1" si="46"/>
        <v>420</v>
      </c>
      <c r="G608" s="3" t="b">
        <f>COUNTIF(dict_zul_Var_Meth[ID_Methods], table_Methods[[#This Row],[ID]]) &gt; 0</f>
        <v>1</v>
      </c>
      <c r="H608">
        <f t="shared" ca="1" si="47"/>
        <v>19144</v>
      </c>
      <c r="I608">
        <f t="shared" ca="1" si="48"/>
        <v>18432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49"/>
        <v>86</v>
      </c>
      <c r="E609">
        <f t="shared" ca="1" si="45"/>
        <v>-60</v>
      </c>
      <c r="F609">
        <f t="shared" ca="1" si="46"/>
        <v>980</v>
      </c>
      <c r="G609" s="3" t="b">
        <f>COUNTIF(dict_zul_Var_Meth[ID_Methods], table_Methods[[#This Row],[ID]]) &gt; 0</f>
        <v>1</v>
      </c>
      <c r="H609">
        <f t="shared" ca="1" si="47"/>
        <v>2994</v>
      </c>
      <c r="I609">
        <f t="shared" ca="1" si="48"/>
        <v>55296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49"/>
        <v>7300</v>
      </c>
      <c r="E610">
        <f t="shared" ca="1" si="45"/>
        <v>10</v>
      </c>
      <c r="F610">
        <f t="shared" ca="1" si="46"/>
        <v>90</v>
      </c>
      <c r="G610" s="3" t="b">
        <f>COUNTIF(dict_zul_Var_Meth[ID_Methods], table_Methods[[#This Row],[ID]]) &gt; 0</f>
        <v>1</v>
      </c>
      <c r="H610">
        <f t="shared" ca="1" si="47"/>
        <v>18390</v>
      </c>
      <c r="I610">
        <f t="shared" ca="1" si="48"/>
        <v>1472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49"/>
        <v>90</v>
      </c>
      <c r="E611">
        <f t="shared" ca="1" si="45"/>
        <v>-80</v>
      </c>
      <c r="F611">
        <f t="shared" ca="1" si="46"/>
        <v>670</v>
      </c>
      <c r="G611" s="3" t="b">
        <f>COUNTIF(dict_zul_Var_Meth[ID_Methods], table_Methods[[#This Row],[ID]]) &gt; 0</f>
        <v>1</v>
      </c>
      <c r="H611">
        <f t="shared" ca="1" si="47"/>
        <v>9392</v>
      </c>
      <c r="I611">
        <f t="shared" ca="1" si="48"/>
        <v>120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49"/>
        <v>800</v>
      </c>
      <c r="E612">
        <f t="shared" ref="E612:E675" ca="1" si="50">RANDBETWEEN(-10,3)*10</f>
        <v>-10</v>
      </c>
      <c r="F612">
        <f t="shared" ref="F612:F675" ca="1" si="51">RANDBETWEEN(2,100)*10</f>
        <v>110</v>
      </c>
      <c r="G612" s="3" t="b">
        <f>COUNTIF(dict_zul_Var_Meth[ID_Methods], table_Methods[[#This Row],[ID]]) &gt; 0</f>
        <v>1</v>
      </c>
      <c r="H612">
        <f t="shared" ref="H612:H675" ca="1" si="52">RANDBETWEEN(1,10)*RANDBETWEEN(1,5000)</f>
        <v>38936</v>
      </c>
      <c r="I612">
        <f t="shared" ref="I612:I675" ca="1" si="53">2^RANDBETWEEN(1,10)*RANDBETWEEN(1,100)</f>
        <v>144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49"/>
        <v>9700</v>
      </c>
      <c r="E613">
        <f t="shared" ca="1" si="50"/>
        <v>-60</v>
      </c>
      <c r="F613">
        <f t="shared" ca="1" si="51"/>
        <v>130</v>
      </c>
      <c r="G613" s="3" t="b">
        <f>COUNTIF(dict_zul_Var_Meth[ID_Methods], table_Methods[[#This Row],[ID]]) &gt; 0</f>
        <v>1</v>
      </c>
      <c r="H613">
        <f t="shared" ca="1" si="52"/>
        <v>31675</v>
      </c>
      <c r="I613">
        <f t="shared" ca="1" si="53"/>
        <v>208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49"/>
        <v>32</v>
      </c>
      <c r="E614">
        <f t="shared" ca="1" si="50"/>
        <v>-60</v>
      </c>
      <c r="F614">
        <f t="shared" ca="1" si="51"/>
        <v>460</v>
      </c>
      <c r="G614" s="3" t="b">
        <f>COUNTIF(dict_zul_Var_Meth[ID_Methods], table_Methods[[#This Row],[ID]]) &gt; 0</f>
        <v>1</v>
      </c>
      <c r="H614">
        <f t="shared" ca="1" si="52"/>
        <v>38052</v>
      </c>
      <c r="I614">
        <f t="shared" ca="1" si="53"/>
        <v>9088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49"/>
        <v>17</v>
      </c>
      <c r="E615">
        <f t="shared" ca="1" si="50"/>
        <v>-40</v>
      </c>
      <c r="F615">
        <f t="shared" ca="1" si="51"/>
        <v>390</v>
      </c>
      <c r="G615" s="3" t="b">
        <f>COUNTIF(dict_zul_Var_Meth[ID_Methods], table_Methods[[#This Row],[ID]]) &gt; 0</f>
        <v>1</v>
      </c>
      <c r="H615">
        <f t="shared" ca="1" si="52"/>
        <v>11061</v>
      </c>
      <c r="I615">
        <f t="shared" ca="1" si="53"/>
        <v>40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49"/>
        <v>7.0000000000000009</v>
      </c>
      <c r="E616">
        <f t="shared" ca="1" si="50"/>
        <v>-100</v>
      </c>
      <c r="F616">
        <f t="shared" ca="1" si="51"/>
        <v>930</v>
      </c>
      <c r="G616" s="3" t="b">
        <f>COUNTIF(dict_zul_Var_Meth[ID_Methods], table_Methods[[#This Row],[ID]]) &gt; 0</f>
        <v>1</v>
      </c>
      <c r="H616">
        <f t="shared" ca="1" si="52"/>
        <v>15750</v>
      </c>
      <c r="I616">
        <f t="shared" ca="1" si="53"/>
        <v>156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49"/>
        <v>7.0000000000000009</v>
      </c>
      <c r="E617">
        <f t="shared" ca="1" si="50"/>
        <v>-30</v>
      </c>
      <c r="F617">
        <f t="shared" ca="1" si="51"/>
        <v>180</v>
      </c>
      <c r="G617" s="3" t="b">
        <f>COUNTIF(dict_zul_Var_Meth[ID_Methods], table_Methods[[#This Row],[ID]]) &gt; 0</f>
        <v>1</v>
      </c>
      <c r="H617">
        <f t="shared" ca="1" si="52"/>
        <v>31869</v>
      </c>
      <c r="I617">
        <f t="shared" ca="1" si="53"/>
        <v>23552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49"/>
        <v>1300</v>
      </c>
      <c r="E618">
        <f t="shared" ca="1" si="50"/>
        <v>10</v>
      </c>
      <c r="F618">
        <f t="shared" ca="1" si="51"/>
        <v>920</v>
      </c>
      <c r="G618" s="3" t="b">
        <f>COUNTIF(dict_zul_Var_Meth[ID_Methods], table_Methods[[#This Row],[ID]]) &gt; 0</f>
        <v>1</v>
      </c>
      <c r="H618">
        <f t="shared" ca="1" si="52"/>
        <v>21282</v>
      </c>
      <c r="I618">
        <f t="shared" ca="1" si="53"/>
        <v>23552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49"/>
        <v>15</v>
      </c>
      <c r="E619">
        <f t="shared" ca="1" si="50"/>
        <v>-90</v>
      </c>
      <c r="F619">
        <f t="shared" ca="1" si="51"/>
        <v>550</v>
      </c>
      <c r="G619" s="3" t="b">
        <f>COUNTIF(dict_zul_Var_Meth[ID_Methods], table_Methods[[#This Row],[ID]]) &gt; 0</f>
        <v>1</v>
      </c>
      <c r="H619">
        <f t="shared" ca="1" si="52"/>
        <v>6608</v>
      </c>
      <c r="I619">
        <f t="shared" ca="1" si="53"/>
        <v>2048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49"/>
        <v>7200</v>
      </c>
      <c r="E620">
        <f t="shared" ca="1" si="50"/>
        <v>-20</v>
      </c>
      <c r="F620">
        <f t="shared" ca="1" si="51"/>
        <v>310</v>
      </c>
      <c r="G620" s="3" t="b">
        <f>COUNTIF(dict_zul_Var_Meth[ID_Methods], table_Methods[[#This Row],[ID]]) &gt; 0</f>
        <v>1</v>
      </c>
      <c r="H620">
        <f t="shared" ca="1" si="52"/>
        <v>4070</v>
      </c>
      <c r="I620">
        <f t="shared" ca="1" si="53"/>
        <v>712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49"/>
        <v>42</v>
      </c>
      <c r="E621">
        <f t="shared" ca="1" si="50"/>
        <v>10</v>
      </c>
      <c r="F621">
        <f t="shared" ca="1" si="51"/>
        <v>660</v>
      </c>
      <c r="G621" s="3" t="b">
        <f>COUNTIF(dict_zul_Var_Meth[ID_Methods], table_Methods[[#This Row],[ID]]) &gt; 0</f>
        <v>1</v>
      </c>
      <c r="H621">
        <f t="shared" ca="1" si="52"/>
        <v>8000</v>
      </c>
      <c r="I621">
        <f t="shared" ca="1" si="53"/>
        <v>144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49"/>
        <v>25</v>
      </c>
      <c r="E622">
        <f t="shared" ca="1" si="50"/>
        <v>10</v>
      </c>
      <c r="F622">
        <f t="shared" ca="1" si="51"/>
        <v>500</v>
      </c>
      <c r="G622" s="3" t="b">
        <f>COUNTIF(dict_zul_Var_Meth[ID_Methods], table_Methods[[#This Row],[ID]]) &gt; 0</f>
        <v>1</v>
      </c>
      <c r="H622">
        <f t="shared" ca="1" si="52"/>
        <v>9360</v>
      </c>
      <c r="I622">
        <f t="shared" ca="1" si="53"/>
        <v>1280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49"/>
        <v>7800</v>
      </c>
      <c r="E623">
        <f t="shared" ca="1" si="50"/>
        <v>-40</v>
      </c>
      <c r="F623">
        <f t="shared" ca="1" si="51"/>
        <v>400</v>
      </c>
      <c r="G623" s="3" t="b">
        <f>COUNTIF(dict_zul_Var_Meth[ID_Methods], table_Methods[[#This Row],[ID]]) &gt; 0</f>
        <v>1</v>
      </c>
      <c r="H623">
        <f t="shared" ca="1" si="52"/>
        <v>16604</v>
      </c>
      <c r="I623">
        <f t="shared" ca="1" si="53"/>
        <v>168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49"/>
        <v>17</v>
      </c>
      <c r="E624">
        <f t="shared" ca="1" si="50"/>
        <v>-20</v>
      </c>
      <c r="F624">
        <f t="shared" ca="1" si="51"/>
        <v>350</v>
      </c>
      <c r="G624" s="3" t="b">
        <f>COUNTIF(dict_zul_Var_Meth[ID_Methods], table_Methods[[#This Row],[ID]]) &gt; 0</f>
        <v>1</v>
      </c>
      <c r="H624">
        <f t="shared" ca="1" si="52"/>
        <v>31370</v>
      </c>
      <c r="I624">
        <f t="shared" ca="1" si="53"/>
        <v>3136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49"/>
        <v>76</v>
      </c>
      <c r="E625">
        <f t="shared" ca="1" si="50"/>
        <v>-30</v>
      </c>
      <c r="F625">
        <f t="shared" ca="1" si="51"/>
        <v>320</v>
      </c>
      <c r="G625" s="3" t="b">
        <f>COUNTIF(dict_zul_Var_Meth[ID_Methods], table_Methods[[#This Row],[ID]]) &gt; 0</f>
        <v>1</v>
      </c>
      <c r="H625">
        <f t="shared" ca="1" si="52"/>
        <v>10595</v>
      </c>
      <c r="I625">
        <f t="shared" ca="1" si="53"/>
        <v>3456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49"/>
        <v>940</v>
      </c>
      <c r="E626">
        <f t="shared" ca="1" si="50"/>
        <v>-70</v>
      </c>
      <c r="F626">
        <f t="shared" ca="1" si="51"/>
        <v>310</v>
      </c>
      <c r="G626" s="3" t="b">
        <f>COUNTIF(dict_zul_Var_Meth[ID_Methods], table_Methods[[#This Row],[ID]]) &gt; 0</f>
        <v>1</v>
      </c>
      <c r="H626">
        <f t="shared" ca="1" si="52"/>
        <v>5052</v>
      </c>
      <c r="I626">
        <f t="shared" ca="1" si="53"/>
        <v>90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49"/>
        <v>700</v>
      </c>
      <c r="E627">
        <f t="shared" ca="1" si="50"/>
        <v>20</v>
      </c>
      <c r="F627">
        <f t="shared" ca="1" si="51"/>
        <v>990</v>
      </c>
      <c r="G627" s="3" t="b">
        <f>COUNTIF(dict_zul_Var_Meth[ID_Methods], table_Methods[[#This Row],[ID]]) &gt; 0</f>
        <v>1</v>
      </c>
      <c r="H627">
        <f t="shared" ca="1" si="52"/>
        <v>1276</v>
      </c>
      <c r="I627">
        <f t="shared" ca="1" si="53"/>
        <v>1120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49"/>
        <v>770</v>
      </c>
      <c r="E628">
        <f t="shared" ca="1" si="50"/>
        <v>-80</v>
      </c>
      <c r="F628">
        <f t="shared" ca="1" si="51"/>
        <v>580</v>
      </c>
      <c r="G628" s="3" t="b">
        <f>COUNTIF(dict_zul_Var_Meth[ID_Methods], table_Methods[[#This Row],[ID]]) &gt; 0</f>
        <v>1</v>
      </c>
      <c r="H628">
        <f t="shared" ca="1" si="52"/>
        <v>171</v>
      </c>
      <c r="I628">
        <f t="shared" ca="1" si="53"/>
        <v>5888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49"/>
        <v>800</v>
      </c>
      <c r="E629">
        <f t="shared" ca="1" si="50"/>
        <v>-60</v>
      </c>
      <c r="F629">
        <f t="shared" ca="1" si="51"/>
        <v>230</v>
      </c>
      <c r="G629" s="3" t="b">
        <f>COUNTIF(dict_zul_Var_Meth[ID_Methods], table_Methods[[#This Row],[ID]]) &gt; 0</f>
        <v>1</v>
      </c>
      <c r="H629">
        <f t="shared" ca="1" si="52"/>
        <v>2309</v>
      </c>
      <c r="I629">
        <f t="shared" ca="1" si="53"/>
        <v>656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49"/>
        <v>1500</v>
      </c>
      <c r="E630">
        <f t="shared" ca="1" si="50"/>
        <v>-90</v>
      </c>
      <c r="F630">
        <f t="shared" ca="1" si="51"/>
        <v>190</v>
      </c>
      <c r="G630" s="3" t="b">
        <f>COUNTIF(dict_zul_Var_Meth[ID_Methods], table_Methods[[#This Row],[ID]]) &gt; 0</f>
        <v>1</v>
      </c>
      <c r="H630">
        <f t="shared" ca="1" si="52"/>
        <v>23706</v>
      </c>
      <c r="I630">
        <f t="shared" ca="1" si="53"/>
        <v>1536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49"/>
        <v>22</v>
      </c>
      <c r="E631">
        <f t="shared" ca="1" si="50"/>
        <v>-100</v>
      </c>
      <c r="F631">
        <f t="shared" ca="1" si="51"/>
        <v>150</v>
      </c>
      <c r="G631" s="3" t="b">
        <f>COUNTIF(dict_zul_Var_Meth[ID_Methods], table_Methods[[#This Row],[ID]]) &gt; 0</f>
        <v>1</v>
      </c>
      <c r="H631">
        <f t="shared" ca="1" si="52"/>
        <v>14145</v>
      </c>
      <c r="I631">
        <f t="shared" ca="1" si="53"/>
        <v>6144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49"/>
        <v>5900</v>
      </c>
      <c r="E632">
        <f t="shared" ca="1" si="50"/>
        <v>-80</v>
      </c>
      <c r="F632">
        <f t="shared" ca="1" si="51"/>
        <v>850</v>
      </c>
      <c r="G632" s="3" t="b">
        <f>COUNTIF(dict_zul_Var_Meth[ID_Methods], table_Methods[[#This Row],[ID]]) &gt; 0</f>
        <v>1</v>
      </c>
      <c r="H632">
        <f t="shared" ca="1" si="52"/>
        <v>25710</v>
      </c>
      <c r="I632">
        <f t="shared" ca="1" si="53"/>
        <v>1120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49"/>
        <v>240</v>
      </c>
      <c r="E633">
        <f t="shared" ca="1" si="50"/>
        <v>-40</v>
      </c>
      <c r="F633">
        <f t="shared" ca="1" si="51"/>
        <v>790</v>
      </c>
      <c r="G633" s="3" t="b">
        <f>COUNTIF(dict_zul_Var_Meth[ID_Methods], table_Methods[[#This Row],[ID]]) &gt; 0</f>
        <v>1</v>
      </c>
      <c r="H633">
        <f t="shared" ca="1" si="52"/>
        <v>3798</v>
      </c>
      <c r="I633">
        <f t="shared" ca="1" si="53"/>
        <v>1472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49"/>
        <v>8900</v>
      </c>
      <c r="E634">
        <f t="shared" ca="1" si="50"/>
        <v>-50</v>
      </c>
      <c r="F634">
        <f t="shared" ca="1" si="51"/>
        <v>610</v>
      </c>
      <c r="G634" s="3" t="b">
        <f>COUNTIF(dict_zul_Var_Meth[ID_Methods], table_Methods[[#This Row],[ID]]) &gt; 0</f>
        <v>1</v>
      </c>
      <c r="H634">
        <f t="shared" ca="1" si="52"/>
        <v>8757</v>
      </c>
      <c r="I634">
        <f t="shared" ca="1" si="53"/>
        <v>4160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49"/>
        <v>70</v>
      </c>
      <c r="E635">
        <f t="shared" ca="1" si="50"/>
        <v>-90</v>
      </c>
      <c r="F635">
        <f t="shared" ca="1" si="51"/>
        <v>120</v>
      </c>
      <c r="G635" s="3" t="b">
        <f>COUNTIF(dict_zul_Var_Meth[ID_Methods], table_Methods[[#This Row],[ID]]) &gt; 0</f>
        <v>1</v>
      </c>
      <c r="H635">
        <f t="shared" ca="1" si="52"/>
        <v>43540</v>
      </c>
      <c r="I635">
        <f t="shared" ca="1" si="53"/>
        <v>4800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49"/>
        <v>25</v>
      </c>
      <c r="E636">
        <f t="shared" ca="1" si="50"/>
        <v>-30</v>
      </c>
      <c r="F636">
        <f t="shared" ca="1" si="51"/>
        <v>130</v>
      </c>
      <c r="G636" s="3" t="b">
        <f>COUNTIF(dict_zul_Var_Meth[ID_Methods], table_Methods[[#This Row],[ID]]) &gt; 0</f>
        <v>1</v>
      </c>
      <c r="H636">
        <f t="shared" ca="1" si="52"/>
        <v>7719</v>
      </c>
      <c r="I636">
        <f t="shared" ca="1" si="53"/>
        <v>116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49"/>
        <v>2700</v>
      </c>
      <c r="E637">
        <f t="shared" ca="1" si="50"/>
        <v>-90</v>
      </c>
      <c r="F637">
        <f t="shared" ca="1" si="51"/>
        <v>320</v>
      </c>
      <c r="G637" s="3" t="b">
        <f>COUNTIF(dict_zul_Var_Meth[ID_Methods], table_Methods[[#This Row],[ID]]) &gt; 0</f>
        <v>1</v>
      </c>
      <c r="H637">
        <f t="shared" ca="1" si="52"/>
        <v>25445</v>
      </c>
      <c r="I637">
        <f t="shared" ca="1" si="53"/>
        <v>7424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49"/>
        <v>2000</v>
      </c>
      <c r="E638">
        <f t="shared" ca="1" si="50"/>
        <v>-20</v>
      </c>
      <c r="F638">
        <f t="shared" ca="1" si="51"/>
        <v>170</v>
      </c>
      <c r="G638" s="3" t="b">
        <f>COUNTIF(dict_zul_Var_Meth[ID_Methods], table_Methods[[#This Row],[ID]]) &gt; 0</f>
        <v>1</v>
      </c>
      <c r="H638">
        <f t="shared" ca="1" si="52"/>
        <v>38120</v>
      </c>
      <c r="I638">
        <f t="shared" ca="1" si="53"/>
        <v>38400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49"/>
        <v>18</v>
      </c>
      <c r="E639">
        <f t="shared" ca="1" si="50"/>
        <v>-30</v>
      </c>
      <c r="F639">
        <f t="shared" ca="1" si="51"/>
        <v>490</v>
      </c>
      <c r="G639" s="3" t="b">
        <f>COUNTIF(dict_zul_Var_Meth[ID_Methods], table_Methods[[#This Row],[ID]]) &gt; 0</f>
        <v>1</v>
      </c>
      <c r="H639">
        <f t="shared" ca="1" si="52"/>
        <v>32013</v>
      </c>
      <c r="I639">
        <f t="shared" ca="1" si="53"/>
        <v>3712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49"/>
        <v>23.000000000000004</v>
      </c>
      <c r="E640">
        <f t="shared" ca="1" si="50"/>
        <v>10</v>
      </c>
      <c r="F640">
        <f t="shared" ca="1" si="51"/>
        <v>40</v>
      </c>
      <c r="G640" s="3" t="b">
        <f>COUNTIF(dict_zul_Var_Meth[ID_Methods], table_Methods[[#This Row],[ID]]) &gt; 0</f>
        <v>1</v>
      </c>
      <c r="H640">
        <f t="shared" ca="1" si="52"/>
        <v>14000</v>
      </c>
      <c r="I640">
        <f t="shared" ca="1" si="53"/>
        <v>172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49"/>
        <v>50</v>
      </c>
      <c r="E641">
        <f t="shared" ca="1" si="50"/>
        <v>-30</v>
      </c>
      <c r="F641">
        <f t="shared" ca="1" si="51"/>
        <v>760</v>
      </c>
      <c r="G641" s="3" t="b">
        <f>COUNTIF(dict_zul_Var_Meth[ID_Methods], table_Methods[[#This Row],[ID]]) &gt; 0</f>
        <v>1</v>
      </c>
      <c r="H641">
        <f t="shared" ca="1" si="52"/>
        <v>14319</v>
      </c>
      <c r="I641">
        <f t="shared" ca="1" si="53"/>
        <v>2944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54">10^(RANDBETWEEN(-1,1))*RANDBETWEEN(1,100)*10</f>
        <v>89</v>
      </c>
      <c r="E642">
        <f t="shared" ca="1" si="50"/>
        <v>-70</v>
      </c>
      <c r="F642">
        <f t="shared" ca="1" si="51"/>
        <v>700</v>
      </c>
      <c r="G642" s="3" t="b">
        <f>COUNTIF(dict_zul_Var_Meth[ID_Methods], table_Methods[[#This Row],[ID]]) &gt; 0</f>
        <v>1</v>
      </c>
      <c r="H642">
        <f t="shared" ca="1" si="52"/>
        <v>13335</v>
      </c>
      <c r="I642">
        <f t="shared" ca="1" si="53"/>
        <v>11264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54"/>
        <v>5800</v>
      </c>
      <c r="E643">
        <f t="shared" ca="1" si="50"/>
        <v>-60</v>
      </c>
      <c r="F643">
        <f t="shared" ca="1" si="51"/>
        <v>510</v>
      </c>
      <c r="G643" s="3" t="b">
        <f>COUNTIF(dict_zul_Var_Meth[ID_Methods], table_Methods[[#This Row],[ID]]) &gt; 0</f>
        <v>1</v>
      </c>
      <c r="H643">
        <f t="shared" ca="1" si="52"/>
        <v>13563</v>
      </c>
      <c r="I643">
        <f t="shared" ca="1" si="53"/>
        <v>256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54"/>
        <v>14.000000000000002</v>
      </c>
      <c r="E644">
        <f t="shared" ca="1" si="50"/>
        <v>0</v>
      </c>
      <c r="F644">
        <f t="shared" ca="1" si="51"/>
        <v>540</v>
      </c>
      <c r="G644" s="3" t="b">
        <f>COUNTIF(dict_zul_Var_Meth[ID_Methods], table_Methods[[#This Row],[ID]]) &gt; 0</f>
        <v>1</v>
      </c>
      <c r="H644">
        <f t="shared" ca="1" si="52"/>
        <v>42399</v>
      </c>
      <c r="I644">
        <f t="shared" ca="1" si="53"/>
        <v>10752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54"/>
        <v>60</v>
      </c>
      <c r="E645">
        <f t="shared" ca="1" si="50"/>
        <v>-100</v>
      </c>
      <c r="F645">
        <f t="shared" ca="1" si="51"/>
        <v>30</v>
      </c>
      <c r="G645" s="3" t="b">
        <f>COUNTIF(dict_zul_Var_Meth[ID_Methods], table_Methods[[#This Row],[ID]]) &gt; 0</f>
        <v>1</v>
      </c>
      <c r="H645">
        <f t="shared" ca="1" si="52"/>
        <v>14988</v>
      </c>
      <c r="I645">
        <f t="shared" ca="1" si="53"/>
        <v>8192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54"/>
        <v>730</v>
      </c>
      <c r="E646">
        <f t="shared" ca="1" si="50"/>
        <v>-50</v>
      </c>
      <c r="F646">
        <f t="shared" ca="1" si="51"/>
        <v>860</v>
      </c>
      <c r="G646" s="3" t="b">
        <f>COUNTIF(dict_zul_Var_Meth[ID_Methods], table_Methods[[#This Row],[ID]]) &gt; 0</f>
        <v>1</v>
      </c>
      <c r="H646">
        <f t="shared" ca="1" si="52"/>
        <v>19110</v>
      </c>
      <c r="I646">
        <f t="shared" ca="1" si="53"/>
        <v>3456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54"/>
        <v>3300</v>
      </c>
      <c r="E647">
        <f t="shared" ca="1" si="50"/>
        <v>-60</v>
      </c>
      <c r="F647">
        <f t="shared" ca="1" si="51"/>
        <v>870</v>
      </c>
      <c r="G647" s="3" t="b">
        <f>COUNTIF(dict_zul_Var_Meth[ID_Methods], table_Methods[[#This Row],[ID]]) &gt; 0</f>
        <v>1</v>
      </c>
      <c r="H647">
        <f t="shared" ca="1" si="52"/>
        <v>807</v>
      </c>
      <c r="I647">
        <f t="shared" ca="1" si="53"/>
        <v>3520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54"/>
        <v>92.000000000000014</v>
      </c>
      <c r="E648">
        <f t="shared" ca="1" si="50"/>
        <v>0</v>
      </c>
      <c r="F648">
        <f t="shared" ca="1" si="51"/>
        <v>300</v>
      </c>
      <c r="G648" s="3" t="b">
        <f>COUNTIF(dict_zul_Var_Meth[ID_Methods], table_Methods[[#This Row],[ID]]) &gt; 0</f>
        <v>1</v>
      </c>
      <c r="H648">
        <f t="shared" ca="1" si="52"/>
        <v>16044</v>
      </c>
      <c r="I648">
        <f t="shared" ca="1" si="53"/>
        <v>1152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54"/>
        <v>580</v>
      </c>
      <c r="E649">
        <f t="shared" ca="1" si="50"/>
        <v>-90</v>
      </c>
      <c r="F649">
        <f t="shared" ca="1" si="51"/>
        <v>920</v>
      </c>
      <c r="G649" s="3" t="b">
        <f>COUNTIF(dict_zul_Var_Meth[ID_Methods], table_Methods[[#This Row],[ID]]) &gt; 0</f>
        <v>1</v>
      </c>
      <c r="H649">
        <f t="shared" ca="1" si="52"/>
        <v>13347</v>
      </c>
      <c r="I649">
        <f t="shared" ca="1" si="53"/>
        <v>10624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54"/>
        <v>79</v>
      </c>
      <c r="E650">
        <f t="shared" ca="1" si="50"/>
        <v>-80</v>
      </c>
      <c r="F650">
        <f t="shared" ca="1" si="51"/>
        <v>840</v>
      </c>
      <c r="G650" s="3" t="b">
        <f>COUNTIF(dict_zul_Var_Meth[ID_Methods], table_Methods[[#This Row],[ID]]) &gt; 0</f>
        <v>1</v>
      </c>
      <c r="H650">
        <f t="shared" ca="1" si="52"/>
        <v>26658</v>
      </c>
      <c r="I650">
        <f t="shared" ca="1" si="53"/>
        <v>1360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54"/>
        <v>68</v>
      </c>
      <c r="E651">
        <f t="shared" ca="1" si="50"/>
        <v>0</v>
      </c>
      <c r="F651">
        <f t="shared" ca="1" si="51"/>
        <v>80</v>
      </c>
      <c r="G651" s="3" t="b">
        <f>COUNTIF(dict_zul_Var_Meth[ID_Methods], table_Methods[[#This Row],[ID]]) &gt; 0</f>
        <v>1</v>
      </c>
      <c r="H651">
        <f t="shared" ca="1" si="52"/>
        <v>320</v>
      </c>
      <c r="I651">
        <f t="shared" ca="1" si="53"/>
        <v>13312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54"/>
        <v>210</v>
      </c>
      <c r="E652">
        <f t="shared" ca="1" si="50"/>
        <v>-40</v>
      </c>
      <c r="F652">
        <f t="shared" ca="1" si="51"/>
        <v>640</v>
      </c>
      <c r="G652" s="3" t="b">
        <f>COUNTIF(dict_zul_Var_Meth[ID_Methods], table_Methods[[#This Row],[ID]]) &gt; 0</f>
        <v>1</v>
      </c>
      <c r="H652">
        <f t="shared" ca="1" si="52"/>
        <v>6036</v>
      </c>
      <c r="I652">
        <f t="shared" ca="1" si="53"/>
        <v>89088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54"/>
        <v>780</v>
      </c>
      <c r="E653">
        <f t="shared" ca="1" si="50"/>
        <v>-80</v>
      </c>
      <c r="F653">
        <f t="shared" ca="1" si="51"/>
        <v>820</v>
      </c>
      <c r="G653" s="3" t="b">
        <f>COUNTIF(dict_zul_Var_Meth[ID_Methods], table_Methods[[#This Row],[ID]]) &gt; 0</f>
        <v>1</v>
      </c>
      <c r="H653">
        <f t="shared" ca="1" si="52"/>
        <v>11690</v>
      </c>
      <c r="I653">
        <f t="shared" ca="1" si="53"/>
        <v>6272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54"/>
        <v>70</v>
      </c>
      <c r="E654">
        <f t="shared" ca="1" si="50"/>
        <v>-80</v>
      </c>
      <c r="F654">
        <f t="shared" ca="1" si="51"/>
        <v>30</v>
      </c>
      <c r="G654" s="3" t="b">
        <f>COUNTIF(dict_zul_Var_Meth[ID_Methods], table_Methods[[#This Row],[ID]]) &gt; 0</f>
        <v>1</v>
      </c>
      <c r="H654">
        <f t="shared" ca="1" si="52"/>
        <v>33720</v>
      </c>
      <c r="I654">
        <f t="shared" ca="1" si="53"/>
        <v>320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54"/>
        <v>40</v>
      </c>
      <c r="E655">
        <f t="shared" ca="1" si="50"/>
        <v>30</v>
      </c>
      <c r="F655">
        <f t="shared" ca="1" si="51"/>
        <v>230</v>
      </c>
      <c r="G655" s="3" t="b">
        <f>COUNTIF(dict_zul_Var_Meth[ID_Methods], table_Methods[[#This Row],[ID]]) &gt; 0</f>
        <v>1</v>
      </c>
      <c r="H655">
        <f t="shared" ca="1" si="52"/>
        <v>888</v>
      </c>
      <c r="I655">
        <f t="shared" ca="1" si="53"/>
        <v>2272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54"/>
        <v>8600</v>
      </c>
      <c r="E656">
        <f t="shared" ca="1" si="50"/>
        <v>10</v>
      </c>
      <c r="F656">
        <f t="shared" ca="1" si="51"/>
        <v>770</v>
      </c>
      <c r="G656" s="3" t="b">
        <f>COUNTIF(dict_zul_Var_Meth[ID_Methods], table_Methods[[#This Row],[ID]]) &gt; 0</f>
        <v>1</v>
      </c>
      <c r="H656">
        <f t="shared" ca="1" si="52"/>
        <v>2481</v>
      </c>
      <c r="I656">
        <f t="shared" ca="1" si="53"/>
        <v>768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54"/>
        <v>98</v>
      </c>
      <c r="E657">
        <f t="shared" ca="1" si="50"/>
        <v>-10</v>
      </c>
      <c r="F657">
        <f t="shared" ca="1" si="51"/>
        <v>540</v>
      </c>
      <c r="G657" s="3" t="b">
        <f>COUNTIF(dict_zul_Var_Meth[ID_Methods], table_Methods[[#This Row],[ID]]) &gt; 0</f>
        <v>1</v>
      </c>
      <c r="H657">
        <f t="shared" ca="1" si="52"/>
        <v>8559</v>
      </c>
      <c r="I657">
        <f t="shared" ca="1" si="53"/>
        <v>27648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54"/>
        <v>96.000000000000014</v>
      </c>
      <c r="E658">
        <f t="shared" ca="1" si="50"/>
        <v>-50</v>
      </c>
      <c r="F658">
        <f t="shared" ca="1" si="51"/>
        <v>50</v>
      </c>
      <c r="G658" s="3" t="b">
        <f>COUNTIF(dict_zul_Var_Meth[ID_Methods], table_Methods[[#This Row],[ID]]) &gt; 0</f>
        <v>1</v>
      </c>
      <c r="H658">
        <f t="shared" ca="1" si="52"/>
        <v>4069</v>
      </c>
      <c r="I658">
        <f t="shared" ca="1" si="53"/>
        <v>92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54"/>
        <v>6100</v>
      </c>
      <c r="E659">
        <f t="shared" ca="1" si="50"/>
        <v>30</v>
      </c>
      <c r="F659">
        <f t="shared" ca="1" si="51"/>
        <v>520</v>
      </c>
      <c r="G659" s="3" t="b">
        <f>COUNTIF(dict_zul_Var_Meth[ID_Methods], table_Methods[[#This Row],[ID]]) &gt; 0</f>
        <v>1</v>
      </c>
      <c r="H659">
        <f t="shared" ca="1" si="52"/>
        <v>4656</v>
      </c>
      <c r="I659">
        <f t="shared" ca="1" si="53"/>
        <v>1024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54"/>
        <v>450</v>
      </c>
      <c r="E660">
        <f t="shared" ca="1" si="50"/>
        <v>-10</v>
      </c>
      <c r="F660">
        <f t="shared" ca="1" si="51"/>
        <v>180</v>
      </c>
      <c r="G660" s="3" t="b">
        <f>COUNTIF(dict_zul_Var_Meth[ID_Methods], table_Methods[[#This Row],[ID]]) &gt; 0</f>
        <v>1</v>
      </c>
      <c r="H660">
        <f t="shared" ca="1" si="52"/>
        <v>23900</v>
      </c>
      <c r="I660">
        <f t="shared" ca="1" si="53"/>
        <v>11136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54"/>
        <v>970</v>
      </c>
      <c r="E661">
        <f t="shared" ca="1" si="50"/>
        <v>-60</v>
      </c>
      <c r="F661">
        <f t="shared" ca="1" si="51"/>
        <v>380</v>
      </c>
      <c r="G661" s="3" t="b">
        <f>COUNTIF(dict_zul_Var_Meth[ID_Methods], table_Methods[[#This Row],[ID]]) &gt; 0</f>
        <v>1</v>
      </c>
      <c r="H661">
        <f t="shared" ca="1" si="52"/>
        <v>699</v>
      </c>
      <c r="I661">
        <f t="shared" ca="1" si="53"/>
        <v>512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54"/>
        <v>510</v>
      </c>
      <c r="E662">
        <f t="shared" ca="1" si="50"/>
        <v>-20</v>
      </c>
      <c r="F662">
        <f t="shared" ca="1" si="51"/>
        <v>760</v>
      </c>
      <c r="G662" s="3" t="b">
        <f>COUNTIF(dict_zul_Var_Meth[ID_Methods], table_Methods[[#This Row],[ID]]) &gt; 0</f>
        <v>1</v>
      </c>
      <c r="H662">
        <f t="shared" ca="1" si="52"/>
        <v>22044</v>
      </c>
      <c r="I662">
        <f t="shared" ca="1" si="53"/>
        <v>19968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54"/>
        <v>81</v>
      </c>
      <c r="E663">
        <f t="shared" ca="1" si="50"/>
        <v>20</v>
      </c>
      <c r="F663">
        <f t="shared" ca="1" si="51"/>
        <v>50</v>
      </c>
      <c r="G663" s="3" t="b">
        <f>COUNTIF(dict_zul_Var_Meth[ID_Methods], table_Methods[[#This Row],[ID]]) &gt; 0</f>
        <v>1</v>
      </c>
      <c r="H663">
        <f t="shared" ca="1" si="52"/>
        <v>14355</v>
      </c>
      <c r="I663">
        <f t="shared" ca="1" si="53"/>
        <v>3840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54"/>
        <v>800</v>
      </c>
      <c r="E664">
        <f t="shared" ca="1" si="50"/>
        <v>-60</v>
      </c>
      <c r="F664">
        <f t="shared" ca="1" si="51"/>
        <v>490</v>
      </c>
      <c r="G664" s="3" t="b">
        <f>COUNTIF(dict_zul_Var_Meth[ID_Methods], table_Methods[[#This Row],[ID]]) &gt; 0</f>
        <v>1</v>
      </c>
      <c r="H664">
        <f t="shared" ca="1" si="52"/>
        <v>14367</v>
      </c>
      <c r="I664">
        <f t="shared" ca="1" si="53"/>
        <v>324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54"/>
        <v>5900</v>
      </c>
      <c r="E665">
        <f t="shared" ca="1" si="50"/>
        <v>-70</v>
      </c>
      <c r="F665">
        <f t="shared" ca="1" si="51"/>
        <v>580</v>
      </c>
      <c r="G665" s="3" t="b">
        <f>COUNTIF(dict_zul_Var_Meth[ID_Methods], table_Methods[[#This Row],[ID]]) &gt; 0</f>
        <v>1</v>
      </c>
      <c r="H665">
        <f t="shared" ca="1" si="52"/>
        <v>1818</v>
      </c>
      <c r="I665">
        <f t="shared" ca="1" si="53"/>
        <v>448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54"/>
        <v>800</v>
      </c>
      <c r="E666">
        <f t="shared" ca="1" si="50"/>
        <v>-20</v>
      </c>
      <c r="F666">
        <f t="shared" ca="1" si="51"/>
        <v>80</v>
      </c>
      <c r="G666" s="3" t="b">
        <f>COUNTIF(dict_zul_Var_Meth[ID_Methods], table_Methods[[#This Row],[ID]]) &gt; 0</f>
        <v>1</v>
      </c>
      <c r="H666">
        <f t="shared" ca="1" si="52"/>
        <v>36952</v>
      </c>
      <c r="I666">
        <f t="shared" ca="1" si="53"/>
        <v>23040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54"/>
        <v>360</v>
      </c>
      <c r="E667">
        <f t="shared" ca="1" si="50"/>
        <v>-10</v>
      </c>
      <c r="F667">
        <f t="shared" ca="1" si="51"/>
        <v>50</v>
      </c>
      <c r="G667" s="3" t="b">
        <f>COUNTIF(dict_zul_Var_Meth[ID_Methods], table_Methods[[#This Row],[ID]]) &gt; 0</f>
        <v>1</v>
      </c>
      <c r="H667">
        <f t="shared" ca="1" si="52"/>
        <v>2568</v>
      </c>
      <c r="I667">
        <f t="shared" ca="1" si="53"/>
        <v>28672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54"/>
        <v>74</v>
      </c>
      <c r="E668">
        <f t="shared" ca="1" si="50"/>
        <v>-30</v>
      </c>
      <c r="F668">
        <f t="shared" ca="1" si="51"/>
        <v>550</v>
      </c>
      <c r="G668" s="3" t="b">
        <f>COUNTIF(dict_zul_Var_Meth[ID_Methods], table_Methods[[#This Row],[ID]]) &gt; 0</f>
        <v>1</v>
      </c>
      <c r="H668">
        <f t="shared" ca="1" si="52"/>
        <v>7534</v>
      </c>
      <c r="I668">
        <f t="shared" ca="1" si="53"/>
        <v>104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54"/>
        <v>7800</v>
      </c>
      <c r="E669">
        <f t="shared" ca="1" si="50"/>
        <v>30</v>
      </c>
      <c r="F669">
        <f t="shared" ca="1" si="51"/>
        <v>690</v>
      </c>
      <c r="G669" s="3" t="b">
        <f>COUNTIF(dict_zul_Var_Meth[ID_Methods], table_Methods[[#This Row],[ID]]) &gt; 0</f>
        <v>1</v>
      </c>
      <c r="H669">
        <f t="shared" ca="1" si="52"/>
        <v>6760</v>
      </c>
      <c r="I669">
        <f t="shared" ca="1" si="53"/>
        <v>5504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54"/>
        <v>120</v>
      </c>
      <c r="E670">
        <f t="shared" ca="1" si="50"/>
        <v>-90</v>
      </c>
      <c r="F670">
        <f t="shared" ca="1" si="51"/>
        <v>190</v>
      </c>
      <c r="G670" s="3" t="b">
        <f>COUNTIF(dict_zul_Var_Meth[ID_Methods], table_Methods[[#This Row],[ID]]) &gt; 0</f>
        <v>1</v>
      </c>
      <c r="H670">
        <f t="shared" ca="1" si="52"/>
        <v>10812</v>
      </c>
      <c r="I670">
        <f t="shared" ca="1" si="53"/>
        <v>62464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54"/>
        <v>170</v>
      </c>
      <c r="E671">
        <f t="shared" ca="1" si="50"/>
        <v>-90</v>
      </c>
      <c r="F671">
        <f t="shared" ca="1" si="51"/>
        <v>310</v>
      </c>
      <c r="G671" s="3" t="b">
        <f>COUNTIF(dict_zul_Var_Meth[ID_Methods], table_Methods[[#This Row],[ID]]) &gt; 0</f>
        <v>1</v>
      </c>
      <c r="H671">
        <f t="shared" ca="1" si="52"/>
        <v>3375</v>
      </c>
      <c r="I671">
        <f t="shared" ca="1" si="53"/>
        <v>160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54"/>
        <v>8</v>
      </c>
      <c r="E672">
        <f t="shared" ca="1" si="50"/>
        <v>-100</v>
      </c>
      <c r="F672">
        <f t="shared" ca="1" si="51"/>
        <v>620</v>
      </c>
      <c r="G672" s="3" t="b">
        <f>COUNTIF(dict_zul_Var_Meth[ID_Methods], table_Methods[[#This Row],[ID]]) &gt; 0</f>
        <v>1</v>
      </c>
      <c r="H672">
        <f t="shared" ca="1" si="52"/>
        <v>39128</v>
      </c>
      <c r="I672">
        <f t="shared" ca="1" si="53"/>
        <v>128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54"/>
        <v>4700</v>
      </c>
      <c r="E673">
        <f t="shared" ca="1" si="50"/>
        <v>20</v>
      </c>
      <c r="F673">
        <f t="shared" ca="1" si="51"/>
        <v>930</v>
      </c>
      <c r="G673" s="3" t="b">
        <f>COUNTIF(dict_zul_Var_Meth[ID_Methods], table_Methods[[#This Row],[ID]]) &gt; 0</f>
        <v>1</v>
      </c>
      <c r="H673">
        <f t="shared" ca="1" si="52"/>
        <v>14798</v>
      </c>
      <c r="I673">
        <f t="shared" ca="1" si="53"/>
        <v>122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54"/>
        <v>1500</v>
      </c>
      <c r="E674">
        <f t="shared" ca="1" si="50"/>
        <v>-80</v>
      </c>
      <c r="F674">
        <f t="shared" ca="1" si="51"/>
        <v>70</v>
      </c>
      <c r="G674" s="3" t="b">
        <f>COUNTIF(dict_zul_Var_Meth[ID_Methods], table_Methods[[#This Row],[ID]]) &gt; 0</f>
        <v>1</v>
      </c>
      <c r="H674">
        <f t="shared" ca="1" si="52"/>
        <v>7460</v>
      </c>
      <c r="I674">
        <f t="shared" ca="1" si="53"/>
        <v>352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54"/>
        <v>310</v>
      </c>
      <c r="E675">
        <f t="shared" ca="1" si="50"/>
        <v>0</v>
      </c>
      <c r="F675">
        <f t="shared" ca="1" si="51"/>
        <v>160</v>
      </c>
      <c r="G675" s="3" t="b">
        <f>COUNTIF(dict_zul_Var_Meth[ID_Methods], table_Methods[[#This Row],[ID]]) &gt; 0</f>
        <v>1</v>
      </c>
      <c r="H675">
        <f t="shared" ca="1" si="52"/>
        <v>3971</v>
      </c>
      <c r="I675">
        <f t="shared" ca="1" si="53"/>
        <v>224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54"/>
        <v>350</v>
      </c>
      <c r="E676">
        <f t="shared" ref="E676:E702" ca="1" si="55">RANDBETWEEN(-10,3)*10</f>
        <v>-50</v>
      </c>
      <c r="F676">
        <f t="shared" ref="F676:F702" ca="1" si="56">RANDBETWEEN(2,100)*10</f>
        <v>980</v>
      </c>
      <c r="G676" s="3" t="b">
        <f>COUNTIF(dict_zul_Var_Meth[ID_Methods], table_Methods[[#This Row],[ID]]) &gt; 0</f>
        <v>1</v>
      </c>
      <c r="H676">
        <f t="shared" ref="H676:H702" ca="1" si="57">RANDBETWEEN(1,10)*RANDBETWEEN(1,5000)</f>
        <v>29981</v>
      </c>
      <c r="I676">
        <f t="shared" ref="I676:I702" ca="1" si="58">2^RANDBETWEEN(1,10)*RANDBETWEEN(1,100)</f>
        <v>38400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54"/>
        <v>9000</v>
      </c>
      <c r="E677">
        <f t="shared" ca="1" si="55"/>
        <v>-70</v>
      </c>
      <c r="F677">
        <f t="shared" ca="1" si="56"/>
        <v>720</v>
      </c>
      <c r="G677" s="3" t="b">
        <f>COUNTIF(dict_zul_Var_Meth[ID_Methods], table_Methods[[#This Row],[ID]]) &gt; 0</f>
        <v>1</v>
      </c>
      <c r="H677">
        <f t="shared" ca="1" si="57"/>
        <v>5178</v>
      </c>
      <c r="I677">
        <f t="shared" ca="1" si="58"/>
        <v>6144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54"/>
        <v>7600</v>
      </c>
      <c r="E678">
        <f t="shared" ca="1" si="55"/>
        <v>-90</v>
      </c>
      <c r="F678">
        <f t="shared" ca="1" si="56"/>
        <v>290</v>
      </c>
      <c r="G678" s="3" t="b">
        <f>COUNTIF(dict_zul_Var_Meth[ID_Methods], table_Methods[[#This Row],[ID]]) &gt; 0</f>
        <v>1</v>
      </c>
      <c r="H678">
        <f t="shared" ca="1" si="57"/>
        <v>25304</v>
      </c>
      <c r="I678">
        <f t="shared" ca="1" si="58"/>
        <v>44032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54"/>
        <v>1100</v>
      </c>
      <c r="E679">
        <f t="shared" ca="1" si="55"/>
        <v>0</v>
      </c>
      <c r="F679">
        <f t="shared" ca="1" si="56"/>
        <v>310</v>
      </c>
      <c r="G679" s="3" t="b">
        <f>COUNTIF(dict_zul_Var_Meth[ID_Methods], table_Methods[[#This Row],[ID]]) &gt; 0</f>
        <v>1</v>
      </c>
      <c r="H679">
        <f t="shared" ca="1" si="57"/>
        <v>6938</v>
      </c>
      <c r="I679">
        <f t="shared" ca="1" si="58"/>
        <v>336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54"/>
        <v>7.0000000000000009</v>
      </c>
      <c r="E680">
        <f t="shared" ca="1" si="55"/>
        <v>20</v>
      </c>
      <c r="F680">
        <f t="shared" ca="1" si="56"/>
        <v>260</v>
      </c>
      <c r="G680" s="3" t="b">
        <f>COUNTIF(dict_zul_Var_Meth[ID_Methods], table_Methods[[#This Row],[ID]]) &gt; 0</f>
        <v>1</v>
      </c>
      <c r="H680">
        <f t="shared" ca="1" si="57"/>
        <v>6226</v>
      </c>
      <c r="I680">
        <f t="shared" ca="1" si="58"/>
        <v>160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54"/>
        <v>370</v>
      </c>
      <c r="E681">
        <f t="shared" ca="1" si="55"/>
        <v>-90</v>
      </c>
      <c r="F681">
        <f t="shared" ca="1" si="56"/>
        <v>440</v>
      </c>
      <c r="G681" s="3" t="b">
        <f>COUNTIF(dict_zul_Var_Meth[ID_Methods], table_Methods[[#This Row],[ID]]) &gt; 0</f>
        <v>1</v>
      </c>
      <c r="H681">
        <f t="shared" ca="1" si="57"/>
        <v>19208</v>
      </c>
      <c r="I681">
        <f t="shared" ca="1" si="58"/>
        <v>1952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54"/>
        <v>2000</v>
      </c>
      <c r="E682">
        <f t="shared" ca="1" si="55"/>
        <v>-80</v>
      </c>
      <c r="F682">
        <f t="shared" ca="1" si="56"/>
        <v>860</v>
      </c>
      <c r="G682" s="3" t="b">
        <f>COUNTIF(dict_zul_Var_Meth[ID_Methods], table_Methods[[#This Row],[ID]]) &gt; 0</f>
        <v>1</v>
      </c>
      <c r="H682">
        <f t="shared" ca="1" si="57"/>
        <v>15630</v>
      </c>
      <c r="I682">
        <f t="shared" ca="1" si="58"/>
        <v>25088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54"/>
        <v>190</v>
      </c>
      <c r="E683">
        <f t="shared" ca="1" si="55"/>
        <v>-100</v>
      </c>
      <c r="F683">
        <f t="shared" ca="1" si="56"/>
        <v>750</v>
      </c>
      <c r="G683" s="3" t="b">
        <f>COUNTIF(dict_zul_Var_Meth[ID_Methods], table_Methods[[#This Row],[ID]]) &gt; 0</f>
        <v>1</v>
      </c>
      <c r="H683">
        <f t="shared" ca="1" si="57"/>
        <v>308</v>
      </c>
      <c r="I683">
        <f t="shared" ca="1" si="58"/>
        <v>424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54"/>
        <v>6300</v>
      </c>
      <c r="E684">
        <f t="shared" ca="1" si="55"/>
        <v>-80</v>
      </c>
      <c r="F684">
        <f t="shared" ca="1" si="56"/>
        <v>870</v>
      </c>
      <c r="G684" s="3" t="b">
        <f>COUNTIF(dict_zul_Var_Meth[ID_Methods], table_Methods[[#This Row],[ID]]) &gt; 0</f>
        <v>1</v>
      </c>
      <c r="H684">
        <f t="shared" ca="1" si="57"/>
        <v>740</v>
      </c>
      <c r="I684">
        <f t="shared" ca="1" si="58"/>
        <v>13056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54"/>
        <v>290</v>
      </c>
      <c r="E685">
        <f t="shared" ca="1" si="55"/>
        <v>-80</v>
      </c>
      <c r="F685">
        <f t="shared" ca="1" si="56"/>
        <v>30</v>
      </c>
      <c r="G685" s="3" t="b">
        <f>COUNTIF(dict_zul_Var_Meth[ID_Methods], table_Methods[[#This Row],[ID]]) &gt; 0</f>
        <v>1</v>
      </c>
      <c r="H685">
        <f t="shared" ca="1" si="57"/>
        <v>20058</v>
      </c>
      <c r="I685">
        <f t="shared" ca="1" si="58"/>
        <v>1152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54"/>
        <v>2800</v>
      </c>
      <c r="E686">
        <f t="shared" ca="1" si="55"/>
        <v>20</v>
      </c>
      <c r="F686">
        <f t="shared" ca="1" si="56"/>
        <v>610</v>
      </c>
      <c r="G686" s="3" t="b">
        <f>COUNTIF(dict_zul_Var_Meth[ID_Methods], table_Methods[[#This Row],[ID]]) &gt; 0</f>
        <v>1</v>
      </c>
      <c r="H686">
        <f t="shared" ca="1" si="57"/>
        <v>36400</v>
      </c>
      <c r="I686">
        <f t="shared" ca="1" si="58"/>
        <v>27648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54"/>
        <v>2100</v>
      </c>
      <c r="E687">
        <f t="shared" ca="1" si="55"/>
        <v>-40</v>
      </c>
      <c r="F687">
        <f t="shared" ca="1" si="56"/>
        <v>280</v>
      </c>
      <c r="G687" s="3" t="b">
        <f>COUNTIF(dict_zul_Var_Meth[ID_Methods], table_Methods[[#This Row],[ID]]) &gt; 0</f>
        <v>1</v>
      </c>
      <c r="H687">
        <f t="shared" ca="1" si="57"/>
        <v>12580</v>
      </c>
      <c r="I687">
        <f t="shared" ca="1" si="58"/>
        <v>10496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54"/>
        <v>99</v>
      </c>
      <c r="E688">
        <f t="shared" ca="1" si="55"/>
        <v>0</v>
      </c>
      <c r="F688">
        <f t="shared" ca="1" si="56"/>
        <v>530</v>
      </c>
      <c r="G688" s="3" t="b">
        <f>COUNTIF(dict_zul_Var_Meth[ID_Methods], table_Methods[[#This Row],[ID]]) &gt; 0</f>
        <v>1</v>
      </c>
      <c r="H688">
        <f t="shared" ca="1" si="57"/>
        <v>8040</v>
      </c>
      <c r="I688">
        <f t="shared" ca="1" si="58"/>
        <v>1472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54"/>
        <v>18</v>
      </c>
      <c r="E689">
        <f t="shared" ca="1" si="55"/>
        <v>30</v>
      </c>
      <c r="F689">
        <f t="shared" ca="1" si="56"/>
        <v>630</v>
      </c>
      <c r="G689" s="3" t="b">
        <f>COUNTIF(dict_zul_Var_Meth[ID_Methods], table_Methods[[#This Row],[ID]]) &gt; 0</f>
        <v>1</v>
      </c>
      <c r="H689">
        <f t="shared" ca="1" si="57"/>
        <v>14370</v>
      </c>
      <c r="I689">
        <f t="shared" ca="1" si="58"/>
        <v>784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54"/>
        <v>5100</v>
      </c>
      <c r="E690">
        <f t="shared" ca="1" si="55"/>
        <v>-60</v>
      </c>
      <c r="F690">
        <f t="shared" ca="1" si="56"/>
        <v>950</v>
      </c>
      <c r="G690" s="3" t="b">
        <f>COUNTIF(dict_zul_Var_Meth[ID_Methods], table_Methods[[#This Row],[ID]]) &gt; 0</f>
        <v>1</v>
      </c>
      <c r="H690">
        <f t="shared" ca="1" si="57"/>
        <v>11070</v>
      </c>
      <c r="I690">
        <f t="shared" ca="1" si="58"/>
        <v>192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54"/>
        <v>2400</v>
      </c>
      <c r="E691">
        <f t="shared" ca="1" si="55"/>
        <v>-80</v>
      </c>
      <c r="F691">
        <f t="shared" ca="1" si="56"/>
        <v>750</v>
      </c>
      <c r="G691" s="3" t="b">
        <f>COUNTIF(dict_zul_Var_Meth[ID_Methods], table_Methods[[#This Row],[ID]]) &gt; 0</f>
        <v>1</v>
      </c>
      <c r="H691">
        <f t="shared" ca="1" si="57"/>
        <v>23740</v>
      </c>
      <c r="I691">
        <f t="shared" ca="1" si="58"/>
        <v>5376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54"/>
        <v>5100</v>
      </c>
      <c r="E692">
        <f t="shared" ca="1" si="55"/>
        <v>20</v>
      </c>
      <c r="F692">
        <f t="shared" ca="1" si="56"/>
        <v>770</v>
      </c>
      <c r="G692" s="3" t="b">
        <f>COUNTIF(dict_zul_Var_Meth[ID_Methods], table_Methods[[#This Row],[ID]]) &gt; 0</f>
        <v>1</v>
      </c>
      <c r="H692">
        <f t="shared" ca="1" si="57"/>
        <v>990</v>
      </c>
      <c r="I692">
        <f t="shared" ca="1" si="58"/>
        <v>116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54"/>
        <v>170</v>
      </c>
      <c r="E693">
        <f t="shared" ca="1" si="55"/>
        <v>30</v>
      </c>
      <c r="F693">
        <f t="shared" ca="1" si="56"/>
        <v>320</v>
      </c>
      <c r="G693" s="3" t="b">
        <f>COUNTIF(dict_zul_Var_Meth[ID_Methods], table_Methods[[#This Row],[ID]]) &gt; 0</f>
        <v>1</v>
      </c>
      <c r="H693">
        <f t="shared" ca="1" si="57"/>
        <v>5826</v>
      </c>
      <c r="I693">
        <f t="shared" ca="1" si="58"/>
        <v>6272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54"/>
        <v>920</v>
      </c>
      <c r="E694">
        <f t="shared" ca="1" si="55"/>
        <v>-90</v>
      </c>
      <c r="F694">
        <f t="shared" ca="1" si="56"/>
        <v>200</v>
      </c>
      <c r="G694" s="3" t="b">
        <f>COUNTIF(dict_zul_Var_Meth[ID_Methods], table_Methods[[#This Row],[ID]]) &gt; 0</f>
        <v>1</v>
      </c>
      <c r="H694">
        <f t="shared" ca="1" si="57"/>
        <v>23121</v>
      </c>
      <c r="I694">
        <f t="shared" ca="1" si="58"/>
        <v>2720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54"/>
        <v>31</v>
      </c>
      <c r="E695">
        <f t="shared" ca="1" si="55"/>
        <v>-30</v>
      </c>
      <c r="F695">
        <f t="shared" ca="1" si="56"/>
        <v>220</v>
      </c>
      <c r="G695" s="3" t="b">
        <f>COUNTIF(dict_zul_Var_Meth[ID_Methods], table_Methods[[#This Row],[ID]]) &gt; 0</f>
        <v>1</v>
      </c>
      <c r="H695">
        <f t="shared" ca="1" si="57"/>
        <v>15792</v>
      </c>
      <c r="I695">
        <f t="shared" ca="1" si="58"/>
        <v>316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54"/>
        <v>6800</v>
      </c>
      <c r="E696">
        <f t="shared" ca="1" si="55"/>
        <v>0</v>
      </c>
      <c r="F696">
        <f t="shared" ca="1" si="56"/>
        <v>510</v>
      </c>
      <c r="G696" s="3" t="b">
        <f>COUNTIF(dict_zul_Var_Meth[ID_Methods], table_Methods[[#This Row],[ID]]) &gt; 0</f>
        <v>1</v>
      </c>
      <c r="H696">
        <f t="shared" ca="1" si="57"/>
        <v>18462</v>
      </c>
      <c r="I696">
        <f t="shared" ca="1" si="58"/>
        <v>1088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54"/>
        <v>600</v>
      </c>
      <c r="E697">
        <f t="shared" ca="1" si="55"/>
        <v>-10</v>
      </c>
      <c r="F697">
        <f t="shared" ca="1" si="56"/>
        <v>790</v>
      </c>
      <c r="G697" s="3" t="b">
        <f>COUNTIF(dict_zul_Var_Meth[ID_Methods], table_Methods[[#This Row],[ID]]) &gt; 0</f>
        <v>1</v>
      </c>
      <c r="H697">
        <f t="shared" ca="1" si="57"/>
        <v>10212</v>
      </c>
      <c r="I697">
        <f t="shared" ca="1" si="58"/>
        <v>39936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54"/>
        <v>950</v>
      </c>
      <c r="E698">
        <f t="shared" ca="1" si="55"/>
        <v>-80</v>
      </c>
      <c r="F698">
        <f t="shared" ca="1" si="56"/>
        <v>80</v>
      </c>
      <c r="G698" s="3" t="b">
        <f>COUNTIF(dict_zul_Var_Meth[ID_Methods], table_Methods[[#This Row],[ID]]) &gt; 0</f>
        <v>1</v>
      </c>
      <c r="H698">
        <f t="shared" ca="1" si="57"/>
        <v>7524</v>
      </c>
      <c r="I698">
        <f t="shared" ca="1" si="58"/>
        <v>97280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54"/>
        <v>370</v>
      </c>
      <c r="E699">
        <f t="shared" ca="1" si="55"/>
        <v>-50</v>
      </c>
      <c r="F699">
        <f t="shared" ca="1" si="56"/>
        <v>100</v>
      </c>
      <c r="G699" s="3" t="b">
        <f>COUNTIF(dict_zul_Var_Meth[ID_Methods], table_Methods[[#This Row],[ID]]) &gt; 0</f>
        <v>1</v>
      </c>
      <c r="H699">
        <f t="shared" ca="1" si="57"/>
        <v>10115</v>
      </c>
      <c r="I699">
        <f t="shared" ca="1" si="58"/>
        <v>328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54"/>
        <v>3600</v>
      </c>
      <c r="E700">
        <f t="shared" ca="1" si="55"/>
        <v>-80</v>
      </c>
      <c r="F700">
        <f t="shared" ca="1" si="56"/>
        <v>450</v>
      </c>
      <c r="G700" s="3" t="b">
        <f>COUNTIF(dict_zul_Var_Meth[ID_Methods], table_Methods[[#This Row],[ID]]) &gt; 0</f>
        <v>1</v>
      </c>
      <c r="H700">
        <f t="shared" ca="1" si="57"/>
        <v>4270</v>
      </c>
      <c r="I700">
        <f t="shared" ca="1" si="58"/>
        <v>11264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54"/>
        <v>250</v>
      </c>
      <c r="E701">
        <f t="shared" ca="1" si="55"/>
        <v>-10</v>
      </c>
      <c r="F701">
        <f t="shared" ca="1" si="56"/>
        <v>950</v>
      </c>
      <c r="G701" s="3" t="b">
        <f>COUNTIF(dict_zul_Var_Meth[ID_Methods], table_Methods[[#This Row],[ID]]) &gt; 0</f>
        <v>1</v>
      </c>
      <c r="H701">
        <f t="shared" ca="1" si="57"/>
        <v>4612</v>
      </c>
      <c r="I701">
        <f t="shared" ca="1" si="58"/>
        <v>19456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54"/>
        <v>450</v>
      </c>
      <c r="E702">
        <f t="shared" ca="1" si="55"/>
        <v>20</v>
      </c>
      <c r="F702">
        <f t="shared" ca="1" si="56"/>
        <v>20</v>
      </c>
      <c r="G702" s="3" t="b">
        <f>COUNTIF(dict_zul_Var_Meth[ID_Methods], table_Methods[[#This Row],[ID]]) &gt; 0</f>
        <v>1</v>
      </c>
      <c r="H702">
        <f t="shared" ca="1" si="57"/>
        <v>40365</v>
      </c>
      <c r="I702">
        <f t="shared" ca="1" si="58"/>
        <v>192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2"/>
  <sheetViews>
    <sheetView workbookViewId="0">
      <selection activeCell="F28" sqref="F28"/>
    </sheetView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6.86328125" bestFit="1" customWidth="1"/>
    <col min="4" max="4" width="18.1328125" bestFit="1" customWidth="1"/>
  </cols>
  <sheetData>
    <row r="1" spans="1:4" x14ac:dyDescent="0.45">
      <c r="A1" t="s">
        <v>0</v>
      </c>
      <c r="B1" t="s">
        <v>1</v>
      </c>
      <c r="C1" t="s">
        <v>91</v>
      </c>
      <c r="D1" s="2" t="s">
        <v>92</v>
      </c>
    </row>
    <row r="2" spans="1:4" x14ac:dyDescent="0.45">
      <c r="A2">
        <v>0</v>
      </c>
      <c r="B2" t="str">
        <f>CONCATENATE("Person ",table_Persons[[#This Row],[ID]])</f>
        <v>Person 0</v>
      </c>
      <c r="C2">
        <v>5</v>
      </c>
      <c r="D2">
        <f>600</f>
        <v>600</v>
      </c>
    </row>
    <row r="3" spans="1:4" x14ac:dyDescent="0.45">
      <c r="A3">
        <v>1</v>
      </c>
      <c r="B3" t="s">
        <v>11</v>
      </c>
      <c r="C3">
        <v>10</v>
      </c>
      <c r="D3">
        <v>480</v>
      </c>
    </row>
    <row r="4" spans="1:4" x14ac:dyDescent="0.45">
      <c r="A4">
        <v>2</v>
      </c>
      <c r="B4" t="s">
        <v>98</v>
      </c>
      <c r="C4">
        <v>15</v>
      </c>
      <c r="D4">
        <v>400</v>
      </c>
    </row>
    <row r="5" spans="1:4" x14ac:dyDescent="0.45">
      <c r="A5">
        <v>3</v>
      </c>
      <c r="B5" t="s">
        <v>99</v>
      </c>
      <c r="C5">
        <v>20</v>
      </c>
      <c r="D5">
        <v>400</v>
      </c>
    </row>
    <row r="6" spans="1:4" x14ac:dyDescent="0.45">
      <c r="A6">
        <v>4</v>
      </c>
      <c r="B6" t="s">
        <v>100</v>
      </c>
      <c r="C6">
        <v>25</v>
      </c>
      <c r="D6">
        <v>300</v>
      </c>
    </row>
    <row r="7" spans="1:4" x14ac:dyDescent="0.45">
      <c r="A7">
        <v>5</v>
      </c>
      <c r="B7" t="s">
        <v>101</v>
      </c>
      <c r="C7">
        <v>30</v>
      </c>
      <c r="D7">
        <v>200</v>
      </c>
    </row>
    <row r="8" spans="1:4" x14ac:dyDescent="0.45">
      <c r="A8">
        <v>6</v>
      </c>
      <c r="B8" t="s">
        <v>102</v>
      </c>
      <c r="C8">
        <v>35</v>
      </c>
      <c r="D8">
        <v>120</v>
      </c>
    </row>
    <row r="9" spans="1:4" x14ac:dyDescent="0.45">
      <c r="A9">
        <v>7</v>
      </c>
      <c r="B9" t="s">
        <v>103</v>
      </c>
      <c r="C9">
        <v>40</v>
      </c>
      <c r="D9">
        <v>120</v>
      </c>
    </row>
    <row r="10" spans="1:4" x14ac:dyDescent="0.45">
      <c r="A10">
        <v>8</v>
      </c>
      <c r="B10" t="s">
        <v>104</v>
      </c>
      <c r="C10">
        <v>45</v>
      </c>
      <c r="D10">
        <v>60</v>
      </c>
    </row>
    <row r="11" spans="1:4" x14ac:dyDescent="0.45">
      <c r="A11">
        <v>9</v>
      </c>
      <c r="B11" t="s">
        <v>105</v>
      </c>
      <c r="C11">
        <v>50</v>
      </c>
      <c r="D11">
        <v>30</v>
      </c>
    </row>
    <row r="12" spans="1:4" x14ac:dyDescent="0.45">
      <c r="A12">
        <v>10</v>
      </c>
      <c r="B12" t="str">
        <f>CONCATENATE("Person ",table_Persons[[#This Row],[ID]])</f>
        <v>Person 10</v>
      </c>
      <c r="C12">
        <v>5</v>
      </c>
      <c r="D12">
        <f>600</f>
        <v>600</v>
      </c>
    </row>
    <row r="13" spans="1:4" x14ac:dyDescent="0.45">
      <c r="A13">
        <v>11</v>
      </c>
      <c r="B13" t="s">
        <v>354</v>
      </c>
      <c r="C13">
        <v>10</v>
      </c>
      <c r="D13">
        <v>480</v>
      </c>
    </row>
    <row r="14" spans="1:4" x14ac:dyDescent="0.45">
      <c r="A14">
        <v>12</v>
      </c>
      <c r="B14" t="s">
        <v>355</v>
      </c>
      <c r="C14">
        <v>15</v>
      </c>
      <c r="D14">
        <v>500</v>
      </c>
    </row>
    <row r="15" spans="1:4" x14ac:dyDescent="0.45">
      <c r="A15">
        <v>13</v>
      </c>
      <c r="B15" t="s">
        <v>356</v>
      </c>
      <c r="C15">
        <v>20</v>
      </c>
      <c r="D15">
        <v>400</v>
      </c>
    </row>
    <row r="16" spans="1:4" x14ac:dyDescent="0.45">
      <c r="A16">
        <v>14</v>
      </c>
      <c r="B16" t="s">
        <v>357</v>
      </c>
      <c r="C16">
        <v>25</v>
      </c>
      <c r="D16">
        <v>500</v>
      </c>
    </row>
    <row r="17" spans="1:4" x14ac:dyDescent="0.45">
      <c r="A17">
        <v>15</v>
      </c>
      <c r="B17" t="s">
        <v>358</v>
      </c>
      <c r="C17">
        <v>30</v>
      </c>
      <c r="D17">
        <v>200</v>
      </c>
    </row>
    <row r="18" spans="1:4" x14ac:dyDescent="0.45">
      <c r="A18">
        <v>16</v>
      </c>
      <c r="B18" t="s">
        <v>359</v>
      </c>
      <c r="C18">
        <v>35</v>
      </c>
      <c r="D18">
        <v>300</v>
      </c>
    </row>
    <row r="19" spans="1:4" x14ac:dyDescent="0.45">
      <c r="A19">
        <v>17</v>
      </c>
      <c r="B19" t="s">
        <v>360</v>
      </c>
      <c r="C19">
        <v>40</v>
      </c>
      <c r="D19">
        <v>480</v>
      </c>
    </row>
    <row r="20" spans="1:4" x14ac:dyDescent="0.45">
      <c r="A20">
        <v>18</v>
      </c>
      <c r="B20" t="s">
        <v>361</v>
      </c>
      <c r="C20">
        <v>45</v>
      </c>
      <c r="D20">
        <v>120</v>
      </c>
    </row>
    <row r="21" spans="1:4" x14ac:dyDescent="0.45">
      <c r="A21">
        <v>19</v>
      </c>
      <c r="B21" t="s">
        <v>362</v>
      </c>
      <c r="C21">
        <v>50</v>
      </c>
      <c r="D21">
        <v>800</v>
      </c>
    </row>
    <row r="22" spans="1:4" x14ac:dyDescent="0.45">
      <c r="A22">
        <v>20</v>
      </c>
      <c r="B22" t="str">
        <f>CONCATENATE("Person ",table_Persons[[#This Row],[ID]])</f>
        <v>Person 20</v>
      </c>
      <c r="C22">
        <v>5</v>
      </c>
      <c r="D22">
        <f>600</f>
        <v>600</v>
      </c>
    </row>
    <row r="23" spans="1:4" x14ac:dyDescent="0.45">
      <c r="A23">
        <v>21</v>
      </c>
      <c r="B23" t="s">
        <v>363</v>
      </c>
      <c r="C23">
        <v>10</v>
      </c>
      <c r="D23">
        <v>480</v>
      </c>
    </row>
    <row r="24" spans="1:4" x14ac:dyDescent="0.45">
      <c r="A24">
        <v>22</v>
      </c>
      <c r="B24" t="s">
        <v>364</v>
      </c>
      <c r="C24">
        <v>15</v>
      </c>
      <c r="D24">
        <v>400</v>
      </c>
    </row>
    <row r="25" spans="1:4" x14ac:dyDescent="0.45">
      <c r="A25">
        <v>23</v>
      </c>
      <c r="B25" t="s">
        <v>365</v>
      </c>
      <c r="C25">
        <v>20</v>
      </c>
      <c r="D25">
        <v>400</v>
      </c>
    </row>
    <row r="26" spans="1:4" x14ac:dyDescent="0.45">
      <c r="A26">
        <v>24</v>
      </c>
      <c r="B26" t="s">
        <v>366</v>
      </c>
      <c r="C26">
        <v>25</v>
      </c>
      <c r="D26">
        <v>300</v>
      </c>
    </row>
    <row r="27" spans="1:4" x14ac:dyDescent="0.45">
      <c r="A27">
        <v>25</v>
      </c>
      <c r="B27" t="s">
        <v>367</v>
      </c>
      <c r="C27">
        <v>30</v>
      </c>
      <c r="D27">
        <v>200</v>
      </c>
    </row>
    <row r="28" spans="1:4" x14ac:dyDescent="0.45">
      <c r="A28">
        <v>26</v>
      </c>
      <c r="B28" t="s">
        <v>368</v>
      </c>
      <c r="C28">
        <v>35</v>
      </c>
      <c r="D28">
        <v>300</v>
      </c>
    </row>
    <row r="29" spans="1:4" x14ac:dyDescent="0.45">
      <c r="A29">
        <v>27</v>
      </c>
      <c r="B29" t="s">
        <v>369</v>
      </c>
      <c r="C29">
        <v>40</v>
      </c>
      <c r="D29">
        <v>120</v>
      </c>
    </row>
    <row r="30" spans="1:4" x14ac:dyDescent="0.45">
      <c r="A30">
        <v>28</v>
      </c>
      <c r="B30" t="s">
        <v>370</v>
      </c>
      <c r="C30">
        <v>45</v>
      </c>
      <c r="D30">
        <v>600</v>
      </c>
    </row>
    <row r="31" spans="1:4" x14ac:dyDescent="0.45">
      <c r="A31">
        <v>29</v>
      </c>
      <c r="B31" t="s">
        <v>371</v>
      </c>
      <c r="C31">
        <v>50</v>
      </c>
      <c r="D31">
        <v>205</v>
      </c>
    </row>
    <row r="32" spans="1:4" x14ac:dyDescent="0.45">
      <c r="A32">
        <v>30</v>
      </c>
      <c r="B32" t="str">
        <f>CONCATENATE("Person ",table_Persons[[#This Row],[ID]])</f>
        <v>Person 30</v>
      </c>
      <c r="C32">
        <v>60</v>
      </c>
      <c r="D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2"/>
  <sheetViews>
    <sheetView topLeftCell="A184" workbookViewId="0">
      <selection activeCell="D3" sqref="D3"/>
    </sheetView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2.3984375" bestFit="1" customWidth="1"/>
    <col min="4" max="5" width="12.73046875" bestFit="1" customWidth="1"/>
  </cols>
  <sheetData>
    <row r="1" spans="1:5" x14ac:dyDescent="0.45">
      <c r="A1" t="s">
        <v>0</v>
      </c>
      <c r="B1" t="s">
        <v>3</v>
      </c>
      <c r="C1" t="s">
        <v>93</v>
      </c>
      <c r="D1" t="s">
        <v>94</v>
      </c>
      <c r="E1" s="1" t="s">
        <v>57</v>
      </c>
    </row>
    <row r="2" spans="1:5" x14ac:dyDescent="0.45">
      <c r="A2">
        <v>0</v>
      </c>
      <c r="B2" t="str">
        <f>CONCATENATE("Position ",table_Positions[[#This Row],[ID]])</f>
        <v>Position 0</v>
      </c>
      <c r="C2">
        <f t="shared" ref="C2:C65" ca="1" si="0">20+RANDBETWEEN(0,10)*RANDBETWEEN(0,10)-RANDBETWEEN(0,20)</f>
        <v>21</v>
      </c>
      <c r="D2">
        <f ca="1">table_Positions[[#This Row],[temp_lb]]+10+RANDBETWEEN(0,100)*RANDBETWEEN(0,10)-RANDBETWEEN(0,10)</f>
        <v>78</v>
      </c>
      <c r="E2" t="b">
        <f>COUNTIF(dict_zuord_Meth_Pos[ID_Positions], table_Positions[[#This Row],[ID]]) &gt; 0</f>
        <v>0</v>
      </c>
    </row>
    <row r="3" spans="1:5" x14ac:dyDescent="0.45">
      <c r="A3">
        <v>1</v>
      </c>
      <c r="B3" t="str">
        <f>CONCATENATE("Position ",table_Positions[[#This Row],[ID]])</f>
        <v>Position 1</v>
      </c>
      <c r="C3">
        <f t="shared" ca="1" si="0"/>
        <v>16</v>
      </c>
      <c r="D3">
        <f ca="1">table_Positions[[#This Row],[temp_lb]]+10+RANDBETWEEN(0,100)*RANDBETWEEN(0,10)-RANDBETWEEN(0,10)</f>
        <v>427</v>
      </c>
      <c r="E3" t="b">
        <f>COUNTIF(dict_zuord_Meth_Pos[ID_Positions], table_Positions[[#This Row],[ID]]) &gt; 0</f>
        <v>1</v>
      </c>
    </row>
    <row r="4" spans="1:5" x14ac:dyDescent="0.45">
      <c r="A4">
        <v>2</v>
      </c>
      <c r="B4" t="str">
        <f>CONCATENATE("Position ",table_Positions[[#This Row],[ID]])</f>
        <v>Position 2</v>
      </c>
      <c r="C4">
        <f t="shared" ca="1" si="0"/>
        <v>5</v>
      </c>
      <c r="D4">
        <f ca="1">table_Positions[[#This Row],[temp_lb]]+10+RANDBETWEEN(0,100)*RANDBETWEEN(0,10)-RANDBETWEEN(0,10)</f>
        <v>260</v>
      </c>
      <c r="E4" t="b">
        <f>COUNTIF(dict_zuord_Meth_Pos[ID_Positions], table_Positions[[#This Row],[ID]]) &gt; 0</f>
        <v>1</v>
      </c>
    </row>
    <row r="5" spans="1:5" x14ac:dyDescent="0.45">
      <c r="A5">
        <v>3</v>
      </c>
      <c r="B5" t="str">
        <f>CONCATENATE("Position ",table_Positions[[#This Row],[ID]])</f>
        <v>Position 3</v>
      </c>
      <c r="C5">
        <f t="shared" ca="1" si="0"/>
        <v>18</v>
      </c>
      <c r="D5">
        <f ca="1">table_Positions[[#This Row],[temp_lb]]+10+RANDBETWEEN(0,100)*RANDBETWEEN(0,10)-RANDBETWEEN(0,10)</f>
        <v>527</v>
      </c>
      <c r="E5" t="b">
        <f>COUNTIF(dict_zuord_Meth_Pos[ID_Positions], table_Positions[[#This Row],[ID]]) &gt; 0</f>
        <v>1</v>
      </c>
    </row>
    <row r="6" spans="1:5" x14ac:dyDescent="0.45">
      <c r="A6">
        <v>4</v>
      </c>
      <c r="B6" t="str">
        <f>CONCATENATE("Position ",table_Positions[[#This Row],[ID]])</f>
        <v>Position 4</v>
      </c>
      <c r="C6">
        <f t="shared" ca="1" si="0"/>
        <v>30</v>
      </c>
      <c r="D6">
        <f ca="1">table_Positions[[#This Row],[temp_lb]]+10+RANDBETWEEN(0,100)*RANDBETWEEN(0,10)-RANDBETWEEN(0,10)</f>
        <v>231</v>
      </c>
      <c r="E6" t="b">
        <f>COUNTIF(dict_zuord_Meth_Pos[ID_Positions], table_Positions[[#This Row],[ID]]) &gt; 0</f>
        <v>1</v>
      </c>
    </row>
    <row r="7" spans="1:5" x14ac:dyDescent="0.45">
      <c r="A7">
        <v>5</v>
      </c>
      <c r="B7" t="str">
        <f>CONCATENATE("Position ",table_Positions[[#This Row],[ID]])</f>
        <v>Position 5</v>
      </c>
      <c r="C7">
        <f t="shared" ca="1" si="0"/>
        <v>63</v>
      </c>
      <c r="D7">
        <f ca="1">table_Positions[[#This Row],[temp_lb]]+10+RANDBETWEEN(0,100)*RANDBETWEEN(0,10)-RANDBETWEEN(0,10)</f>
        <v>113</v>
      </c>
      <c r="E7" t="b">
        <f>COUNTIF(dict_zuord_Meth_Pos[ID_Positions], table_Positions[[#This Row],[ID]]) &gt; 0</f>
        <v>1</v>
      </c>
    </row>
    <row r="8" spans="1:5" x14ac:dyDescent="0.45">
      <c r="A8">
        <v>6</v>
      </c>
      <c r="B8" t="str">
        <f>CONCATENATE("Position ",table_Positions[[#This Row],[ID]])</f>
        <v>Position 6</v>
      </c>
      <c r="C8">
        <f t="shared" ca="1" si="0"/>
        <v>34</v>
      </c>
      <c r="D8">
        <f ca="1">table_Positions[[#This Row],[temp_lb]]+10+RANDBETWEEN(0,100)*RANDBETWEEN(0,10)-RANDBETWEEN(0,10)</f>
        <v>631</v>
      </c>
      <c r="E8" t="b">
        <f>COUNTIF(dict_zuord_Meth_Pos[ID_Positions], table_Positions[[#This Row],[ID]]) &gt; 0</f>
        <v>1</v>
      </c>
    </row>
    <row r="9" spans="1:5" x14ac:dyDescent="0.45">
      <c r="A9">
        <v>7</v>
      </c>
      <c r="B9" t="str">
        <f>CONCATENATE("Position ",table_Positions[[#This Row],[ID]])</f>
        <v>Position 7</v>
      </c>
      <c r="C9">
        <f t="shared" ca="1" si="0"/>
        <v>3</v>
      </c>
      <c r="D9">
        <f ca="1">table_Positions[[#This Row],[temp_lb]]+10+RANDBETWEEN(0,100)*RANDBETWEEN(0,10)-RANDBETWEEN(0,10)</f>
        <v>95</v>
      </c>
      <c r="E9" t="b">
        <f>COUNTIF(dict_zuord_Meth_Pos[ID_Positions], table_Positions[[#This Row],[ID]]) &gt; 0</f>
        <v>1</v>
      </c>
    </row>
    <row r="10" spans="1:5" x14ac:dyDescent="0.45">
      <c r="A10">
        <v>8</v>
      </c>
      <c r="B10" t="str">
        <f>CONCATENATE("Position ",table_Positions[[#This Row],[ID]])</f>
        <v>Position 8</v>
      </c>
      <c r="C10">
        <f t="shared" ca="1" si="0"/>
        <v>62</v>
      </c>
      <c r="D10">
        <f ca="1">table_Positions[[#This Row],[temp_lb]]+10+RANDBETWEEN(0,100)*RANDBETWEEN(0,10)-RANDBETWEEN(0,10)</f>
        <v>119</v>
      </c>
      <c r="E10" t="b">
        <f>COUNTIF(dict_zuord_Meth_Pos[ID_Positions], table_Positions[[#This Row],[ID]]) &gt; 0</f>
        <v>1</v>
      </c>
    </row>
    <row r="11" spans="1:5" x14ac:dyDescent="0.45">
      <c r="A11">
        <v>9</v>
      </c>
      <c r="B11" t="str">
        <f>CONCATENATE("Position ",table_Positions[[#This Row],[ID]])</f>
        <v>Position 9</v>
      </c>
      <c r="C11">
        <f t="shared" ca="1" si="0"/>
        <v>13</v>
      </c>
      <c r="D11">
        <f ca="1">table_Positions[[#This Row],[temp_lb]]+10+RANDBETWEEN(0,100)*RANDBETWEEN(0,10)-RANDBETWEEN(0,10)</f>
        <v>385</v>
      </c>
      <c r="E11" t="b">
        <f>COUNTIF(dict_zuord_Meth_Pos[ID_Positions], table_Positions[[#This Row],[ID]]) &gt; 0</f>
        <v>1</v>
      </c>
    </row>
    <row r="12" spans="1:5" x14ac:dyDescent="0.45">
      <c r="A12">
        <v>10</v>
      </c>
      <c r="B12" t="str">
        <f>CONCATENATE("Position ",table_Positions[[#This Row],[ID]])</f>
        <v>Position 10</v>
      </c>
      <c r="C12">
        <f t="shared" ca="1" si="0"/>
        <v>21</v>
      </c>
      <c r="D12">
        <f ca="1">table_Positions[[#This Row],[temp_lb]]+10+RANDBETWEEN(0,100)*RANDBETWEEN(0,10)-RANDBETWEEN(0,10)</f>
        <v>209</v>
      </c>
      <c r="E12" t="b">
        <f>COUNTIF(dict_zuord_Meth_Pos[ID_Positions], table_Positions[[#This Row],[ID]]) &gt; 0</f>
        <v>0</v>
      </c>
    </row>
    <row r="13" spans="1:5" x14ac:dyDescent="0.45">
      <c r="A13">
        <v>11</v>
      </c>
      <c r="B13" t="str">
        <f>CONCATENATE("Position ",table_Positions[[#This Row],[ID]])</f>
        <v>Position 11</v>
      </c>
      <c r="C13">
        <f t="shared" ca="1" si="0"/>
        <v>78</v>
      </c>
      <c r="D13">
        <f ca="1">table_Positions[[#This Row],[temp_lb]]+10+RANDBETWEEN(0,100)*RANDBETWEEN(0,10)-RANDBETWEEN(0,10)</f>
        <v>811</v>
      </c>
      <c r="E13" t="b">
        <f>COUNTIF(dict_zuord_Meth_Pos[ID_Positions], table_Positions[[#This Row],[ID]]) &gt; 0</f>
        <v>0</v>
      </c>
    </row>
    <row r="14" spans="1:5" x14ac:dyDescent="0.45">
      <c r="A14">
        <v>12</v>
      </c>
      <c r="B14" t="str">
        <f>CONCATENATE("Position ",table_Positions[[#This Row],[ID]])</f>
        <v>Position 12</v>
      </c>
      <c r="C14">
        <f t="shared" ca="1" si="0"/>
        <v>51</v>
      </c>
      <c r="D14">
        <f ca="1">table_Positions[[#This Row],[temp_lb]]+10+RANDBETWEEN(0,100)*RANDBETWEEN(0,10)-RANDBETWEEN(0,10)</f>
        <v>118</v>
      </c>
      <c r="E14" t="b">
        <f>COUNTIF(dict_zuord_Meth_Pos[ID_Positions], table_Positions[[#This Row],[ID]]) &gt; 0</f>
        <v>0</v>
      </c>
    </row>
    <row r="15" spans="1:5" x14ac:dyDescent="0.45">
      <c r="A15">
        <v>13</v>
      </c>
      <c r="B15" t="str">
        <f>CONCATENATE("Position ",table_Positions[[#This Row],[ID]])</f>
        <v>Position 13</v>
      </c>
      <c r="C15">
        <f t="shared" ca="1" si="0"/>
        <v>59</v>
      </c>
      <c r="D15">
        <f ca="1">table_Positions[[#This Row],[temp_lb]]+10+RANDBETWEEN(0,100)*RANDBETWEEN(0,10)-RANDBETWEEN(0,10)</f>
        <v>493</v>
      </c>
      <c r="E15" t="b">
        <f>COUNTIF(dict_zuord_Meth_Pos[ID_Positions], table_Positions[[#This Row],[ID]]) &gt; 0</f>
        <v>0</v>
      </c>
    </row>
    <row r="16" spans="1:5" x14ac:dyDescent="0.45">
      <c r="A16">
        <v>14</v>
      </c>
      <c r="B16" t="str">
        <f>CONCATENATE("Position ",table_Positions[[#This Row],[ID]])</f>
        <v>Position 14</v>
      </c>
      <c r="C16">
        <f t="shared" ca="1" si="0"/>
        <v>18</v>
      </c>
      <c r="D16">
        <f ca="1">table_Positions[[#This Row],[temp_lb]]+10+RANDBETWEEN(0,100)*RANDBETWEEN(0,10)-RANDBETWEEN(0,10)</f>
        <v>218</v>
      </c>
      <c r="E16" t="b">
        <f>COUNTIF(dict_zuord_Meth_Pos[ID_Positions], table_Positions[[#This Row],[ID]]) &gt; 0</f>
        <v>0</v>
      </c>
    </row>
    <row r="17" spans="1:5" x14ac:dyDescent="0.45">
      <c r="A17">
        <v>15</v>
      </c>
      <c r="B17" t="str">
        <f>CONCATENATE("Position ",table_Positions[[#This Row],[ID]])</f>
        <v>Position 15</v>
      </c>
      <c r="C17">
        <f t="shared" ca="1" si="0"/>
        <v>25</v>
      </c>
      <c r="D17">
        <f ca="1">table_Positions[[#This Row],[temp_lb]]+10+RANDBETWEEN(0,100)*RANDBETWEEN(0,10)-RANDBETWEEN(0,10)</f>
        <v>967</v>
      </c>
      <c r="E17" t="b">
        <f>COUNTIF(dict_zuord_Meth_Pos[ID_Positions], table_Positions[[#This Row],[ID]]) &gt; 0</f>
        <v>0</v>
      </c>
    </row>
    <row r="18" spans="1:5" x14ac:dyDescent="0.45">
      <c r="A18">
        <v>16</v>
      </c>
      <c r="B18" t="str">
        <f>CONCATENATE("Position ",table_Positions[[#This Row],[ID]])</f>
        <v>Position 16</v>
      </c>
      <c r="C18">
        <f t="shared" ca="1" si="0"/>
        <v>38</v>
      </c>
      <c r="D18">
        <f ca="1">table_Positions[[#This Row],[temp_lb]]+10+RANDBETWEEN(0,100)*RANDBETWEEN(0,10)-RANDBETWEEN(0,10)</f>
        <v>435</v>
      </c>
      <c r="E18" t="b">
        <f>COUNTIF(dict_zuord_Meth_Pos[ID_Positions], table_Positions[[#This Row],[ID]]) &gt; 0</f>
        <v>0</v>
      </c>
    </row>
    <row r="19" spans="1:5" x14ac:dyDescent="0.45">
      <c r="A19">
        <v>17</v>
      </c>
      <c r="B19" t="str">
        <f>CONCATENATE("Position ",table_Positions[[#This Row],[ID]])</f>
        <v>Position 17</v>
      </c>
      <c r="C19">
        <f t="shared" ca="1" si="0"/>
        <v>73</v>
      </c>
      <c r="D19">
        <f ca="1">table_Positions[[#This Row],[temp_lb]]+10+RANDBETWEEN(0,100)*RANDBETWEEN(0,10)-RANDBETWEEN(0,10)</f>
        <v>874</v>
      </c>
      <c r="E19" t="b">
        <f>COUNTIF(dict_zuord_Meth_Pos[ID_Positions], table_Positions[[#This Row],[ID]]) &gt; 0</f>
        <v>0</v>
      </c>
    </row>
    <row r="20" spans="1:5" x14ac:dyDescent="0.45">
      <c r="A20">
        <v>18</v>
      </c>
      <c r="B20" t="str">
        <f>CONCATENATE("Position ",table_Positions[[#This Row],[ID]])</f>
        <v>Position 18</v>
      </c>
      <c r="C20">
        <f t="shared" ca="1" si="0"/>
        <v>34</v>
      </c>
      <c r="D20">
        <f ca="1">table_Positions[[#This Row],[temp_lb]]+10+RANDBETWEEN(0,100)*RANDBETWEEN(0,10)-RANDBETWEEN(0,10)</f>
        <v>553</v>
      </c>
      <c r="E20" t="b">
        <f>COUNTIF(dict_zuord_Meth_Pos[ID_Positions], table_Positions[[#This Row],[ID]]) &gt; 0</f>
        <v>0</v>
      </c>
    </row>
    <row r="21" spans="1:5" x14ac:dyDescent="0.45">
      <c r="A21">
        <v>19</v>
      </c>
      <c r="B21" t="str">
        <f>CONCATENATE("Position ",table_Positions[[#This Row],[ID]])</f>
        <v>Position 19</v>
      </c>
      <c r="C21">
        <f t="shared" ca="1" si="0"/>
        <v>68</v>
      </c>
      <c r="D21">
        <f ca="1">table_Positions[[#This Row],[temp_lb]]+10+RANDBETWEEN(0,100)*RANDBETWEEN(0,10)-RANDBETWEEN(0,10)</f>
        <v>605</v>
      </c>
      <c r="E21" t="b">
        <f>COUNTIF(dict_zuord_Meth_Pos[ID_Positions], table_Positions[[#This Row],[ID]]) &gt; 0</f>
        <v>0</v>
      </c>
    </row>
    <row r="22" spans="1:5" x14ac:dyDescent="0.45">
      <c r="A22">
        <v>20</v>
      </c>
      <c r="B22" t="str">
        <f>CONCATENATE("Position ",table_Positions[[#This Row],[ID]])</f>
        <v>Position 20</v>
      </c>
      <c r="C22">
        <f t="shared" ca="1" si="0"/>
        <v>37</v>
      </c>
      <c r="D22">
        <f ca="1">table_Positions[[#This Row],[temp_lb]]+10+RANDBETWEEN(0,100)*RANDBETWEEN(0,10)-RANDBETWEEN(0,10)</f>
        <v>92</v>
      </c>
      <c r="E22" t="b">
        <f>COUNTIF(dict_zuord_Meth_Pos[ID_Positions], table_Positions[[#This Row],[ID]]) &gt; 0</f>
        <v>0</v>
      </c>
    </row>
    <row r="23" spans="1:5" x14ac:dyDescent="0.45">
      <c r="A23">
        <v>21</v>
      </c>
      <c r="B23" t="str">
        <f>CONCATENATE("Position ",table_Positions[[#This Row],[ID]])</f>
        <v>Position 21</v>
      </c>
      <c r="C23">
        <f t="shared" ca="1" si="0"/>
        <v>26</v>
      </c>
      <c r="D23">
        <f ca="1">table_Positions[[#This Row],[temp_lb]]+10+RANDBETWEEN(0,100)*RANDBETWEEN(0,10)-RANDBETWEEN(0,10)</f>
        <v>314</v>
      </c>
      <c r="E23" t="b">
        <f>COUNTIF(dict_zuord_Meth_Pos[ID_Positions], table_Positions[[#This Row],[ID]]) &gt; 0</f>
        <v>0</v>
      </c>
    </row>
    <row r="24" spans="1:5" x14ac:dyDescent="0.45">
      <c r="A24">
        <v>22</v>
      </c>
      <c r="B24" t="str">
        <f>CONCATENATE("Position ",table_Positions[[#This Row],[ID]])</f>
        <v>Position 22</v>
      </c>
      <c r="C24">
        <f t="shared" ca="1" si="0"/>
        <v>19</v>
      </c>
      <c r="D24">
        <f ca="1">table_Positions[[#This Row],[temp_lb]]+10+RANDBETWEEN(0,100)*RANDBETWEEN(0,10)-RANDBETWEEN(0,10)</f>
        <v>279</v>
      </c>
      <c r="E24" t="b">
        <f>COUNTIF(dict_zuord_Meth_Pos[ID_Positions], table_Positions[[#This Row],[ID]]) &gt; 0</f>
        <v>0</v>
      </c>
    </row>
    <row r="25" spans="1:5" x14ac:dyDescent="0.45">
      <c r="A25">
        <v>23</v>
      </c>
      <c r="B25" t="str">
        <f>CONCATENATE("Position ",table_Positions[[#This Row],[ID]])</f>
        <v>Position 23</v>
      </c>
      <c r="C25">
        <f t="shared" ca="1" si="0"/>
        <v>1</v>
      </c>
      <c r="D25">
        <f ca="1">table_Positions[[#This Row],[temp_lb]]+10+RANDBETWEEN(0,100)*RANDBETWEEN(0,10)-RANDBETWEEN(0,10)</f>
        <v>849</v>
      </c>
      <c r="E25" t="b">
        <f>COUNTIF(dict_zuord_Meth_Pos[ID_Positions], table_Positions[[#This Row],[ID]]) &gt; 0</f>
        <v>0</v>
      </c>
    </row>
    <row r="26" spans="1:5" x14ac:dyDescent="0.45">
      <c r="A26">
        <v>24</v>
      </c>
      <c r="B26" t="str">
        <f>CONCATENATE("Position ",table_Positions[[#This Row],[ID]])</f>
        <v>Position 24</v>
      </c>
      <c r="C26">
        <f t="shared" ca="1" si="0"/>
        <v>31</v>
      </c>
      <c r="D26">
        <f ca="1">table_Positions[[#This Row],[temp_lb]]+10+RANDBETWEEN(0,100)*RANDBETWEEN(0,10)-RANDBETWEEN(0,10)</f>
        <v>573</v>
      </c>
      <c r="E26" t="b">
        <f>COUNTIF(dict_zuord_Meth_Pos[ID_Positions], table_Positions[[#This Row],[ID]]) &gt; 0</f>
        <v>0</v>
      </c>
    </row>
    <row r="27" spans="1:5" x14ac:dyDescent="0.45">
      <c r="A27">
        <v>25</v>
      </c>
      <c r="B27" t="str">
        <f>CONCATENATE("Position ",table_Positions[[#This Row],[ID]])</f>
        <v>Position 25</v>
      </c>
      <c r="C27">
        <f t="shared" ca="1" si="0"/>
        <v>20</v>
      </c>
      <c r="D27">
        <f ca="1">table_Positions[[#This Row],[temp_lb]]+10+RANDBETWEEN(0,100)*RANDBETWEEN(0,10)-RANDBETWEEN(0,10)</f>
        <v>371</v>
      </c>
      <c r="E27" t="b">
        <f>COUNTIF(dict_zuord_Meth_Pos[ID_Positions], table_Positions[[#This Row],[ID]]) &gt; 0</f>
        <v>0</v>
      </c>
    </row>
    <row r="28" spans="1:5" x14ac:dyDescent="0.45">
      <c r="A28">
        <v>26</v>
      </c>
      <c r="B28" t="str">
        <f>CONCATENATE("Position ",table_Positions[[#This Row],[ID]])</f>
        <v>Position 26</v>
      </c>
      <c r="C28">
        <f t="shared" ca="1" si="0"/>
        <v>34</v>
      </c>
      <c r="D28">
        <f ca="1">table_Positions[[#This Row],[temp_lb]]+10+RANDBETWEEN(0,100)*RANDBETWEEN(0,10)-RANDBETWEEN(0,10)</f>
        <v>120</v>
      </c>
      <c r="E28" t="b">
        <f>COUNTIF(dict_zuord_Meth_Pos[ID_Positions], table_Positions[[#This Row],[ID]]) &gt; 0</f>
        <v>0</v>
      </c>
    </row>
    <row r="29" spans="1:5" x14ac:dyDescent="0.45">
      <c r="A29">
        <v>27</v>
      </c>
      <c r="B29" t="str">
        <f>CONCATENATE("Position ",table_Positions[[#This Row],[ID]])</f>
        <v>Position 27</v>
      </c>
      <c r="C29">
        <f t="shared" ca="1" si="0"/>
        <v>36</v>
      </c>
      <c r="D29">
        <f ca="1">table_Positions[[#This Row],[temp_lb]]+10+RANDBETWEEN(0,100)*RANDBETWEEN(0,10)-RANDBETWEEN(0,10)</f>
        <v>175</v>
      </c>
      <c r="E29" t="b">
        <f>COUNTIF(dict_zuord_Meth_Pos[ID_Positions], table_Positions[[#This Row],[ID]]) &gt; 0</f>
        <v>0</v>
      </c>
    </row>
    <row r="30" spans="1:5" x14ac:dyDescent="0.45">
      <c r="A30">
        <v>28</v>
      </c>
      <c r="B30" t="str">
        <f>CONCATENATE("Position ",table_Positions[[#This Row],[ID]])</f>
        <v>Position 28</v>
      </c>
      <c r="C30">
        <f t="shared" ca="1" si="0"/>
        <v>56</v>
      </c>
      <c r="D30">
        <f ca="1">table_Positions[[#This Row],[temp_lb]]+10+RANDBETWEEN(0,100)*RANDBETWEEN(0,10)-RANDBETWEEN(0,10)</f>
        <v>66</v>
      </c>
      <c r="E30" t="b">
        <f>COUNTIF(dict_zuord_Meth_Pos[ID_Positions], table_Positions[[#This Row],[ID]]) &gt; 0</f>
        <v>0</v>
      </c>
    </row>
    <row r="31" spans="1:5" x14ac:dyDescent="0.45">
      <c r="A31">
        <v>29</v>
      </c>
      <c r="B31" t="str">
        <f>CONCATENATE("Position ",table_Positions[[#This Row],[ID]])</f>
        <v>Position 29</v>
      </c>
      <c r="C31">
        <f t="shared" ca="1" si="0"/>
        <v>19</v>
      </c>
      <c r="D31">
        <f ca="1">table_Positions[[#This Row],[temp_lb]]+10+RANDBETWEEN(0,100)*RANDBETWEEN(0,10)-RANDBETWEEN(0,10)</f>
        <v>162</v>
      </c>
      <c r="E31" t="b">
        <f>COUNTIF(dict_zuord_Meth_Pos[ID_Positions], table_Positions[[#This Row],[ID]]) &gt; 0</f>
        <v>0</v>
      </c>
    </row>
    <row r="32" spans="1:5" x14ac:dyDescent="0.45">
      <c r="A32">
        <v>30</v>
      </c>
      <c r="B32" t="str">
        <f>CONCATENATE("Position ",table_Positions[[#This Row],[ID]])</f>
        <v>Position 30</v>
      </c>
      <c r="C32">
        <f t="shared" ca="1" si="0"/>
        <v>55</v>
      </c>
      <c r="D32">
        <f ca="1">table_Positions[[#This Row],[temp_lb]]+10+RANDBETWEEN(0,100)*RANDBETWEEN(0,10)-RANDBETWEEN(0,10)</f>
        <v>63</v>
      </c>
      <c r="E32" t="b">
        <f>COUNTIF(dict_zuord_Meth_Pos[ID_Positions], table_Positions[[#This Row],[ID]]) &gt; 0</f>
        <v>0</v>
      </c>
    </row>
    <row r="33" spans="1:5" x14ac:dyDescent="0.45">
      <c r="A33">
        <v>31</v>
      </c>
      <c r="B33" t="str">
        <f>CONCATENATE("Position ",table_Positions[[#This Row],[ID]])</f>
        <v>Position 31</v>
      </c>
      <c r="C33">
        <f t="shared" ca="1" si="0"/>
        <v>20</v>
      </c>
      <c r="D33">
        <f ca="1">table_Positions[[#This Row],[temp_lb]]+10+RANDBETWEEN(0,100)*RANDBETWEEN(0,10)-RANDBETWEEN(0,10)</f>
        <v>205</v>
      </c>
      <c r="E33" t="b">
        <f>COUNTIF(dict_zuord_Meth_Pos[ID_Positions], table_Positions[[#This Row],[ID]]) &gt; 0</f>
        <v>0</v>
      </c>
    </row>
    <row r="34" spans="1:5" x14ac:dyDescent="0.45">
      <c r="A34">
        <v>32</v>
      </c>
      <c r="B34" t="str">
        <f>CONCATENATE("Position ",table_Positions[[#This Row],[ID]])</f>
        <v>Position 32</v>
      </c>
      <c r="C34">
        <f t="shared" ca="1" si="0"/>
        <v>12</v>
      </c>
      <c r="D34">
        <f ca="1">table_Positions[[#This Row],[temp_lb]]+10+RANDBETWEEN(0,100)*RANDBETWEEN(0,10)-RANDBETWEEN(0,10)</f>
        <v>15</v>
      </c>
      <c r="E34" t="b">
        <f>COUNTIF(dict_zuord_Meth_Pos[ID_Positions], table_Positions[[#This Row],[ID]]) &gt; 0</f>
        <v>0</v>
      </c>
    </row>
    <row r="35" spans="1:5" x14ac:dyDescent="0.45">
      <c r="A35">
        <v>33</v>
      </c>
      <c r="B35" t="str">
        <f>CONCATENATE("Position ",table_Positions[[#This Row],[ID]])</f>
        <v>Position 33</v>
      </c>
      <c r="C35">
        <f t="shared" ca="1" si="0"/>
        <v>74</v>
      </c>
      <c r="D35">
        <f ca="1">table_Positions[[#This Row],[temp_lb]]+10+RANDBETWEEN(0,100)*RANDBETWEEN(0,10)-RANDBETWEEN(0,10)</f>
        <v>157</v>
      </c>
      <c r="E35" t="b">
        <f>COUNTIF(dict_zuord_Meth_Pos[ID_Positions], table_Positions[[#This Row],[ID]]) &gt; 0</f>
        <v>0</v>
      </c>
    </row>
    <row r="36" spans="1:5" x14ac:dyDescent="0.45">
      <c r="A36">
        <v>34</v>
      </c>
      <c r="B36" t="str">
        <f>CONCATENATE("Position ",table_Positions[[#This Row],[ID]])</f>
        <v>Position 34</v>
      </c>
      <c r="C36">
        <f t="shared" ca="1" si="0"/>
        <v>23</v>
      </c>
      <c r="D36">
        <f ca="1">table_Positions[[#This Row],[temp_lb]]+10+RANDBETWEEN(0,100)*RANDBETWEEN(0,10)-RANDBETWEEN(0,10)</f>
        <v>139</v>
      </c>
      <c r="E36" t="b">
        <f>COUNTIF(dict_zuord_Meth_Pos[ID_Positions], table_Positions[[#This Row],[ID]]) &gt; 0</f>
        <v>0</v>
      </c>
    </row>
    <row r="37" spans="1:5" x14ac:dyDescent="0.45">
      <c r="A37">
        <v>35</v>
      </c>
      <c r="B37" t="str">
        <f>CONCATENATE("Position ",table_Positions[[#This Row],[ID]])</f>
        <v>Position 35</v>
      </c>
      <c r="C37">
        <f t="shared" ca="1" si="0"/>
        <v>5</v>
      </c>
      <c r="D37">
        <f ca="1">table_Positions[[#This Row],[temp_lb]]+10+RANDBETWEEN(0,100)*RANDBETWEEN(0,10)-RANDBETWEEN(0,10)</f>
        <v>148</v>
      </c>
      <c r="E37" t="b">
        <f>COUNTIF(dict_zuord_Meth_Pos[ID_Positions], table_Positions[[#This Row],[ID]]) &gt; 0</f>
        <v>0</v>
      </c>
    </row>
    <row r="38" spans="1:5" x14ac:dyDescent="0.45">
      <c r="A38">
        <v>36</v>
      </c>
      <c r="B38" t="str">
        <f>CONCATENATE("Position ",table_Positions[[#This Row],[ID]])</f>
        <v>Position 36</v>
      </c>
      <c r="C38">
        <f t="shared" ca="1" si="0"/>
        <v>5</v>
      </c>
      <c r="D38">
        <f ca="1">table_Positions[[#This Row],[temp_lb]]+10+RANDBETWEEN(0,100)*RANDBETWEEN(0,10)-RANDBETWEEN(0,10)</f>
        <v>43</v>
      </c>
      <c r="E38" t="b">
        <f>COUNTIF(dict_zuord_Meth_Pos[ID_Positions], table_Positions[[#This Row],[ID]]) &gt; 0</f>
        <v>0</v>
      </c>
    </row>
    <row r="39" spans="1:5" x14ac:dyDescent="0.45">
      <c r="A39">
        <v>37</v>
      </c>
      <c r="B39" t="str">
        <f>CONCATENATE("Position ",table_Positions[[#This Row],[ID]])</f>
        <v>Position 37</v>
      </c>
      <c r="C39">
        <f t="shared" ca="1" si="0"/>
        <v>17</v>
      </c>
      <c r="D39">
        <f ca="1">table_Positions[[#This Row],[temp_lb]]+10+RANDBETWEEN(0,100)*RANDBETWEEN(0,10)-RANDBETWEEN(0,10)</f>
        <v>33</v>
      </c>
      <c r="E39" t="b">
        <f>COUNTIF(dict_zuord_Meth_Pos[ID_Positions], table_Positions[[#This Row],[ID]]) &gt; 0</f>
        <v>0</v>
      </c>
    </row>
    <row r="40" spans="1:5" x14ac:dyDescent="0.45">
      <c r="A40">
        <v>38</v>
      </c>
      <c r="B40" t="str">
        <f>CONCATENATE("Position ",table_Positions[[#This Row],[ID]])</f>
        <v>Position 38</v>
      </c>
      <c r="C40">
        <f t="shared" ca="1" si="0"/>
        <v>21</v>
      </c>
      <c r="D40">
        <f ca="1">table_Positions[[#This Row],[temp_lb]]+10+RANDBETWEEN(0,100)*RANDBETWEEN(0,10)-RANDBETWEEN(0,10)</f>
        <v>69</v>
      </c>
      <c r="E40" t="b">
        <f>COUNTIF(dict_zuord_Meth_Pos[ID_Positions], table_Positions[[#This Row],[ID]]) &gt; 0</f>
        <v>0</v>
      </c>
    </row>
    <row r="41" spans="1:5" x14ac:dyDescent="0.45">
      <c r="A41">
        <v>39</v>
      </c>
      <c r="B41" t="str">
        <f>CONCATENATE("Position ",table_Positions[[#This Row],[ID]])</f>
        <v>Position 39</v>
      </c>
      <c r="C41">
        <f t="shared" ca="1" si="0"/>
        <v>33</v>
      </c>
      <c r="D41">
        <f ca="1">table_Positions[[#This Row],[temp_lb]]+10+RANDBETWEEN(0,100)*RANDBETWEEN(0,10)-RANDBETWEEN(0,10)</f>
        <v>150</v>
      </c>
      <c r="E41" t="b">
        <f>COUNTIF(dict_zuord_Meth_Pos[ID_Positions], table_Positions[[#This Row],[ID]]) &gt; 0</f>
        <v>0</v>
      </c>
    </row>
    <row r="42" spans="1:5" x14ac:dyDescent="0.45">
      <c r="A42">
        <v>40</v>
      </c>
      <c r="B42" t="str">
        <f>CONCATENATE("Position ",table_Positions[[#This Row],[ID]])</f>
        <v>Position 40</v>
      </c>
      <c r="C42">
        <f t="shared" ca="1" si="0"/>
        <v>43</v>
      </c>
      <c r="D42">
        <f ca="1">table_Positions[[#This Row],[temp_lb]]+10+RANDBETWEEN(0,100)*RANDBETWEEN(0,10)-RANDBETWEEN(0,10)</f>
        <v>311</v>
      </c>
      <c r="E42" t="b">
        <f>COUNTIF(dict_zuord_Meth_Pos[ID_Positions], table_Positions[[#This Row],[ID]]) &gt; 0</f>
        <v>0</v>
      </c>
    </row>
    <row r="43" spans="1:5" x14ac:dyDescent="0.45">
      <c r="A43">
        <v>41</v>
      </c>
      <c r="B43" t="str">
        <f>CONCATENATE("Position ",table_Positions[[#This Row],[ID]])</f>
        <v>Position 41</v>
      </c>
      <c r="C43">
        <f t="shared" ca="1" si="0"/>
        <v>36</v>
      </c>
      <c r="D43">
        <f ca="1">table_Positions[[#This Row],[temp_lb]]+10+RANDBETWEEN(0,100)*RANDBETWEEN(0,10)-RANDBETWEEN(0,10)</f>
        <v>193</v>
      </c>
      <c r="E43" t="b">
        <f>COUNTIF(dict_zuord_Meth_Pos[ID_Positions], table_Positions[[#This Row],[ID]]) &gt; 0</f>
        <v>0</v>
      </c>
    </row>
    <row r="44" spans="1:5" x14ac:dyDescent="0.45">
      <c r="A44">
        <v>42</v>
      </c>
      <c r="B44" t="str">
        <f>CONCATENATE("Position ",table_Positions[[#This Row],[ID]])</f>
        <v>Position 42</v>
      </c>
      <c r="C44">
        <f t="shared" ca="1" si="0"/>
        <v>73</v>
      </c>
      <c r="D44">
        <f ca="1">table_Positions[[#This Row],[temp_lb]]+10+RANDBETWEEN(0,100)*RANDBETWEEN(0,10)-RANDBETWEEN(0,10)</f>
        <v>83</v>
      </c>
      <c r="E44" t="b">
        <f>COUNTIF(dict_zuord_Meth_Pos[ID_Positions], table_Positions[[#This Row],[ID]]) &gt; 0</f>
        <v>0</v>
      </c>
    </row>
    <row r="45" spans="1:5" x14ac:dyDescent="0.45">
      <c r="A45">
        <v>43</v>
      </c>
      <c r="B45" t="str">
        <f>CONCATENATE("Position ",table_Positions[[#This Row],[ID]])</f>
        <v>Position 43</v>
      </c>
      <c r="C45">
        <f t="shared" ca="1" si="0"/>
        <v>12</v>
      </c>
      <c r="D45">
        <f ca="1">table_Positions[[#This Row],[temp_lb]]+10+RANDBETWEEN(0,100)*RANDBETWEEN(0,10)-RANDBETWEEN(0,10)</f>
        <v>290</v>
      </c>
      <c r="E45" t="b">
        <f>COUNTIF(dict_zuord_Meth_Pos[ID_Positions], table_Positions[[#This Row],[ID]]) &gt; 0</f>
        <v>0</v>
      </c>
    </row>
    <row r="46" spans="1:5" x14ac:dyDescent="0.45">
      <c r="A46">
        <v>44</v>
      </c>
      <c r="B46" t="str">
        <f>CONCATENATE("Position ",table_Positions[[#This Row],[ID]])</f>
        <v>Position 44</v>
      </c>
      <c r="C46">
        <f t="shared" ca="1" si="0"/>
        <v>47</v>
      </c>
      <c r="D46">
        <f ca="1">table_Positions[[#This Row],[temp_lb]]+10+RANDBETWEEN(0,100)*RANDBETWEEN(0,10)-RANDBETWEEN(0,10)</f>
        <v>125</v>
      </c>
      <c r="E46" t="b">
        <f>COUNTIF(dict_zuord_Meth_Pos[ID_Positions], table_Positions[[#This Row],[ID]]) &gt; 0</f>
        <v>0</v>
      </c>
    </row>
    <row r="47" spans="1:5" x14ac:dyDescent="0.45">
      <c r="A47">
        <v>45</v>
      </c>
      <c r="B47" t="str">
        <f>CONCATENATE("Position ",table_Positions[[#This Row],[ID]])</f>
        <v>Position 45</v>
      </c>
      <c r="C47">
        <f t="shared" ca="1" si="0"/>
        <v>23</v>
      </c>
      <c r="D47">
        <f ca="1">table_Positions[[#This Row],[temp_lb]]+10+RANDBETWEEN(0,100)*RANDBETWEEN(0,10)-RANDBETWEEN(0,10)</f>
        <v>883</v>
      </c>
      <c r="E47" t="b">
        <f>COUNTIF(dict_zuord_Meth_Pos[ID_Positions], table_Positions[[#This Row],[ID]]) &gt; 0</f>
        <v>0</v>
      </c>
    </row>
    <row r="48" spans="1:5" x14ac:dyDescent="0.45">
      <c r="A48">
        <v>46</v>
      </c>
      <c r="B48" t="str">
        <f>CONCATENATE("Position ",table_Positions[[#This Row],[ID]])</f>
        <v>Position 46</v>
      </c>
      <c r="C48">
        <f t="shared" ca="1" si="0"/>
        <v>10</v>
      </c>
      <c r="D48">
        <f ca="1">table_Positions[[#This Row],[temp_lb]]+10+RANDBETWEEN(0,100)*RANDBETWEEN(0,10)-RANDBETWEEN(0,10)</f>
        <v>85</v>
      </c>
      <c r="E48" t="b">
        <f>COUNTIF(dict_zuord_Meth_Pos[ID_Positions], table_Positions[[#This Row],[ID]]) &gt; 0</f>
        <v>0</v>
      </c>
    </row>
    <row r="49" spans="1:5" x14ac:dyDescent="0.45">
      <c r="A49">
        <v>47</v>
      </c>
      <c r="B49" t="str">
        <f>CONCATENATE("Position ",table_Positions[[#This Row],[ID]])</f>
        <v>Position 47</v>
      </c>
      <c r="C49">
        <f t="shared" ca="1" si="0"/>
        <v>15</v>
      </c>
      <c r="D49">
        <f ca="1">table_Positions[[#This Row],[temp_lb]]+10+RANDBETWEEN(0,100)*RANDBETWEEN(0,10)-RANDBETWEEN(0,10)</f>
        <v>91</v>
      </c>
      <c r="E49" t="b">
        <f>COUNTIF(dict_zuord_Meth_Pos[ID_Positions], table_Positions[[#This Row],[ID]]) &gt; 0</f>
        <v>0</v>
      </c>
    </row>
    <row r="50" spans="1:5" x14ac:dyDescent="0.45">
      <c r="A50">
        <v>48</v>
      </c>
      <c r="B50" t="str">
        <f>CONCATENATE("Position ",table_Positions[[#This Row],[ID]])</f>
        <v>Position 48</v>
      </c>
      <c r="C50">
        <f t="shared" ca="1" si="0"/>
        <v>27</v>
      </c>
      <c r="D50">
        <f ca="1">table_Positions[[#This Row],[temp_lb]]+10+RANDBETWEEN(0,100)*RANDBETWEEN(0,10)-RANDBETWEEN(0,10)</f>
        <v>108</v>
      </c>
      <c r="E50" t="b">
        <f>COUNTIF(dict_zuord_Meth_Pos[ID_Positions], table_Positions[[#This Row],[ID]]) &gt; 0</f>
        <v>0</v>
      </c>
    </row>
    <row r="51" spans="1:5" x14ac:dyDescent="0.45">
      <c r="A51">
        <v>49</v>
      </c>
      <c r="B51" t="str">
        <f>CONCATENATE("Position ",table_Positions[[#This Row],[ID]])</f>
        <v>Position 49</v>
      </c>
      <c r="C51">
        <f t="shared" ca="1" si="0"/>
        <v>94</v>
      </c>
      <c r="D51">
        <f ca="1">table_Positions[[#This Row],[temp_lb]]+10+RANDBETWEEN(0,100)*RANDBETWEEN(0,10)-RANDBETWEEN(0,10)</f>
        <v>606</v>
      </c>
      <c r="E51" t="b">
        <f>COUNTIF(dict_zuord_Meth_Pos[ID_Positions], table_Positions[[#This Row],[ID]]) &gt; 0</f>
        <v>0</v>
      </c>
    </row>
    <row r="52" spans="1:5" x14ac:dyDescent="0.45">
      <c r="A52">
        <v>50</v>
      </c>
      <c r="B52" t="str">
        <f>CONCATENATE("Position ",table_Positions[[#This Row],[ID]])</f>
        <v>Position 50</v>
      </c>
      <c r="C52">
        <f t="shared" ca="1" si="0"/>
        <v>3</v>
      </c>
      <c r="D52">
        <f ca="1">table_Positions[[#This Row],[temp_lb]]+10+RANDBETWEEN(0,100)*RANDBETWEEN(0,10)-RANDBETWEEN(0,10)</f>
        <v>93</v>
      </c>
      <c r="E52" t="b">
        <f>COUNTIF(dict_zuord_Meth_Pos[ID_Positions], table_Positions[[#This Row],[ID]]) &gt; 0</f>
        <v>0</v>
      </c>
    </row>
    <row r="53" spans="1:5" x14ac:dyDescent="0.45">
      <c r="A53">
        <v>51</v>
      </c>
      <c r="B53" t="str">
        <f>CONCATENATE("Position ",table_Positions[[#This Row],[ID]])</f>
        <v>Position 51</v>
      </c>
      <c r="C53">
        <f t="shared" ca="1" si="0"/>
        <v>6</v>
      </c>
      <c r="D53">
        <f ca="1">table_Positions[[#This Row],[temp_lb]]+10+RANDBETWEEN(0,100)*RANDBETWEEN(0,10)-RANDBETWEEN(0,10)</f>
        <v>92</v>
      </c>
      <c r="E53" t="b">
        <f>COUNTIF(dict_zuord_Meth_Pos[ID_Positions], table_Positions[[#This Row],[ID]]) &gt; 0</f>
        <v>0</v>
      </c>
    </row>
    <row r="54" spans="1:5" x14ac:dyDescent="0.45">
      <c r="A54">
        <v>52</v>
      </c>
      <c r="B54" t="str">
        <f>CONCATENATE("Position ",table_Positions[[#This Row],[ID]])</f>
        <v>Position 52</v>
      </c>
      <c r="C54">
        <f t="shared" ca="1" si="0"/>
        <v>30</v>
      </c>
      <c r="D54">
        <f ca="1">table_Positions[[#This Row],[temp_lb]]+10+RANDBETWEEN(0,100)*RANDBETWEEN(0,10)-RANDBETWEEN(0,10)</f>
        <v>76</v>
      </c>
      <c r="E54" t="b">
        <f>COUNTIF(dict_zuord_Meth_Pos[ID_Positions], table_Positions[[#This Row],[ID]]) &gt; 0</f>
        <v>0</v>
      </c>
    </row>
    <row r="55" spans="1:5" x14ac:dyDescent="0.45">
      <c r="A55">
        <v>53</v>
      </c>
      <c r="B55" t="str">
        <f>CONCATENATE("Position ",table_Positions[[#This Row],[ID]])</f>
        <v>Position 53</v>
      </c>
      <c r="C55">
        <f t="shared" ca="1" si="0"/>
        <v>19</v>
      </c>
      <c r="D55">
        <f ca="1">table_Positions[[#This Row],[temp_lb]]+10+RANDBETWEEN(0,100)*RANDBETWEEN(0,10)-RANDBETWEEN(0,10)</f>
        <v>637</v>
      </c>
      <c r="E55" t="b">
        <f>COUNTIF(dict_zuord_Meth_Pos[ID_Positions], table_Positions[[#This Row],[ID]]) &gt; 0</f>
        <v>0</v>
      </c>
    </row>
    <row r="56" spans="1:5" x14ac:dyDescent="0.45">
      <c r="A56">
        <v>54</v>
      </c>
      <c r="B56" t="str">
        <f>CONCATENATE("Position ",table_Positions[[#This Row],[ID]])</f>
        <v>Position 54</v>
      </c>
      <c r="C56">
        <f t="shared" ca="1" si="0"/>
        <v>54</v>
      </c>
      <c r="D56">
        <f ca="1">table_Positions[[#This Row],[temp_lb]]+10+RANDBETWEEN(0,100)*RANDBETWEEN(0,10)-RANDBETWEEN(0,10)</f>
        <v>707</v>
      </c>
      <c r="E56" t="b">
        <f>COUNTIF(dict_zuord_Meth_Pos[ID_Positions], table_Positions[[#This Row],[ID]]) &gt; 0</f>
        <v>0</v>
      </c>
    </row>
    <row r="57" spans="1:5" x14ac:dyDescent="0.45">
      <c r="A57">
        <v>55</v>
      </c>
      <c r="B57" t="str">
        <f>CONCATENATE("Position ",table_Positions[[#This Row],[ID]])</f>
        <v>Position 55</v>
      </c>
      <c r="C57">
        <f t="shared" ca="1" si="0"/>
        <v>23</v>
      </c>
      <c r="D57">
        <f ca="1">table_Positions[[#This Row],[temp_lb]]+10+RANDBETWEEN(0,100)*RANDBETWEEN(0,10)-RANDBETWEEN(0,10)</f>
        <v>32</v>
      </c>
      <c r="E57" t="b">
        <f>COUNTIF(dict_zuord_Meth_Pos[ID_Positions], table_Positions[[#This Row],[ID]]) &gt; 0</f>
        <v>0</v>
      </c>
    </row>
    <row r="58" spans="1:5" x14ac:dyDescent="0.45">
      <c r="A58">
        <v>56</v>
      </c>
      <c r="B58" t="str">
        <f>CONCATENATE("Position ",table_Positions[[#This Row],[ID]])</f>
        <v>Position 56</v>
      </c>
      <c r="C58">
        <f t="shared" ca="1" si="0"/>
        <v>52</v>
      </c>
      <c r="D58">
        <f ca="1">table_Positions[[#This Row],[temp_lb]]+10+RANDBETWEEN(0,100)*RANDBETWEEN(0,10)-RANDBETWEEN(0,10)</f>
        <v>672</v>
      </c>
      <c r="E58" t="b">
        <f>COUNTIF(dict_zuord_Meth_Pos[ID_Positions], table_Positions[[#This Row],[ID]]) &gt; 0</f>
        <v>0</v>
      </c>
    </row>
    <row r="59" spans="1:5" x14ac:dyDescent="0.45">
      <c r="A59">
        <v>57</v>
      </c>
      <c r="B59" t="str">
        <f>CONCATENATE("Position ",table_Positions[[#This Row],[ID]])</f>
        <v>Position 57</v>
      </c>
      <c r="C59">
        <f t="shared" ca="1" si="0"/>
        <v>24</v>
      </c>
      <c r="D59">
        <f ca="1">table_Positions[[#This Row],[temp_lb]]+10+RANDBETWEEN(0,100)*RANDBETWEEN(0,10)-RANDBETWEEN(0,10)</f>
        <v>231</v>
      </c>
      <c r="E59" t="b">
        <f>COUNTIF(dict_zuord_Meth_Pos[ID_Positions], table_Positions[[#This Row],[ID]]) &gt; 0</f>
        <v>0</v>
      </c>
    </row>
    <row r="60" spans="1:5" x14ac:dyDescent="0.45">
      <c r="A60">
        <v>58</v>
      </c>
      <c r="B60" t="str">
        <f>CONCATENATE("Position ",table_Positions[[#This Row],[ID]])</f>
        <v>Position 58</v>
      </c>
      <c r="C60">
        <f t="shared" ca="1" si="0"/>
        <v>12</v>
      </c>
      <c r="D60">
        <f ca="1">table_Positions[[#This Row],[temp_lb]]+10+RANDBETWEEN(0,100)*RANDBETWEEN(0,10)-RANDBETWEEN(0,10)</f>
        <v>60</v>
      </c>
      <c r="E60" t="b">
        <f>COUNTIF(dict_zuord_Meth_Pos[ID_Positions], table_Positions[[#This Row],[ID]]) &gt; 0</f>
        <v>0</v>
      </c>
    </row>
    <row r="61" spans="1:5" x14ac:dyDescent="0.45">
      <c r="A61">
        <v>59</v>
      </c>
      <c r="B61" t="str">
        <f>CONCATENATE("Position ",table_Positions[[#This Row],[ID]])</f>
        <v>Position 59</v>
      </c>
      <c r="C61">
        <f t="shared" ca="1" si="0"/>
        <v>12</v>
      </c>
      <c r="D61">
        <f ca="1">table_Positions[[#This Row],[temp_lb]]+10+RANDBETWEEN(0,100)*RANDBETWEEN(0,10)-RANDBETWEEN(0,10)</f>
        <v>14</v>
      </c>
      <c r="E61" t="b">
        <f>COUNTIF(dict_zuord_Meth_Pos[ID_Positions], table_Positions[[#This Row],[ID]]) &gt; 0</f>
        <v>0</v>
      </c>
    </row>
    <row r="62" spans="1:5" x14ac:dyDescent="0.45">
      <c r="A62">
        <v>60</v>
      </c>
      <c r="B62" t="str">
        <f>CONCATENATE("Position ",table_Positions[[#This Row],[ID]])</f>
        <v>Position 60</v>
      </c>
      <c r="C62">
        <f t="shared" ca="1" si="0"/>
        <v>67</v>
      </c>
      <c r="D62">
        <f ca="1">table_Positions[[#This Row],[temp_lb]]+10+RANDBETWEEN(0,100)*RANDBETWEEN(0,10)-RANDBETWEEN(0,10)</f>
        <v>319</v>
      </c>
      <c r="E62" t="b">
        <f>COUNTIF(dict_zuord_Meth_Pos[ID_Positions], table_Positions[[#This Row],[ID]]) &gt; 0</f>
        <v>0</v>
      </c>
    </row>
    <row r="63" spans="1:5" x14ac:dyDescent="0.45">
      <c r="A63">
        <v>61</v>
      </c>
      <c r="B63" t="str">
        <f>CONCATENATE("Position ",table_Positions[[#This Row],[ID]])</f>
        <v>Position 61</v>
      </c>
      <c r="C63">
        <f t="shared" ca="1" si="0"/>
        <v>51</v>
      </c>
      <c r="D63">
        <f ca="1">table_Positions[[#This Row],[temp_lb]]+10+RANDBETWEEN(0,100)*RANDBETWEEN(0,10)-RANDBETWEEN(0,10)</f>
        <v>510</v>
      </c>
      <c r="E63" t="b">
        <f>COUNTIF(dict_zuord_Meth_Pos[ID_Positions], table_Positions[[#This Row],[ID]]) &gt; 0</f>
        <v>0</v>
      </c>
    </row>
    <row r="64" spans="1:5" x14ac:dyDescent="0.45">
      <c r="A64">
        <v>62</v>
      </c>
      <c r="B64" t="str">
        <f>CONCATENATE("Position ",table_Positions[[#This Row],[ID]])</f>
        <v>Position 62</v>
      </c>
      <c r="C64">
        <f t="shared" ca="1" si="0"/>
        <v>29</v>
      </c>
      <c r="D64">
        <f ca="1">table_Positions[[#This Row],[temp_lb]]+10+RANDBETWEEN(0,100)*RANDBETWEEN(0,10)-RANDBETWEEN(0,10)</f>
        <v>298</v>
      </c>
      <c r="E64" t="b">
        <f>COUNTIF(dict_zuord_Meth_Pos[ID_Positions], table_Positions[[#This Row],[ID]]) &gt; 0</f>
        <v>0</v>
      </c>
    </row>
    <row r="65" spans="1:5" x14ac:dyDescent="0.45">
      <c r="A65">
        <v>63</v>
      </c>
      <c r="B65" t="str">
        <f>CONCATENATE("Position ",table_Positions[[#This Row],[ID]])</f>
        <v>Position 63</v>
      </c>
      <c r="C65">
        <f t="shared" ca="1" si="0"/>
        <v>40</v>
      </c>
      <c r="D65">
        <f ca="1">table_Positions[[#This Row],[temp_lb]]+10+RANDBETWEEN(0,100)*RANDBETWEEN(0,10)-RANDBETWEEN(0,10)</f>
        <v>45</v>
      </c>
      <c r="E65" t="b">
        <f>COUNTIF(dict_zuord_Meth_Pos[ID_Positions], table_Positions[[#This Row],[ID]]) &gt; 0</f>
        <v>0</v>
      </c>
    </row>
    <row r="66" spans="1:5" x14ac:dyDescent="0.45">
      <c r="A66">
        <v>64</v>
      </c>
      <c r="B66" t="str">
        <f>CONCATENATE("Position ",table_Positions[[#This Row],[ID]])</f>
        <v>Position 64</v>
      </c>
      <c r="C66">
        <f t="shared" ref="C66:C129" ca="1" si="1">20+RANDBETWEEN(0,10)*RANDBETWEEN(0,10)-RANDBETWEEN(0,20)</f>
        <v>20</v>
      </c>
      <c r="D66">
        <f ca="1">table_Positions[[#This Row],[temp_lb]]+10+RANDBETWEEN(0,100)*RANDBETWEEN(0,10)-RANDBETWEEN(0,10)</f>
        <v>50</v>
      </c>
      <c r="E66" t="b">
        <f>COUNTIF(dict_zuord_Meth_Pos[ID_Positions], table_Positions[[#This Row],[ID]]) &gt; 0</f>
        <v>0</v>
      </c>
    </row>
    <row r="67" spans="1:5" x14ac:dyDescent="0.45">
      <c r="A67">
        <v>65</v>
      </c>
      <c r="B67" t="str">
        <f>CONCATENATE("Position ",table_Positions[[#This Row],[ID]])</f>
        <v>Position 65</v>
      </c>
      <c r="C67">
        <f t="shared" ca="1" si="1"/>
        <v>13</v>
      </c>
      <c r="D67">
        <f ca="1">table_Positions[[#This Row],[temp_lb]]+10+RANDBETWEEN(0,100)*RANDBETWEEN(0,10)-RANDBETWEEN(0,10)</f>
        <v>59</v>
      </c>
      <c r="E67" t="b">
        <f>COUNTIF(dict_zuord_Meth_Pos[ID_Positions], table_Positions[[#This Row],[ID]]) &gt; 0</f>
        <v>0</v>
      </c>
    </row>
    <row r="68" spans="1:5" x14ac:dyDescent="0.45">
      <c r="A68">
        <v>66</v>
      </c>
      <c r="B68" t="str">
        <f>CONCATENATE("Position ",table_Positions[[#This Row],[ID]])</f>
        <v>Position 66</v>
      </c>
      <c r="C68">
        <f t="shared" ca="1" si="1"/>
        <v>10</v>
      </c>
      <c r="D68">
        <f ca="1">table_Positions[[#This Row],[temp_lb]]+10+RANDBETWEEN(0,100)*RANDBETWEEN(0,10)-RANDBETWEEN(0,10)</f>
        <v>105</v>
      </c>
      <c r="E68" t="b">
        <f>COUNTIF(dict_zuord_Meth_Pos[ID_Positions], table_Positions[[#This Row],[ID]]) &gt; 0</f>
        <v>0</v>
      </c>
    </row>
    <row r="69" spans="1:5" x14ac:dyDescent="0.45">
      <c r="A69">
        <v>67</v>
      </c>
      <c r="B69" t="str">
        <f>CONCATENATE("Position ",table_Positions[[#This Row],[ID]])</f>
        <v>Position 67</v>
      </c>
      <c r="C69">
        <f t="shared" ca="1" si="1"/>
        <v>38</v>
      </c>
      <c r="D69">
        <f ca="1">table_Positions[[#This Row],[temp_lb]]+10+RANDBETWEEN(0,100)*RANDBETWEEN(0,10)-RANDBETWEEN(0,10)</f>
        <v>264</v>
      </c>
      <c r="E69" t="b">
        <f>COUNTIF(dict_zuord_Meth_Pos[ID_Positions], table_Positions[[#This Row],[ID]]) &gt; 0</f>
        <v>0</v>
      </c>
    </row>
    <row r="70" spans="1:5" x14ac:dyDescent="0.45">
      <c r="A70">
        <v>68</v>
      </c>
      <c r="B70" t="str">
        <f>CONCATENATE("Position ",table_Positions[[#This Row],[ID]])</f>
        <v>Position 68</v>
      </c>
      <c r="C70">
        <f t="shared" ca="1" si="1"/>
        <v>67</v>
      </c>
      <c r="D70">
        <f ca="1">table_Positions[[#This Row],[temp_lb]]+10+RANDBETWEEN(0,100)*RANDBETWEEN(0,10)-RANDBETWEEN(0,10)</f>
        <v>652</v>
      </c>
      <c r="E70" t="b">
        <f>COUNTIF(dict_zuord_Meth_Pos[ID_Positions], table_Positions[[#This Row],[ID]]) &gt; 0</f>
        <v>0</v>
      </c>
    </row>
    <row r="71" spans="1:5" x14ac:dyDescent="0.45">
      <c r="A71">
        <v>69</v>
      </c>
      <c r="B71" t="str">
        <f>CONCATENATE("Position ",table_Positions[[#This Row],[ID]])</f>
        <v>Position 69</v>
      </c>
      <c r="C71">
        <f t="shared" ca="1" si="1"/>
        <v>29</v>
      </c>
      <c r="D71">
        <f ca="1">table_Positions[[#This Row],[temp_lb]]+10+RANDBETWEEN(0,100)*RANDBETWEEN(0,10)-RANDBETWEEN(0,10)</f>
        <v>417</v>
      </c>
      <c r="E71" t="b">
        <f>COUNTIF(dict_zuord_Meth_Pos[ID_Positions], table_Positions[[#This Row],[ID]]) &gt; 0</f>
        <v>0</v>
      </c>
    </row>
    <row r="72" spans="1:5" x14ac:dyDescent="0.45">
      <c r="A72">
        <v>70</v>
      </c>
      <c r="B72" t="str">
        <f>CONCATENATE("Position ",table_Positions[[#This Row],[ID]])</f>
        <v>Position 70</v>
      </c>
      <c r="C72">
        <f t="shared" ca="1" si="1"/>
        <v>61</v>
      </c>
      <c r="D72">
        <f ca="1">table_Positions[[#This Row],[temp_lb]]+10+RANDBETWEEN(0,100)*RANDBETWEEN(0,10)-RANDBETWEEN(0,10)</f>
        <v>306</v>
      </c>
      <c r="E72" t="b">
        <f>COUNTIF(dict_zuord_Meth_Pos[ID_Positions], table_Positions[[#This Row],[ID]]) &gt; 0</f>
        <v>0</v>
      </c>
    </row>
    <row r="73" spans="1:5" x14ac:dyDescent="0.45">
      <c r="A73">
        <v>71</v>
      </c>
      <c r="B73" t="str">
        <f>CONCATENATE("Position ",table_Positions[[#This Row],[ID]])</f>
        <v>Position 71</v>
      </c>
      <c r="C73">
        <f t="shared" ca="1" si="1"/>
        <v>2</v>
      </c>
      <c r="D73">
        <f ca="1">table_Positions[[#This Row],[temp_lb]]+10+RANDBETWEEN(0,100)*RANDBETWEEN(0,10)-RANDBETWEEN(0,10)</f>
        <v>745</v>
      </c>
      <c r="E73" t="b">
        <f>COUNTIF(dict_zuord_Meth_Pos[ID_Positions], table_Positions[[#This Row],[ID]]) &gt; 0</f>
        <v>0</v>
      </c>
    </row>
    <row r="74" spans="1:5" x14ac:dyDescent="0.45">
      <c r="A74">
        <v>72</v>
      </c>
      <c r="B74" t="str">
        <f>CONCATENATE("Position ",table_Positions[[#This Row],[ID]])</f>
        <v>Position 72</v>
      </c>
      <c r="C74">
        <f t="shared" ca="1" si="1"/>
        <v>12</v>
      </c>
      <c r="D74">
        <f ca="1">table_Positions[[#This Row],[temp_lb]]+10+RANDBETWEEN(0,100)*RANDBETWEEN(0,10)-RANDBETWEEN(0,10)</f>
        <v>101</v>
      </c>
      <c r="E74" t="b">
        <f>COUNTIF(dict_zuord_Meth_Pos[ID_Positions], table_Positions[[#This Row],[ID]]) &gt; 0</f>
        <v>0</v>
      </c>
    </row>
    <row r="75" spans="1:5" x14ac:dyDescent="0.45">
      <c r="A75">
        <v>73</v>
      </c>
      <c r="B75" t="str">
        <f>CONCATENATE("Position ",table_Positions[[#This Row],[ID]])</f>
        <v>Position 73</v>
      </c>
      <c r="C75">
        <f t="shared" ca="1" si="1"/>
        <v>7</v>
      </c>
      <c r="D75">
        <f ca="1">table_Positions[[#This Row],[temp_lb]]+10+RANDBETWEEN(0,100)*RANDBETWEEN(0,10)-RANDBETWEEN(0,10)</f>
        <v>503</v>
      </c>
      <c r="E75" t="b">
        <f>COUNTIF(dict_zuord_Meth_Pos[ID_Positions], table_Positions[[#This Row],[ID]]) &gt; 0</f>
        <v>0</v>
      </c>
    </row>
    <row r="76" spans="1:5" x14ac:dyDescent="0.45">
      <c r="A76">
        <v>74</v>
      </c>
      <c r="B76" t="str">
        <f>CONCATENATE("Position ",table_Positions[[#This Row],[ID]])</f>
        <v>Position 74</v>
      </c>
      <c r="C76">
        <f t="shared" ca="1" si="1"/>
        <v>31</v>
      </c>
      <c r="D76">
        <f ca="1">table_Positions[[#This Row],[temp_lb]]+10+RANDBETWEEN(0,100)*RANDBETWEEN(0,10)-RANDBETWEEN(0,10)</f>
        <v>755</v>
      </c>
      <c r="E76" t="b">
        <f>COUNTIF(dict_zuord_Meth_Pos[ID_Positions], table_Positions[[#This Row],[ID]]) &gt; 0</f>
        <v>0</v>
      </c>
    </row>
    <row r="77" spans="1:5" x14ac:dyDescent="0.45">
      <c r="A77">
        <v>75</v>
      </c>
      <c r="B77" t="str">
        <f>CONCATENATE("Position ",table_Positions[[#This Row],[ID]])</f>
        <v>Position 75</v>
      </c>
      <c r="C77">
        <f t="shared" ca="1" si="1"/>
        <v>65</v>
      </c>
      <c r="D77">
        <f ca="1">table_Positions[[#This Row],[temp_lb]]+10+RANDBETWEEN(0,100)*RANDBETWEEN(0,10)-RANDBETWEEN(0,10)</f>
        <v>750</v>
      </c>
      <c r="E77" t="b">
        <f>COUNTIF(dict_zuord_Meth_Pos[ID_Positions], table_Positions[[#This Row],[ID]]) &gt; 0</f>
        <v>0</v>
      </c>
    </row>
    <row r="78" spans="1:5" x14ac:dyDescent="0.45">
      <c r="A78">
        <v>76</v>
      </c>
      <c r="B78" t="str">
        <f>CONCATENATE("Position ",table_Positions[[#This Row],[ID]])</f>
        <v>Position 76</v>
      </c>
      <c r="C78">
        <f t="shared" ca="1" si="1"/>
        <v>8</v>
      </c>
      <c r="D78">
        <f ca="1">table_Positions[[#This Row],[temp_lb]]+10+RANDBETWEEN(0,100)*RANDBETWEEN(0,10)-RANDBETWEEN(0,10)</f>
        <v>120</v>
      </c>
      <c r="E78" t="b">
        <f>COUNTIF(dict_zuord_Meth_Pos[ID_Positions], table_Positions[[#This Row],[ID]]) &gt; 0</f>
        <v>0</v>
      </c>
    </row>
    <row r="79" spans="1:5" x14ac:dyDescent="0.45">
      <c r="A79">
        <v>77</v>
      </c>
      <c r="B79" t="str">
        <f>CONCATENATE("Position ",table_Positions[[#This Row],[ID]])</f>
        <v>Position 77</v>
      </c>
      <c r="C79">
        <f t="shared" ca="1" si="1"/>
        <v>100</v>
      </c>
      <c r="D79">
        <f ca="1">table_Positions[[#This Row],[temp_lb]]+10+RANDBETWEEN(0,100)*RANDBETWEEN(0,10)-RANDBETWEEN(0,10)</f>
        <v>181</v>
      </c>
      <c r="E79" t="b">
        <f>COUNTIF(dict_zuord_Meth_Pos[ID_Positions], table_Positions[[#This Row],[ID]]) &gt; 0</f>
        <v>0</v>
      </c>
    </row>
    <row r="80" spans="1:5" x14ac:dyDescent="0.45">
      <c r="A80">
        <v>78</v>
      </c>
      <c r="B80" t="str">
        <f>CONCATENATE("Position ",table_Positions[[#This Row],[ID]])</f>
        <v>Position 78</v>
      </c>
      <c r="C80">
        <f t="shared" ca="1" si="1"/>
        <v>81</v>
      </c>
      <c r="D80">
        <f ca="1">table_Positions[[#This Row],[temp_lb]]+10+RANDBETWEEN(0,100)*RANDBETWEEN(0,10)-RANDBETWEEN(0,10)</f>
        <v>135</v>
      </c>
      <c r="E80" t="b">
        <f>COUNTIF(dict_zuord_Meth_Pos[ID_Positions], table_Positions[[#This Row],[ID]]) &gt; 0</f>
        <v>0</v>
      </c>
    </row>
    <row r="81" spans="1:5" x14ac:dyDescent="0.45">
      <c r="A81">
        <v>79</v>
      </c>
      <c r="B81" t="str">
        <f>CONCATENATE("Position ",table_Positions[[#This Row],[ID]])</f>
        <v>Position 79</v>
      </c>
      <c r="C81">
        <f t="shared" ca="1" si="1"/>
        <v>30</v>
      </c>
      <c r="D81">
        <f ca="1">table_Positions[[#This Row],[temp_lb]]+10+RANDBETWEEN(0,100)*RANDBETWEEN(0,10)-RANDBETWEEN(0,10)</f>
        <v>199</v>
      </c>
      <c r="E81" t="b">
        <f>COUNTIF(dict_zuord_Meth_Pos[ID_Positions], table_Positions[[#This Row],[ID]]) &gt; 0</f>
        <v>0</v>
      </c>
    </row>
    <row r="82" spans="1:5" x14ac:dyDescent="0.45">
      <c r="A82">
        <v>80</v>
      </c>
      <c r="B82" t="str">
        <f>CONCATENATE("Position ",table_Positions[[#This Row],[ID]])</f>
        <v>Position 80</v>
      </c>
      <c r="C82">
        <f t="shared" ca="1" si="1"/>
        <v>61</v>
      </c>
      <c r="D82">
        <f ca="1">table_Positions[[#This Row],[temp_lb]]+10+RANDBETWEEN(0,100)*RANDBETWEEN(0,10)-RANDBETWEEN(0,10)</f>
        <v>64</v>
      </c>
      <c r="E82" t="b">
        <f>COUNTIF(dict_zuord_Meth_Pos[ID_Positions], table_Positions[[#This Row],[ID]]) &gt; 0</f>
        <v>0</v>
      </c>
    </row>
    <row r="83" spans="1:5" x14ac:dyDescent="0.45">
      <c r="A83">
        <v>81</v>
      </c>
      <c r="B83" t="str">
        <f>CONCATENATE("Position ",table_Positions[[#This Row],[ID]])</f>
        <v>Position 81</v>
      </c>
      <c r="C83">
        <f t="shared" ca="1" si="1"/>
        <v>50</v>
      </c>
      <c r="D83">
        <f ca="1">table_Positions[[#This Row],[temp_lb]]+10+RANDBETWEEN(0,100)*RANDBETWEEN(0,10)-RANDBETWEEN(0,10)</f>
        <v>225</v>
      </c>
      <c r="E83" t="b">
        <f>COUNTIF(dict_zuord_Meth_Pos[ID_Positions], table_Positions[[#This Row],[ID]]) &gt; 0</f>
        <v>0</v>
      </c>
    </row>
    <row r="84" spans="1:5" x14ac:dyDescent="0.45">
      <c r="A84">
        <v>82</v>
      </c>
      <c r="B84" t="str">
        <f>CONCATENATE("Position ",table_Positions[[#This Row],[ID]])</f>
        <v>Position 82</v>
      </c>
      <c r="C84">
        <f t="shared" ca="1" si="1"/>
        <v>45</v>
      </c>
      <c r="D84">
        <f ca="1">table_Positions[[#This Row],[temp_lb]]+10+RANDBETWEEN(0,100)*RANDBETWEEN(0,10)-RANDBETWEEN(0,10)</f>
        <v>105</v>
      </c>
      <c r="E84" t="b">
        <f>COUNTIF(dict_zuord_Meth_Pos[ID_Positions], table_Positions[[#This Row],[ID]]) &gt; 0</f>
        <v>0</v>
      </c>
    </row>
    <row r="85" spans="1:5" x14ac:dyDescent="0.45">
      <c r="A85">
        <v>83</v>
      </c>
      <c r="B85" t="str">
        <f>CONCATENATE("Position ",table_Positions[[#This Row],[ID]])</f>
        <v>Position 83</v>
      </c>
      <c r="C85">
        <f t="shared" ca="1" si="1"/>
        <v>11</v>
      </c>
      <c r="D85">
        <f ca="1">table_Positions[[#This Row],[temp_lb]]+10+RANDBETWEEN(0,100)*RANDBETWEEN(0,10)-RANDBETWEEN(0,10)</f>
        <v>18</v>
      </c>
      <c r="E85" t="b">
        <f>COUNTIF(dict_zuord_Meth_Pos[ID_Positions], table_Positions[[#This Row],[ID]]) &gt; 0</f>
        <v>0</v>
      </c>
    </row>
    <row r="86" spans="1:5" x14ac:dyDescent="0.45">
      <c r="A86">
        <v>84</v>
      </c>
      <c r="B86" t="str">
        <f>CONCATENATE("Position ",table_Positions[[#This Row],[ID]])</f>
        <v>Position 84</v>
      </c>
      <c r="C86">
        <f t="shared" ca="1" si="1"/>
        <v>12</v>
      </c>
      <c r="D86">
        <f ca="1">table_Positions[[#This Row],[temp_lb]]+10+RANDBETWEEN(0,100)*RANDBETWEEN(0,10)-RANDBETWEEN(0,10)</f>
        <v>387</v>
      </c>
      <c r="E86" t="b">
        <f>COUNTIF(dict_zuord_Meth_Pos[ID_Positions], table_Positions[[#This Row],[ID]]) &gt; 0</f>
        <v>0</v>
      </c>
    </row>
    <row r="87" spans="1:5" x14ac:dyDescent="0.45">
      <c r="A87">
        <v>85</v>
      </c>
      <c r="B87" t="str">
        <f>CONCATENATE("Position ",table_Positions[[#This Row],[ID]])</f>
        <v>Position 85</v>
      </c>
      <c r="C87">
        <f t="shared" ca="1" si="1"/>
        <v>47</v>
      </c>
      <c r="D87">
        <f ca="1">table_Positions[[#This Row],[temp_lb]]+10+RANDBETWEEN(0,100)*RANDBETWEEN(0,10)-RANDBETWEEN(0,10)</f>
        <v>53</v>
      </c>
      <c r="E87" t="b">
        <f>COUNTIF(dict_zuord_Meth_Pos[ID_Positions], table_Positions[[#This Row],[ID]]) &gt; 0</f>
        <v>0</v>
      </c>
    </row>
    <row r="88" spans="1:5" x14ac:dyDescent="0.45">
      <c r="A88">
        <v>86</v>
      </c>
      <c r="B88" t="str">
        <f>CONCATENATE("Position ",table_Positions[[#This Row],[ID]])</f>
        <v>Position 86</v>
      </c>
      <c r="C88">
        <f t="shared" ca="1" si="1"/>
        <v>82</v>
      </c>
      <c r="D88">
        <f ca="1">table_Positions[[#This Row],[temp_lb]]+10+RANDBETWEEN(0,100)*RANDBETWEEN(0,10)-RANDBETWEEN(0,10)</f>
        <v>234</v>
      </c>
      <c r="E88" t="b">
        <f>COUNTIF(dict_zuord_Meth_Pos[ID_Positions], table_Positions[[#This Row],[ID]]) &gt; 0</f>
        <v>0</v>
      </c>
    </row>
    <row r="89" spans="1:5" x14ac:dyDescent="0.45">
      <c r="A89">
        <v>87</v>
      </c>
      <c r="B89" t="str">
        <f>CONCATENATE("Position ",table_Positions[[#This Row],[ID]])</f>
        <v>Position 87</v>
      </c>
      <c r="C89">
        <f t="shared" ca="1" si="1"/>
        <v>27</v>
      </c>
      <c r="D89">
        <f ca="1">table_Positions[[#This Row],[temp_lb]]+10+RANDBETWEEN(0,100)*RANDBETWEEN(0,10)-RANDBETWEEN(0,10)</f>
        <v>340</v>
      </c>
      <c r="E89" t="b">
        <f>COUNTIF(dict_zuord_Meth_Pos[ID_Positions], table_Positions[[#This Row],[ID]]) &gt; 0</f>
        <v>0</v>
      </c>
    </row>
    <row r="90" spans="1:5" x14ac:dyDescent="0.45">
      <c r="A90">
        <v>88</v>
      </c>
      <c r="B90" t="str">
        <f>CONCATENATE("Position ",table_Positions[[#This Row],[ID]])</f>
        <v>Position 88</v>
      </c>
      <c r="C90">
        <f t="shared" ca="1" si="1"/>
        <v>18</v>
      </c>
      <c r="D90">
        <f ca="1">table_Positions[[#This Row],[temp_lb]]+10+RANDBETWEEN(0,100)*RANDBETWEEN(0,10)-RANDBETWEEN(0,10)</f>
        <v>394</v>
      </c>
      <c r="E90" t="b">
        <f>COUNTIF(dict_zuord_Meth_Pos[ID_Positions], table_Positions[[#This Row],[ID]]) &gt; 0</f>
        <v>0</v>
      </c>
    </row>
    <row r="91" spans="1:5" x14ac:dyDescent="0.45">
      <c r="A91">
        <v>89</v>
      </c>
      <c r="B91" t="str">
        <f>CONCATENATE("Position ",table_Positions[[#This Row],[ID]])</f>
        <v>Position 89</v>
      </c>
      <c r="C91">
        <f t="shared" ca="1" si="1"/>
        <v>40</v>
      </c>
      <c r="D91">
        <f ca="1">table_Positions[[#This Row],[temp_lb]]+10+RANDBETWEEN(0,100)*RANDBETWEEN(0,10)-RANDBETWEEN(0,10)</f>
        <v>76</v>
      </c>
      <c r="E91" t="b">
        <f>COUNTIF(dict_zuord_Meth_Pos[ID_Positions], table_Positions[[#This Row],[ID]]) &gt; 0</f>
        <v>0</v>
      </c>
    </row>
    <row r="92" spans="1:5" x14ac:dyDescent="0.45">
      <c r="A92">
        <v>90</v>
      </c>
      <c r="B92" t="str">
        <f>CONCATENATE("Position ",table_Positions[[#This Row],[ID]])</f>
        <v>Position 90</v>
      </c>
      <c r="C92">
        <f t="shared" ca="1" si="1"/>
        <v>19</v>
      </c>
      <c r="D92">
        <f ca="1">table_Positions[[#This Row],[temp_lb]]+10+RANDBETWEEN(0,100)*RANDBETWEEN(0,10)-RANDBETWEEN(0,10)</f>
        <v>39</v>
      </c>
      <c r="E92" t="b">
        <f>COUNTIF(dict_zuord_Meth_Pos[ID_Positions], table_Positions[[#This Row],[ID]]) &gt; 0</f>
        <v>0</v>
      </c>
    </row>
    <row r="93" spans="1:5" x14ac:dyDescent="0.45">
      <c r="A93">
        <v>91</v>
      </c>
      <c r="B93" t="str">
        <f>CONCATENATE("Position ",table_Positions[[#This Row],[ID]])</f>
        <v>Position 91</v>
      </c>
      <c r="C93">
        <f t="shared" ca="1" si="1"/>
        <v>13</v>
      </c>
      <c r="D93">
        <f ca="1">table_Positions[[#This Row],[temp_lb]]+10+RANDBETWEEN(0,100)*RANDBETWEEN(0,10)-RANDBETWEEN(0,10)</f>
        <v>180</v>
      </c>
      <c r="E93" t="b">
        <f>COUNTIF(dict_zuord_Meth_Pos[ID_Positions], table_Positions[[#This Row],[ID]]) &gt; 0</f>
        <v>0</v>
      </c>
    </row>
    <row r="94" spans="1:5" x14ac:dyDescent="0.45">
      <c r="A94">
        <v>92</v>
      </c>
      <c r="B94" t="str">
        <f>CONCATENATE("Position ",table_Positions[[#This Row],[ID]])</f>
        <v>Position 92</v>
      </c>
      <c r="C94">
        <f t="shared" ca="1" si="1"/>
        <v>12</v>
      </c>
      <c r="D94">
        <f ca="1">table_Positions[[#This Row],[temp_lb]]+10+RANDBETWEEN(0,100)*RANDBETWEEN(0,10)-RANDBETWEEN(0,10)</f>
        <v>201</v>
      </c>
      <c r="E94" t="b">
        <f>COUNTIF(dict_zuord_Meth_Pos[ID_Positions], table_Positions[[#This Row],[ID]]) &gt; 0</f>
        <v>0</v>
      </c>
    </row>
    <row r="95" spans="1:5" x14ac:dyDescent="0.45">
      <c r="A95">
        <v>93</v>
      </c>
      <c r="B95" t="str">
        <f>CONCATENATE("Position ",table_Positions[[#This Row],[ID]])</f>
        <v>Position 93</v>
      </c>
      <c r="C95">
        <f t="shared" ca="1" si="1"/>
        <v>34</v>
      </c>
      <c r="D95">
        <f ca="1">table_Positions[[#This Row],[temp_lb]]+10+RANDBETWEEN(0,100)*RANDBETWEEN(0,10)-RANDBETWEEN(0,10)</f>
        <v>578</v>
      </c>
      <c r="E95" t="b">
        <f>COUNTIF(dict_zuord_Meth_Pos[ID_Positions], table_Positions[[#This Row],[ID]]) &gt; 0</f>
        <v>0</v>
      </c>
    </row>
    <row r="96" spans="1:5" x14ac:dyDescent="0.45">
      <c r="A96">
        <v>94</v>
      </c>
      <c r="B96" t="str">
        <f>CONCATENATE("Position ",table_Positions[[#This Row],[ID]])</f>
        <v>Position 94</v>
      </c>
      <c r="C96">
        <f t="shared" ca="1" si="1"/>
        <v>22</v>
      </c>
      <c r="D96">
        <f ca="1">table_Positions[[#This Row],[temp_lb]]+10+RANDBETWEEN(0,100)*RANDBETWEEN(0,10)-RANDBETWEEN(0,10)</f>
        <v>364</v>
      </c>
      <c r="E96" t="b">
        <f>COUNTIF(dict_zuord_Meth_Pos[ID_Positions], table_Positions[[#This Row],[ID]]) &gt; 0</f>
        <v>0</v>
      </c>
    </row>
    <row r="97" spans="1:5" x14ac:dyDescent="0.45">
      <c r="A97">
        <v>95</v>
      </c>
      <c r="B97" t="str">
        <f>CONCATENATE("Position ",table_Positions[[#This Row],[ID]])</f>
        <v>Position 95</v>
      </c>
      <c r="C97">
        <f t="shared" ca="1" si="1"/>
        <v>9</v>
      </c>
      <c r="D97">
        <f ca="1">table_Positions[[#This Row],[temp_lb]]+10+RANDBETWEEN(0,100)*RANDBETWEEN(0,10)-RANDBETWEEN(0,10)</f>
        <v>417</v>
      </c>
      <c r="E97" t="b">
        <f>COUNTIF(dict_zuord_Meth_Pos[ID_Positions], table_Positions[[#This Row],[ID]]) &gt; 0</f>
        <v>0</v>
      </c>
    </row>
    <row r="98" spans="1:5" x14ac:dyDescent="0.45">
      <c r="A98">
        <v>96</v>
      </c>
      <c r="B98" t="str">
        <f>CONCATENATE("Position ",table_Positions[[#This Row],[ID]])</f>
        <v>Position 96</v>
      </c>
      <c r="C98">
        <f t="shared" ca="1" si="1"/>
        <v>11</v>
      </c>
      <c r="D98">
        <f ca="1">table_Positions[[#This Row],[temp_lb]]+10+RANDBETWEEN(0,100)*RANDBETWEEN(0,10)-RANDBETWEEN(0,10)</f>
        <v>273</v>
      </c>
      <c r="E98" t="b">
        <f>COUNTIF(dict_zuord_Meth_Pos[ID_Positions], table_Positions[[#This Row],[ID]]) &gt; 0</f>
        <v>0</v>
      </c>
    </row>
    <row r="99" spans="1:5" x14ac:dyDescent="0.45">
      <c r="A99">
        <v>97</v>
      </c>
      <c r="B99" t="str">
        <f>CONCATENATE("Position ",table_Positions[[#This Row],[ID]])</f>
        <v>Position 97</v>
      </c>
      <c r="C99">
        <f t="shared" ca="1" si="1"/>
        <v>6</v>
      </c>
      <c r="D99">
        <f ca="1">table_Positions[[#This Row],[temp_lb]]+10+RANDBETWEEN(0,100)*RANDBETWEEN(0,10)-RANDBETWEEN(0,10)</f>
        <v>6</v>
      </c>
      <c r="E99" t="b">
        <f>COUNTIF(dict_zuord_Meth_Pos[ID_Positions], table_Positions[[#This Row],[ID]]) &gt; 0</f>
        <v>0</v>
      </c>
    </row>
    <row r="100" spans="1:5" x14ac:dyDescent="0.45">
      <c r="A100">
        <v>98</v>
      </c>
      <c r="B100" t="str">
        <f>CONCATENATE("Position ",table_Positions[[#This Row],[ID]])</f>
        <v>Position 98</v>
      </c>
      <c r="C100">
        <f t="shared" ca="1" si="1"/>
        <v>59</v>
      </c>
      <c r="D100">
        <f ca="1">table_Positions[[#This Row],[temp_lb]]+10+RANDBETWEEN(0,100)*RANDBETWEEN(0,10)-RANDBETWEEN(0,10)</f>
        <v>167</v>
      </c>
      <c r="E100" t="b">
        <f>COUNTIF(dict_zuord_Meth_Pos[ID_Positions], table_Positions[[#This Row],[ID]]) &gt; 0</f>
        <v>0</v>
      </c>
    </row>
    <row r="101" spans="1:5" x14ac:dyDescent="0.45">
      <c r="A101">
        <v>99</v>
      </c>
      <c r="B101" t="str">
        <f>CONCATENATE("Position ",table_Positions[[#This Row],[ID]])</f>
        <v>Position 99</v>
      </c>
      <c r="C101">
        <f t="shared" ca="1" si="1"/>
        <v>18</v>
      </c>
      <c r="D101">
        <f ca="1">table_Positions[[#This Row],[temp_lb]]+10+RANDBETWEEN(0,100)*RANDBETWEEN(0,10)-RANDBETWEEN(0,10)</f>
        <v>351</v>
      </c>
      <c r="E101" t="b">
        <f>COUNTIF(dict_zuord_Meth_Pos[ID_Positions], table_Positions[[#This Row],[ID]]) &gt; 0</f>
        <v>0</v>
      </c>
    </row>
    <row r="102" spans="1:5" x14ac:dyDescent="0.45">
      <c r="A102">
        <v>100</v>
      </c>
      <c r="B102" t="str">
        <f>CONCATENATE("Position ",table_Positions[[#This Row],[ID]])</f>
        <v>Position 100</v>
      </c>
      <c r="C102">
        <f t="shared" ca="1" si="1"/>
        <v>22</v>
      </c>
      <c r="D102">
        <f ca="1">table_Positions[[#This Row],[temp_lb]]+10+RANDBETWEEN(0,100)*RANDBETWEEN(0,10)-RANDBETWEEN(0,10)</f>
        <v>218</v>
      </c>
      <c r="E102" t="b">
        <f>COUNTIF(dict_zuord_Meth_Pos[ID_Positions], table_Positions[[#This Row],[ID]]) &gt; 0</f>
        <v>0</v>
      </c>
    </row>
    <row r="103" spans="1:5" x14ac:dyDescent="0.45">
      <c r="A103">
        <v>101</v>
      </c>
      <c r="B103" t="str">
        <f>CONCATENATE("Position ",table_Positions[[#This Row],[ID]])</f>
        <v>Position 101</v>
      </c>
      <c r="C103">
        <f t="shared" ca="1" si="1"/>
        <v>99</v>
      </c>
      <c r="D103">
        <f ca="1">table_Positions[[#This Row],[temp_lb]]+10+RANDBETWEEN(0,100)*RANDBETWEEN(0,10)-RANDBETWEEN(0,10)</f>
        <v>634</v>
      </c>
      <c r="E103" t="b">
        <f>COUNTIF(dict_zuord_Meth_Pos[ID_Positions], table_Positions[[#This Row],[ID]]) &gt; 0</f>
        <v>0</v>
      </c>
    </row>
    <row r="104" spans="1:5" x14ac:dyDescent="0.45">
      <c r="A104">
        <v>102</v>
      </c>
      <c r="B104" t="str">
        <f>CONCATENATE("Position ",table_Positions[[#This Row],[ID]])</f>
        <v>Position 102</v>
      </c>
      <c r="C104">
        <f t="shared" ca="1" si="1"/>
        <v>24</v>
      </c>
      <c r="D104">
        <f ca="1">table_Positions[[#This Row],[temp_lb]]+10+RANDBETWEEN(0,100)*RANDBETWEEN(0,10)-RANDBETWEEN(0,10)</f>
        <v>579</v>
      </c>
      <c r="E104" t="b">
        <f>COUNTIF(dict_zuord_Meth_Pos[ID_Positions], table_Positions[[#This Row],[ID]]) &gt; 0</f>
        <v>0</v>
      </c>
    </row>
    <row r="105" spans="1:5" x14ac:dyDescent="0.45">
      <c r="A105">
        <v>103</v>
      </c>
      <c r="B105" t="str">
        <f>CONCATENATE("Position ",table_Positions[[#This Row],[ID]])</f>
        <v>Position 103</v>
      </c>
      <c r="C105">
        <f t="shared" ca="1" si="1"/>
        <v>10</v>
      </c>
      <c r="D105">
        <f ca="1">table_Positions[[#This Row],[temp_lb]]+10+RANDBETWEEN(0,100)*RANDBETWEEN(0,10)-RANDBETWEEN(0,10)</f>
        <v>58</v>
      </c>
      <c r="E105" t="b">
        <f>COUNTIF(dict_zuord_Meth_Pos[ID_Positions], table_Positions[[#This Row],[ID]]) &gt; 0</f>
        <v>0</v>
      </c>
    </row>
    <row r="106" spans="1:5" x14ac:dyDescent="0.45">
      <c r="A106">
        <v>104</v>
      </c>
      <c r="B106" t="str">
        <f>CONCATENATE("Position ",table_Positions[[#This Row],[ID]])</f>
        <v>Position 104</v>
      </c>
      <c r="C106">
        <f t="shared" ca="1" si="1"/>
        <v>14</v>
      </c>
      <c r="D106">
        <f ca="1">table_Positions[[#This Row],[temp_lb]]+10+RANDBETWEEN(0,100)*RANDBETWEEN(0,10)-RANDBETWEEN(0,10)</f>
        <v>181</v>
      </c>
      <c r="E106" t="b">
        <f>COUNTIF(dict_zuord_Meth_Pos[ID_Positions], table_Positions[[#This Row],[ID]]) &gt; 0</f>
        <v>0</v>
      </c>
    </row>
    <row r="107" spans="1:5" x14ac:dyDescent="0.45">
      <c r="A107">
        <v>105</v>
      </c>
      <c r="B107" t="str">
        <f>CONCATENATE("Position ",table_Positions[[#This Row],[ID]])</f>
        <v>Position 105</v>
      </c>
      <c r="C107">
        <f t="shared" ca="1" si="1"/>
        <v>21</v>
      </c>
      <c r="D107">
        <f ca="1">table_Positions[[#This Row],[temp_lb]]+10+RANDBETWEEN(0,100)*RANDBETWEEN(0,10)-RANDBETWEEN(0,10)</f>
        <v>92</v>
      </c>
      <c r="E107" t="b">
        <f>COUNTIF(dict_zuord_Meth_Pos[ID_Positions], table_Positions[[#This Row],[ID]]) &gt; 0</f>
        <v>0</v>
      </c>
    </row>
    <row r="108" spans="1:5" x14ac:dyDescent="0.45">
      <c r="A108">
        <v>106</v>
      </c>
      <c r="B108" t="str">
        <f>CONCATENATE("Position ",table_Positions[[#This Row],[ID]])</f>
        <v>Position 106</v>
      </c>
      <c r="C108">
        <f t="shared" ca="1" si="1"/>
        <v>105</v>
      </c>
      <c r="D108">
        <f ca="1">table_Positions[[#This Row],[temp_lb]]+10+RANDBETWEEN(0,100)*RANDBETWEEN(0,10)-RANDBETWEEN(0,10)</f>
        <v>431</v>
      </c>
      <c r="E108" t="b">
        <f>COUNTIF(dict_zuord_Meth_Pos[ID_Positions], table_Positions[[#This Row],[ID]]) &gt; 0</f>
        <v>0</v>
      </c>
    </row>
    <row r="109" spans="1:5" x14ac:dyDescent="0.45">
      <c r="A109">
        <v>107</v>
      </c>
      <c r="B109" t="str">
        <f>CONCATENATE("Position ",table_Positions[[#This Row],[ID]])</f>
        <v>Position 107</v>
      </c>
      <c r="C109">
        <f t="shared" ca="1" si="1"/>
        <v>21</v>
      </c>
      <c r="D109">
        <f ca="1">table_Positions[[#This Row],[temp_lb]]+10+RANDBETWEEN(0,100)*RANDBETWEEN(0,10)-RANDBETWEEN(0,10)</f>
        <v>69</v>
      </c>
      <c r="E109" t="b">
        <f>COUNTIF(dict_zuord_Meth_Pos[ID_Positions], table_Positions[[#This Row],[ID]]) &gt; 0</f>
        <v>0</v>
      </c>
    </row>
    <row r="110" spans="1:5" x14ac:dyDescent="0.45">
      <c r="A110">
        <v>108</v>
      </c>
      <c r="B110" t="str">
        <f>CONCATENATE("Position ",table_Positions[[#This Row],[ID]])</f>
        <v>Position 108</v>
      </c>
      <c r="C110">
        <f t="shared" ca="1" si="1"/>
        <v>91</v>
      </c>
      <c r="D110">
        <f ca="1">table_Positions[[#This Row],[temp_lb]]+10+RANDBETWEEN(0,100)*RANDBETWEEN(0,10)-RANDBETWEEN(0,10)</f>
        <v>303</v>
      </c>
      <c r="E110" t="b">
        <f>COUNTIF(dict_zuord_Meth_Pos[ID_Positions], table_Positions[[#This Row],[ID]]) &gt; 0</f>
        <v>0</v>
      </c>
    </row>
    <row r="111" spans="1:5" x14ac:dyDescent="0.45">
      <c r="A111">
        <v>109</v>
      </c>
      <c r="B111" t="str">
        <f>CONCATENATE("Position ",table_Positions[[#This Row],[ID]])</f>
        <v>Position 109</v>
      </c>
      <c r="C111">
        <f t="shared" ca="1" si="1"/>
        <v>6</v>
      </c>
      <c r="D111">
        <f ca="1">table_Positions[[#This Row],[temp_lb]]+10+RANDBETWEEN(0,100)*RANDBETWEEN(0,10)-RANDBETWEEN(0,10)</f>
        <v>83</v>
      </c>
      <c r="E111" t="b">
        <f>COUNTIF(dict_zuord_Meth_Pos[ID_Positions], table_Positions[[#This Row],[ID]]) &gt; 0</f>
        <v>0</v>
      </c>
    </row>
    <row r="112" spans="1:5" x14ac:dyDescent="0.45">
      <c r="A112">
        <v>110</v>
      </c>
      <c r="B112" t="str">
        <f>CONCATENATE("Position ",table_Positions[[#This Row],[ID]])</f>
        <v>Position 110</v>
      </c>
      <c r="C112">
        <f t="shared" ca="1" si="1"/>
        <v>87</v>
      </c>
      <c r="D112">
        <f ca="1">table_Positions[[#This Row],[temp_lb]]+10+RANDBETWEEN(0,100)*RANDBETWEEN(0,10)-RANDBETWEEN(0,10)</f>
        <v>160</v>
      </c>
      <c r="E112" t="b">
        <f>COUNTIF(dict_zuord_Meth_Pos[ID_Positions], table_Positions[[#This Row],[ID]]) &gt; 0</f>
        <v>0</v>
      </c>
    </row>
    <row r="113" spans="1:5" x14ac:dyDescent="0.45">
      <c r="A113">
        <v>111</v>
      </c>
      <c r="B113" t="str">
        <f>CONCATENATE("Position ",table_Positions[[#This Row],[ID]])</f>
        <v>Position 111</v>
      </c>
      <c r="C113">
        <f t="shared" ca="1" si="1"/>
        <v>20</v>
      </c>
      <c r="D113">
        <f ca="1">table_Positions[[#This Row],[temp_lb]]+10+RANDBETWEEN(0,100)*RANDBETWEEN(0,10)-RANDBETWEEN(0,10)</f>
        <v>138</v>
      </c>
      <c r="E113" t="b">
        <f>COUNTIF(dict_zuord_Meth_Pos[ID_Positions], table_Positions[[#This Row],[ID]]) &gt; 0</f>
        <v>0</v>
      </c>
    </row>
    <row r="114" spans="1:5" x14ac:dyDescent="0.45">
      <c r="A114">
        <v>112</v>
      </c>
      <c r="B114" t="str">
        <f>CONCATENATE("Position ",table_Positions[[#This Row],[ID]])</f>
        <v>Position 112</v>
      </c>
      <c r="C114">
        <f t="shared" ca="1" si="1"/>
        <v>8</v>
      </c>
      <c r="D114">
        <f ca="1">table_Positions[[#This Row],[temp_lb]]+10+RANDBETWEEN(0,100)*RANDBETWEEN(0,10)-RANDBETWEEN(0,10)</f>
        <v>371</v>
      </c>
      <c r="E114" t="b">
        <f>COUNTIF(dict_zuord_Meth_Pos[ID_Positions], table_Positions[[#This Row],[ID]]) &gt; 0</f>
        <v>0</v>
      </c>
    </row>
    <row r="115" spans="1:5" x14ac:dyDescent="0.45">
      <c r="A115">
        <v>113</v>
      </c>
      <c r="B115" t="str">
        <f>CONCATENATE("Position ",table_Positions[[#This Row],[ID]])</f>
        <v>Position 113</v>
      </c>
      <c r="C115">
        <f t="shared" ca="1" si="1"/>
        <v>24</v>
      </c>
      <c r="D115">
        <f ca="1">table_Positions[[#This Row],[temp_lb]]+10+RANDBETWEEN(0,100)*RANDBETWEEN(0,10)-RANDBETWEEN(0,10)</f>
        <v>116</v>
      </c>
      <c r="E115" t="b">
        <f>COUNTIF(dict_zuord_Meth_Pos[ID_Positions], table_Positions[[#This Row],[ID]]) &gt; 0</f>
        <v>0</v>
      </c>
    </row>
    <row r="116" spans="1:5" x14ac:dyDescent="0.45">
      <c r="A116">
        <v>114</v>
      </c>
      <c r="B116" t="str">
        <f>CONCATENATE("Position ",table_Positions[[#This Row],[ID]])</f>
        <v>Position 114</v>
      </c>
      <c r="C116">
        <f t="shared" ca="1" si="1"/>
        <v>15</v>
      </c>
      <c r="D116">
        <f ca="1">table_Positions[[#This Row],[temp_lb]]+10+RANDBETWEEN(0,100)*RANDBETWEEN(0,10)-RANDBETWEEN(0,10)</f>
        <v>387</v>
      </c>
      <c r="E116" t="b">
        <f>COUNTIF(dict_zuord_Meth_Pos[ID_Positions], table_Positions[[#This Row],[ID]]) &gt; 0</f>
        <v>0</v>
      </c>
    </row>
    <row r="117" spans="1:5" x14ac:dyDescent="0.45">
      <c r="A117">
        <v>115</v>
      </c>
      <c r="B117" t="str">
        <f>CONCATENATE("Position ",table_Positions[[#This Row],[ID]])</f>
        <v>Position 115</v>
      </c>
      <c r="C117">
        <f t="shared" ca="1" si="1"/>
        <v>90</v>
      </c>
      <c r="D117">
        <f ca="1">table_Positions[[#This Row],[temp_lb]]+10+RANDBETWEEN(0,100)*RANDBETWEEN(0,10)-RANDBETWEEN(0,10)</f>
        <v>510</v>
      </c>
      <c r="E117" t="b">
        <f>COUNTIF(dict_zuord_Meth_Pos[ID_Positions], table_Positions[[#This Row],[ID]]) &gt; 0</f>
        <v>0</v>
      </c>
    </row>
    <row r="118" spans="1:5" x14ac:dyDescent="0.45">
      <c r="A118">
        <v>116</v>
      </c>
      <c r="B118" t="str">
        <f>CONCATENATE("Position ",table_Positions[[#This Row],[ID]])</f>
        <v>Position 116</v>
      </c>
      <c r="C118">
        <f t="shared" ca="1" si="1"/>
        <v>38</v>
      </c>
      <c r="D118">
        <f ca="1">table_Positions[[#This Row],[temp_lb]]+10+RANDBETWEEN(0,100)*RANDBETWEEN(0,10)-RANDBETWEEN(0,10)</f>
        <v>70</v>
      </c>
      <c r="E118" t="b">
        <f>COUNTIF(dict_zuord_Meth_Pos[ID_Positions], table_Positions[[#This Row],[ID]]) &gt; 0</f>
        <v>0</v>
      </c>
    </row>
    <row r="119" spans="1:5" x14ac:dyDescent="0.45">
      <c r="A119">
        <v>117</v>
      </c>
      <c r="B119" t="str">
        <f>CONCATENATE("Position ",table_Positions[[#This Row],[ID]])</f>
        <v>Position 117</v>
      </c>
      <c r="C119">
        <f t="shared" ca="1" si="1"/>
        <v>13</v>
      </c>
      <c r="D119">
        <f ca="1">table_Positions[[#This Row],[temp_lb]]+10+RANDBETWEEN(0,100)*RANDBETWEEN(0,10)-RANDBETWEEN(0,10)</f>
        <v>470</v>
      </c>
      <c r="E119" t="b">
        <f>COUNTIF(dict_zuord_Meth_Pos[ID_Positions], table_Positions[[#This Row],[ID]]) &gt; 0</f>
        <v>0</v>
      </c>
    </row>
    <row r="120" spans="1:5" x14ac:dyDescent="0.45">
      <c r="A120">
        <v>118</v>
      </c>
      <c r="B120" t="str">
        <f>CONCATENATE("Position ",table_Positions[[#This Row],[ID]])</f>
        <v>Position 118</v>
      </c>
      <c r="C120">
        <f t="shared" ca="1" si="1"/>
        <v>26</v>
      </c>
      <c r="D120">
        <f ca="1">table_Positions[[#This Row],[temp_lb]]+10+RANDBETWEEN(0,100)*RANDBETWEEN(0,10)-RANDBETWEEN(0,10)</f>
        <v>382</v>
      </c>
      <c r="E120" t="b">
        <f>COUNTIF(dict_zuord_Meth_Pos[ID_Positions], table_Positions[[#This Row],[ID]]) &gt; 0</f>
        <v>0</v>
      </c>
    </row>
    <row r="121" spans="1:5" x14ac:dyDescent="0.45">
      <c r="A121">
        <v>119</v>
      </c>
      <c r="B121" t="str">
        <f>CONCATENATE("Position ",table_Positions[[#This Row],[ID]])</f>
        <v>Position 119</v>
      </c>
      <c r="C121">
        <f t="shared" ca="1" si="1"/>
        <v>16</v>
      </c>
      <c r="D121">
        <f ca="1">table_Positions[[#This Row],[temp_lb]]+10+RANDBETWEEN(0,100)*RANDBETWEEN(0,10)-RANDBETWEEN(0,10)</f>
        <v>216</v>
      </c>
      <c r="E121" t="b">
        <f>COUNTIF(dict_zuord_Meth_Pos[ID_Positions], table_Positions[[#This Row],[ID]]) &gt; 0</f>
        <v>0</v>
      </c>
    </row>
    <row r="122" spans="1:5" x14ac:dyDescent="0.45">
      <c r="A122">
        <v>120</v>
      </c>
      <c r="B122" t="str">
        <f>CONCATENATE("Position ",table_Positions[[#This Row],[ID]])</f>
        <v>Position 120</v>
      </c>
      <c r="C122">
        <f t="shared" ca="1" si="1"/>
        <v>34</v>
      </c>
      <c r="D122">
        <f ca="1">table_Positions[[#This Row],[temp_lb]]+10+RANDBETWEEN(0,100)*RANDBETWEEN(0,10)-RANDBETWEEN(0,10)</f>
        <v>108</v>
      </c>
      <c r="E122" t="b">
        <f>COUNTIF(dict_zuord_Meth_Pos[ID_Positions], table_Positions[[#This Row],[ID]]) &gt; 0</f>
        <v>0</v>
      </c>
    </row>
    <row r="123" spans="1:5" x14ac:dyDescent="0.45">
      <c r="A123">
        <v>121</v>
      </c>
      <c r="B123" t="str">
        <f>CONCATENATE("Position ",table_Positions[[#This Row],[ID]])</f>
        <v>Position 121</v>
      </c>
      <c r="C123">
        <f t="shared" ca="1" si="1"/>
        <v>48</v>
      </c>
      <c r="D123">
        <f ca="1">table_Positions[[#This Row],[temp_lb]]+10+RANDBETWEEN(0,100)*RANDBETWEEN(0,10)-RANDBETWEEN(0,10)</f>
        <v>930</v>
      </c>
      <c r="E123" t="b">
        <f>COUNTIF(dict_zuord_Meth_Pos[ID_Positions], table_Positions[[#This Row],[ID]]) &gt; 0</f>
        <v>0</v>
      </c>
    </row>
    <row r="124" spans="1:5" x14ac:dyDescent="0.45">
      <c r="A124">
        <v>122</v>
      </c>
      <c r="B124" t="str">
        <f>CONCATENATE("Position ",table_Positions[[#This Row],[ID]])</f>
        <v>Position 122</v>
      </c>
      <c r="C124">
        <f t="shared" ca="1" si="1"/>
        <v>24</v>
      </c>
      <c r="D124">
        <f ca="1">table_Positions[[#This Row],[temp_lb]]+10+RANDBETWEEN(0,100)*RANDBETWEEN(0,10)-RANDBETWEEN(0,10)</f>
        <v>34</v>
      </c>
      <c r="E124" t="b">
        <f>COUNTIF(dict_zuord_Meth_Pos[ID_Positions], table_Positions[[#This Row],[ID]]) &gt; 0</f>
        <v>0</v>
      </c>
    </row>
    <row r="125" spans="1:5" x14ac:dyDescent="0.45">
      <c r="A125">
        <v>123</v>
      </c>
      <c r="B125" t="str">
        <f>CONCATENATE("Position ",table_Positions[[#This Row],[ID]])</f>
        <v>Position 123</v>
      </c>
      <c r="C125">
        <f t="shared" ca="1" si="1"/>
        <v>31</v>
      </c>
      <c r="D125">
        <f ca="1">table_Positions[[#This Row],[temp_lb]]+10+RANDBETWEEN(0,100)*RANDBETWEEN(0,10)-RANDBETWEEN(0,10)</f>
        <v>296</v>
      </c>
      <c r="E125" t="b">
        <f>COUNTIF(dict_zuord_Meth_Pos[ID_Positions], table_Positions[[#This Row],[ID]]) &gt; 0</f>
        <v>0</v>
      </c>
    </row>
    <row r="126" spans="1:5" x14ac:dyDescent="0.45">
      <c r="A126">
        <v>124</v>
      </c>
      <c r="B126" t="str">
        <f>CONCATENATE("Position ",table_Positions[[#This Row],[ID]])</f>
        <v>Position 124</v>
      </c>
      <c r="C126">
        <f t="shared" ca="1" si="1"/>
        <v>105</v>
      </c>
      <c r="D126">
        <f ca="1">table_Positions[[#This Row],[temp_lb]]+10+RANDBETWEEN(0,100)*RANDBETWEEN(0,10)-RANDBETWEEN(0,10)</f>
        <v>247</v>
      </c>
      <c r="E126" t="b">
        <f>COUNTIF(dict_zuord_Meth_Pos[ID_Positions], table_Positions[[#This Row],[ID]]) &gt; 0</f>
        <v>0</v>
      </c>
    </row>
    <row r="127" spans="1:5" x14ac:dyDescent="0.45">
      <c r="A127">
        <v>125</v>
      </c>
      <c r="B127" t="str">
        <f>CONCATENATE("Position ",table_Positions[[#This Row],[ID]])</f>
        <v>Position 125</v>
      </c>
      <c r="C127">
        <f t="shared" ca="1" si="1"/>
        <v>56</v>
      </c>
      <c r="D127">
        <f ca="1">table_Positions[[#This Row],[temp_lb]]+10+RANDBETWEEN(0,100)*RANDBETWEEN(0,10)-RANDBETWEEN(0,10)</f>
        <v>111</v>
      </c>
      <c r="E127" t="b">
        <f>COUNTIF(dict_zuord_Meth_Pos[ID_Positions], table_Positions[[#This Row],[ID]]) &gt; 0</f>
        <v>0</v>
      </c>
    </row>
    <row r="128" spans="1:5" x14ac:dyDescent="0.45">
      <c r="A128">
        <v>126</v>
      </c>
      <c r="B128" t="str">
        <f>CONCATENATE("Position ",table_Positions[[#This Row],[ID]])</f>
        <v>Position 126</v>
      </c>
      <c r="C128">
        <f t="shared" ca="1" si="1"/>
        <v>38</v>
      </c>
      <c r="D128">
        <f ca="1">table_Positions[[#This Row],[temp_lb]]+10+RANDBETWEEN(0,100)*RANDBETWEEN(0,10)-RANDBETWEEN(0,10)</f>
        <v>238</v>
      </c>
      <c r="E128" t="b">
        <f>COUNTIF(dict_zuord_Meth_Pos[ID_Positions], table_Positions[[#This Row],[ID]]) &gt; 0</f>
        <v>0</v>
      </c>
    </row>
    <row r="129" spans="1:5" x14ac:dyDescent="0.45">
      <c r="A129">
        <v>127</v>
      </c>
      <c r="B129" t="str">
        <f>CONCATENATE("Position ",table_Positions[[#This Row],[ID]])</f>
        <v>Position 127</v>
      </c>
      <c r="C129">
        <f t="shared" ca="1" si="1"/>
        <v>84</v>
      </c>
      <c r="D129">
        <f ca="1">table_Positions[[#This Row],[temp_lb]]+10+RANDBETWEEN(0,100)*RANDBETWEEN(0,10)-RANDBETWEEN(0,10)</f>
        <v>875</v>
      </c>
      <c r="E129" t="b">
        <f>COUNTIF(dict_zuord_Meth_Pos[ID_Positions], table_Positions[[#This Row],[ID]]) &gt; 0</f>
        <v>0</v>
      </c>
    </row>
    <row r="130" spans="1:5" x14ac:dyDescent="0.45">
      <c r="A130">
        <v>128</v>
      </c>
      <c r="B130" t="str">
        <f>CONCATENATE("Position ",table_Positions[[#This Row],[ID]])</f>
        <v>Position 128</v>
      </c>
      <c r="C130">
        <f t="shared" ref="C130:C193" ca="1" si="2">20+RANDBETWEEN(0,10)*RANDBETWEEN(0,10)-RANDBETWEEN(0,20)</f>
        <v>17</v>
      </c>
      <c r="D130">
        <f ca="1">table_Positions[[#This Row],[temp_lb]]+10+RANDBETWEEN(0,100)*RANDBETWEEN(0,10)-RANDBETWEEN(0,10)</f>
        <v>461</v>
      </c>
      <c r="E130" t="b">
        <f>COUNTIF(dict_zuord_Meth_Pos[ID_Positions], table_Positions[[#This Row],[ID]]) &gt; 0</f>
        <v>0</v>
      </c>
    </row>
    <row r="131" spans="1:5" x14ac:dyDescent="0.45">
      <c r="A131">
        <v>129</v>
      </c>
      <c r="B131" t="str">
        <f>CONCATENATE("Position ",table_Positions[[#This Row],[ID]])</f>
        <v>Position 129</v>
      </c>
      <c r="C131">
        <f t="shared" ca="1" si="2"/>
        <v>38</v>
      </c>
      <c r="D131">
        <f ca="1">table_Positions[[#This Row],[temp_lb]]+10+RANDBETWEEN(0,100)*RANDBETWEEN(0,10)-RANDBETWEEN(0,10)</f>
        <v>109</v>
      </c>
      <c r="E131" t="b">
        <f>COUNTIF(dict_zuord_Meth_Pos[ID_Positions], table_Positions[[#This Row],[ID]]) &gt; 0</f>
        <v>0</v>
      </c>
    </row>
    <row r="132" spans="1:5" x14ac:dyDescent="0.45">
      <c r="A132">
        <v>130</v>
      </c>
      <c r="B132" t="str">
        <f>CONCATENATE("Position ",table_Positions[[#This Row],[ID]])</f>
        <v>Position 130</v>
      </c>
      <c r="C132">
        <f t="shared" ca="1" si="2"/>
        <v>77</v>
      </c>
      <c r="D132">
        <f ca="1">table_Positions[[#This Row],[temp_lb]]+10+RANDBETWEEN(0,100)*RANDBETWEEN(0,10)-RANDBETWEEN(0,10)</f>
        <v>793</v>
      </c>
      <c r="E132" t="b">
        <f>COUNTIF(dict_zuord_Meth_Pos[ID_Positions], table_Positions[[#This Row],[ID]]) &gt; 0</f>
        <v>0</v>
      </c>
    </row>
    <row r="133" spans="1:5" x14ac:dyDescent="0.45">
      <c r="A133">
        <v>131</v>
      </c>
      <c r="B133" t="str">
        <f>CONCATENATE("Position ",table_Positions[[#This Row],[ID]])</f>
        <v>Position 131</v>
      </c>
      <c r="C133">
        <f t="shared" ca="1" si="2"/>
        <v>27</v>
      </c>
      <c r="D133">
        <f ca="1">table_Positions[[#This Row],[temp_lb]]+10+RANDBETWEEN(0,100)*RANDBETWEEN(0,10)-RANDBETWEEN(0,10)</f>
        <v>244</v>
      </c>
      <c r="E133" t="b">
        <f>COUNTIF(dict_zuord_Meth_Pos[ID_Positions], table_Positions[[#This Row],[ID]]) &gt; 0</f>
        <v>0</v>
      </c>
    </row>
    <row r="134" spans="1:5" x14ac:dyDescent="0.45">
      <c r="A134">
        <v>132</v>
      </c>
      <c r="B134" t="str">
        <f>CONCATENATE("Position ",table_Positions[[#This Row],[ID]])</f>
        <v>Position 132</v>
      </c>
      <c r="C134">
        <f t="shared" ca="1" si="2"/>
        <v>15</v>
      </c>
      <c r="D134">
        <f ca="1">table_Positions[[#This Row],[temp_lb]]+10+RANDBETWEEN(0,100)*RANDBETWEEN(0,10)-RANDBETWEEN(0,10)</f>
        <v>202</v>
      </c>
      <c r="E134" t="b">
        <f>COUNTIF(dict_zuord_Meth_Pos[ID_Positions], table_Positions[[#This Row],[ID]]) &gt; 0</f>
        <v>0</v>
      </c>
    </row>
    <row r="135" spans="1:5" x14ac:dyDescent="0.45">
      <c r="A135">
        <v>133</v>
      </c>
      <c r="B135" t="str">
        <f>CONCATENATE("Position ",table_Positions[[#This Row],[ID]])</f>
        <v>Position 133</v>
      </c>
      <c r="C135">
        <f t="shared" ca="1" si="2"/>
        <v>19</v>
      </c>
      <c r="D135">
        <f ca="1">table_Positions[[#This Row],[temp_lb]]+10+RANDBETWEEN(0,100)*RANDBETWEEN(0,10)-RANDBETWEEN(0,10)</f>
        <v>42</v>
      </c>
      <c r="E135" t="b">
        <f>COUNTIF(dict_zuord_Meth_Pos[ID_Positions], table_Positions[[#This Row],[ID]]) &gt; 0</f>
        <v>0</v>
      </c>
    </row>
    <row r="136" spans="1:5" x14ac:dyDescent="0.45">
      <c r="A136">
        <v>134</v>
      </c>
      <c r="B136" t="str">
        <f>CONCATENATE("Position ",table_Positions[[#This Row],[ID]])</f>
        <v>Position 134</v>
      </c>
      <c r="C136">
        <f t="shared" ca="1" si="2"/>
        <v>69</v>
      </c>
      <c r="D136">
        <f ca="1">table_Positions[[#This Row],[temp_lb]]+10+RANDBETWEEN(0,100)*RANDBETWEEN(0,10)-RANDBETWEEN(0,10)</f>
        <v>358</v>
      </c>
      <c r="E136" t="b">
        <f>COUNTIF(dict_zuord_Meth_Pos[ID_Positions], table_Positions[[#This Row],[ID]]) &gt; 0</f>
        <v>0</v>
      </c>
    </row>
    <row r="137" spans="1:5" x14ac:dyDescent="0.45">
      <c r="A137">
        <v>135</v>
      </c>
      <c r="B137" t="str">
        <f>CONCATENATE("Position ",table_Positions[[#This Row],[ID]])</f>
        <v>Position 135</v>
      </c>
      <c r="C137">
        <f t="shared" ca="1" si="2"/>
        <v>10</v>
      </c>
      <c r="D137">
        <f ca="1">table_Positions[[#This Row],[temp_lb]]+10+RANDBETWEEN(0,100)*RANDBETWEEN(0,10)-RANDBETWEEN(0,10)</f>
        <v>207</v>
      </c>
      <c r="E137" t="b">
        <f>COUNTIF(dict_zuord_Meth_Pos[ID_Positions], table_Positions[[#This Row],[ID]]) &gt; 0</f>
        <v>0</v>
      </c>
    </row>
    <row r="138" spans="1:5" x14ac:dyDescent="0.45">
      <c r="A138">
        <v>136</v>
      </c>
      <c r="B138" t="str">
        <f>CONCATENATE("Position ",table_Positions[[#This Row],[ID]])</f>
        <v>Position 136</v>
      </c>
      <c r="C138">
        <f t="shared" ca="1" si="2"/>
        <v>27</v>
      </c>
      <c r="D138">
        <f ca="1">table_Positions[[#This Row],[temp_lb]]+10+RANDBETWEEN(0,100)*RANDBETWEEN(0,10)-RANDBETWEEN(0,10)</f>
        <v>32</v>
      </c>
      <c r="E138" t="b">
        <f>COUNTIF(dict_zuord_Meth_Pos[ID_Positions], table_Positions[[#This Row],[ID]]) &gt; 0</f>
        <v>0</v>
      </c>
    </row>
    <row r="139" spans="1:5" x14ac:dyDescent="0.45">
      <c r="A139">
        <v>137</v>
      </c>
      <c r="B139" t="str">
        <f>CONCATENATE("Position ",table_Positions[[#This Row],[ID]])</f>
        <v>Position 137</v>
      </c>
      <c r="C139">
        <f t="shared" ca="1" si="2"/>
        <v>8</v>
      </c>
      <c r="D139">
        <f ca="1">table_Positions[[#This Row],[temp_lb]]+10+RANDBETWEEN(0,100)*RANDBETWEEN(0,10)-RANDBETWEEN(0,10)</f>
        <v>15</v>
      </c>
      <c r="E139" t="b">
        <f>COUNTIF(dict_zuord_Meth_Pos[ID_Positions], table_Positions[[#This Row],[ID]]) &gt; 0</f>
        <v>0</v>
      </c>
    </row>
    <row r="140" spans="1:5" x14ac:dyDescent="0.45">
      <c r="A140">
        <v>138</v>
      </c>
      <c r="B140" t="str">
        <f>CONCATENATE("Position ",table_Positions[[#This Row],[ID]])</f>
        <v>Position 138</v>
      </c>
      <c r="C140">
        <f t="shared" ca="1" si="2"/>
        <v>10</v>
      </c>
      <c r="D140">
        <f ca="1">table_Positions[[#This Row],[temp_lb]]+10+RANDBETWEEN(0,100)*RANDBETWEEN(0,10)-RANDBETWEEN(0,10)</f>
        <v>16</v>
      </c>
      <c r="E140" t="b">
        <f>COUNTIF(dict_zuord_Meth_Pos[ID_Positions], table_Positions[[#This Row],[ID]]) &gt; 0</f>
        <v>0</v>
      </c>
    </row>
    <row r="141" spans="1:5" x14ac:dyDescent="0.45">
      <c r="A141">
        <v>139</v>
      </c>
      <c r="B141" t="str">
        <f>CONCATENATE("Position ",table_Positions[[#This Row],[ID]])</f>
        <v>Position 139</v>
      </c>
      <c r="C141">
        <f t="shared" ca="1" si="2"/>
        <v>27</v>
      </c>
      <c r="D141">
        <f ca="1">table_Positions[[#This Row],[temp_lb]]+10+RANDBETWEEN(0,100)*RANDBETWEEN(0,10)-RANDBETWEEN(0,10)</f>
        <v>30</v>
      </c>
      <c r="E141" t="b">
        <f>COUNTIF(dict_zuord_Meth_Pos[ID_Positions], table_Positions[[#This Row],[ID]]) &gt; 0</f>
        <v>0</v>
      </c>
    </row>
    <row r="142" spans="1:5" x14ac:dyDescent="0.45">
      <c r="A142">
        <v>140</v>
      </c>
      <c r="B142" t="str">
        <f>CONCATENATE("Position ",table_Positions[[#This Row],[ID]])</f>
        <v>Position 140</v>
      </c>
      <c r="C142">
        <f t="shared" ca="1" si="2"/>
        <v>61</v>
      </c>
      <c r="D142">
        <f ca="1">table_Positions[[#This Row],[temp_lb]]+10+RANDBETWEEN(0,100)*RANDBETWEEN(0,10)-RANDBETWEEN(0,10)</f>
        <v>744</v>
      </c>
      <c r="E142" t="b">
        <f>COUNTIF(dict_zuord_Meth_Pos[ID_Positions], table_Positions[[#This Row],[ID]]) &gt; 0</f>
        <v>0</v>
      </c>
    </row>
    <row r="143" spans="1:5" x14ac:dyDescent="0.45">
      <c r="A143">
        <v>141</v>
      </c>
      <c r="B143" t="str">
        <f>CONCATENATE("Position ",table_Positions[[#This Row],[ID]])</f>
        <v>Position 141</v>
      </c>
      <c r="C143">
        <f t="shared" ca="1" si="2"/>
        <v>33</v>
      </c>
      <c r="D143">
        <f ca="1">table_Positions[[#This Row],[temp_lb]]+10+RANDBETWEEN(0,100)*RANDBETWEEN(0,10)-RANDBETWEEN(0,10)</f>
        <v>71</v>
      </c>
      <c r="E143" t="b">
        <f>COUNTIF(dict_zuord_Meth_Pos[ID_Positions], table_Positions[[#This Row],[ID]]) &gt; 0</f>
        <v>0</v>
      </c>
    </row>
    <row r="144" spans="1:5" x14ac:dyDescent="0.45">
      <c r="A144">
        <v>142</v>
      </c>
      <c r="B144" t="str">
        <f>CONCATENATE("Position ",table_Positions[[#This Row],[ID]])</f>
        <v>Position 142</v>
      </c>
      <c r="C144">
        <f t="shared" ca="1" si="2"/>
        <v>20</v>
      </c>
      <c r="D144">
        <f ca="1">table_Positions[[#This Row],[temp_lb]]+10+RANDBETWEEN(0,100)*RANDBETWEEN(0,10)-RANDBETWEEN(0,10)</f>
        <v>270</v>
      </c>
      <c r="E144" t="b">
        <f>COUNTIF(dict_zuord_Meth_Pos[ID_Positions], table_Positions[[#This Row],[ID]]) &gt; 0</f>
        <v>0</v>
      </c>
    </row>
    <row r="145" spans="1:5" x14ac:dyDescent="0.45">
      <c r="A145">
        <v>143</v>
      </c>
      <c r="B145" t="str">
        <f>CONCATENATE("Position ",table_Positions[[#This Row],[ID]])</f>
        <v>Position 143</v>
      </c>
      <c r="C145">
        <f t="shared" ca="1" si="2"/>
        <v>28</v>
      </c>
      <c r="D145">
        <f ca="1">table_Positions[[#This Row],[temp_lb]]+10+RANDBETWEEN(0,100)*RANDBETWEEN(0,10)-RANDBETWEEN(0,10)</f>
        <v>214</v>
      </c>
      <c r="E145" t="b">
        <f>COUNTIF(dict_zuord_Meth_Pos[ID_Positions], table_Positions[[#This Row],[ID]]) &gt; 0</f>
        <v>0</v>
      </c>
    </row>
    <row r="146" spans="1:5" x14ac:dyDescent="0.45">
      <c r="A146">
        <v>144</v>
      </c>
      <c r="B146" t="str">
        <f>CONCATENATE("Position ",table_Positions[[#This Row],[ID]])</f>
        <v>Position 144</v>
      </c>
      <c r="C146">
        <f t="shared" ca="1" si="2"/>
        <v>60</v>
      </c>
      <c r="D146">
        <f ca="1">table_Positions[[#This Row],[temp_lb]]+10+RANDBETWEEN(0,100)*RANDBETWEEN(0,10)-RANDBETWEEN(0,10)</f>
        <v>115</v>
      </c>
      <c r="E146" t="b">
        <f>COUNTIF(dict_zuord_Meth_Pos[ID_Positions], table_Positions[[#This Row],[ID]]) &gt; 0</f>
        <v>0</v>
      </c>
    </row>
    <row r="147" spans="1:5" x14ac:dyDescent="0.45">
      <c r="A147">
        <v>145</v>
      </c>
      <c r="B147" t="str">
        <f>CONCATENATE("Position ",table_Positions[[#This Row],[ID]])</f>
        <v>Position 145</v>
      </c>
      <c r="C147">
        <f t="shared" ca="1" si="2"/>
        <v>29</v>
      </c>
      <c r="D147">
        <f ca="1">table_Positions[[#This Row],[temp_lb]]+10+RANDBETWEEN(0,100)*RANDBETWEEN(0,10)-RANDBETWEEN(0,10)</f>
        <v>385</v>
      </c>
      <c r="E147" t="b">
        <f>COUNTIF(dict_zuord_Meth_Pos[ID_Positions], table_Positions[[#This Row],[ID]]) &gt; 0</f>
        <v>0</v>
      </c>
    </row>
    <row r="148" spans="1:5" x14ac:dyDescent="0.45">
      <c r="A148">
        <v>146</v>
      </c>
      <c r="B148" t="str">
        <f>CONCATENATE("Position ",table_Positions[[#This Row],[ID]])</f>
        <v>Position 146</v>
      </c>
      <c r="C148">
        <f t="shared" ca="1" si="2"/>
        <v>86</v>
      </c>
      <c r="D148">
        <f ca="1">table_Positions[[#This Row],[temp_lb]]+10+RANDBETWEEN(0,100)*RANDBETWEEN(0,10)-RANDBETWEEN(0,10)</f>
        <v>143</v>
      </c>
      <c r="E148" t="b">
        <f>COUNTIF(dict_zuord_Meth_Pos[ID_Positions], table_Positions[[#This Row],[ID]]) &gt; 0</f>
        <v>0</v>
      </c>
    </row>
    <row r="149" spans="1:5" x14ac:dyDescent="0.45">
      <c r="A149">
        <v>147</v>
      </c>
      <c r="B149" t="str">
        <f>CONCATENATE("Position ",table_Positions[[#This Row],[ID]])</f>
        <v>Position 147</v>
      </c>
      <c r="C149">
        <f t="shared" ca="1" si="2"/>
        <v>24</v>
      </c>
      <c r="D149">
        <f ca="1">table_Positions[[#This Row],[temp_lb]]+10+RANDBETWEEN(0,100)*RANDBETWEEN(0,10)-RANDBETWEEN(0,10)</f>
        <v>62</v>
      </c>
      <c r="E149" t="b">
        <f>COUNTIF(dict_zuord_Meth_Pos[ID_Positions], table_Positions[[#This Row],[ID]]) &gt; 0</f>
        <v>0</v>
      </c>
    </row>
    <row r="150" spans="1:5" x14ac:dyDescent="0.45">
      <c r="A150">
        <v>148</v>
      </c>
      <c r="B150" t="str">
        <f>CONCATENATE("Position ",table_Positions[[#This Row],[ID]])</f>
        <v>Position 148</v>
      </c>
      <c r="C150">
        <f t="shared" ca="1" si="2"/>
        <v>52</v>
      </c>
      <c r="D150">
        <f ca="1">table_Positions[[#This Row],[temp_lb]]+10+RANDBETWEEN(0,100)*RANDBETWEEN(0,10)-RANDBETWEEN(0,10)</f>
        <v>347</v>
      </c>
      <c r="E150" t="b">
        <f>COUNTIF(dict_zuord_Meth_Pos[ID_Positions], table_Positions[[#This Row],[ID]]) &gt; 0</f>
        <v>0</v>
      </c>
    </row>
    <row r="151" spans="1:5" x14ac:dyDescent="0.45">
      <c r="A151">
        <v>149</v>
      </c>
      <c r="B151" t="str">
        <f>CONCATENATE("Position ",table_Positions[[#This Row],[ID]])</f>
        <v>Position 149</v>
      </c>
      <c r="C151">
        <f t="shared" ca="1" si="2"/>
        <v>69</v>
      </c>
      <c r="D151">
        <f ca="1">table_Positions[[#This Row],[temp_lb]]+10+RANDBETWEEN(0,100)*RANDBETWEEN(0,10)-RANDBETWEEN(0,10)</f>
        <v>275</v>
      </c>
      <c r="E151" t="b">
        <f>COUNTIF(dict_zuord_Meth_Pos[ID_Positions], table_Positions[[#This Row],[ID]]) &gt; 0</f>
        <v>0</v>
      </c>
    </row>
    <row r="152" spans="1:5" x14ac:dyDescent="0.45">
      <c r="A152">
        <v>150</v>
      </c>
      <c r="B152" t="str">
        <f>CONCATENATE("Position ",table_Positions[[#This Row],[ID]])</f>
        <v>Position 150</v>
      </c>
      <c r="C152">
        <f t="shared" ca="1" si="2"/>
        <v>19</v>
      </c>
      <c r="D152">
        <f ca="1">table_Positions[[#This Row],[temp_lb]]+10+RANDBETWEEN(0,100)*RANDBETWEEN(0,10)-RANDBETWEEN(0,10)</f>
        <v>113</v>
      </c>
      <c r="E152" t="b">
        <f>COUNTIF(dict_zuord_Meth_Pos[ID_Positions], table_Positions[[#This Row],[ID]]) &gt; 0</f>
        <v>0</v>
      </c>
    </row>
    <row r="153" spans="1:5" x14ac:dyDescent="0.45">
      <c r="A153">
        <v>151</v>
      </c>
      <c r="B153" t="str">
        <f>CONCATENATE("Position ",table_Positions[[#This Row],[ID]])</f>
        <v>Position 151</v>
      </c>
      <c r="C153">
        <f t="shared" ca="1" si="2"/>
        <v>31</v>
      </c>
      <c r="D153">
        <f ca="1">table_Positions[[#This Row],[temp_lb]]+10+RANDBETWEEN(0,100)*RANDBETWEEN(0,10)-RANDBETWEEN(0,10)</f>
        <v>156</v>
      </c>
      <c r="E153" t="b">
        <f>COUNTIF(dict_zuord_Meth_Pos[ID_Positions], table_Positions[[#This Row],[ID]]) &gt; 0</f>
        <v>0</v>
      </c>
    </row>
    <row r="154" spans="1:5" x14ac:dyDescent="0.45">
      <c r="A154">
        <v>152</v>
      </c>
      <c r="B154" t="str">
        <f>CONCATENATE("Position ",table_Positions[[#This Row],[ID]])</f>
        <v>Position 152</v>
      </c>
      <c r="C154">
        <f t="shared" ca="1" si="2"/>
        <v>13</v>
      </c>
      <c r="D154">
        <f ca="1">table_Positions[[#This Row],[temp_lb]]+10+RANDBETWEEN(0,100)*RANDBETWEEN(0,10)-RANDBETWEEN(0,10)</f>
        <v>38</v>
      </c>
      <c r="E154" t="b">
        <f>COUNTIF(dict_zuord_Meth_Pos[ID_Positions], table_Positions[[#This Row],[ID]]) &gt; 0</f>
        <v>0</v>
      </c>
    </row>
    <row r="155" spans="1:5" x14ac:dyDescent="0.45">
      <c r="A155">
        <v>153</v>
      </c>
      <c r="B155" t="str">
        <f>CONCATENATE("Position ",table_Positions[[#This Row],[ID]])</f>
        <v>Position 153</v>
      </c>
      <c r="C155">
        <f t="shared" ca="1" si="2"/>
        <v>40</v>
      </c>
      <c r="D155">
        <f ca="1">table_Positions[[#This Row],[temp_lb]]+10+RANDBETWEEN(0,100)*RANDBETWEEN(0,10)-RANDBETWEEN(0,10)</f>
        <v>41</v>
      </c>
      <c r="E155" t="b">
        <f>COUNTIF(dict_zuord_Meth_Pos[ID_Positions], table_Positions[[#This Row],[ID]]) &gt; 0</f>
        <v>0</v>
      </c>
    </row>
    <row r="156" spans="1:5" x14ac:dyDescent="0.45">
      <c r="A156">
        <v>154</v>
      </c>
      <c r="B156" t="str">
        <f>CONCATENATE("Position ",table_Positions[[#This Row],[ID]])</f>
        <v>Position 154</v>
      </c>
      <c r="C156">
        <f t="shared" ca="1" si="2"/>
        <v>24</v>
      </c>
      <c r="D156">
        <f ca="1">table_Positions[[#This Row],[temp_lb]]+10+RANDBETWEEN(0,100)*RANDBETWEEN(0,10)-RANDBETWEEN(0,10)</f>
        <v>510</v>
      </c>
      <c r="E156" t="b">
        <f>COUNTIF(dict_zuord_Meth_Pos[ID_Positions], table_Positions[[#This Row],[ID]]) &gt; 0</f>
        <v>0</v>
      </c>
    </row>
    <row r="157" spans="1:5" x14ac:dyDescent="0.45">
      <c r="A157">
        <v>155</v>
      </c>
      <c r="B157" t="str">
        <f>CONCATENATE("Position ",table_Positions[[#This Row],[ID]])</f>
        <v>Position 155</v>
      </c>
      <c r="C157">
        <f t="shared" ca="1" si="2"/>
        <v>20</v>
      </c>
      <c r="D157">
        <f ca="1">table_Positions[[#This Row],[temp_lb]]+10+RANDBETWEEN(0,100)*RANDBETWEEN(0,10)-RANDBETWEEN(0,10)</f>
        <v>384</v>
      </c>
      <c r="E157" t="b">
        <f>COUNTIF(dict_zuord_Meth_Pos[ID_Positions], table_Positions[[#This Row],[ID]]) &gt; 0</f>
        <v>0</v>
      </c>
    </row>
    <row r="158" spans="1:5" x14ac:dyDescent="0.45">
      <c r="A158">
        <v>156</v>
      </c>
      <c r="B158" t="str">
        <f>CONCATENATE("Position ",table_Positions[[#This Row],[ID]])</f>
        <v>Position 156</v>
      </c>
      <c r="C158">
        <f t="shared" ca="1" si="2"/>
        <v>2</v>
      </c>
      <c r="D158">
        <f ca="1">table_Positions[[#This Row],[temp_lb]]+10+RANDBETWEEN(0,100)*RANDBETWEEN(0,10)-RANDBETWEEN(0,10)</f>
        <v>200</v>
      </c>
      <c r="E158" t="b">
        <f>COUNTIF(dict_zuord_Meth_Pos[ID_Positions], table_Positions[[#This Row],[ID]]) &gt; 0</f>
        <v>0</v>
      </c>
    </row>
    <row r="159" spans="1:5" x14ac:dyDescent="0.45">
      <c r="A159">
        <v>157</v>
      </c>
      <c r="B159" t="str">
        <f>CONCATENATE("Position ",table_Positions[[#This Row],[ID]])</f>
        <v>Position 157</v>
      </c>
      <c r="C159">
        <f t="shared" ca="1" si="2"/>
        <v>20</v>
      </c>
      <c r="D159">
        <f ca="1">table_Positions[[#This Row],[temp_lb]]+10+RANDBETWEEN(0,100)*RANDBETWEEN(0,10)-RANDBETWEEN(0,10)</f>
        <v>54</v>
      </c>
      <c r="E159" t="b">
        <f>COUNTIF(dict_zuord_Meth_Pos[ID_Positions], table_Positions[[#This Row],[ID]]) &gt; 0</f>
        <v>0</v>
      </c>
    </row>
    <row r="160" spans="1:5" x14ac:dyDescent="0.45">
      <c r="A160">
        <v>158</v>
      </c>
      <c r="B160" t="str">
        <f>CONCATENATE("Position ",table_Positions[[#This Row],[ID]])</f>
        <v>Position 158</v>
      </c>
      <c r="C160">
        <f t="shared" ca="1" si="2"/>
        <v>23</v>
      </c>
      <c r="D160">
        <f ca="1">table_Positions[[#This Row],[temp_lb]]+10+RANDBETWEEN(0,100)*RANDBETWEEN(0,10)-RANDBETWEEN(0,10)</f>
        <v>297</v>
      </c>
      <c r="E160" t="b">
        <f>COUNTIF(dict_zuord_Meth_Pos[ID_Positions], table_Positions[[#This Row],[ID]]) &gt; 0</f>
        <v>0</v>
      </c>
    </row>
    <row r="161" spans="1:5" x14ac:dyDescent="0.45">
      <c r="A161">
        <v>159</v>
      </c>
      <c r="B161" t="str">
        <f>CONCATENATE("Position ",table_Positions[[#This Row],[ID]])</f>
        <v>Position 159</v>
      </c>
      <c r="C161">
        <f t="shared" ca="1" si="2"/>
        <v>17</v>
      </c>
      <c r="D161">
        <f ca="1">table_Positions[[#This Row],[temp_lb]]+10+RANDBETWEEN(0,100)*RANDBETWEEN(0,10)-RANDBETWEEN(0,10)</f>
        <v>41</v>
      </c>
      <c r="E161" t="b">
        <f>COUNTIF(dict_zuord_Meth_Pos[ID_Positions], table_Positions[[#This Row],[ID]]) &gt; 0</f>
        <v>0</v>
      </c>
    </row>
    <row r="162" spans="1:5" x14ac:dyDescent="0.45">
      <c r="A162">
        <v>160</v>
      </c>
      <c r="B162" t="str">
        <f>CONCATENATE("Position ",table_Positions[[#This Row],[ID]])</f>
        <v>Position 160</v>
      </c>
      <c r="C162">
        <f t="shared" ca="1" si="2"/>
        <v>59</v>
      </c>
      <c r="D162">
        <f ca="1">table_Positions[[#This Row],[temp_lb]]+10+RANDBETWEEN(0,100)*RANDBETWEEN(0,10)-RANDBETWEEN(0,10)</f>
        <v>662</v>
      </c>
      <c r="E162" t="b">
        <f>COUNTIF(dict_zuord_Meth_Pos[ID_Positions], table_Positions[[#This Row],[ID]]) &gt; 0</f>
        <v>0</v>
      </c>
    </row>
    <row r="163" spans="1:5" x14ac:dyDescent="0.45">
      <c r="A163">
        <v>161</v>
      </c>
      <c r="B163" t="str">
        <f>CONCATENATE("Position ",table_Positions[[#This Row],[ID]])</f>
        <v>Position 161</v>
      </c>
      <c r="C163">
        <f t="shared" ca="1" si="2"/>
        <v>53</v>
      </c>
      <c r="D163">
        <f ca="1">table_Positions[[#This Row],[temp_lb]]+10+RANDBETWEEN(0,100)*RANDBETWEEN(0,10)-RANDBETWEEN(0,10)</f>
        <v>105</v>
      </c>
      <c r="E163" t="b">
        <f>COUNTIF(dict_zuord_Meth_Pos[ID_Positions], table_Positions[[#This Row],[ID]]) &gt; 0</f>
        <v>0</v>
      </c>
    </row>
    <row r="164" spans="1:5" x14ac:dyDescent="0.45">
      <c r="A164">
        <v>162</v>
      </c>
      <c r="B164" t="str">
        <f>CONCATENATE("Position ",table_Positions[[#This Row],[ID]])</f>
        <v>Position 162</v>
      </c>
      <c r="C164">
        <f t="shared" ca="1" si="2"/>
        <v>8</v>
      </c>
      <c r="D164">
        <f ca="1">table_Positions[[#This Row],[temp_lb]]+10+RANDBETWEEN(0,100)*RANDBETWEEN(0,10)-RANDBETWEEN(0,10)</f>
        <v>236</v>
      </c>
      <c r="E164" t="b">
        <f>COUNTIF(dict_zuord_Meth_Pos[ID_Positions], table_Positions[[#This Row],[ID]]) &gt; 0</f>
        <v>0</v>
      </c>
    </row>
    <row r="165" spans="1:5" x14ac:dyDescent="0.45">
      <c r="A165">
        <v>163</v>
      </c>
      <c r="B165" t="str">
        <f>CONCATENATE("Position ",table_Positions[[#This Row],[ID]])</f>
        <v>Position 163</v>
      </c>
      <c r="C165">
        <f t="shared" ca="1" si="2"/>
        <v>66</v>
      </c>
      <c r="D165">
        <f ca="1">table_Positions[[#This Row],[temp_lb]]+10+RANDBETWEEN(0,100)*RANDBETWEEN(0,10)-RANDBETWEEN(0,10)</f>
        <v>479</v>
      </c>
      <c r="E165" t="b">
        <f>COUNTIF(dict_zuord_Meth_Pos[ID_Positions], table_Positions[[#This Row],[ID]]) &gt; 0</f>
        <v>0</v>
      </c>
    </row>
    <row r="166" spans="1:5" x14ac:dyDescent="0.45">
      <c r="A166">
        <v>164</v>
      </c>
      <c r="B166" t="str">
        <f>CONCATENATE("Position ",table_Positions[[#This Row],[ID]])</f>
        <v>Position 164</v>
      </c>
      <c r="C166">
        <f t="shared" ca="1" si="2"/>
        <v>39</v>
      </c>
      <c r="D166">
        <f ca="1">table_Positions[[#This Row],[temp_lb]]+10+RANDBETWEEN(0,100)*RANDBETWEEN(0,10)-RANDBETWEEN(0,10)</f>
        <v>338</v>
      </c>
      <c r="E166" t="b">
        <f>COUNTIF(dict_zuord_Meth_Pos[ID_Positions], table_Positions[[#This Row],[ID]]) &gt; 0</f>
        <v>0</v>
      </c>
    </row>
    <row r="167" spans="1:5" x14ac:dyDescent="0.45">
      <c r="A167">
        <v>165</v>
      </c>
      <c r="B167" t="str">
        <f>CONCATENATE("Position ",table_Positions[[#This Row],[ID]])</f>
        <v>Position 165</v>
      </c>
      <c r="C167">
        <f t="shared" ca="1" si="2"/>
        <v>35</v>
      </c>
      <c r="D167">
        <f ca="1">table_Positions[[#This Row],[temp_lb]]+10+RANDBETWEEN(0,100)*RANDBETWEEN(0,10)-RANDBETWEEN(0,10)</f>
        <v>647</v>
      </c>
      <c r="E167" t="b">
        <f>COUNTIF(dict_zuord_Meth_Pos[ID_Positions], table_Positions[[#This Row],[ID]]) &gt; 0</f>
        <v>0</v>
      </c>
    </row>
    <row r="168" spans="1:5" x14ac:dyDescent="0.45">
      <c r="A168">
        <v>166</v>
      </c>
      <c r="B168" t="str">
        <f>CONCATENATE("Position ",table_Positions[[#This Row],[ID]])</f>
        <v>Position 166</v>
      </c>
      <c r="C168">
        <f t="shared" ca="1" si="2"/>
        <v>43</v>
      </c>
      <c r="D168">
        <f ca="1">table_Positions[[#This Row],[temp_lb]]+10+RANDBETWEEN(0,100)*RANDBETWEEN(0,10)-RANDBETWEEN(0,10)</f>
        <v>447</v>
      </c>
      <c r="E168" t="b">
        <f>COUNTIF(dict_zuord_Meth_Pos[ID_Positions], table_Positions[[#This Row],[ID]]) &gt; 0</f>
        <v>0</v>
      </c>
    </row>
    <row r="169" spans="1:5" x14ac:dyDescent="0.45">
      <c r="A169">
        <v>167</v>
      </c>
      <c r="B169" t="str">
        <f>CONCATENATE("Position ",table_Positions[[#This Row],[ID]])</f>
        <v>Position 167</v>
      </c>
      <c r="C169">
        <f t="shared" ca="1" si="2"/>
        <v>24</v>
      </c>
      <c r="D169">
        <f ca="1">table_Positions[[#This Row],[temp_lb]]+10+RANDBETWEEN(0,100)*RANDBETWEEN(0,10)-RANDBETWEEN(0,10)</f>
        <v>54</v>
      </c>
      <c r="E169" t="b">
        <f>COUNTIF(dict_zuord_Meth_Pos[ID_Positions], table_Positions[[#This Row],[ID]]) &gt; 0</f>
        <v>0</v>
      </c>
    </row>
    <row r="170" spans="1:5" x14ac:dyDescent="0.45">
      <c r="A170">
        <v>168</v>
      </c>
      <c r="B170" t="str">
        <f>CONCATENATE("Position ",table_Positions[[#This Row],[ID]])</f>
        <v>Position 168</v>
      </c>
      <c r="C170">
        <f t="shared" ca="1" si="2"/>
        <v>28</v>
      </c>
      <c r="D170">
        <f ca="1">table_Positions[[#This Row],[temp_lb]]+10+RANDBETWEEN(0,100)*RANDBETWEEN(0,10)-RANDBETWEEN(0,10)</f>
        <v>210</v>
      </c>
      <c r="E170" t="b">
        <f>COUNTIF(dict_zuord_Meth_Pos[ID_Positions], table_Positions[[#This Row],[ID]]) &gt; 0</f>
        <v>0</v>
      </c>
    </row>
    <row r="171" spans="1:5" x14ac:dyDescent="0.45">
      <c r="A171">
        <v>169</v>
      </c>
      <c r="B171" t="str">
        <f>CONCATENATE("Position ",table_Positions[[#This Row],[ID]])</f>
        <v>Position 169</v>
      </c>
      <c r="C171">
        <f t="shared" ca="1" si="2"/>
        <v>2</v>
      </c>
      <c r="D171">
        <f ca="1">table_Positions[[#This Row],[temp_lb]]+10+RANDBETWEEN(0,100)*RANDBETWEEN(0,10)-RANDBETWEEN(0,10)</f>
        <v>279</v>
      </c>
      <c r="E171" t="b">
        <f>COUNTIF(dict_zuord_Meth_Pos[ID_Positions], table_Positions[[#This Row],[ID]]) &gt; 0</f>
        <v>0</v>
      </c>
    </row>
    <row r="172" spans="1:5" x14ac:dyDescent="0.45">
      <c r="A172">
        <v>170</v>
      </c>
      <c r="B172" t="str">
        <f>CONCATENATE("Position ",table_Positions[[#This Row],[ID]])</f>
        <v>Position 170</v>
      </c>
      <c r="C172">
        <f t="shared" ca="1" si="2"/>
        <v>40</v>
      </c>
      <c r="D172">
        <f ca="1">table_Positions[[#This Row],[temp_lb]]+10+RANDBETWEEN(0,100)*RANDBETWEEN(0,10)-RANDBETWEEN(0,10)</f>
        <v>457</v>
      </c>
      <c r="E172" t="b">
        <f>COUNTIF(dict_zuord_Meth_Pos[ID_Positions], table_Positions[[#This Row],[ID]]) &gt; 0</f>
        <v>0</v>
      </c>
    </row>
    <row r="173" spans="1:5" x14ac:dyDescent="0.45">
      <c r="A173">
        <v>171</v>
      </c>
      <c r="B173" t="str">
        <f>CONCATENATE("Position ",table_Positions[[#This Row],[ID]])</f>
        <v>Position 171</v>
      </c>
      <c r="C173">
        <f t="shared" ca="1" si="2"/>
        <v>71</v>
      </c>
      <c r="D173">
        <f ca="1">table_Positions[[#This Row],[temp_lb]]+10+RANDBETWEEN(0,100)*RANDBETWEEN(0,10)-RANDBETWEEN(0,10)</f>
        <v>557</v>
      </c>
      <c r="E173" t="b">
        <f>COUNTIF(dict_zuord_Meth_Pos[ID_Positions], table_Positions[[#This Row],[ID]]) &gt; 0</f>
        <v>0</v>
      </c>
    </row>
    <row r="174" spans="1:5" x14ac:dyDescent="0.45">
      <c r="A174">
        <v>172</v>
      </c>
      <c r="B174" t="str">
        <f>CONCATENATE("Position ",table_Positions[[#This Row],[ID]])</f>
        <v>Position 172</v>
      </c>
      <c r="C174">
        <f t="shared" ca="1" si="2"/>
        <v>19</v>
      </c>
      <c r="D174">
        <f ca="1">table_Positions[[#This Row],[temp_lb]]+10+RANDBETWEEN(0,100)*RANDBETWEEN(0,10)-RANDBETWEEN(0,10)</f>
        <v>271</v>
      </c>
      <c r="E174" t="b">
        <f>COUNTIF(dict_zuord_Meth_Pos[ID_Positions], table_Positions[[#This Row],[ID]]) &gt; 0</f>
        <v>0</v>
      </c>
    </row>
    <row r="175" spans="1:5" x14ac:dyDescent="0.45">
      <c r="A175">
        <v>173</v>
      </c>
      <c r="B175" t="str">
        <f>CONCATENATE("Position ",table_Positions[[#This Row],[ID]])</f>
        <v>Position 173</v>
      </c>
      <c r="C175">
        <f t="shared" ca="1" si="2"/>
        <v>9</v>
      </c>
      <c r="D175">
        <f ca="1">table_Positions[[#This Row],[temp_lb]]+10+RANDBETWEEN(0,100)*RANDBETWEEN(0,10)-RANDBETWEEN(0,10)</f>
        <v>801</v>
      </c>
      <c r="E175" t="b">
        <f>COUNTIF(dict_zuord_Meth_Pos[ID_Positions], table_Positions[[#This Row],[ID]]) &gt; 0</f>
        <v>0</v>
      </c>
    </row>
    <row r="176" spans="1:5" x14ac:dyDescent="0.45">
      <c r="A176">
        <v>174</v>
      </c>
      <c r="B176" t="str">
        <f>CONCATENATE("Position ",table_Positions[[#This Row],[ID]])</f>
        <v>Position 174</v>
      </c>
      <c r="C176">
        <f t="shared" ca="1" si="2"/>
        <v>29</v>
      </c>
      <c r="D176">
        <f ca="1">table_Positions[[#This Row],[temp_lb]]+10+RANDBETWEEN(0,100)*RANDBETWEEN(0,10)-RANDBETWEEN(0,10)</f>
        <v>577</v>
      </c>
      <c r="E176" t="b">
        <f>COUNTIF(dict_zuord_Meth_Pos[ID_Positions], table_Positions[[#This Row],[ID]]) &gt; 0</f>
        <v>0</v>
      </c>
    </row>
    <row r="177" spans="1:5" x14ac:dyDescent="0.45">
      <c r="A177">
        <v>175</v>
      </c>
      <c r="B177" t="str">
        <f>CONCATENATE("Position ",table_Positions[[#This Row],[ID]])</f>
        <v>Position 175</v>
      </c>
      <c r="C177">
        <f t="shared" ca="1" si="2"/>
        <v>44</v>
      </c>
      <c r="D177">
        <f ca="1">table_Positions[[#This Row],[temp_lb]]+10+RANDBETWEEN(0,100)*RANDBETWEEN(0,10)-RANDBETWEEN(0,10)</f>
        <v>196</v>
      </c>
      <c r="E177" t="b">
        <f>COUNTIF(dict_zuord_Meth_Pos[ID_Positions], table_Positions[[#This Row],[ID]]) &gt; 0</f>
        <v>0</v>
      </c>
    </row>
    <row r="178" spans="1:5" x14ac:dyDescent="0.45">
      <c r="A178">
        <v>176</v>
      </c>
      <c r="B178" t="str">
        <f>CONCATENATE("Position ",table_Positions[[#This Row],[ID]])</f>
        <v>Position 176</v>
      </c>
      <c r="C178">
        <f t="shared" ca="1" si="2"/>
        <v>19</v>
      </c>
      <c r="D178">
        <f ca="1">table_Positions[[#This Row],[temp_lb]]+10+RANDBETWEEN(0,100)*RANDBETWEEN(0,10)-RANDBETWEEN(0,10)</f>
        <v>348</v>
      </c>
      <c r="E178" t="b">
        <f>COUNTIF(dict_zuord_Meth_Pos[ID_Positions], table_Positions[[#This Row],[ID]]) &gt; 0</f>
        <v>0</v>
      </c>
    </row>
    <row r="179" spans="1:5" x14ac:dyDescent="0.45">
      <c r="A179">
        <v>177</v>
      </c>
      <c r="B179" t="str">
        <f>CONCATENATE("Position ",table_Positions[[#This Row],[ID]])</f>
        <v>Position 177</v>
      </c>
      <c r="C179">
        <f t="shared" ca="1" si="2"/>
        <v>27</v>
      </c>
      <c r="D179">
        <f ca="1">table_Positions[[#This Row],[temp_lb]]+10+RANDBETWEEN(0,100)*RANDBETWEEN(0,10)-RANDBETWEEN(0,10)</f>
        <v>432</v>
      </c>
      <c r="E179" t="b">
        <f>COUNTIF(dict_zuord_Meth_Pos[ID_Positions], table_Positions[[#This Row],[ID]]) &gt; 0</f>
        <v>0</v>
      </c>
    </row>
    <row r="180" spans="1:5" x14ac:dyDescent="0.45">
      <c r="A180">
        <v>178</v>
      </c>
      <c r="B180" t="str">
        <f>CONCATENATE("Position ",table_Positions[[#This Row],[ID]])</f>
        <v>Position 178</v>
      </c>
      <c r="C180">
        <f t="shared" ca="1" si="2"/>
        <v>25</v>
      </c>
      <c r="D180">
        <f ca="1">table_Positions[[#This Row],[temp_lb]]+10+RANDBETWEEN(0,100)*RANDBETWEEN(0,10)-RANDBETWEEN(0,10)</f>
        <v>424</v>
      </c>
      <c r="E180" t="b">
        <f>COUNTIF(dict_zuord_Meth_Pos[ID_Positions], table_Positions[[#This Row],[ID]]) &gt; 0</f>
        <v>0</v>
      </c>
    </row>
    <row r="181" spans="1:5" x14ac:dyDescent="0.45">
      <c r="A181">
        <v>179</v>
      </c>
      <c r="B181" t="str">
        <f>CONCATENATE("Position ",table_Positions[[#This Row],[ID]])</f>
        <v>Position 179</v>
      </c>
      <c r="C181">
        <f t="shared" ca="1" si="2"/>
        <v>54</v>
      </c>
      <c r="D181">
        <f ca="1">table_Positions[[#This Row],[temp_lb]]+10+RANDBETWEEN(0,100)*RANDBETWEEN(0,10)-RANDBETWEEN(0,10)</f>
        <v>673</v>
      </c>
      <c r="E181" t="b">
        <f>COUNTIF(dict_zuord_Meth_Pos[ID_Positions], table_Positions[[#This Row],[ID]]) &gt; 0</f>
        <v>0</v>
      </c>
    </row>
    <row r="182" spans="1:5" x14ac:dyDescent="0.45">
      <c r="A182">
        <v>180</v>
      </c>
      <c r="B182" t="str">
        <f>CONCATENATE("Position ",table_Positions[[#This Row],[ID]])</f>
        <v>Position 180</v>
      </c>
      <c r="C182">
        <f t="shared" ca="1" si="2"/>
        <v>45</v>
      </c>
      <c r="D182">
        <f ca="1">table_Positions[[#This Row],[temp_lb]]+10+RANDBETWEEN(0,100)*RANDBETWEEN(0,10)-RANDBETWEEN(0,10)</f>
        <v>283</v>
      </c>
      <c r="E182" t="b">
        <f>COUNTIF(dict_zuord_Meth_Pos[ID_Positions], table_Positions[[#This Row],[ID]]) &gt; 0</f>
        <v>0</v>
      </c>
    </row>
    <row r="183" spans="1:5" x14ac:dyDescent="0.45">
      <c r="A183">
        <v>181</v>
      </c>
      <c r="B183" t="str">
        <f>CONCATENATE("Position ",table_Positions[[#This Row],[ID]])</f>
        <v>Position 181</v>
      </c>
      <c r="C183">
        <f t="shared" ca="1" si="2"/>
        <v>15</v>
      </c>
      <c r="D183">
        <f ca="1">table_Positions[[#This Row],[temp_lb]]+10+RANDBETWEEN(0,100)*RANDBETWEEN(0,10)-RANDBETWEEN(0,10)</f>
        <v>47</v>
      </c>
      <c r="E183" t="b">
        <f>COUNTIF(dict_zuord_Meth_Pos[ID_Positions], table_Positions[[#This Row],[ID]]) &gt; 0</f>
        <v>0</v>
      </c>
    </row>
    <row r="184" spans="1:5" x14ac:dyDescent="0.45">
      <c r="A184">
        <v>182</v>
      </c>
      <c r="B184" t="str">
        <f>CONCATENATE("Position ",table_Positions[[#This Row],[ID]])</f>
        <v>Position 182</v>
      </c>
      <c r="C184">
        <f t="shared" ca="1" si="2"/>
        <v>35</v>
      </c>
      <c r="D184">
        <f ca="1">table_Positions[[#This Row],[temp_lb]]+10+RANDBETWEEN(0,100)*RANDBETWEEN(0,10)-RANDBETWEEN(0,10)</f>
        <v>623</v>
      </c>
      <c r="E184" t="b">
        <f>COUNTIF(dict_zuord_Meth_Pos[ID_Positions], table_Positions[[#This Row],[ID]]) &gt; 0</f>
        <v>0</v>
      </c>
    </row>
    <row r="185" spans="1:5" x14ac:dyDescent="0.45">
      <c r="A185">
        <v>183</v>
      </c>
      <c r="B185" t="str">
        <f>CONCATENATE("Position ",table_Positions[[#This Row],[ID]])</f>
        <v>Position 183</v>
      </c>
      <c r="C185">
        <f t="shared" ca="1" si="2"/>
        <v>35</v>
      </c>
      <c r="D185">
        <f ca="1">table_Positions[[#This Row],[temp_lb]]+10+RANDBETWEEN(0,100)*RANDBETWEEN(0,10)-RANDBETWEEN(0,10)</f>
        <v>74</v>
      </c>
      <c r="E185" t="b">
        <f>COUNTIF(dict_zuord_Meth_Pos[ID_Positions], table_Positions[[#This Row],[ID]]) &gt; 0</f>
        <v>0</v>
      </c>
    </row>
    <row r="186" spans="1:5" x14ac:dyDescent="0.45">
      <c r="A186">
        <v>184</v>
      </c>
      <c r="B186" t="str">
        <f>CONCATENATE("Position ",table_Positions[[#This Row],[ID]])</f>
        <v>Position 184</v>
      </c>
      <c r="C186">
        <f t="shared" ca="1" si="2"/>
        <v>46</v>
      </c>
      <c r="D186">
        <f ca="1">table_Positions[[#This Row],[temp_lb]]+10+RANDBETWEEN(0,100)*RANDBETWEEN(0,10)-RANDBETWEEN(0,10)</f>
        <v>53</v>
      </c>
      <c r="E186" t="b">
        <f>COUNTIF(dict_zuord_Meth_Pos[ID_Positions], table_Positions[[#This Row],[ID]]) &gt; 0</f>
        <v>0</v>
      </c>
    </row>
    <row r="187" spans="1:5" x14ac:dyDescent="0.45">
      <c r="A187">
        <v>185</v>
      </c>
      <c r="B187" t="str">
        <f>CONCATENATE("Position ",table_Positions[[#This Row],[ID]])</f>
        <v>Position 185</v>
      </c>
      <c r="C187">
        <f t="shared" ca="1" si="2"/>
        <v>14</v>
      </c>
      <c r="D187">
        <f ca="1">table_Positions[[#This Row],[temp_lb]]+10+RANDBETWEEN(0,100)*RANDBETWEEN(0,10)-RANDBETWEEN(0,10)</f>
        <v>954</v>
      </c>
      <c r="E187" t="b">
        <f>COUNTIF(dict_zuord_Meth_Pos[ID_Positions], table_Positions[[#This Row],[ID]]) &gt; 0</f>
        <v>0</v>
      </c>
    </row>
    <row r="188" spans="1:5" x14ac:dyDescent="0.45">
      <c r="A188">
        <v>186</v>
      </c>
      <c r="B188" t="str">
        <f>CONCATENATE("Position ",table_Positions[[#This Row],[ID]])</f>
        <v>Position 186</v>
      </c>
      <c r="C188">
        <f t="shared" ca="1" si="2"/>
        <v>19</v>
      </c>
      <c r="D188">
        <f ca="1">table_Positions[[#This Row],[temp_lb]]+10+RANDBETWEEN(0,100)*RANDBETWEEN(0,10)-RANDBETWEEN(0,10)</f>
        <v>95</v>
      </c>
      <c r="E188" t="b">
        <f>COUNTIF(dict_zuord_Meth_Pos[ID_Positions], table_Positions[[#This Row],[ID]]) &gt; 0</f>
        <v>0</v>
      </c>
    </row>
    <row r="189" spans="1:5" x14ac:dyDescent="0.45">
      <c r="A189">
        <v>187</v>
      </c>
      <c r="B189" t="str">
        <f>CONCATENATE("Position ",table_Positions[[#This Row],[ID]])</f>
        <v>Position 187</v>
      </c>
      <c r="C189">
        <f t="shared" ca="1" si="2"/>
        <v>16</v>
      </c>
      <c r="D189">
        <f ca="1">table_Positions[[#This Row],[temp_lb]]+10+RANDBETWEEN(0,100)*RANDBETWEEN(0,10)-RANDBETWEEN(0,10)</f>
        <v>78</v>
      </c>
      <c r="E189" t="b">
        <f>COUNTIF(dict_zuord_Meth_Pos[ID_Positions], table_Positions[[#This Row],[ID]]) &gt; 0</f>
        <v>0</v>
      </c>
    </row>
    <row r="190" spans="1:5" x14ac:dyDescent="0.45">
      <c r="A190">
        <v>188</v>
      </c>
      <c r="B190" t="str">
        <f>CONCATENATE("Position ",table_Positions[[#This Row],[ID]])</f>
        <v>Position 188</v>
      </c>
      <c r="C190">
        <f t="shared" ca="1" si="2"/>
        <v>77</v>
      </c>
      <c r="D190">
        <f ca="1">table_Positions[[#This Row],[temp_lb]]+10+RANDBETWEEN(0,100)*RANDBETWEEN(0,10)-RANDBETWEEN(0,10)</f>
        <v>149</v>
      </c>
      <c r="E190" t="b">
        <f>COUNTIF(dict_zuord_Meth_Pos[ID_Positions], table_Positions[[#This Row],[ID]]) &gt; 0</f>
        <v>0</v>
      </c>
    </row>
    <row r="191" spans="1:5" x14ac:dyDescent="0.45">
      <c r="A191">
        <v>189</v>
      </c>
      <c r="B191" t="str">
        <f>CONCATENATE("Position ",table_Positions[[#This Row],[ID]])</f>
        <v>Position 189</v>
      </c>
      <c r="C191">
        <f t="shared" ca="1" si="2"/>
        <v>72</v>
      </c>
      <c r="D191">
        <f ca="1">table_Positions[[#This Row],[temp_lb]]+10+RANDBETWEEN(0,100)*RANDBETWEEN(0,10)-RANDBETWEEN(0,10)</f>
        <v>138</v>
      </c>
      <c r="E191" t="b">
        <f>COUNTIF(dict_zuord_Meth_Pos[ID_Positions], table_Positions[[#This Row],[ID]]) &gt; 0</f>
        <v>0</v>
      </c>
    </row>
    <row r="192" spans="1:5" x14ac:dyDescent="0.45">
      <c r="A192">
        <v>190</v>
      </c>
      <c r="B192" t="str">
        <f>CONCATENATE("Position ",table_Positions[[#This Row],[ID]])</f>
        <v>Position 190</v>
      </c>
      <c r="C192">
        <f t="shared" ca="1" si="2"/>
        <v>87</v>
      </c>
      <c r="D192">
        <f ca="1">table_Positions[[#This Row],[temp_lb]]+10+RANDBETWEEN(0,100)*RANDBETWEEN(0,10)-RANDBETWEEN(0,10)</f>
        <v>191</v>
      </c>
      <c r="E192" t="b">
        <f>COUNTIF(dict_zuord_Meth_Pos[ID_Positions], table_Positions[[#This Row],[ID]]) &gt; 0</f>
        <v>0</v>
      </c>
    </row>
    <row r="193" spans="1:5" x14ac:dyDescent="0.45">
      <c r="A193">
        <v>191</v>
      </c>
      <c r="B193" t="str">
        <f>CONCATENATE("Position ",table_Positions[[#This Row],[ID]])</f>
        <v>Position 191</v>
      </c>
      <c r="C193">
        <f t="shared" ca="1" si="2"/>
        <v>6</v>
      </c>
      <c r="D193">
        <f ca="1">table_Positions[[#This Row],[temp_lb]]+10+RANDBETWEEN(0,100)*RANDBETWEEN(0,10)-RANDBETWEEN(0,10)</f>
        <v>181</v>
      </c>
      <c r="E193" t="b">
        <f>COUNTIF(dict_zuord_Meth_Pos[ID_Positions], table_Positions[[#This Row],[ID]]) &gt; 0</f>
        <v>0</v>
      </c>
    </row>
    <row r="194" spans="1:5" x14ac:dyDescent="0.45">
      <c r="A194">
        <v>192</v>
      </c>
      <c r="B194" t="str">
        <f>CONCATENATE("Position ",table_Positions[[#This Row],[ID]])</f>
        <v>Position 192</v>
      </c>
      <c r="C194">
        <f t="shared" ref="C194:C202" ca="1" si="3">20+RANDBETWEEN(0,10)*RANDBETWEEN(0,10)-RANDBETWEEN(0,20)</f>
        <v>13</v>
      </c>
      <c r="D194">
        <f ca="1">table_Positions[[#This Row],[temp_lb]]+10+RANDBETWEEN(0,100)*RANDBETWEEN(0,10)-RANDBETWEEN(0,10)</f>
        <v>130</v>
      </c>
      <c r="E194" t="b">
        <f>COUNTIF(dict_zuord_Meth_Pos[ID_Positions], table_Positions[[#This Row],[ID]]) &gt; 0</f>
        <v>0</v>
      </c>
    </row>
    <row r="195" spans="1:5" x14ac:dyDescent="0.45">
      <c r="A195">
        <v>193</v>
      </c>
      <c r="B195" t="str">
        <f>CONCATENATE("Position ",table_Positions[[#This Row],[ID]])</f>
        <v>Position 193</v>
      </c>
      <c r="C195">
        <f t="shared" ca="1" si="3"/>
        <v>27</v>
      </c>
      <c r="D195">
        <f ca="1">table_Positions[[#This Row],[temp_lb]]+10+RANDBETWEEN(0,100)*RANDBETWEEN(0,10)-RANDBETWEEN(0,10)</f>
        <v>35</v>
      </c>
      <c r="E195" t="b">
        <f>COUNTIF(dict_zuord_Meth_Pos[ID_Positions], table_Positions[[#This Row],[ID]]) &gt; 0</f>
        <v>0</v>
      </c>
    </row>
    <row r="196" spans="1:5" x14ac:dyDescent="0.45">
      <c r="A196">
        <v>194</v>
      </c>
      <c r="B196" t="str">
        <f>CONCATENATE("Position ",table_Positions[[#This Row],[ID]])</f>
        <v>Position 194</v>
      </c>
      <c r="C196">
        <f t="shared" ca="1" si="3"/>
        <v>67</v>
      </c>
      <c r="D196">
        <f ca="1">table_Positions[[#This Row],[temp_lb]]+10+RANDBETWEEN(0,100)*RANDBETWEEN(0,10)-RANDBETWEEN(0,10)</f>
        <v>140</v>
      </c>
      <c r="E196" t="b">
        <f>COUNTIF(dict_zuord_Meth_Pos[ID_Positions], table_Positions[[#This Row],[ID]]) &gt; 0</f>
        <v>0</v>
      </c>
    </row>
    <row r="197" spans="1:5" x14ac:dyDescent="0.45">
      <c r="A197">
        <v>195</v>
      </c>
      <c r="B197" t="str">
        <f>CONCATENATE("Position ",table_Positions[[#This Row],[ID]])</f>
        <v>Position 195</v>
      </c>
      <c r="C197">
        <f t="shared" ca="1" si="3"/>
        <v>70</v>
      </c>
      <c r="D197">
        <f ca="1">table_Positions[[#This Row],[temp_lb]]+10+RANDBETWEEN(0,100)*RANDBETWEEN(0,10)-RANDBETWEEN(0,10)</f>
        <v>94</v>
      </c>
      <c r="E197" t="b">
        <f>COUNTIF(dict_zuord_Meth_Pos[ID_Positions], table_Positions[[#This Row],[ID]]) &gt; 0</f>
        <v>0</v>
      </c>
    </row>
    <row r="198" spans="1:5" x14ac:dyDescent="0.45">
      <c r="A198">
        <v>196</v>
      </c>
      <c r="B198" t="str">
        <f>CONCATENATE("Position ",table_Positions[[#This Row],[ID]])</f>
        <v>Position 196</v>
      </c>
      <c r="C198">
        <f t="shared" ca="1" si="3"/>
        <v>68</v>
      </c>
      <c r="D198">
        <f ca="1">table_Positions[[#This Row],[temp_lb]]+10+RANDBETWEEN(0,100)*RANDBETWEEN(0,10)-RANDBETWEEN(0,10)</f>
        <v>688</v>
      </c>
      <c r="E198" t="b">
        <f>COUNTIF(dict_zuord_Meth_Pos[ID_Positions], table_Positions[[#This Row],[ID]]) &gt; 0</f>
        <v>0</v>
      </c>
    </row>
    <row r="199" spans="1:5" x14ac:dyDescent="0.45">
      <c r="A199">
        <v>197</v>
      </c>
      <c r="B199" t="str">
        <f>CONCATENATE("Position ",table_Positions[[#This Row],[ID]])</f>
        <v>Position 197</v>
      </c>
      <c r="C199">
        <f t="shared" ca="1" si="3"/>
        <v>42</v>
      </c>
      <c r="D199">
        <f ca="1">table_Positions[[#This Row],[temp_lb]]+10+RANDBETWEEN(0,100)*RANDBETWEEN(0,10)-RANDBETWEEN(0,10)</f>
        <v>395</v>
      </c>
      <c r="E199" t="b">
        <f>COUNTIF(dict_zuord_Meth_Pos[ID_Positions], table_Positions[[#This Row],[ID]]) &gt; 0</f>
        <v>0</v>
      </c>
    </row>
    <row r="200" spans="1:5" x14ac:dyDescent="0.45">
      <c r="A200">
        <v>198</v>
      </c>
      <c r="B200" t="str">
        <f>CONCATENATE("Position ",table_Positions[[#This Row],[ID]])</f>
        <v>Position 198</v>
      </c>
      <c r="C200">
        <f t="shared" ca="1" si="3"/>
        <v>29</v>
      </c>
      <c r="D200">
        <f ca="1">table_Positions[[#This Row],[temp_lb]]+10+RANDBETWEEN(0,100)*RANDBETWEEN(0,10)-RANDBETWEEN(0,10)</f>
        <v>114</v>
      </c>
      <c r="E200" t="b">
        <f>COUNTIF(dict_zuord_Meth_Pos[ID_Positions], table_Positions[[#This Row],[ID]]) &gt; 0</f>
        <v>0</v>
      </c>
    </row>
    <row r="201" spans="1:5" x14ac:dyDescent="0.45">
      <c r="A201">
        <v>199</v>
      </c>
      <c r="B201" t="str">
        <f>CONCATENATE("Position ",table_Positions[[#This Row],[ID]])</f>
        <v>Position 199</v>
      </c>
      <c r="C201">
        <f t="shared" ca="1" si="3"/>
        <v>23</v>
      </c>
      <c r="D201">
        <f ca="1">table_Positions[[#This Row],[temp_lb]]+10+RANDBETWEEN(0,100)*RANDBETWEEN(0,10)-RANDBETWEEN(0,10)</f>
        <v>294</v>
      </c>
      <c r="E201" t="b">
        <f>COUNTIF(dict_zuord_Meth_Pos[ID_Positions], table_Positions[[#This Row],[ID]]) &gt; 0</f>
        <v>0</v>
      </c>
    </row>
    <row r="202" spans="1:5" x14ac:dyDescent="0.45">
      <c r="A202">
        <v>200</v>
      </c>
      <c r="B202" t="str">
        <f>CONCATENATE("Position ",table_Positions[[#This Row],[ID]])</f>
        <v>Position 200</v>
      </c>
      <c r="C202">
        <f t="shared" ca="1" si="3"/>
        <v>16</v>
      </c>
      <c r="D202">
        <f ca="1">table_Positions[[#This Row],[temp_lb]]+10+RANDBETWEEN(0,100)*RANDBETWEEN(0,10)-RANDBETWEEN(0,10)</f>
        <v>118</v>
      </c>
      <c r="E202" t="b">
        <f>COUNTIF(dict_zuord_Meth_Pos[ID_Positions], table_Positions[[#This Row],[ID]]) &gt; 0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2"/>
  <sheetViews>
    <sheetView topLeftCell="A197" workbookViewId="0">
      <selection activeCell="D2" sqref="D2:D202"/>
    </sheetView>
  </sheetViews>
  <sheetFormatPr baseColWidth="10" defaultRowHeight="14.25" x14ac:dyDescent="0.45"/>
  <cols>
    <col min="2" max="2" width="19.53125" customWidth="1"/>
    <col min="3" max="3" width="18" bestFit="1" customWidth="1"/>
    <col min="4" max="4" width="12.265625" bestFit="1" customWidth="1"/>
    <col min="5" max="5" width="21.59765625" bestFit="1" customWidth="1"/>
  </cols>
  <sheetData>
    <row r="1" spans="1:5" x14ac:dyDescent="0.45">
      <c r="A1" t="s">
        <v>0</v>
      </c>
      <c r="B1" t="s">
        <v>1</v>
      </c>
      <c r="C1" t="s">
        <v>97</v>
      </c>
      <c r="D1" s="2" t="s">
        <v>2</v>
      </c>
      <c r="E1" t="s">
        <v>34</v>
      </c>
    </row>
    <row r="2" spans="1:5" x14ac:dyDescent="0.45">
      <c r="A2">
        <v>0</v>
      </c>
      <c r="B2" t="str">
        <f>CONCATENATE("Tranfer ",table_Transfers[[#This Row],[ID]])</f>
        <v>Tranfer 0</v>
      </c>
      <c r="C2">
        <f t="shared" ref="C2:C33" ca="1" si="0">2^RANDBETWEEN(6,12)*100*RANDBETWEEN(10,100)</f>
        <v>2969600</v>
      </c>
      <c r="D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287</v>
      </c>
      <c r="E2">
        <f ca="1">ROUND(ROUND(1/table_Transfers[[#This Row],[investcost]],3)*RANDBETWEEN(10,100)/10,5)</f>
        <v>2.7E-2</v>
      </c>
    </row>
    <row r="3" spans="1:5" x14ac:dyDescent="0.45">
      <c r="A3">
        <v>1</v>
      </c>
      <c r="B3" t="str">
        <f>CONCATENATE("Tranfer ",table_Transfers[[#This Row],[ID]])</f>
        <v>Tranfer 1</v>
      </c>
      <c r="C3">
        <f t="shared" ca="1" si="0"/>
        <v>627200</v>
      </c>
      <c r="D3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E3">
        <f ca="1">ROUND(1/table_Transfers[[#This Row],[investcost]]*RANDBETWEEN(10,100)/10,5)</f>
        <v>5.6989999999999999E-2</v>
      </c>
    </row>
    <row r="4" spans="1:5" x14ac:dyDescent="0.45">
      <c r="A4">
        <v>2</v>
      </c>
      <c r="B4" t="str">
        <f>CONCATENATE("Tranfer ",table_Transfers[[#This Row],[ID]])</f>
        <v>Tranfer 2</v>
      </c>
      <c r="C4">
        <f t="shared" ca="1" si="0"/>
        <v>608000</v>
      </c>
      <c r="D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E4">
        <f ca="1">ROUND(1/table_Transfers[[#This Row],[investcost]]*RANDBETWEEN(10,100)/10,5)</f>
        <v>0.17646999999999999</v>
      </c>
    </row>
    <row r="5" spans="1:5" x14ac:dyDescent="0.45">
      <c r="A5">
        <v>3</v>
      </c>
      <c r="B5" t="str">
        <f>CONCATENATE("Tranfer ",table_Transfers[[#This Row],[ID]])</f>
        <v>Tranfer 3</v>
      </c>
      <c r="C5">
        <f t="shared" ca="1" si="0"/>
        <v>15564800</v>
      </c>
      <c r="D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1230</v>
      </c>
      <c r="E5">
        <f ca="1">ROUND(1/table_Transfers[[#This Row],[investcost]]*RANDBETWEEN(10,100)/10,5)</f>
        <v>7.9699999999999997E-3</v>
      </c>
    </row>
    <row r="6" spans="1:5" x14ac:dyDescent="0.45">
      <c r="A6">
        <v>4</v>
      </c>
      <c r="B6" t="str">
        <f>CONCATENATE("Tranfer ",table_Transfers[[#This Row],[ID]])</f>
        <v>Tranfer 4</v>
      </c>
      <c r="C6">
        <f t="shared" ca="1" si="0"/>
        <v>1126400</v>
      </c>
      <c r="D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153</v>
      </c>
      <c r="E6">
        <f ca="1">ROUND(1/table_Transfers[[#This Row],[investcost]]*RANDBETWEEN(10,100)/10,5)</f>
        <v>1.9609999999999999E-2</v>
      </c>
    </row>
    <row r="7" spans="1:5" x14ac:dyDescent="0.45">
      <c r="A7">
        <v>5</v>
      </c>
      <c r="B7" t="str">
        <f>CONCATENATE("Tranfer ",table_Transfers[[#This Row],[ID]])</f>
        <v>Tranfer 5</v>
      </c>
      <c r="C7">
        <f t="shared" ca="1" si="0"/>
        <v>166400</v>
      </c>
      <c r="D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</v>
      </c>
      <c r="E7">
        <f ca="1">ROUND(1/table_Transfers[[#This Row],[investcost]]*RANDBETWEEN(10,100)/10,5)</f>
        <v>0.16250000000000001</v>
      </c>
    </row>
    <row r="8" spans="1:5" x14ac:dyDescent="0.45">
      <c r="A8">
        <v>6</v>
      </c>
      <c r="B8" t="str">
        <f>CONCATENATE("Tranfer ",table_Transfers[[#This Row],[ID]])</f>
        <v>Tranfer 6</v>
      </c>
      <c r="C8">
        <f t="shared" ca="1" si="0"/>
        <v>1280000</v>
      </c>
      <c r="D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127</v>
      </c>
      <c r="E8">
        <f ca="1">ROUND(1/table_Transfers[[#This Row],[investcost]]*RANDBETWEEN(10,100)/10,5)</f>
        <v>1.0240000000000001E-2</v>
      </c>
    </row>
    <row r="9" spans="1:5" x14ac:dyDescent="0.45">
      <c r="A9">
        <v>7</v>
      </c>
      <c r="B9" t="str">
        <f>CONCATENATE("Tranfer ",table_Transfers[[#This Row],[ID]])</f>
        <v>Tranfer 7</v>
      </c>
      <c r="C9">
        <f t="shared" ca="1" si="0"/>
        <v>556800</v>
      </c>
      <c r="D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</v>
      </c>
      <c r="E9">
        <f ca="1">ROUND(1/table_Transfers[[#This Row],[investcost]]*RANDBETWEEN(10,100)/10,5)</f>
        <v>9.2219999999999996E-2</v>
      </c>
    </row>
    <row r="10" spans="1:5" x14ac:dyDescent="0.45">
      <c r="A10">
        <v>8</v>
      </c>
      <c r="B10" t="str">
        <f>CONCATENATE("Tranfer ",table_Transfers[[#This Row],[ID]])</f>
        <v>Tranfer 8</v>
      </c>
      <c r="C10">
        <f t="shared" ca="1" si="0"/>
        <v>9625600</v>
      </c>
      <c r="D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1092</v>
      </c>
      <c r="E10">
        <f ca="1">ROUND(1/table_Transfers[[#This Row],[investcost]]*RANDBETWEEN(10,100)/10,5)</f>
        <v>9.2000000000000003E-4</v>
      </c>
    </row>
    <row r="11" spans="1:5" x14ac:dyDescent="0.45">
      <c r="A11">
        <v>9</v>
      </c>
      <c r="B11" t="str">
        <f>CONCATENATE("Tranfer ",table_Transfers[[#This Row],[ID]])</f>
        <v>Tranfer 9</v>
      </c>
      <c r="C11">
        <f t="shared" ca="1" si="0"/>
        <v>12288000</v>
      </c>
      <c r="D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1771</v>
      </c>
      <c r="E11">
        <f ca="1">ROUND(1/table_Transfers[[#This Row],[investcost]]*RANDBETWEEN(10,100)/10,5)</f>
        <v>2.5999999999999999E-3</v>
      </c>
    </row>
    <row r="12" spans="1:5" x14ac:dyDescent="0.45">
      <c r="A12">
        <v>10</v>
      </c>
      <c r="B12" t="str">
        <f>CONCATENATE("Tranfer ",table_Transfers[[#This Row],[ID]])</f>
        <v>Tranfer 10</v>
      </c>
      <c r="C12">
        <f t="shared" ca="1" si="0"/>
        <v>947200</v>
      </c>
      <c r="D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221</v>
      </c>
      <c r="E12">
        <f ca="1">ROUND(1/table_Transfers[[#This Row],[investcost]]*RANDBETWEEN(10,100)/10,5)</f>
        <v>3.7100000000000001E-2</v>
      </c>
    </row>
    <row r="13" spans="1:5" x14ac:dyDescent="0.45">
      <c r="A13">
        <v>11</v>
      </c>
      <c r="B13" t="str">
        <f>CONCATENATE("Tranfer ",table_Transfers[[#This Row],[ID]])</f>
        <v>Tranfer 11</v>
      </c>
      <c r="C13">
        <f t="shared" ca="1" si="0"/>
        <v>832000</v>
      </c>
      <c r="D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</v>
      </c>
      <c r="E13">
        <f ca="1">ROUND(1/table_Transfers[[#This Row],[investcost]]*RANDBETWEEN(10,100)/10,5)</f>
        <v>7.8750000000000001E-2</v>
      </c>
    </row>
    <row r="14" spans="1:5" x14ac:dyDescent="0.45">
      <c r="A14">
        <v>12</v>
      </c>
      <c r="B14" t="str">
        <f>CONCATENATE("Tranfer ",table_Transfers[[#This Row],[ID]])</f>
        <v>Tranfer 12</v>
      </c>
      <c r="C14">
        <f t="shared" ca="1" si="0"/>
        <v>531200</v>
      </c>
      <c r="D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</v>
      </c>
      <c r="E14">
        <f ca="1">ROUND(1/table_Transfers[[#This Row],[investcost]]*RANDBETWEEN(10,100)/10,5)</f>
        <v>2.6270000000000002E-2</v>
      </c>
    </row>
    <row r="15" spans="1:5" x14ac:dyDescent="0.45">
      <c r="A15">
        <v>13</v>
      </c>
      <c r="B15" t="str">
        <f>CONCATENATE("Tranfer ",table_Transfers[[#This Row],[ID]])</f>
        <v>Tranfer 13</v>
      </c>
      <c r="C15">
        <f t="shared" ca="1" si="0"/>
        <v>435200</v>
      </c>
      <c r="D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</v>
      </c>
      <c r="E15">
        <f ca="1">ROUND(1/table_Transfers[[#This Row],[investcost]]*RANDBETWEEN(10,100)/10,5)</f>
        <v>0.03</v>
      </c>
    </row>
    <row r="16" spans="1:5" x14ac:dyDescent="0.45">
      <c r="A16">
        <v>14</v>
      </c>
      <c r="B16" t="str">
        <f>CONCATENATE("Tranfer ",table_Transfers[[#This Row],[ID]])</f>
        <v>Tranfer 14</v>
      </c>
      <c r="C16">
        <f t="shared" ca="1" si="0"/>
        <v>9932800</v>
      </c>
      <c r="D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2030</v>
      </c>
      <c r="E16">
        <f ca="1">ROUND(1/table_Transfers[[#This Row],[investcost]]*RANDBETWEEN(10,100)/10,5)</f>
        <v>1.58E-3</v>
      </c>
    </row>
    <row r="17" spans="1:5" x14ac:dyDescent="0.45">
      <c r="A17">
        <v>15</v>
      </c>
      <c r="B17" t="str">
        <f>CONCATENATE("Tranfer ",table_Transfers[[#This Row],[ID]])</f>
        <v>Tranfer 15</v>
      </c>
      <c r="C17">
        <f t="shared" ca="1" si="0"/>
        <v>102400</v>
      </c>
      <c r="D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</v>
      </c>
      <c r="E17">
        <f ca="1">ROUND(1/table_Transfers[[#This Row],[investcost]]*RANDBETWEEN(10,100)/10,5)</f>
        <v>0.33461999999999997</v>
      </c>
    </row>
    <row r="18" spans="1:5" x14ac:dyDescent="0.45">
      <c r="A18">
        <v>16</v>
      </c>
      <c r="B18" t="str">
        <f>CONCATENATE("Tranfer ",table_Transfers[[#This Row],[ID]])</f>
        <v>Tranfer 16</v>
      </c>
      <c r="C18">
        <f t="shared" ca="1" si="0"/>
        <v>16793600</v>
      </c>
      <c r="D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1402</v>
      </c>
      <c r="E18">
        <f ca="1">ROUND(1/table_Transfers[[#This Row],[investcost]]*RANDBETWEEN(10,100)/10,5)</f>
        <v>7.0600000000000003E-3</v>
      </c>
    </row>
    <row r="19" spans="1:5" x14ac:dyDescent="0.45">
      <c r="A19">
        <v>17</v>
      </c>
      <c r="B19" t="str">
        <f>CONCATENATE("Tranfer ",table_Transfers[[#This Row],[ID]])</f>
        <v>Tranfer 17</v>
      </c>
      <c r="C19">
        <f t="shared" ca="1" si="0"/>
        <v>6451200</v>
      </c>
      <c r="D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852</v>
      </c>
      <c r="E19">
        <f ca="1">ROUND(1/table_Transfers[[#This Row],[investcost]]*RANDBETWEEN(10,100)/10,5)</f>
        <v>6.4599999999999996E-3</v>
      </c>
    </row>
    <row r="20" spans="1:5" x14ac:dyDescent="0.45">
      <c r="A20">
        <v>18</v>
      </c>
      <c r="B20" t="str">
        <f>CONCATENATE("Tranfer ",table_Transfers[[#This Row],[ID]])</f>
        <v>Tranfer 18</v>
      </c>
      <c r="C20">
        <f t="shared" ca="1" si="0"/>
        <v>166400</v>
      </c>
      <c r="D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E20">
        <f ca="1">ROUND(1/table_Transfers[[#This Row],[investcost]]*RANDBETWEEN(10,100)/10,5)</f>
        <v>7.7780000000000002E-2</v>
      </c>
    </row>
    <row r="21" spans="1:5" x14ac:dyDescent="0.45">
      <c r="A21">
        <v>19</v>
      </c>
      <c r="B21" t="str">
        <f>CONCATENATE("Tranfer ",table_Transfers[[#This Row],[ID]])</f>
        <v>Tranfer 19</v>
      </c>
      <c r="C21">
        <f t="shared" ca="1" si="0"/>
        <v>384000</v>
      </c>
      <c r="D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103</v>
      </c>
      <c r="E21">
        <f ca="1">ROUND(1/table_Transfers[[#This Row],[investcost]]*RANDBETWEEN(10,100)/10,5)</f>
        <v>2.5239999999999999E-2</v>
      </c>
    </row>
    <row r="22" spans="1:5" x14ac:dyDescent="0.45">
      <c r="A22">
        <v>20</v>
      </c>
      <c r="B22" t="str">
        <f>CONCATENATE("Tranfer ",table_Transfers[[#This Row],[ID]])</f>
        <v>Tranfer 20</v>
      </c>
      <c r="C22">
        <f t="shared" ca="1" si="0"/>
        <v>29900800</v>
      </c>
      <c r="D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2036</v>
      </c>
      <c r="E22">
        <f ca="1">ROUND(1/table_Transfers[[#This Row],[investcost]]*RANDBETWEEN(10,100)/10,5)</f>
        <v>1.47E-3</v>
      </c>
    </row>
    <row r="23" spans="1:5" x14ac:dyDescent="0.45">
      <c r="A23">
        <v>21</v>
      </c>
      <c r="B23" t="str">
        <f>CONCATENATE("Tranfer ",table_Transfers[[#This Row],[ID]])</f>
        <v>Tranfer 21</v>
      </c>
      <c r="C23">
        <f t="shared" ca="1" si="0"/>
        <v>2534400</v>
      </c>
      <c r="D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194</v>
      </c>
      <c r="E23">
        <f ca="1">ROUND(1/table_Transfers[[#This Row],[investcost]]*RANDBETWEEN(10,100)/10,5)</f>
        <v>4.845E-2</v>
      </c>
    </row>
    <row r="24" spans="1:5" x14ac:dyDescent="0.45">
      <c r="A24">
        <v>22</v>
      </c>
      <c r="B24" t="str">
        <f>CONCATENATE("Tranfer ",table_Transfers[[#This Row],[ID]])</f>
        <v>Tranfer 22</v>
      </c>
      <c r="C24">
        <f t="shared" ca="1" si="0"/>
        <v>8499200</v>
      </c>
      <c r="D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881</v>
      </c>
      <c r="E24">
        <f ca="1">ROUND(1/table_Transfers[[#This Row],[investcost]]*RANDBETWEEN(10,100)/10,5)</f>
        <v>1.1010000000000001E-2</v>
      </c>
    </row>
    <row r="25" spans="1:5" x14ac:dyDescent="0.45">
      <c r="A25">
        <v>23</v>
      </c>
      <c r="B25" t="str">
        <f>CONCATENATE("Tranfer ",table_Transfers[[#This Row],[ID]])</f>
        <v>Tranfer 23</v>
      </c>
      <c r="C25">
        <f t="shared" ca="1" si="0"/>
        <v>37683200</v>
      </c>
      <c r="D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4715</v>
      </c>
      <c r="E25">
        <f ca="1">ROUND(1/table_Transfers[[#This Row],[investcost]]*RANDBETWEEN(10,100)/10,5)</f>
        <v>1.91E-3</v>
      </c>
    </row>
    <row r="26" spans="1:5" x14ac:dyDescent="0.45">
      <c r="A26">
        <v>24</v>
      </c>
      <c r="B26" t="str">
        <f>CONCATENATE("Tranfer ",table_Transfers[[#This Row],[ID]])</f>
        <v>Tranfer 24</v>
      </c>
      <c r="C26">
        <f t="shared" ca="1" si="0"/>
        <v>1536000</v>
      </c>
      <c r="D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117</v>
      </c>
      <c r="E26">
        <f ca="1">ROUND(1/table_Transfers[[#This Row],[investcost]]*RANDBETWEEN(10,100)/10,5)</f>
        <v>7.009E-2</v>
      </c>
    </row>
    <row r="27" spans="1:5" x14ac:dyDescent="0.45">
      <c r="A27">
        <v>25</v>
      </c>
      <c r="B27" t="str">
        <f>CONCATENATE("Tranfer ",table_Transfers[[#This Row],[ID]])</f>
        <v>Tranfer 25</v>
      </c>
      <c r="C27">
        <f t="shared" ca="1" si="0"/>
        <v>1945600</v>
      </c>
      <c r="D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300</v>
      </c>
      <c r="E27">
        <f ca="1">ROUND(1/table_Transfers[[#This Row],[investcost]]*RANDBETWEEN(10,100)/10,5)</f>
        <v>0.03</v>
      </c>
    </row>
    <row r="28" spans="1:5" x14ac:dyDescent="0.45">
      <c r="A28">
        <v>26</v>
      </c>
      <c r="B28" t="str">
        <f>CONCATENATE("Tranfer ",table_Transfers[[#This Row],[ID]])</f>
        <v>Tranfer 26</v>
      </c>
      <c r="C28">
        <f t="shared" ca="1" si="0"/>
        <v>64000</v>
      </c>
      <c r="D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</v>
      </c>
      <c r="E28">
        <f ca="1">ROUND(1/table_Transfers[[#This Row],[investcost]]*RANDBETWEEN(10,100)/10,5)</f>
        <v>0.29091</v>
      </c>
    </row>
    <row r="29" spans="1:5" x14ac:dyDescent="0.45">
      <c r="A29">
        <v>27</v>
      </c>
      <c r="B29" t="str">
        <f>CONCATENATE("Tranfer ",table_Transfers[[#This Row],[ID]])</f>
        <v>Tranfer 27</v>
      </c>
      <c r="C29">
        <f t="shared" ca="1" si="0"/>
        <v>153600</v>
      </c>
      <c r="D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E29">
        <f ca="1">ROUND(1/table_Transfers[[#This Row],[investcost]]*RANDBETWEEN(10,100)/10,5)</f>
        <v>0.17551</v>
      </c>
    </row>
    <row r="30" spans="1:5" x14ac:dyDescent="0.45">
      <c r="A30">
        <v>28</v>
      </c>
      <c r="B30" t="str">
        <f>CONCATENATE("Tranfer ",table_Transfers[[#This Row],[ID]])</f>
        <v>Tranfer 28</v>
      </c>
      <c r="C30">
        <f t="shared" ca="1" si="0"/>
        <v>8192000</v>
      </c>
      <c r="D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654</v>
      </c>
      <c r="E30">
        <f ca="1">ROUND(1/table_Transfers[[#This Row],[investcost]]*RANDBETWEEN(10,100)/10,5)</f>
        <v>9.1699999999999993E-3</v>
      </c>
    </row>
    <row r="31" spans="1:5" x14ac:dyDescent="0.45">
      <c r="A31">
        <v>29</v>
      </c>
      <c r="B31" t="str">
        <f>CONCATENATE("Tranfer ",table_Transfers[[#This Row],[ID]])</f>
        <v>Tranfer 29</v>
      </c>
      <c r="C31">
        <f t="shared" ca="1" si="0"/>
        <v>691200</v>
      </c>
      <c r="D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</v>
      </c>
      <c r="E31">
        <f ca="1">ROUND(1/table_Transfers[[#This Row],[investcost]]*RANDBETWEEN(10,100)/10,5)</f>
        <v>0.15</v>
      </c>
    </row>
    <row r="32" spans="1:5" x14ac:dyDescent="0.45">
      <c r="A32">
        <v>30</v>
      </c>
      <c r="B32" t="str">
        <f>CONCATENATE("Tranfer ",table_Transfers[[#This Row],[ID]])</f>
        <v>Tranfer 30</v>
      </c>
      <c r="C32">
        <f t="shared" ca="1" si="0"/>
        <v>13107200</v>
      </c>
      <c r="D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1670</v>
      </c>
      <c r="E32">
        <f ca="1">ROUND(1/table_Transfers[[#This Row],[investcost]]*RANDBETWEEN(10,100)/10,5)</f>
        <v>2.0999999999999999E-3</v>
      </c>
    </row>
    <row r="33" spans="1:5" x14ac:dyDescent="0.45">
      <c r="A33">
        <v>31</v>
      </c>
      <c r="B33" t="str">
        <f>CONCATENATE("Tranfer ",table_Transfers[[#This Row],[ID]])</f>
        <v>Tranfer 31</v>
      </c>
      <c r="C33">
        <f t="shared" ca="1" si="0"/>
        <v>10854400</v>
      </c>
      <c r="D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764</v>
      </c>
      <c r="E33">
        <f ca="1">ROUND(1/table_Transfers[[#This Row],[investcost]]*RANDBETWEEN(10,100)/10,5)</f>
        <v>6.94E-3</v>
      </c>
    </row>
    <row r="34" spans="1:5" x14ac:dyDescent="0.45">
      <c r="A34">
        <v>32</v>
      </c>
      <c r="B34" t="str">
        <f>CONCATENATE("Tranfer ",table_Transfers[[#This Row],[ID]])</f>
        <v>Tranfer 32</v>
      </c>
      <c r="C34">
        <f t="shared" ref="C34:C65" ca="1" si="1">2^RANDBETWEEN(6,12)*100*RANDBETWEEN(10,100)</f>
        <v>1228800</v>
      </c>
      <c r="D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163</v>
      </c>
      <c r="E34">
        <f ca="1">ROUND(1/table_Transfers[[#This Row],[investcost]]*RANDBETWEEN(10,100)/10,5)</f>
        <v>1.779E-2</v>
      </c>
    </row>
    <row r="35" spans="1:5" x14ac:dyDescent="0.45">
      <c r="A35">
        <v>33</v>
      </c>
      <c r="B35" t="str">
        <f>CONCATENATE("Tranfer ",table_Transfers[[#This Row],[ID]])</f>
        <v>Tranfer 33</v>
      </c>
      <c r="C35">
        <f t="shared" ca="1" si="1"/>
        <v>448000</v>
      </c>
      <c r="D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123</v>
      </c>
      <c r="E35">
        <f ca="1">ROUND(1/table_Transfers[[#This Row],[investcost]]*RANDBETWEEN(10,100)/10,5)</f>
        <v>1.789E-2</v>
      </c>
    </row>
    <row r="36" spans="1:5" x14ac:dyDescent="0.45">
      <c r="A36">
        <v>34</v>
      </c>
      <c r="B36" t="str">
        <f>CONCATENATE("Tranfer ",table_Transfers[[#This Row],[ID]])</f>
        <v>Tranfer 34</v>
      </c>
      <c r="C36">
        <f t="shared" ca="1" si="1"/>
        <v>13107200</v>
      </c>
      <c r="D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2646</v>
      </c>
      <c r="E36">
        <f ca="1">ROUND(1/table_Transfers[[#This Row],[investcost]]*RANDBETWEEN(10,100)/10,5)</f>
        <v>2.8300000000000001E-3</v>
      </c>
    </row>
    <row r="37" spans="1:5" x14ac:dyDescent="0.45">
      <c r="A37">
        <v>35</v>
      </c>
      <c r="B37" t="str">
        <f>CONCATENATE("Tranfer ",table_Transfers[[#This Row],[ID]])</f>
        <v>Tranfer 35</v>
      </c>
      <c r="C37">
        <f t="shared" ca="1" si="1"/>
        <v>3174400</v>
      </c>
      <c r="D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278</v>
      </c>
      <c r="E37">
        <f ca="1">ROUND(1/table_Transfers[[#This Row],[investcost]]*RANDBETWEEN(10,100)/10,5)</f>
        <v>2.6980000000000001E-2</v>
      </c>
    </row>
    <row r="38" spans="1:5" x14ac:dyDescent="0.45">
      <c r="A38">
        <v>36</v>
      </c>
      <c r="B38" t="str">
        <f>CONCATENATE("Tranfer ",table_Transfers[[#This Row],[ID]])</f>
        <v>Tranfer 36</v>
      </c>
      <c r="C38">
        <f t="shared" ca="1" si="1"/>
        <v>1843200</v>
      </c>
      <c r="D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198</v>
      </c>
      <c r="E38">
        <f ca="1">ROUND(1/table_Transfers[[#This Row],[investcost]]*RANDBETWEEN(10,100)/10,5)</f>
        <v>2.0709999999999999E-2</v>
      </c>
    </row>
    <row r="39" spans="1:5" x14ac:dyDescent="0.45">
      <c r="A39">
        <v>37</v>
      </c>
      <c r="B39" t="str">
        <f>CONCATENATE("Tranfer ",table_Transfers[[#This Row],[ID]])</f>
        <v>Tranfer 37</v>
      </c>
      <c r="C39">
        <f t="shared" ca="1" si="1"/>
        <v>3942400</v>
      </c>
      <c r="D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560</v>
      </c>
      <c r="E39">
        <f ca="1">ROUND(1/table_Transfers[[#This Row],[investcost]]*RANDBETWEEN(10,100)/10,5)</f>
        <v>1.9599999999999999E-3</v>
      </c>
    </row>
    <row r="40" spans="1:5" x14ac:dyDescent="0.45">
      <c r="A40">
        <v>38</v>
      </c>
      <c r="B40" t="str">
        <f>CONCATENATE("Tranfer ",table_Transfers[[#This Row],[ID]])</f>
        <v>Tranfer 38</v>
      </c>
      <c r="C40">
        <f t="shared" ca="1" si="1"/>
        <v>38912000</v>
      </c>
      <c r="D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3562</v>
      </c>
      <c r="E40">
        <f ca="1">ROUND(1/table_Transfers[[#This Row],[investcost]]*RANDBETWEEN(10,100)/10,5)</f>
        <v>3.6000000000000002E-4</v>
      </c>
    </row>
    <row r="41" spans="1:5" x14ac:dyDescent="0.45">
      <c r="A41">
        <v>39</v>
      </c>
      <c r="B41" t="str">
        <f>CONCATENATE("Tranfer ",table_Transfers[[#This Row],[ID]])</f>
        <v>Tranfer 39</v>
      </c>
      <c r="C41">
        <f t="shared" ca="1" si="1"/>
        <v>29491200</v>
      </c>
      <c r="D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4223</v>
      </c>
      <c r="E41">
        <f ca="1">ROUND(1/table_Transfers[[#This Row],[investcost]]*RANDBETWEEN(10,100)/10,5)</f>
        <v>1.1100000000000001E-3</v>
      </c>
    </row>
    <row r="42" spans="1:5" x14ac:dyDescent="0.45">
      <c r="A42">
        <v>40</v>
      </c>
      <c r="B42" t="str">
        <f>CONCATENATE("Tranfer ",table_Transfers[[#This Row],[ID]])</f>
        <v>Tranfer 40</v>
      </c>
      <c r="C42">
        <f t="shared" ca="1" si="1"/>
        <v>1638400</v>
      </c>
      <c r="D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200</v>
      </c>
      <c r="E42">
        <f ca="1">ROUND(1/table_Transfers[[#This Row],[investcost]]*RANDBETWEEN(10,100)/10,5)</f>
        <v>3.4000000000000002E-2</v>
      </c>
    </row>
    <row r="43" spans="1:5" x14ac:dyDescent="0.45">
      <c r="A43">
        <v>41</v>
      </c>
      <c r="B43" t="str">
        <f>CONCATENATE("Tranfer ",table_Transfers[[#This Row],[ID]])</f>
        <v>Tranfer 41</v>
      </c>
      <c r="C43">
        <f t="shared" ca="1" si="1"/>
        <v>36454400</v>
      </c>
      <c r="D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5241</v>
      </c>
      <c r="E43">
        <f ca="1">ROUND(1/table_Transfers[[#This Row],[investcost]]*RANDBETWEEN(10,100)/10,5)</f>
        <v>6.4999999999999997E-4</v>
      </c>
    </row>
    <row r="44" spans="1:5" x14ac:dyDescent="0.45">
      <c r="A44">
        <v>42</v>
      </c>
      <c r="B44" t="str">
        <f>CONCATENATE("Tranfer ",table_Transfers[[#This Row],[ID]])</f>
        <v>Tranfer 42</v>
      </c>
      <c r="C44">
        <f t="shared" ca="1" si="1"/>
        <v>3481600</v>
      </c>
      <c r="D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267</v>
      </c>
      <c r="E44">
        <f ca="1">ROUND(1/table_Transfers[[#This Row],[investcost]]*RANDBETWEEN(10,100)/10,5)</f>
        <v>1.124E-2</v>
      </c>
    </row>
    <row r="45" spans="1:5" x14ac:dyDescent="0.45">
      <c r="A45">
        <v>43</v>
      </c>
      <c r="B45" t="str">
        <f>CONCATENATE("Tranfer ",table_Transfers[[#This Row],[ID]])</f>
        <v>Tranfer 43</v>
      </c>
      <c r="C45">
        <f t="shared" ca="1" si="1"/>
        <v>7987200</v>
      </c>
      <c r="D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1614</v>
      </c>
      <c r="E45">
        <f ca="1">ROUND(1/table_Transfers[[#This Row],[investcost]]*RANDBETWEEN(10,100)/10,5)</f>
        <v>1.1199999999999999E-3</v>
      </c>
    </row>
    <row r="46" spans="1:5" x14ac:dyDescent="0.45">
      <c r="A46">
        <v>44</v>
      </c>
      <c r="B46" t="str">
        <f>CONCATENATE("Tranfer ",table_Transfers[[#This Row],[ID]])</f>
        <v>Tranfer 44</v>
      </c>
      <c r="C46">
        <f t="shared" ca="1" si="1"/>
        <v>89600</v>
      </c>
      <c r="D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</v>
      </c>
      <c r="E46">
        <f ca="1">ROUND(1/table_Transfers[[#This Row],[investcost]]*RANDBETWEEN(10,100)/10,5)</f>
        <v>0.12222</v>
      </c>
    </row>
    <row r="47" spans="1:5" x14ac:dyDescent="0.45">
      <c r="A47">
        <v>45</v>
      </c>
      <c r="B47" t="str">
        <f>CONCATENATE("Tranfer ",table_Transfers[[#This Row],[ID]])</f>
        <v>Tranfer 45</v>
      </c>
      <c r="C47">
        <f t="shared" ca="1" si="1"/>
        <v>883200</v>
      </c>
      <c r="D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193</v>
      </c>
      <c r="E47">
        <f ca="1">ROUND(1/table_Transfers[[#This Row],[investcost]]*RANDBETWEEN(10,100)/10,5)</f>
        <v>1.14E-2</v>
      </c>
    </row>
    <row r="48" spans="1:5" x14ac:dyDescent="0.45">
      <c r="A48">
        <v>46</v>
      </c>
      <c r="B48" t="str">
        <f>CONCATENATE("Tranfer ",table_Transfers[[#This Row],[ID]])</f>
        <v>Tranfer 46</v>
      </c>
      <c r="C48">
        <f t="shared" ca="1" si="1"/>
        <v>3276800</v>
      </c>
      <c r="D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441</v>
      </c>
      <c r="E48">
        <f ca="1">ROUND(1/table_Transfers[[#This Row],[investcost]]*RANDBETWEEN(10,100)/10,5)</f>
        <v>1.9730000000000001E-2</v>
      </c>
    </row>
    <row r="49" spans="1:5" x14ac:dyDescent="0.45">
      <c r="A49">
        <v>47</v>
      </c>
      <c r="B49" t="str">
        <f>CONCATENATE("Tranfer ",table_Transfers[[#This Row],[ID]])</f>
        <v>Tranfer 47</v>
      </c>
      <c r="C49">
        <f t="shared" ca="1" si="1"/>
        <v>12288000</v>
      </c>
      <c r="D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885</v>
      </c>
      <c r="E49">
        <f ca="1">ROUND(1/table_Transfers[[#This Row],[investcost]]*RANDBETWEEN(10,100)/10,5)</f>
        <v>5.5399999999999998E-3</v>
      </c>
    </row>
    <row r="50" spans="1:5" x14ac:dyDescent="0.45">
      <c r="A50">
        <v>48</v>
      </c>
      <c r="B50" t="str">
        <f>CONCATENATE("Tranfer ",table_Transfers[[#This Row],[ID]])</f>
        <v>Tranfer 48</v>
      </c>
      <c r="C50">
        <f t="shared" ca="1" si="1"/>
        <v>18022400</v>
      </c>
      <c r="D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2274</v>
      </c>
      <c r="E50">
        <f ca="1">ROUND(1/table_Transfers[[#This Row],[investcost]]*RANDBETWEEN(10,100)/10,5)</f>
        <v>1.8500000000000001E-3</v>
      </c>
    </row>
    <row r="51" spans="1:5" x14ac:dyDescent="0.45">
      <c r="A51">
        <v>49</v>
      </c>
      <c r="B51" t="str">
        <f>CONCATENATE("Tranfer ",table_Transfers[[#This Row],[ID]])</f>
        <v>Tranfer 49</v>
      </c>
      <c r="C51">
        <f t="shared" ca="1" si="1"/>
        <v>4864000</v>
      </c>
      <c r="D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607</v>
      </c>
      <c r="E51">
        <f ca="1">ROUND(1/table_Transfers[[#This Row],[investcost]]*RANDBETWEEN(10,100)/10,5)</f>
        <v>8.5699999999999995E-3</v>
      </c>
    </row>
    <row r="52" spans="1:5" x14ac:dyDescent="0.45">
      <c r="A52">
        <v>50</v>
      </c>
      <c r="B52" t="str">
        <f>CONCATENATE("Tranfer ",table_Transfers[[#This Row],[ID]])</f>
        <v>Tranfer 50</v>
      </c>
      <c r="C52">
        <f t="shared" ca="1" si="1"/>
        <v>2252800</v>
      </c>
      <c r="D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199</v>
      </c>
      <c r="E52">
        <f ca="1">ROUND(1/table_Transfers[[#This Row],[investcost]]*RANDBETWEEN(10,100)/10,5)</f>
        <v>4.2709999999999998E-2</v>
      </c>
    </row>
    <row r="53" spans="1:5" x14ac:dyDescent="0.45">
      <c r="A53">
        <v>51</v>
      </c>
      <c r="B53" t="str">
        <f>CONCATENATE("Tranfer ",table_Transfers[[#This Row],[ID]])</f>
        <v>Tranfer 51</v>
      </c>
      <c r="C53">
        <f t="shared" ca="1" si="1"/>
        <v>20070400</v>
      </c>
      <c r="D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2532</v>
      </c>
      <c r="E53">
        <f ca="1">ROUND(1/table_Transfers[[#This Row],[investcost]]*RANDBETWEEN(10,100)/10,5)</f>
        <v>3.4399999999999999E-3</v>
      </c>
    </row>
    <row r="54" spans="1:5" x14ac:dyDescent="0.45">
      <c r="A54">
        <v>52</v>
      </c>
      <c r="B54" t="str">
        <f>CONCATENATE("Tranfer ",table_Transfers[[#This Row],[ID]])</f>
        <v>Tranfer 52</v>
      </c>
      <c r="C54">
        <f t="shared" ca="1" si="1"/>
        <v>2355200</v>
      </c>
      <c r="D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342</v>
      </c>
      <c r="E54">
        <f ca="1">ROUND(1/table_Transfers[[#This Row],[investcost]]*RANDBETWEEN(10,100)/10,5)</f>
        <v>1.7250000000000001E-2</v>
      </c>
    </row>
    <row r="55" spans="1:5" x14ac:dyDescent="0.45">
      <c r="A55">
        <v>53</v>
      </c>
      <c r="B55" t="str">
        <f>CONCATENATE("Tranfer ",table_Transfers[[#This Row],[ID]])</f>
        <v>Tranfer 53</v>
      </c>
      <c r="C55">
        <f t="shared" ca="1" si="1"/>
        <v>262400</v>
      </c>
      <c r="D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E55">
        <f ca="1">ROUND(1/table_Transfers[[#This Row],[investcost]]*RANDBETWEEN(10,100)/10,5)</f>
        <v>3.6360000000000003E-2</v>
      </c>
    </row>
    <row r="56" spans="1:5" x14ac:dyDescent="0.45">
      <c r="A56">
        <v>54</v>
      </c>
      <c r="B56" t="str">
        <f>CONCATENATE("Tranfer ",table_Transfers[[#This Row],[ID]])</f>
        <v>Tranfer 54</v>
      </c>
      <c r="C56">
        <f t="shared" ca="1" si="1"/>
        <v>9216000</v>
      </c>
      <c r="D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736</v>
      </c>
      <c r="E56">
        <f ca="1">ROUND(1/table_Transfers[[#This Row],[investcost]]*RANDBETWEEN(10,100)/10,5)</f>
        <v>1.3180000000000001E-2</v>
      </c>
    </row>
    <row r="57" spans="1:5" x14ac:dyDescent="0.45">
      <c r="A57">
        <v>55</v>
      </c>
      <c r="B57" t="str">
        <f>CONCATENATE("Tranfer ",table_Transfers[[#This Row],[ID]])</f>
        <v>Tranfer 55</v>
      </c>
      <c r="C57">
        <f t="shared" ca="1" si="1"/>
        <v>422400</v>
      </c>
      <c r="D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</v>
      </c>
      <c r="E57">
        <f ca="1">ROUND(1/table_Transfers[[#This Row],[investcost]]*RANDBETWEEN(10,100)/10,5)</f>
        <v>4.956E-2</v>
      </c>
    </row>
    <row r="58" spans="1:5" x14ac:dyDescent="0.45">
      <c r="A58">
        <v>56</v>
      </c>
      <c r="B58" t="str">
        <f>CONCATENATE("Tranfer ",table_Transfers[[#This Row],[ID]])</f>
        <v>Tranfer 56</v>
      </c>
      <c r="C58">
        <f t="shared" ca="1" si="1"/>
        <v>3020800</v>
      </c>
      <c r="D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351</v>
      </c>
      <c r="E58">
        <f ca="1">ROUND(1/table_Transfers[[#This Row],[investcost]]*RANDBETWEEN(10,100)/10,5)</f>
        <v>7.1199999999999996E-3</v>
      </c>
    </row>
    <row r="59" spans="1:5" x14ac:dyDescent="0.45">
      <c r="A59">
        <v>57</v>
      </c>
      <c r="B59" t="str">
        <f>CONCATENATE("Tranfer ",table_Transfers[[#This Row],[ID]])</f>
        <v>Tranfer 57</v>
      </c>
      <c r="C59">
        <f t="shared" ca="1" si="1"/>
        <v>896000</v>
      </c>
      <c r="D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83</v>
      </c>
      <c r="E59">
        <f ca="1">ROUND(1/table_Transfers[[#This Row],[investcost]]*RANDBETWEEN(10,100)/10,5)</f>
        <v>0.10360999999999999</v>
      </c>
    </row>
    <row r="60" spans="1:5" x14ac:dyDescent="0.45">
      <c r="A60">
        <v>58</v>
      </c>
      <c r="B60" t="str">
        <f>CONCATENATE("Tranfer ",table_Transfers[[#This Row],[ID]])</f>
        <v>Tranfer 58</v>
      </c>
      <c r="C60">
        <f t="shared" ca="1" si="1"/>
        <v>1484800</v>
      </c>
      <c r="D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313</v>
      </c>
      <c r="E60">
        <f ca="1">ROUND(1/table_Transfers[[#This Row],[investcost]]*RANDBETWEEN(10,100)/10,5)</f>
        <v>7.9900000000000006E-3</v>
      </c>
    </row>
    <row r="61" spans="1:5" x14ac:dyDescent="0.45">
      <c r="A61">
        <v>59</v>
      </c>
      <c r="B61" t="str">
        <f>CONCATENATE("Tranfer ",table_Transfers[[#This Row],[ID]])</f>
        <v>Tranfer 59</v>
      </c>
      <c r="C61">
        <f t="shared" ca="1" si="1"/>
        <v>179200</v>
      </c>
      <c r="D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</v>
      </c>
      <c r="E61">
        <f ca="1">ROUND(1/table_Transfers[[#This Row],[investcost]]*RANDBETWEEN(10,100)/10,5)</f>
        <v>8.5709999999999995E-2</v>
      </c>
    </row>
    <row r="62" spans="1:5" x14ac:dyDescent="0.45">
      <c r="A62">
        <v>60</v>
      </c>
      <c r="B62" t="str">
        <f>CONCATENATE("Tranfer ",table_Transfers[[#This Row],[ID]])</f>
        <v>Tranfer 60</v>
      </c>
      <c r="C62">
        <f t="shared" ca="1" si="1"/>
        <v>6553600</v>
      </c>
      <c r="D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771</v>
      </c>
      <c r="E62">
        <f ca="1">ROUND(1/table_Transfers[[#This Row],[investcost]]*RANDBETWEEN(10,100)/10,5)</f>
        <v>5.7099999999999998E-3</v>
      </c>
    </row>
    <row r="63" spans="1:5" x14ac:dyDescent="0.45">
      <c r="A63">
        <v>61</v>
      </c>
      <c r="B63" t="str">
        <f>CONCATENATE("Tranfer ",table_Transfers[[#This Row],[ID]])</f>
        <v>Tranfer 61</v>
      </c>
      <c r="C63">
        <f t="shared" ca="1" si="1"/>
        <v>9113600</v>
      </c>
      <c r="D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756</v>
      </c>
      <c r="E63">
        <f ca="1">ROUND(1/table_Transfers[[#This Row],[investcost]]*RANDBETWEEN(10,100)/10,5)</f>
        <v>1.98E-3</v>
      </c>
    </row>
    <row r="64" spans="1:5" x14ac:dyDescent="0.45">
      <c r="A64">
        <v>62</v>
      </c>
      <c r="B64" t="str">
        <f>CONCATENATE("Tranfer ",table_Transfers[[#This Row],[ID]])</f>
        <v>Tranfer 62</v>
      </c>
      <c r="C64">
        <f t="shared" ca="1" si="1"/>
        <v>35635200</v>
      </c>
      <c r="D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4459</v>
      </c>
      <c r="E64">
        <f ca="1">ROUND(1/table_Transfers[[#This Row],[investcost]]*RANDBETWEEN(10,100)/10,5)</f>
        <v>4.4999999999999999E-4</v>
      </c>
    </row>
    <row r="65" spans="1:5" x14ac:dyDescent="0.45">
      <c r="A65">
        <v>63</v>
      </c>
      <c r="B65" t="str">
        <f>CONCATENATE("Tranfer ",table_Transfers[[#This Row],[ID]])</f>
        <v>Tranfer 63</v>
      </c>
      <c r="C65">
        <f t="shared" ca="1" si="1"/>
        <v>4096000</v>
      </c>
      <c r="D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624</v>
      </c>
      <c r="E65">
        <f ca="1">ROUND(1/table_Transfers[[#This Row],[investcost]]*RANDBETWEEN(10,100)/10,5)</f>
        <v>7.6899999999999998E-3</v>
      </c>
    </row>
    <row r="66" spans="1:5" x14ac:dyDescent="0.45">
      <c r="A66">
        <v>64</v>
      </c>
      <c r="B66" t="str">
        <f>CONCATENATE("Tranfer ",table_Transfers[[#This Row],[ID]])</f>
        <v>Tranfer 64</v>
      </c>
      <c r="C66">
        <f t="shared" ref="C66:C129" ca="1" si="2">2^RANDBETWEEN(6,12)*100*RANDBETWEEN(10,100)</f>
        <v>2713600</v>
      </c>
      <c r="D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195</v>
      </c>
      <c r="E66">
        <f ca="1">ROUND(1/table_Transfers[[#This Row],[investcost]]*RANDBETWEEN(10,100)/10,5)</f>
        <v>4.1029999999999997E-2</v>
      </c>
    </row>
    <row r="67" spans="1:5" x14ac:dyDescent="0.45">
      <c r="A67">
        <v>65</v>
      </c>
      <c r="B67" t="str">
        <f>CONCATENATE("Tranfer ",table_Transfers[[#This Row],[ID]])</f>
        <v>Tranfer 65</v>
      </c>
      <c r="C67">
        <f t="shared" ca="1" si="2"/>
        <v>2150400</v>
      </c>
      <c r="D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180</v>
      </c>
      <c r="E67">
        <f ca="1">ROUND(1/table_Transfers[[#This Row],[investcost]]*RANDBETWEEN(10,100)/10,5)</f>
        <v>4.2779999999999999E-2</v>
      </c>
    </row>
    <row r="68" spans="1:5" x14ac:dyDescent="0.45">
      <c r="A68">
        <v>66</v>
      </c>
      <c r="B68" t="str">
        <f>CONCATENATE("Tranfer ",table_Transfers[[#This Row],[ID]])</f>
        <v>Tranfer 66</v>
      </c>
      <c r="C68">
        <f t="shared" ca="1" si="2"/>
        <v>332800</v>
      </c>
      <c r="D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E68">
        <f ca="1">ROUND(1/table_Transfers[[#This Row],[investcost]]*RANDBETWEEN(10,100)/10,5)</f>
        <v>0.15439</v>
      </c>
    </row>
    <row r="69" spans="1:5" x14ac:dyDescent="0.45">
      <c r="A69">
        <v>67</v>
      </c>
      <c r="B69" t="str">
        <f>CONCATENATE("Tranfer ",table_Transfers[[#This Row],[ID]])</f>
        <v>Tranfer 67</v>
      </c>
      <c r="C69">
        <f t="shared" ca="1" si="2"/>
        <v>40960000</v>
      </c>
      <c r="D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5138</v>
      </c>
      <c r="E69">
        <f ca="1">ROUND(1/table_Transfers[[#This Row],[investcost]]*RANDBETWEEN(10,100)/10,5)</f>
        <v>2.7E-4</v>
      </c>
    </row>
    <row r="70" spans="1:5" x14ac:dyDescent="0.45">
      <c r="A70">
        <v>68</v>
      </c>
      <c r="B70" t="str">
        <f>CONCATENATE("Tranfer ",table_Transfers[[#This Row],[ID]])</f>
        <v>Tranfer 68</v>
      </c>
      <c r="C70">
        <f t="shared" ca="1" si="2"/>
        <v>1049600</v>
      </c>
      <c r="D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162</v>
      </c>
      <c r="E70">
        <f ca="1">ROUND(1/table_Transfers[[#This Row],[investcost]]*RANDBETWEEN(10,100)/10,5)</f>
        <v>1.1730000000000001E-2</v>
      </c>
    </row>
    <row r="71" spans="1:5" x14ac:dyDescent="0.45">
      <c r="A71">
        <v>69</v>
      </c>
      <c r="B71" t="str">
        <f>CONCATENATE("Tranfer ",table_Transfers[[#This Row],[ID]])</f>
        <v>Tranfer 69</v>
      </c>
      <c r="C71">
        <f t="shared" ca="1" si="2"/>
        <v>1843200</v>
      </c>
      <c r="D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213</v>
      </c>
      <c r="E71">
        <f ca="1">ROUND(1/table_Transfers[[#This Row],[investcost]]*RANDBETWEEN(10,100)/10,5)</f>
        <v>4.648E-2</v>
      </c>
    </row>
    <row r="72" spans="1:5" x14ac:dyDescent="0.45">
      <c r="A72">
        <v>70</v>
      </c>
      <c r="B72" t="str">
        <f>CONCATENATE("Tranfer ",table_Transfers[[#This Row],[ID]])</f>
        <v>Tranfer 70</v>
      </c>
      <c r="C72">
        <f t="shared" ca="1" si="2"/>
        <v>486400</v>
      </c>
      <c r="D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E72">
        <f ca="1">ROUND(1/table_Transfers[[#This Row],[investcost]]*RANDBETWEEN(10,100)/10,5)</f>
        <v>6.0470000000000003E-2</v>
      </c>
    </row>
    <row r="73" spans="1:5" x14ac:dyDescent="0.45">
      <c r="A73">
        <v>71</v>
      </c>
      <c r="B73" t="str">
        <f>CONCATENATE("Tranfer ",table_Transfers[[#This Row],[ID]])</f>
        <v>Tranfer 71</v>
      </c>
      <c r="C73">
        <f t="shared" ca="1" si="2"/>
        <v>1868800</v>
      </c>
      <c r="D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415</v>
      </c>
      <c r="E73">
        <f ca="1">ROUND(1/table_Transfers[[#This Row],[investcost]]*RANDBETWEEN(10,100)/10,5)</f>
        <v>2.3609999999999999E-2</v>
      </c>
    </row>
    <row r="74" spans="1:5" x14ac:dyDescent="0.45">
      <c r="A74">
        <v>72</v>
      </c>
      <c r="B74" t="str">
        <f>CONCATENATE("Tranfer ",table_Transfers[[#This Row],[ID]])</f>
        <v>Tranfer 72</v>
      </c>
      <c r="C74">
        <f t="shared" ca="1" si="2"/>
        <v>1280000</v>
      </c>
      <c r="D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</v>
      </c>
      <c r="E74">
        <f ca="1">ROUND(1/table_Transfers[[#This Row],[investcost]]*RANDBETWEEN(10,100)/10,5)</f>
        <v>4.351E-2</v>
      </c>
    </row>
    <row r="75" spans="1:5" x14ac:dyDescent="0.45">
      <c r="A75">
        <v>73</v>
      </c>
      <c r="B75" t="str">
        <f>CONCATENATE("Tranfer ",table_Transfers[[#This Row],[ID]])</f>
        <v>Tranfer 73</v>
      </c>
      <c r="C75">
        <f t="shared" ca="1" si="2"/>
        <v>28672000</v>
      </c>
      <c r="D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5732</v>
      </c>
      <c r="E75">
        <f ca="1">ROUND(1/table_Transfers[[#This Row],[investcost]]*RANDBETWEEN(10,100)/10,5)</f>
        <v>1.7000000000000001E-4</v>
      </c>
    </row>
    <row r="76" spans="1:5" x14ac:dyDescent="0.45">
      <c r="A76">
        <v>74</v>
      </c>
      <c r="B76" t="str">
        <f>CONCATENATE("Tranfer ",table_Transfers[[#This Row],[ID]])</f>
        <v>Tranfer 74</v>
      </c>
      <c r="C76">
        <f t="shared" ca="1" si="2"/>
        <v>1203200</v>
      </c>
      <c r="D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147</v>
      </c>
      <c r="E76">
        <f ca="1">ROUND(1/table_Transfers[[#This Row],[investcost]]*RANDBETWEEN(10,100)/10,5)</f>
        <v>5.0340000000000003E-2</v>
      </c>
    </row>
    <row r="77" spans="1:5" x14ac:dyDescent="0.45">
      <c r="A77">
        <v>75</v>
      </c>
      <c r="B77" t="str">
        <f>CONCATENATE("Tranfer ",table_Transfers[[#This Row],[ID]])</f>
        <v>Tranfer 75</v>
      </c>
      <c r="C77">
        <f t="shared" ca="1" si="2"/>
        <v>537600</v>
      </c>
      <c r="D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</v>
      </c>
      <c r="E77">
        <f ca="1">ROUND(1/table_Transfers[[#This Row],[investcost]]*RANDBETWEEN(10,100)/10,5)</f>
        <v>6.5329999999999999E-2</v>
      </c>
    </row>
    <row r="78" spans="1:5" x14ac:dyDescent="0.45">
      <c r="A78">
        <v>76</v>
      </c>
      <c r="B78" t="str">
        <f>CONCATENATE("Tranfer ",table_Transfers[[#This Row],[ID]])</f>
        <v>Tranfer 76</v>
      </c>
      <c r="C78">
        <f t="shared" ca="1" si="2"/>
        <v>716800</v>
      </c>
      <c r="D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153</v>
      </c>
      <c r="E78">
        <f ca="1">ROUND(1/table_Transfers[[#This Row],[investcost]]*RANDBETWEEN(10,100)/10,5)</f>
        <v>3.3329999999999999E-2</v>
      </c>
    </row>
    <row r="79" spans="1:5" x14ac:dyDescent="0.45">
      <c r="A79">
        <v>77</v>
      </c>
      <c r="B79" t="str">
        <f>CONCATENATE("Tranfer ",table_Transfers[[#This Row],[ID]])</f>
        <v>Tranfer 77</v>
      </c>
      <c r="C79">
        <f t="shared" ca="1" si="2"/>
        <v>550400</v>
      </c>
      <c r="D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E79">
        <f ca="1">ROUND(1/table_Transfers[[#This Row],[investcost]]*RANDBETWEEN(10,100)/10,5)</f>
        <v>4.4830000000000002E-2</v>
      </c>
    </row>
    <row r="80" spans="1:5" x14ac:dyDescent="0.45">
      <c r="A80">
        <v>78</v>
      </c>
      <c r="B80" t="str">
        <f>CONCATENATE("Tranfer ",table_Transfers[[#This Row],[ID]])</f>
        <v>Tranfer 78</v>
      </c>
      <c r="C80">
        <f t="shared" ca="1" si="2"/>
        <v>1612800</v>
      </c>
      <c r="D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220</v>
      </c>
      <c r="E80">
        <f ca="1">ROUND(1/table_Transfers[[#This Row],[investcost]]*RANDBETWEEN(10,100)/10,5)</f>
        <v>3.1359999999999999E-2</v>
      </c>
    </row>
    <row r="81" spans="1:5" x14ac:dyDescent="0.45">
      <c r="A81">
        <v>79</v>
      </c>
      <c r="B81" t="str">
        <f>CONCATENATE("Tranfer ",table_Transfers[[#This Row],[ID]])</f>
        <v>Tranfer 79</v>
      </c>
      <c r="C81">
        <f t="shared" ca="1" si="2"/>
        <v>24166400</v>
      </c>
      <c r="D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1629</v>
      </c>
      <c r="E81">
        <f ca="1">ROUND(1/table_Transfers[[#This Row],[investcost]]*RANDBETWEEN(10,100)/10,5)</f>
        <v>9.7999999999999997E-4</v>
      </c>
    </row>
    <row r="82" spans="1:5" x14ac:dyDescent="0.45">
      <c r="A82">
        <v>80</v>
      </c>
      <c r="B82" t="str">
        <f>CONCATENATE("Tranfer ",table_Transfers[[#This Row],[ID]])</f>
        <v>Tranfer 80</v>
      </c>
      <c r="C82">
        <f t="shared" ca="1" si="2"/>
        <v>4044800</v>
      </c>
      <c r="D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409</v>
      </c>
      <c r="E82">
        <f ca="1">ROUND(1/table_Transfers[[#This Row],[investcost]]*RANDBETWEEN(10,100)/10,5)</f>
        <v>7.3299999999999997E-3</v>
      </c>
    </row>
    <row r="83" spans="1:5" x14ac:dyDescent="0.45">
      <c r="A83">
        <v>81</v>
      </c>
      <c r="B83" t="str">
        <f>CONCATENATE("Tranfer ",table_Transfers[[#This Row],[ID]])</f>
        <v>Tranfer 81</v>
      </c>
      <c r="C83">
        <f t="shared" ca="1" si="2"/>
        <v>1075200</v>
      </c>
      <c r="D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E83">
        <f ca="1">ROUND(1/table_Transfers[[#This Row],[investcost]]*RANDBETWEEN(10,100)/10,5)</f>
        <v>2.376E-2</v>
      </c>
    </row>
    <row r="84" spans="1:5" x14ac:dyDescent="0.45">
      <c r="A84">
        <v>82</v>
      </c>
      <c r="B84" t="str">
        <f>CONCATENATE("Tranfer ",table_Transfers[[#This Row],[ID]])</f>
        <v>Tranfer 82</v>
      </c>
      <c r="C84">
        <f t="shared" ca="1" si="2"/>
        <v>36864000</v>
      </c>
      <c r="D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2452</v>
      </c>
      <c r="E84">
        <f ca="1">ROUND(1/table_Transfers[[#This Row],[investcost]]*RANDBETWEEN(10,100)/10,5)</f>
        <v>8.9999999999999998E-4</v>
      </c>
    </row>
    <row r="85" spans="1:5" x14ac:dyDescent="0.45">
      <c r="A85">
        <v>83</v>
      </c>
      <c r="B85" t="str">
        <f>CONCATENATE("Tranfer ",table_Transfers[[#This Row],[ID]])</f>
        <v>Tranfer 83</v>
      </c>
      <c r="C85">
        <f t="shared" ca="1" si="2"/>
        <v>844800</v>
      </c>
      <c r="D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175</v>
      </c>
      <c r="E85">
        <f ca="1">ROUND(1/table_Transfers[[#This Row],[investcost]]*RANDBETWEEN(10,100)/10,5)</f>
        <v>2.0570000000000001E-2</v>
      </c>
    </row>
    <row r="86" spans="1:5" x14ac:dyDescent="0.45">
      <c r="A86">
        <v>84</v>
      </c>
      <c r="B86" t="str">
        <f>CONCATENATE("Tranfer ",table_Transfers[[#This Row],[ID]])</f>
        <v>Tranfer 84</v>
      </c>
      <c r="C86">
        <f t="shared" ca="1" si="2"/>
        <v>512000</v>
      </c>
      <c r="D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111</v>
      </c>
      <c r="E86">
        <f ca="1">ROUND(1/table_Transfers[[#This Row],[investcost]]*RANDBETWEEN(10,100)/10,5)</f>
        <v>3.6940000000000001E-2</v>
      </c>
    </row>
    <row r="87" spans="1:5" x14ac:dyDescent="0.45">
      <c r="A87">
        <v>85</v>
      </c>
      <c r="B87" t="str">
        <f>CONCATENATE("Tranfer ",table_Transfers[[#This Row],[ID]])</f>
        <v>Tranfer 85</v>
      </c>
      <c r="C87">
        <f t="shared" ca="1" si="2"/>
        <v>9420800</v>
      </c>
      <c r="D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686</v>
      </c>
      <c r="E87">
        <f ca="1">ROUND(1/table_Transfers[[#This Row],[investcost]]*RANDBETWEEN(10,100)/10,5)</f>
        <v>1.239E-2</v>
      </c>
    </row>
    <row r="88" spans="1:5" x14ac:dyDescent="0.45">
      <c r="A88">
        <v>86</v>
      </c>
      <c r="B88" t="str">
        <f>CONCATENATE("Tranfer ",table_Transfers[[#This Row],[ID]])</f>
        <v>Tranfer 86</v>
      </c>
      <c r="C88">
        <f t="shared" ca="1" si="2"/>
        <v>627200</v>
      </c>
      <c r="D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E88">
        <f ca="1">ROUND(1/table_Transfers[[#This Row],[investcost]]*RANDBETWEEN(10,100)/10,5)</f>
        <v>8.2089999999999996E-2</v>
      </c>
    </row>
    <row r="89" spans="1:5" x14ac:dyDescent="0.45">
      <c r="A89">
        <v>87</v>
      </c>
      <c r="B89" t="str">
        <f>CONCATENATE("Tranfer ",table_Transfers[[#This Row],[ID]])</f>
        <v>Tranfer 87</v>
      </c>
      <c r="C89">
        <f t="shared" ca="1" si="2"/>
        <v>211200</v>
      </c>
      <c r="D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</v>
      </c>
      <c r="E89">
        <f ca="1">ROUND(1/table_Transfers[[#This Row],[investcost]]*RANDBETWEEN(10,100)/10,5)</f>
        <v>3.5000000000000003E-2</v>
      </c>
    </row>
    <row r="90" spans="1:5" x14ac:dyDescent="0.45">
      <c r="A90">
        <v>88</v>
      </c>
      <c r="B90" t="str">
        <f>CONCATENATE("Tranfer ",table_Transfers[[#This Row],[ID]])</f>
        <v>Tranfer 88</v>
      </c>
      <c r="C90">
        <f t="shared" ca="1" si="2"/>
        <v>345600</v>
      </c>
      <c r="D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</v>
      </c>
      <c r="E90">
        <f ca="1">ROUND(1/table_Transfers[[#This Row],[investcost]]*RANDBETWEEN(10,100)/10,5)</f>
        <v>0.10256</v>
      </c>
    </row>
    <row r="91" spans="1:5" x14ac:dyDescent="0.45">
      <c r="A91">
        <v>89</v>
      </c>
      <c r="B91" t="str">
        <f>CONCATENATE("Tranfer ",table_Transfers[[#This Row],[ID]])</f>
        <v>Tranfer 89</v>
      </c>
      <c r="C91">
        <f t="shared" ca="1" si="2"/>
        <v>5529600</v>
      </c>
      <c r="D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691</v>
      </c>
      <c r="E91">
        <f ca="1">ROUND(1/table_Transfers[[#This Row],[investcost]]*RANDBETWEEN(10,100)/10,5)</f>
        <v>2.1700000000000001E-3</v>
      </c>
    </row>
    <row r="92" spans="1:5" x14ac:dyDescent="0.45">
      <c r="A92">
        <v>90</v>
      </c>
      <c r="B92" t="str">
        <f>CONCATENATE("Tranfer ",table_Transfers[[#This Row],[ID]])</f>
        <v>Tranfer 90</v>
      </c>
      <c r="C92">
        <f t="shared" ca="1" si="2"/>
        <v>499200</v>
      </c>
      <c r="D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</v>
      </c>
      <c r="E92">
        <f ca="1">ROUND(1/table_Transfers[[#This Row],[investcost]]*RANDBETWEEN(10,100)/10,5)</f>
        <v>8.9870000000000005E-2</v>
      </c>
    </row>
    <row r="93" spans="1:5" x14ac:dyDescent="0.45">
      <c r="A93">
        <v>91</v>
      </c>
      <c r="B93" t="str">
        <f>CONCATENATE("Tranfer ",table_Transfers[[#This Row],[ID]])</f>
        <v>Tranfer 91</v>
      </c>
      <c r="C93">
        <f t="shared" ca="1" si="2"/>
        <v>1433600</v>
      </c>
      <c r="D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143</v>
      </c>
      <c r="E93">
        <f ca="1">ROUND(1/table_Transfers[[#This Row],[investcost]]*RANDBETWEEN(10,100)/10,5)</f>
        <v>6.923E-2</v>
      </c>
    </row>
    <row r="94" spans="1:5" x14ac:dyDescent="0.45">
      <c r="A94">
        <v>92</v>
      </c>
      <c r="B94" t="str">
        <f>CONCATENATE("Tranfer ",table_Transfers[[#This Row],[ID]])</f>
        <v>Tranfer 92</v>
      </c>
      <c r="C94">
        <f t="shared" ca="1" si="2"/>
        <v>39321600</v>
      </c>
      <c r="D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2628</v>
      </c>
      <c r="E94">
        <f ca="1">ROUND(1/table_Transfers[[#This Row],[investcost]]*RANDBETWEEN(10,100)/10,5)</f>
        <v>1.2899999999999999E-3</v>
      </c>
    </row>
    <row r="95" spans="1:5" x14ac:dyDescent="0.45">
      <c r="A95">
        <v>93</v>
      </c>
      <c r="B95" t="str">
        <f>CONCATENATE("Tranfer ",table_Transfers[[#This Row],[ID]])</f>
        <v>Tranfer 93</v>
      </c>
      <c r="C95">
        <f t="shared" ca="1" si="2"/>
        <v>5529600</v>
      </c>
      <c r="D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631</v>
      </c>
      <c r="E95">
        <f ca="1">ROUND(1/table_Transfers[[#This Row],[investcost]]*RANDBETWEEN(10,100)/10,5)</f>
        <v>6.6600000000000001E-3</v>
      </c>
    </row>
    <row r="96" spans="1:5" x14ac:dyDescent="0.45">
      <c r="A96">
        <v>94</v>
      </c>
      <c r="B96" t="str">
        <f>CONCATENATE("Tranfer ",table_Transfers[[#This Row],[ID]])</f>
        <v>Tranfer 94</v>
      </c>
      <c r="C96">
        <f t="shared" ca="1" si="2"/>
        <v>19046400</v>
      </c>
      <c r="D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2741</v>
      </c>
      <c r="E96">
        <f ca="1">ROUND(1/table_Transfers[[#This Row],[investcost]]*RANDBETWEEN(10,100)/10,5)</f>
        <v>3.0599999999999998E-3</v>
      </c>
    </row>
    <row r="97" spans="1:5" x14ac:dyDescent="0.45">
      <c r="A97">
        <v>95</v>
      </c>
      <c r="B97" t="str">
        <f>CONCATENATE("Tranfer ",table_Transfers[[#This Row],[ID]])</f>
        <v>Tranfer 95</v>
      </c>
      <c r="C97">
        <f t="shared" ca="1" si="2"/>
        <v>9420800</v>
      </c>
      <c r="D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1208</v>
      </c>
      <c r="E97">
        <f ca="1">ROUND(1/table_Transfers[[#This Row],[investcost]]*RANDBETWEEN(10,100)/10,5)</f>
        <v>2.98E-3</v>
      </c>
    </row>
    <row r="98" spans="1:5" x14ac:dyDescent="0.45">
      <c r="A98">
        <v>96</v>
      </c>
      <c r="B98" t="str">
        <f>CONCATENATE("Tranfer ",table_Transfers[[#This Row],[ID]])</f>
        <v>Tranfer 96</v>
      </c>
      <c r="C98">
        <f t="shared" ca="1" si="2"/>
        <v>5120000</v>
      </c>
      <c r="D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755</v>
      </c>
      <c r="E98">
        <f ca="1">ROUND(1/table_Transfers[[#This Row],[investcost]]*RANDBETWEEN(10,100)/10,5)</f>
        <v>3.0500000000000002E-3</v>
      </c>
    </row>
    <row r="99" spans="1:5" x14ac:dyDescent="0.45">
      <c r="A99">
        <v>97</v>
      </c>
      <c r="B99" t="str">
        <f>CONCATENATE("Tranfer ",table_Transfers[[#This Row],[ID]])</f>
        <v>Tranfer 97</v>
      </c>
      <c r="C99">
        <f t="shared" ca="1" si="2"/>
        <v>281600</v>
      </c>
      <c r="D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E99">
        <f ca="1">ROUND(1/table_Transfers[[#This Row],[investcost]]*RANDBETWEEN(10,100)/10,5)</f>
        <v>0.27</v>
      </c>
    </row>
    <row r="100" spans="1:5" x14ac:dyDescent="0.45">
      <c r="A100">
        <v>98</v>
      </c>
      <c r="B100" t="str">
        <f>CONCATENATE("Tranfer ",table_Transfers[[#This Row],[ID]])</f>
        <v>Tranfer 98</v>
      </c>
      <c r="C100">
        <f t="shared" ca="1" si="2"/>
        <v>18022400</v>
      </c>
      <c r="D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2581</v>
      </c>
      <c r="E100">
        <f ca="1">ROUND(1/table_Transfers[[#This Row],[investcost]]*RANDBETWEEN(10,100)/10,5)</f>
        <v>1.9E-3</v>
      </c>
    </row>
    <row r="101" spans="1:5" x14ac:dyDescent="0.45">
      <c r="A101">
        <v>99</v>
      </c>
      <c r="B101" t="str">
        <f>CONCATENATE("Tranfer ",table_Transfers[[#This Row],[ID]])</f>
        <v>Tranfer 99</v>
      </c>
      <c r="C101">
        <f t="shared" ca="1" si="2"/>
        <v>31948800</v>
      </c>
      <c r="D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3210</v>
      </c>
      <c r="E101">
        <f ca="1">ROUND(1/table_Transfers[[#This Row],[investcost]]*RANDBETWEEN(10,100)/10,5)</f>
        <v>1.0300000000000001E-3</v>
      </c>
    </row>
    <row r="102" spans="1:5" x14ac:dyDescent="0.45">
      <c r="A102">
        <v>100</v>
      </c>
      <c r="B102" t="str">
        <f>CONCATENATE("Tranfer ",table_Transfers[[#This Row],[ID]])</f>
        <v>Tranfer 100</v>
      </c>
      <c r="C102">
        <f t="shared" ca="1" si="2"/>
        <v>166400</v>
      </c>
      <c r="D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</v>
      </c>
      <c r="E102">
        <f ca="1">ROUND(1/table_Transfers[[#This Row],[investcost]]*RANDBETWEEN(10,100)/10,5)</f>
        <v>0.27500000000000002</v>
      </c>
    </row>
    <row r="103" spans="1:5" x14ac:dyDescent="0.45">
      <c r="A103">
        <v>101</v>
      </c>
      <c r="B103" t="str">
        <f>CONCATENATE("Tranfer ",table_Transfers[[#This Row],[ID]])</f>
        <v>Tranfer 101</v>
      </c>
      <c r="C103">
        <f t="shared" ca="1" si="2"/>
        <v>518400</v>
      </c>
      <c r="D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</v>
      </c>
      <c r="E103">
        <f ca="1">ROUND(1/table_Transfers[[#This Row],[investcost]]*RANDBETWEEN(10,100)/10,5)</f>
        <v>0.12154</v>
      </c>
    </row>
    <row r="104" spans="1:5" x14ac:dyDescent="0.45">
      <c r="A104">
        <v>102</v>
      </c>
      <c r="B104" t="str">
        <f>CONCATENATE("Tranfer ",table_Transfers[[#This Row],[ID]])</f>
        <v>Tranfer 102</v>
      </c>
      <c r="C104">
        <f t="shared" ca="1" si="2"/>
        <v>486400</v>
      </c>
      <c r="D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E104">
        <f ca="1">ROUND(1/table_Transfers[[#This Row],[investcost]]*RANDBETWEEN(10,100)/10,5)</f>
        <v>0.10517</v>
      </c>
    </row>
    <row r="105" spans="1:5" x14ac:dyDescent="0.45">
      <c r="A105">
        <v>103</v>
      </c>
      <c r="B105" t="str">
        <f>CONCATENATE("Tranfer ",table_Transfers[[#This Row],[ID]])</f>
        <v>Tranfer 103</v>
      </c>
      <c r="C105">
        <f t="shared" ca="1" si="2"/>
        <v>16588800</v>
      </c>
      <c r="D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1660</v>
      </c>
      <c r="E105">
        <f ca="1">ROUND(1/table_Transfers[[#This Row],[investcost]]*RANDBETWEEN(10,100)/10,5)</f>
        <v>3.9199999999999999E-3</v>
      </c>
    </row>
    <row r="106" spans="1:5" x14ac:dyDescent="0.45">
      <c r="A106">
        <v>104</v>
      </c>
      <c r="B106" t="str">
        <f>CONCATENATE("Tranfer ",table_Transfers[[#This Row],[ID]])</f>
        <v>Tranfer 104</v>
      </c>
      <c r="C106">
        <f t="shared" ca="1" si="2"/>
        <v>217600</v>
      </c>
      <c r="D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E106">
        <f ca="1">ROUND(1/table_Transfers[[#This Row],[investcost]]*RANDBETWEEN(10,100)/10,5)</f>
        <v>0.18723000000000001</v>
      </c>
    </row>
    <row r="107" spans="1:5" x14ac:dyDescent="0.45">
      <c r="A107">
        <v>105</v>
      </c>
      <c r="B107" t="str">
        <f>CONCATENATE("Tranfer ",table_Transfers[[#This Row],[ID]])</f>
        <v>Tranfer 105</v>
      </c>
      <c r="C107">
        <f t="shared" ca="1" si="2"/>
        <v>20480000</v>
      </c>
      <c r="D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1607</v>
      </c>
      <c r="E107">
        <f ca="1">ROUND(1/table_Transfers[[#This Row],[investcost]]*RANDBETWEEN(10,100)/10,5)</f>
        <v>4.8500000000000001E-3</v>
      </c>
    </row>
    <row r="108" spans="1:5" x14ac:dyDescent="0.45">
      <c r="A108">
        <v>106</v>
      </c>
      <c r="B108" t="str">
        <f>CONCATENATE("Tranfer ",table_Transfers[[#This Row],[ID]])</f>
        <v>Tranfer 106</v>
      </c>
      <c r="C108">
        <f t="shared" ca="1" si="2"/>
        <v>3020800</v>
      </c>
      <c r="D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376</v>
      </c>
      <c r="E108">
        <f ca="1">ROUND(1/table_Transfers[[#This Row],[investcost]]*RANDBETWEEN(10,100)/10,5)</f>
        <v>8.2400000000000008E-3</v>
      </c>
    </row>
    <row r="109" spans="1:5" x14ac:dyDescent="0.45">
      <c r="A109">
        <v>107</v>
      </c>
      <c r="B109" t="str">
        <f>CONCATENATE("Tranfer ",table_Transfers[[#This Row],[ID]])</f>
        <v>Tranfer 107</v>
      </c>
      <c r="C109">
        <f t="shared" ca="1" si="2"/>
        <v>20070400</v>
      </c>
      <c r="D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2876</v>
      </c>
      <c r="E109">
        <f ca="1">ROUND(1/table_Transfers[[#This Row],[investcost]]*RANDBETWEEN(10,100)/10,5)</f>
        <v>1.08E-3</v>
      </c>
    </row>
    <row r="110" spans="1:5" x14ac:dyDescent="0.45">
      <c r="A110">
        <v>108</v>
      </c>
      <c r="B110" t="str">
        <f>CONCATENATE("Tranfer ",table_Transfers[[#This Row],[ID]])</f>
        <v>Tranfer 108</v>
      </c>
      <c r="C110">
        <f t="shared" ca="1" si="2"/>
        <v>6041600</v>
      </c>
      <c r="D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682</v>
      </c>
      <c r="E110">
        <f ca="1">ROUND(1/table_Transfers[[#This Row],[investcost]]*RANDBETWEEN(10,100)/10,5)</f>
        <v>7.77E-3</v>
      </c>
    </row>
    <row r="111" spans="1:5" x14ac:dyDescent="0.45">
      <c r="A111">
        <v>109</v>
      </c>
      <c r="B111" t="str">
        <f>CONCATENATE("Tranfer ",table_Transfers[[#This Row],[ID]])</f>
        <v>Tranfer 109</v>
      </c>
      <c r="C111">
        <f t="shared" ca="1" si="2"/>
        <v>2150400</v>
      </c>
      <c r="D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221</v>
      </c>
      <c r="E111">
        <f ca="1">ROUND(1/table_Transfers[[#This Row],[investcost]]*RANDBETWEEN(10,100)/10,5)</f>
        <v>3.891E-2</v>
      </c>
    </row>
    <row r="112" spans="1:5" x14ac:dyDescent="0.45">
      <c r="A112">
        <v>110</v>
      </c>
      <c r="B112" t="str">
        <f>CONCATENATE("Tranfer ",table_Transfers[[#This Row],[ID]])</f>
        <v>Tranfer 110</v>
      </c>
      <c r="C112">
        <f t="shared" ca="1" si="2"/>
        <v>1062400</v>
      </c>
      <c r="D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246</v>
      </c>
      <c r="E112">
        <f ca="1">ROUND(1/table_Transfers[[#This Row],[investcost]]*RANDBETWEEN(10,100)/10,5)</f>
        <v>1.2200000000000001E-2</v>
      </c>
    </row>
    <row r="113" spans="1:5" x14ac:dyDescent="0.45">
      <c r="A113">
        <v>111</v>
      </c>
      <c r="B113" t="str">
        <f>CONCATENATE("Tranfer ",table_Transfers[[#This Row],[ID]])</f>
        <v>Tranfer 111</v>
      </c>
      <c r="C113">
        <f t="shared" ca="1" si="2"/>
        <v>1203200</v>
      </c>
      <c r="D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E113">
        <f ca="1">ROUND(1/table_Transfers[[#This Row],[investcost]]*RANDBETWEEN(10,100)/10,5)</f>
        <v>4.7E-2</v>
      </c>
    </row>
    <row r="114" spans="1:5" x14ac:dyDescent="0.45">
      <c r="A114">
        <v>112</v>
      </c>
      <c r="B114" t="str">
        <f>CONCATENATE("Tranfer ",table_Transfers[[#This Row],[ID]])</f>
        <v>Tranfer 112</v>
      </c>
      <c r="C114">
        <f t="shared" ca="1" si="2"/>
        <v>729600</v>
      </c>
      <c r="D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</v>
      </c>
      <c r="E114">
        <f ca="1">ROUND(1/table_Transfers[[#This Row],[investcost]]*RANDBETWEEN(10,100)/10,5)</f>
        <v>3.9239999999999997E-2</v>
      </c>
    </row>
    <row r="115" spans="1:5" x14ac:dyDescent="0.45">
      <c r="A115">
        <v>113</v>
      </c>
      <c r="B115" t="str">
        <f>CONCATENATE("Tranfer ",table_Transfers[[#This Row],[ID]])</f>
        <v>Tranfer 113</v>
      </c>
      <c r="C115">
        <f t="shared" ca="1" si="2"/>
        <v>454400</v>
      </c>
      <c r="D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</v>
      </c>
      <c r="E115">
        <f ca="1">ROUND(1/table_Transfers[[#This Row],[investcost]]*RANDBETWEEN(10,100)/10,5)</f>
        <v>6.4579999999999999E-2</v>
      </c>
    </row>
    <row r="116" spans="1:5" x14ac:dyDescent="0.45">
      <c r="A116">
        <v>114</v>
      </c>
      <c r="B116" t="str">
        <f>CONCATENATE("Tranfer ",table_Transfers[[#This Row],[ID]])</f>
        <v>Tranfer 114</v>
      </c>
      <c r="C116">
        <f t="shared" ca="1" si="2"/>
        <v>1126400</v>
      </c>
      <c r="D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133</v>
      </c>
      <c r="E116">
        <f ca="1">ROUND(1/table_Transfers[[#This Row],[investcost]]*RANDBETWEEN(10,100)/10,5)</f>
        <v>4.4359999999999997E-2</v>
      </c>
    </row>
    <row r="117" spans="1:5" x14ac:dyDescent="0.45">
      <c r="A117">
        <v>115</v>
      </c>
      <c r="B117" t="str">
        <f>CONCATENATE("Tranfer ",table_Transfers[[#This Row],[ID]])</f>
        <v>Tranfer 115</v>
      </c>
      <c r="C117">
        <f t="shared" ca="1" si="2"/>
        <v>9523200</v>
      </c>
      <c r="D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666</v>
      </c>
      <c r="E117">
        <f ca="1">ROUND(1/table_Transfers[[#This Row],[investcost]]*RANDBETWEEN(10,100)/10,5)</f>
        <v>7.2100000000000003E-3</v>
      </c>
    </row>
    <row r="118" spans="1:5" x14ac:dyDescent="0.45">
      <c r="A118">
        <v>116</v>
      </c>
      <c r="B118" t="str">
        <f>CONCATENATE("Tranfer ",table_Transfers[[#This Row],[ID]])</f>
        <v>Tranfer 116</v>
      </c>
      <c r="C118">
        <f t="shared" ca="1" si="2"/>
        <v>12902400</v>
      </c>
      <c r="D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1651</v>
      </c>
      <c r="E118">
        <f ca="1">ROUND(1/table_Transfers[[#This Row],[investcost]]*RANDBETWEEN(10,100)/10,5)</f>
        <v>5.0899999999999999E-3</v>
      </c>
    </row>
    <row r="119" spans="1:5" x14ac:dyDescent="0.45">
      <c r="A119">
        <v>117</v>
      </c>
      <c r="B119" t="str">
        <f>CONCATENATE("Tranfer ",table_Transfers[[#This Row],[ID]])</f>
        <v>Tranfer 117</v>
      </c>
      <c r="C119">
        <f t="shared" ca="1" si="2"/>
        <v>4198400</v>
      </c>
      <c r="D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394</v>
      </c>
      <c r="E119">
        <f ca="1">ROUND(1/table_Transfers[[#This Row],[investcost]]*RANDBETWEEN(10,100)/10,5)</f>
        <v>1.142E-2</v>
      </c>
    </row>
    <row r="120" spans="1:5" x14ac:dyDescent="0.45">
      <c r="A120">
        <v>118</v>
      </c>
      <c r="B120" t="str">
        <f>CONCATENATE("Tranfer ",table_Transfers[[#This Row],[ID]])</f>
        <v>Tranfer 118</v>
      </c>
      <c r="C120">
        <f t="shared" ca="1" si="2"/>
        <v>768000</v>
      </c>
      <c r="D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91</v>
      </c>
      <c r="E120">
        <f ca="1">ROUND(1/table_Transfers[[#This Row],[investcost]]*RANDBETWEEN(10,100)/10,5)</f>
        <v>2.0879999999999999E-2</v>
      </c>
    </row>
    <row r="121" spans="1:5" x14ac:dyDescent="0.45">
      <c r="A121">
        <v>119</v>
      </c>
      <c r="B121" t="str">
        <f>CONCATENATE("Tranfer ",table_Transfers[[#This Row],[ID]])</f>
        <v>Tranfer 119</v>
      </c>
      <c r="C121">
        <f t="shared" ca="1" si="2"/>
        <v>435200</v>
      </c>
      <c r="D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</v>
      </c>
      <c r="E121">
        <f ca="1">ROUND(1/table_Transfers[[#This Row],[investcost]]*RANDBETWEEN(10,100)/10,5)</f>
        <v>4.1980000000000003E-2</v>
      </c>
    </row>
    <row r="122" spans="1:5" x14ac:dyDescent="0.45">
      <c r="A122">
        <v>120</v>
      </c>
      <c r="B122" t="str">
        <f>CONCATENATE("Tranfer ",table_Transfers[[#This Row],[ID]])</f>
        <v>Tranfer 120</v>
      </c>
      <c r="C122">
        <f t="shared" ca="1" si="2"/>
        <v>473600</v>
      </c>
      <c r="D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</v>
      </c>
      <c r="E122">
        <f ca="1">ROUND(1/table_Transfers[[#This Row],[investcost]]*RANDBETWEEN(10,100)/10,5)</f>
        <v>6.4630000000000007E-2</v>
      </c>
    </row>
    <row r="123" spans="1:5" x14ac:dyDescent="0.45">
      <c r="A123">
        <v>121</v>
      </c>
      <c r="B123" t="str">
        <f>CONCATENATE("Tranfer ",table_Transfers[[#This Row],[ID]])</f>
        <v>Tranfer 121</v>
      </c>
      <c r="C123">
        <f t="shared" ca="1" si="2"/>
        <v>9728000</v>
      </c>
      <c r="D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683</v>
      </c>
      <c r="E123">
        <f ca="1">ROUND(1/table_Transfers[[#This Row],[investcost]]*RANDBETWEEN(10,100)/10,5)</f>
        <v>1.435E-2</v>
      </c>
    </row>
    <row r="124" spans="1:5" x14ac:dyDescent="0.45">
      <c r="A124">
        <v>122</v>
      </c>
      <c r="B124" t="str">
        <f>CONCATENATE("Tranfer ",table_Transfers[[#This Row],[ID]])</f>
        <v>Tranfer 122</v>
      </c>
      <c r="C124">
        <f t="shared" ca="1" si="2"/>
        <v>2150400</v>
      </c>
      <c r="D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194</v>
      </c>
      <c r="E124">
        <f ca="1">ROUND(1/table_Transfers[[#This Row],[investcost]]*RANDBETWEEN(10,100)/10,5)</f>
        <v>2.9899999999999999E-2</v>
      </c>
    </row>
    <row r="125" spans="1:5" x14ac:dyDescent="0.45">
      <c r="A125">
        <v>123</v>
      </c>
      <c r="B125" t="str">
        <f>CONCATENATE("Tranfer ",table_Transfers[[#This Row],[ID]])</f>
        <v>Tranfer 123</v>
      </c>
      <c r="C125">
        <f t="shared" ca="1" si="2"/>
        <v>5734400</v>
      </c>
      <c r="D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757</v>
      </c>
      <c r="E125">
        <f ca="1">ROUND(1/table_Transfers[[#This Row],[investcost]]*RANDBETWEEN(10,100)/10,5)</f>
        <v>9.3799999999999994E-3</v>
      </c>
    </row>
    <row r="126" spans="1:5" x14ac:dyDescent="0.45">
      <c r="A126">
        <v>124</v>
      </c>
      <c r="B126" t="str">
        <f>CONCATENATE("Tranfer ",table_Transfers[[#This Row],[ID]])</f>
        <v>Tranfer 124</v>
      </c>
      <c r="C126">
        <f t="shared" ca="1" si="2"/>
        <v>633600</v>
      </c>
      <c r="D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</v>
      </c>
      <c r="E126">
        <f ca="1">ROUND(1/table_Transfers[[#This Row],[investcost]]*RANDBETWEEN(10,100)/10,5)</f>
        <v>4.4040000000000003E-2</v>
      </c>
    </row>
    <row r="127" spans="1:5" x14ac:dyDescent="0.45">
      <c r="A127">
        <v>125</v>
      </c>
      <c r="B127" t="str">
        <f>CONCATENATE("Tranfer ",table_Transfers[[#This Row],[ID]])</f>
        <v>Tranfer 125</v>
      </c>
      <c r="C127">
        <f t="shared" ca="1" si="2"/>
        <v>15155200</v>
      </c>
      <c r="D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1284</v>
      </c>
      <c r="E127">
        <f ca="1">ROUND(1/table_Transfers[[#This Row],[investcost]]*RANDBETWEEN(10,100)/10,5)</f>
        <v>2.1800000000000001E-3</v>
      </c>
    </row>
    <row r="128" spans="1:5" x14ac:dyDescent="0.45">
      <c r="A128">
        <v>126</v>
      </c>
      <c r="B128" t="str">
        <f>CONCATENATE("Tranfer ",table_Transfers[[#This Row],[ID]])</f>
        <v>Tranfer 126</v>
      </c>
      <c r="C128">
        <f t="shared" ca="1" si="2"/>
        <v>1177600</v>
      </c>
      <c r="D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128</v>
      </c>
      <c r="E128">
        <f ca="1">ROUND(1/table_Transfers[[#This Row],[investcost]]*RANDBETWEEN(10,100)/10,5)</f>
        <v>1.2500000000000001E-2</v>
      </c>
    </row>
    <row r="129" spans="1:5" x14ac:dyDescent="0.45">
      <c r="A129">
        <v>127</v>
      </c>
      <c r="B129" t="str">
        <f>CONCATENATE("Tranfer ",table_Transfers[[#This Row],[ID]])</f>
        <v>Tranfer 127</v>
      </c>
      <c r="C129">
        <f t="shared" ca="1" si="2"/>
        <v>480000</v>
      </c>
      <c r="D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E129">
        <f ca="1">ROUND(1/table_Transfers[[#This Row],[investcost]]*RANDBETWEEN(10,100)/10,5)</f>
        <v>0.14482999999999999</v>
      </c>
    </row>
    <row r="130" spans="1:5" x14ac:dyDescent="0.45">
      <c r="A130">
        <v>128</v>
      </c>
      <c r="B130" t="str">
        <f>CONCATENATE("Tranfer ",table_Transfers[[#This Row],[ID]])</f>
        <v>Tranfer 128</v>
      </c>
      <c r="C130">
        <f t="shared" ref="C130:C193" ca="1" si="3">2^RANDBETWEEN(6,12)*100*RANDBETWEEN(10,100)</f>
        <v>313600</v>
      </c>
      <c r="D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E130">
        <f ca="1">ROUND(1/table_Transfers[[#This Row],[investcost]]*RANDBETWEEN(10,100)/10,5)</f>
        <v>0.23415</v>
      </c>
    </row>
    <row r="131" spans="1:5" x14ac:dyDescent="0.45">
      <c r="A131">
        <v>129</v>
      </c>
      <c r="B131" t="str">
        <f>CONCATENATE("Tranfer ",table_Transfers[[#This Row],[ID]])</f>
        <v>Tranfer 129</v>
      </c>
      <c r="C131">
        <f t="shared" ca="1" si="3"/>
        <v>505600</v>
      </c>
      <c r="D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</v>
      </c>
      <c r="E131">
        <f ca="1">ROUND(1/table_Transfers[[#This Row],[investcost]]*RANDBETWEEN(10,100)/10,5)</f>
        <v>0.10290000000000001</v>
      </c>
    </row>
    <row r="132" spans="1:5" x14ac:dyDescent="0.45">
      <c r="A132">
        <v>130</v>
      </c>
      <c r="B132" t="str">
        <f>CONCATENATE("Tranfer ",table_Transfers[[#This Row],[ID]])</f>
        <v>Tranfer 130</v>
      </c>
      <c r="C132">
        <f t="shared" ca="1" si="3"/>
        <v>4710400</v>
      </c>
      <c r="D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582</v>
      </c>
      <c r="E132">
        <f ca="1">ROUND(1/table_Transfers[[#This Row],[investcost]]*RANDBETWEEN(10,100)/10,5)</f>
        <v>3.2599999999999999E-3</v>
      </c>
    </row>
    <row r="133" spans="1:5" x14ac:dyDescent="0.45">
      <c r="A133">
        <v>131</v>
      </c>
      <c r="B133" t="str">
        <f>CONCATENATE("Tranfer ",table_Transfers[[#This Row],[ID]])</f>
        <v>Tranfer 131</v>
      </c>
      <c r="C133">
        <f t="shared" ca="1" si="3"/>
        <v>2022400</v>
      </c>
      <c r="D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325</v>
      </c>
      <c r="E133">
        <f ca="1">ROUND(1/table_Transfers[[#This Row],[investcost]]*RANDBETWEEN(10,100)/10,5)</f>
        <v>7.3800000000000003E-3</v>
      </c>
    </row>
    <row r="134" spans="1:5" x14ac:dyDescent="0.45">
      <c r="A134">
        <v>132</v>
      </c>
      <c r="B134" t="str">
        <f>CONCATENATE("Tranfer ",table_Transfers[[#This Row],[ID]])</f>
        <v>Tranfer 132</v>
      </c>
      <c r="C134">
        <f t="shared" ca="1" si="3"/>
        <v>1049600</v>
      </c>
      <c r="D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181</v>
      </c>
      <c r="E134">
        <f ca="1">ROUND(1/table_Transfers[[#This Row],[investcost]]*RANDBETWEEN(10,100)/10,5)</f>
        <v>4.53E-2</v>
      </c>
    </row>
    <row r="135" spans="1:5" x14ac:dyDescent="0.45">
      <c r="A135">
        <v>133</v>
      </c>
      <c r="B135" t="str">
        <f>CONCATENATE("Tranfer ",table_Transfers[[#This Row],[ID]])</f>
        <v>Tranfer 133</v>
      </c>
      <c r="C135">
        <f t="shared" ca="1" si="3"/>
        <v>140800</v>
      </c>
      <c r="D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E135">
        <f ca="1">ROUND(1/table_Transfers[[#This Row],[investcost]]*RANDBETWEEN(10,100)/10,5)</f>
        <v>0.95</v>
      </c>
    </row>
    <row r="136" spans="1:5" x14ac:dyDescent="0.45">
      <c r="A136">
        <v>134</v>
      </c>
      <c r="B136" t="str">
        <f>CONCATENATE("Tranfer ",table_Transfers[[#This Row],[ID]])</f>
        <v>Tranfer 134</v>
      </c>
      <c r="C136">
        <f t="shared" ca="1" si="3"/>
        <v>9728000</v>
      </c>
      <c r="D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1217</v>
      </c>
      <c r="E136">
        <f ca="1">ROUND(1/table_Transfers[[#This Row],[investcost]]*RANDBETWEEN(10,100)/10,5)</f>
        <v>7.1500000000000001E-3</v>
      </c>
    </row>
    <row r="137" spans="1:5" x14ac:dyDescent="0.45">
      <c r="A137">
        <v>135</v>
      </c>
      <c r="B137" t="str">
        <f>CONCATENATE("Tranfer ",table_Transfers[[#This Row],[ID]])</f>
        <v>Tranfer 135</v>
      </c>
      <c r="C137">
        <f t="shared" ca="1" si="3"/>
        <v>716800</v>
      </c>
      <c r="D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</v>
      </c>
      <c r="E137">
        <f ca="1">ROUND(1/table_Transfers[[#This Row],[investcost]]*RANDBETWEEN(10,100)/10,5)</f>
        <v>8.7650000000000006E-2</v>
      </c>
    </row>
    <row r="138" spans="1:5" x14ac:dyDescent="0.45">
      <c r="A138">
        <v>136</v>
      </c>
      <c r="B138" t="str">
        <f>CONCATENATE("Tranfer ",table_Transfers[[#This Row],[ID]])</f>
        <v>Tranfer 136</v>
      </c>
      <c r="C138">
        <f t="shared" ca="1" si="3"/>
        <v>3891200</v>
      </c>
      <c r="D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479</v>
      </c>
      <c r="E138">
        <f ca="1">ROUND(1/table_Transfers[[#This Row],[investcost]]*RANDBETWEEN(10,100)/10,5)</f>
        <v>1.6080000000000001E-2</v>
      </c>
    </row>
    <row r="139" spans="1:5" x14ac:dyDescent="0.45">
      <c r="A139">
        <v>137</v>
      </c>
      <c r="B139" t="str">
        <f>CONCATENATE("Tranfer ",table_Transfers[[#This Row],[ID]])</f>
        <v>Tranfer 137</v>
      </c>
      <c r="C139">
        <f t="shared" ca="1" si="3"/>
        <v>12902400</v>
      </c>
      <c r="D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887</v>
      </c>
      <c r="E139">
        <f ca="1">ROUND(1/table_Transfers[[#This Row],[investcost]]*RANDBETWEEN(10,100)/10,5)</f>
        <v>7.5500000000000003E-3</v>
      </c>
    </row>
    <row r="140" spans="1:5" x14ac:dyDescent="0.45">
      <c r="A140">
        <v>138</v>
      </c>
      <c r="B140" t="str">
        <f>CONCATENATE("Tranfer ",table_Transfers[[#This Row],[ID]])</f>
        <v>Tranfer 138</v>
      </c>
      <c r="C140">
        <f t="shared" ca="1" si="3"/>
        <v>793600</v>
      </c>
      <c r="D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</v>
      </c>
      <c r="E140">
        <f ca="1">ROUND(1/table_Transfers[[#This Row],[investcost]]*RANDBETWEEN(10,100)/10,5)</f>
        <v>6.8419999999999995E-2</v>
      </c>
    </row>
    <row r="141" spans="1:5" x14ac:dyDescent="0.45">
      <c r="A141">
        <v>139</v>
      </c>
      <c r="B141" t="str">
        <f>CONCATENATE("Tranfer ",table_Transfers[[#This Row],[ID]])</f>
        <v>Tranfer 139</v>
      </c>
      <c r="C141">
        <f t="shared" ca="1" si="3"/>
        <v>614400</v>
      </c>
      <c r="D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</v>
      </c>
      <c r="E141">
        <f ca="1">ROUND(1/table_Transfers[[#This Row],[investcost]]*RANDBETWEEN(10,100)/10,5)</f>
        <v>0.10962</v>
      </c>
    </row>
    <row r="142" spans="1:5" x14ac:dyDescent="0.45">
      <c r="A142">
        <v>140</v>
      </c>
      <c r="B142" t="str">
        <f>CONCATENATE("Tranfer ",table_Transfers[[#This Row],[ID]])</f>
        <v>Tranfer 140</v>
      </c>
      <c r="C142">
        <f t="shared" ca="1" si="3"/>
        <v>6963200</v>
      </c>
      <c r="D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649</v>
      </c>
      <c r="E142">
        <f ca="1">ROUND(1/table_Transfers[[#This Row],[investcost]]*RANDBETWEEN(10,100)/10,5)</f>
        <v>1.2019999999999999E-2</v>
      </c>
    </row>
    <row r="143" spans="1:5" x14ac:dyDescent="0.45">
      <c r="A143">
        <v>141</v>
      </c>
      <c r="B143" t="str">
        <f>CONCATENATE("Tranfer ",table_Transfers[[#This Row],[ID]])</f>
        <v>Tranfer 141</v>
      </c>
      <c r="C143">
        <f t="shared" ca="1" si="3"/>
        <v>29081600</v>
      </c>
      <c r="D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3271</v>
      </c>
      <c r="E143">
        <f ca="1">ROUND(1/table_Transfers[[#This Row],[investcost]]*RANDBETWEEN(10,100)/10,5)</f>
        <v>2.0799999999999998E-3</v>
      </c>
    </row>
    <row r="144" spans="1:5" x14ac:dyDescent="0.45">
      <c r="A144">
        <v>142</v>
      </c>
      <c r="B144" t="str">
        <f>CONCATENATE("Tranfer ",table_Transfers[[#This Row],[ID]])</f>
        <v>Tranfer 142</v>
      </c>
      <c r="C144">
        <f t="shared" ca="1" si="3"/>
        <v>435200</v>
      </c>
      <c r="D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</v>
      </c>
      <c r="E144">
        <f ca="1">ROUND(1/table_Transfers[[#This Row],[investcost]]*RANDBETWEEN(10,100)/10,5)</f>
        <v>0.18204999999999999</v>
      </c>
    </row>
    <row r="145" spans="1:5" x14ac:dyDescent="0.45">
      <c r="A145">
        <v>143</v>
      </c>
      <c r="B145" t="str">
        <f>CONCATENATE("Tranfer ",table_Transfers[[#This Row],[ID]])</f>
        <v>Tranfer 143</v>
      </c>
      <c r="C145">
        <f t="shared" ca="1" si="3"/>
        <v>3481600</v>
      </c>
      <c r="D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358</v>
      </c>
      <c r="E145">
        <f ca="1">ROUND(1/table_Transfers[[#This Row],[investcost]]*RANDBETWEEN(10,100)/10,5)</f>
        <v>1.983E-2</v>
      </c>
    </row>
    <row r="146" spans="1:5" x14ac:dyDescent="0.45">
      <c r="A146">
        <v>144</v>
      </c>
      <c r="B146" t="str">
        <f>CONCATENATE("Tranfer ",table_Transfers[[#This Row],[ID]])</f>
        <v>Tranfer 144</v>
      </c>
      <c r="C146">
        <f t="shared" ca="1" si="3"/>
        <v>26214400</v>
      </c>
      <c r="D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3294</v>
      </c>
      <c r="E146">
        <f ca="1">ROUND(1/table_Transfers[[#This Row],[investcost]]*RANDBETWEEN(10,100)/10,5)</f>
        <v>1.58E-3</v>
      </c>
    </row>
    <row r="147" spans="1:5" x14ac:dyDescent="0.45">
      <c r="A147">
        <v>145</v>
      </c>
      <c r="B147" t="str">
        <f>CONCATENATE("Tranfer ",table_Transfers[[#This Row],[ID]])</f>
        <v>Tranfer 145</v>
      </c>
      <c r="C147">
        <f t="shared" ca="1" si="3"/>
        <v>8806400</v>
      </c>
      <c r="D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667</v>
      </c>
      <c r="E147">
        <f ca="1">ROUND(1/table_Transfers[[#This Row],[investcost]]*RANDBETWEEN(10,100)/10,5)</f>
        <v>5.5500000000000002E-3</v>
      </c>
    </row>
    <row r="148" spans="1:5" x14ac:dyDescent="0.45">
      <c r="A148">
        <v>146</v>
      </c>
      <c r="B148" t="str">
        <f>CONCATENATE("Tranfer ",table_Transfers[[#This Row],[ID]])</f>
        <v>Tranfer 146</v>
      </c>
      <c r="C148">
        <f t="shared" ca="1" si="3"/>
        <v>108800</v>
      </c>
      <c r="D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</v>
      </c>
      <c r="E148">
        <f ca="1">ROUND(1/table_Transfers[[#This Row],[investcost]]*RANDBETWEEN(10,100)/10,5)</f>
        <v>0.25757999999999998</v>
      </c>
    </row>
    <row r="149" spans="1:5" x14ac:dyDescent="0.45">
      <c r="A149">
        <v>147</v>
      </c>
      <c r="B149" t="str">
        <f>CONCATENATE("Tranfer ",table_Transfers[[#This Row],[ID]])</f>
        <v>Tranfer 147</v>
      </c>
      <c r="C149">
        <f t="shared" ca="1" si="3"/>
        <v>1766400</v>
      </c>
      <c r="D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201</v>
      </c>
      <c r="E149">
        <f ca="1">ROUND(1/table_Transfers[[#This Row],[investcost]]*RANDBETWEEN(10,100)/10,5)</f>
        <v>1.7409999999999998E-2</v>
      </c>
    </row>
    <row r="150" spans="1:5" x14ac:dyDescent="0.45">
      <c r="A150">
        <v>148</v>
      </c>
      <c r="B150" t="str">
        <f>CONCATENATE("Tranfer ",table_Transfers[[#This Row],[ID]])</f>
        <v>Tranfer 148</v>
      </c>
      <c r="C150">
        <f t="shared" ca="1" si="3"/>
        <v>3891200</v>
      </c>
      <c r="D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659</v>
      </c>
      <c r="E150">
        <f ca="1">ROUND(1/table_Transfers[[#This Row],[investcost]]*RANDBETWEEN(10,100)/10,5)</f>
        <v>3.64E-3</v>
      </c>
    </row>
    <row r="151" spans="1:5" x14ac:dyDescent="0.45">
      <c r="A151">
        <v>149</v>
      </c>
      <c r="B151" t="str">
        <f>CONCATENATE("Tranfer ",table_Transfers[[#This Row],[ID]])</f>
        <v>Tranfer 149</v>
      </c>
      <c r="C151">
        <f t="shared" ca="1" si="3"/>
        <v>2764800</v>
      </c>
      <c r="D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272</v>
      </c>
      <c r="E151">
        <f ca="1">ROUND(1/table_Transfers[[#This Row],[investcost]]*RANDBETWEEN(10,100)/10,5)</f>
        <v>6.9899999999999997E-3</v>
      </c>
    </row>
    <row r="152" spans="1:5" x14ac:dyDescent="0.45">
      <c r="A152">
        <v>150</v>
      </c>
      <c r="B152" t="str">
        <f>CONCATENATE("Tranfer ",table_Transfers[[#This Row],[ID]])</f>
        <v>Tranfer 150</v>
      </c>
      <c r="C152">
        <f t="shared" ca="1" si="3"/>
        <v>2560000</v>
      </c>
      <c r="D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373</v>
      </c>
      <c r="E152">
        <f ca="1">ROUND(1/table_Transfers[[#This Row],[investcost]]*RANDBETWEEN(10,100)/10,5)</f>
        <v>3.7499999999999999E-3</v>
      </c>
    </row>
    <row r="153" spans="1:5" x14ac:dyDescent="0.45">
      <c r="A153">
        <v>151</v>
      </c>
      <c r="B153" t="str">
        <f>CONCATENATE("Tranfer ",table_Transfers[[#This Row],[ID]])</f>
        <v>Tranfer 151</v>
      </c>
      <c r="C153">
        <f t="shared" ca="1" si="3"/>
        <v>4352000</v>
      </c>
      <c r="D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434</v>
      </c>
      <c r="E153">
        <f ca="1">ROUND(1/table_Transfers[[#This Row],[investcost]]*RANDBETWEEN(10,100)/10,5)</f>
        <v>1.452E-2</v>
      </c>
    </row>
    <row r="154" spans="1:5" x14ac:dyDescent="0.45">
      <c r="A154">
        <v>152</v>
      </c>
      <c r="B154" t="str">
        <f>CONCATENATE("Tranfer ",table_Transfers[[#This Row],[ID]])</f>
        <v>Tranfer 152</v>
      </c>
      <c r="C154">
        <f t="shared" ca="1" si="3"/>
        <v>2278400</v>
      </c>
      <c r="D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213</v>
      </c>
      <c r="E154">
        <f ca="1">ROUND(1/table_Transfers[[#This Row],[investcost]]*RANDBETWEEN(10,100)/10,5)</f>
        <v>3.2390000000000002E-2</v>
      </c>
    </row>
    <row r="155" spans="1:5" x14ac:dyDescent="0.45">
      <c r="A155">
        <v>153</v>
      </c>
      <c r="B155" t="str">
        <f>CONCATENATE("Tranfer ",table_Transfers[[#This Row],[ID]])</f>
        <v>Tranfer 153</v>
      </c>
      <c r="C155">
        <f t="shared" ca="1" si="3"/>
        <v>793600</v>
      </c>
      <c r="D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148</v>
      </c>
      <c r="E155">
        <f ca="1">ROUND(1/table_Transfers[[#This Row],[investcost]]*RANDBETWEEN(10,100)/10,5)</f>
        <v>2.23E-2</v>
      </c>
    </row>
    <row r="156" spans="1:5" x14ac:dyDescent="0.45">
      <c r="A156">
        <v>154</v>
      </c>
      <c r="B156" t="str">
        <f>CONCATENATE("Tranfer ",table_Transfers[[#This Row],[ID]])</f>
        <v>Tranfer 154</v>
      </c>
      <c r="C156">
        <f t="shared" ca="1" si="3"/>
        <v>1894400</v>
      </c>
      <c r="D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172</v>
      </c>
      <c r="E156">
        <f ca="1">ROUND(1/table_Transfers[[#This Row],[investcost]]*RANDBETWEEN(10,100)/10,5)</f>
        <v>5.2330000000000002E-2</v>
      </c>
    </row>
    <row r="157" spans="1:5" x14ac:dyDescent="0.45">
      <c r="A157">
        <v>155</v>
      </c>
      <c r="B157" t="str">
        <f>CONCATENATE("Tranfer ",table_Transfers[[#This Row],[ID]])</f>
        <v>Tranfer 155</v>
      </c>
      <c r="C157">
        <f t="shared" ca="1" si="3"/>
        <v>1177600</v>
      </c>
      <c r="D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188</v>
      </c>
      <c r="E157">
        <f ca="1">ROUND(1/table_Transfers[[#This Row],[investcost]]*RANDBETWEEN(10,100)/10,5)</f>
        <v>3.6700000000000003E-2</v>
      </c>
    </row>
    <row r="158" spans="1:5" x14ac:dyDescent="0.45">
      <c r="A158">
        <v>156</v>
      </c>
      <c r="B158" t="str">
        <f>CONCATENATE("Tranfer ",table_Transfers[[#This Row],[ID]])</f>
        <v>Tranfer 156</v>
      </c>
      <c r="C158">
        <f t="shared" ca="1" si="3"/>
        <v>1024000</v>
      </c>
      <c r="D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</v>
      </c>
      <c r="E158">
        <f ca="1">ROUND(1/table_Transfers[[#This Row],[investcost]]*RANDBETWEEN(10,100)/10,5)</f>
        <v>8.2979999999999998E-2</v>
      </c>
    </row>
    <row r="159" spans="1:5" x14ac:dyDescent="0.45">
      <c r="A159">
        <v>157</v>
      </c>
      <c r="B159" t="str">
        <f>CONCATENATE("Tranfer ",table_Transfers[[#This Row],[ID]])</f>
        <v>Tranfer 157</v>
      </c>
      <c r="C159">
        <f t="shared" ca="1" si="3"/>
        <v>10240000</v>
      </c>
      <c r="D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851</v>
      </c>
      <c r="E159">
        <f ca="1">ROUND(1/table_Transfers[[#This Row],[investcost]]*RANDBETWEEN(10,100)/10,5)</f>
        <v>2.9399999999999999E-3</v>
      </c>
    </row>
    <row r="160" spans="1:5" x14ac:dyDescent="0.45">
      <c r="A160">
        <v>158</v>
      </c>
      <c r="B160" t="str">
        <f>CONCATENATE("Tranfer ",table_Transfers[[#This Row],[ID]])</f>
        <v>Tranfer 158</v>
      </c>
      <c r="C160">
        <f t="shared" ca="1" si="3"/>
        <v>198400</v>
      </c>
      <c r="D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</v>
      </c>
      <c r="E160">
        <f ca="1">ROUND(1/table_Transfers[[#This Row],[investcost]]*RANDBETWEEN(10,100)/10,5)</f>
        <v>0.18</v>
      </c>
    </row>
    <row r="161" spans="1:5" x14ac:dyDescent="0.45">
      <c r="A161">
        <v>159</v>
      </c>
      <c r="B161" t="str">
        <f>CONCATENATE("Tranfer ",table_Transfers[[#This Row],[ID]])</f>
        <v>Tranfer 159</v>
      </c>
      <c r="C161">
        <f t="shared" ca="1" si="3"/>
        <v>8089600</v>
      </c>
      <c r="D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1657</v>
      </c>
      <c r="E161">
        <f ca="1">ROUND(1/table_Transfers[[#This Row],[investcost]]*RANDBETWEEN(10,100)/10,5)</f>
        <v>2.47E-3</v>
      </c>
    </row>
    <row r="162" spans="1:5" x14ac:dyDescent="0.45">
      <c r="A162">
        <v>160</v>
      </c>
      <c r="B162" t="str">
        <f>CONCATENATE("Tranfer ",table_Transfers[[#This Row],[ID]])</f>
        <v>Tranfer 160</v>
      </c>
      <c r="C162">
        <f t="shared" ca="1" si="3"/>
        <v>166400</v>
      </c>
      <c r="D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</v>
      </c>
      <c r="E162">
        <f ca="1">ROUND(1/table_Transfers[[#This Row],[investcost]]*RANDBETWEEN(10,100)/10,5)</f>
        <v>0.29117999999999999</v>
      </c>
    </row>
    <row r="163" spans="1:5" x14ac:dyDescent="0.45">
      <c r="A163">
        <v>161</v>
      </c>
      <c r="B163" t="str">
        <f>CONCATENATE("Tranfer ",table_Transfers[[#This Row],[ID]])</f>
        <v>Tranfer 161</v>
      </c>
      <c r="C163">
        <f t="shared" ca="1" si="3"/>
        <v>1740800</v>
      </c>
      <c r="D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219</v>
      </c>
      <c r="E163">
        <f ca="1">ROUND(1/table_Transfers[[#This Row],[investcost]]*RANDBETWEEN(10,100)/10,5)</f>
        <v>2.511E-2</v>
      </c>
    </row>
    <row r="164" spans="1:5" x14ac:dyDescent="0.45">
      <c r="A164">
        <v>162</v>
      </c>
      <c r="B164" t="str">
        <f>CONCATENATE("Tranfer ",table_Transfers[[#This Row],[ID]])</f>
        <v>Tranfer 162</v>
      </c>
      <c r="C164">
        <f t="shared" ca="1" si="3"/>
        <v>31948800</v>
      </c>
      <c r="D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5348</v>
      </c>
      <c r="E164">
        <f ca="1">ROUND(1/table_Transfers[[#This Row],[investcost]]*RANDBETWEEN(10,100)/10,5)</f>
        <v>1.0300000000000001E-3</v>
      </c>
    </row>
    <row r="165" spans="1:5" x14ac:dyDescent="0.45">
      <c r="A165">
        <v>163</v>
      </c>
      <c r="B165" t="str">
        <f>CONCATENATE("Tranfer ",table_Transfers[[#This Row],[ID]])</f>
        <v>Tranfer 163</v>
      </c>
      <c r="C165">
        <f t="shared" ca="1" si="3"/>
        <v>512000</v>
      </c>
      <c r="D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E165">
        <f ca="1">ROUND(1/table_Transfers[[#This Row],[investcost]]*RANDBETWEEN(10,100)/10,5)</f>
        <v>0.18140000000000001</v>
      </c>
    </row>
    <row r="166" spans="1:5" x14ac:dyDescent="0.45">
      <c r="A166">
        <v>164</v>
      </c>
      <c r="B166" t="str">
        <f>CONCATENATE("Tranfer ",table_Transfers[[#This Row],[ID]])</f>
        <v>Tranfer 164</v>
      </c>
      <c r="C166">
        <f t="shared" ca="1" si="3"/>
        <v>5734400</v>
      </c>
      <c r="D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403</v>
      </c>
      <c r="E166">
        <f ca="1">ROUND(1/table_Transfers[[#This Row],[investcost]]*RANDBETWEEN(10,100)/10,5)</f>
        <v>2.2329999999999999E-2</v>
      </c>
    </row>
    <row r="167" spans="1:5" x14ac:dyDescent="0.45">
      <c r="A167">
        <v>165</v>
      </c>
      <c r="B167" t="str">
        <f>CONCATENATE("Tranfer ",table_Transfers[[#This Row],[ID]])</f>
        <v>Tranfer 165</v>
      </c>
      <c r="C167">
        <f t="shared" ca="1" si="3"/>
        <v>819200</v>
      </c>
      <c r="D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</v>
      </c>
      <c r="E167">
        <f ca="1">ROUND(1/table_Transfers[[#This Row],[investcost]]*RANDBETWEEN(10,100)/10,5)</f>
        <v>4.2369999999999998E-2</v>
      </c>
    </row>
    <row r="168" spans="1:5" x14ac:dyDescent="0.45">
      <c r="A168">
        <v>166</v>
      </c>
      <c r="B168" t="str">
        <f>CONCATENATE("Tranfer ",table_Transfers[[#This Row],[ID]])</f>
        <v>Tranfer 166</v>
      </c>
      <c r="C168">
        <f t="shared" ca="1" si="3"/>
        <v>204800</v>
      </c>
      <c r="D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E168">
        <f ca="1">ROUND(1/table_Transfers[[#This Row],[investcost]]*RANDBETWEEN(10,100)/10,5)</f>
        <v>6.3009999999999997E-2</v>
      </c>
    </row>
    <row r="169" spans="1:5" x14ac:dyDescent="0.45">
      <c r="A169">
        <v>167</v>
      </c>
      <c r="B169" t="str">
        <f>CONCATENATE("Tranfer ",table_Transfers[[#This Row],[ID]])</f>
        <v>Tranfer 167</v>
      </c>
      <c r="C169">
        <f t="shared" ca="1" si="3"/>
        <v>3532800</v>
      </c>
      <c r="D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635</v>
      </c>
      <c r="E169">
        <f ca="1">ROUND(1/table_Transfers[[#This Row],[investcost]]*RANDBETWEEN(10,100)/10,5)</f>
        <v>8.5000000000000006E-3</v>
      </c>
    </row>
    <row r="170" spans="1:5" x14ac:dyDescent="0.45">
      <c r="A170">
        <v>168</v>
      </c>
      <c r="B170" t="str">
        <f>CONCATENATE("Tranfer ",table_Transfers[[#This Row],[ID]])</f>
        <v>Tranfer 168</v>
      </c>
      <c r="C170">
        <f t="shared" ca="1" si="3"/>
        <v>2150400</v>
      </c>
      <c r="D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424</v>
      </c>
      <c r="E170">
        <f ca="1">ROUND(1/table_Transfers[[#This Row],[investcost]]*RANDBETWEEN(10,100)/10,5)</f>
        <v>1.8870000000000001E-2</v>
      </c>
    </row>
    <row r="171" spans="1:5" x14ac:dyDescent="0.45">
      <c r="A171">
        <v>169</v>
      </c>
      <c r="B171" t="str">
        <f>CONCATENATE("Tranfer ",table_Transfers[[#This Row],[ID]])</f>
        <v>Tranfer 169</v>
      </c>
      <c r="C171">
        <f t="shared" ca="1" si="3"/>
        <v>614400</v>
      </c>
      <c r="D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</v>
      </c>
      <c r="E171">
        <f ca="1">ROUND(1/table_Transfers[[#This Row],[investcost]]*RANDBETWEEN(10,100)/10,5)</f>
        <v>2.794E-2</v>
      </c>
    </row>
    <row r="172" spans="1:5" x14ac:dyDescent="0.45">
      <c r="A172">
        <v>170</v>
      </c>
      <c r="B172" t="str">
        <f>CONCATENATE("Tranfer ",table_Transfers[[#This Row],[ID]])</f>
        <v>Tranfer 170</v>
      </c>
      <c r="C172">
        <f t="shared" ca="1" si="3"/>
        <v>281600</v>
      </c>
      <c r="D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E172">
        <f ca="1">ROUND(1/table_Transfers[[#This Row],[investcost]]*RANDBETWEEN(10,100)/10,5)</f>
        <v>8.8239999999999999E-2</v>
      </c>
    </row>
    <row r="173" spans="1:5" x14ac:dyDescent="0.45">
      <c r="A173">
        <v>171</v>
      </c>
      <c r="B173" t="str">
        <f>CONCATENATE("Tranfer ",table_Transfers[[#This Row],[ID]])</f>
        <v>Tranfer 171</v>
      </c>
      <c r="C173">
        <f t="shared" ca="1" si="3"/>
        <v>15974400</v>
      </c>
      <c r="D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2692</v>
      </c>
      <c r="E173">
        <f ca="1">ROUND(1/table_Transfers[[#This Row],[investcost]]*RANDBETWEEN(10,100)/10,5)</f>
        <v>3.31E-3</v>
      </c>
    </row>
    <row r="174" spans="1:5" x14ac:dyDescent="0.45">
      <c r="A174">
        <v>172</v>
      </c>
      <c r="B174" t="str">
        <f>CONCATENATE("Tranfer ",table_Transfers[[#This Row],[ID]])</f>
        <v>Tranfer 172</v>
      </c>
      <c r="C174">
        <f t="shared" ca="1" si="3"/>
        <v>5734400</v>
      </c>
      <c r="D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446</v>
      </c>
      <c r="E174">
        <f ca="1">ROUND(1/table_Transfers[[#This Row],[investcost]]*RANDBETWEEN(10,100)/10,5)</f>
        <v>6.0499999999999998E-3</v>
      </c>
    </row>
    <row r="175" spans="1:5" x14ac:dyDescent="0.45">
      <c r="A175">
        <v>173</v>
      </c>
      <c r="B175" t="str">
        <f>CONCATENATE("Tranfer ",table_Transfers[[#This Row],[ID]])</f>
        <v>Tranfer 173</v>
      </c>
      <c r="C175">
        <f t="shared" ca="1" si="3"/>
        <v>339200</v>
      </c>
      <c r="D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</v>
      </c>
      <c r="E175">
        <f ca="1">ROUND(1/table_Transfers[[#This Row],[investcost]]*RANDBETWEEN(10,100)/10,5)</f>
        <v>0.21087</v>
      </c>
    </row>
    <row r="176" spans="1:5" x14ac:dyDescent="0.45">
      <c r="A176">
        <v>174</v>
      </c>
      <c r="B176" t="str">
        <f>CONCATENATE("Tranfer ",table_Transfers[[#This Row],[ID]])</f>
        <v>Tranfer 174</v>
      </c>
      <c r="C176">
        <f t="shared" ca="1" si="3"/>
        <v>2048000</v>
      </c>
      <c r="D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218</v>
      </c>
      <c r="E176">
        <f ca="1">ROUND(1/table_Transfers[[#This Row],[investcost]]*RANDBETWEEN(10,100)/10,5)</f>
        <v>1.1010000000000001E-2</v>
      </c>
    </row>
    <row r="177" spans="1:5" x14ac:dyDescent="0.45">
      <c r="A177">
        <v>175</v>
      </c>
      <c r="B177" t="str">
        <f>CONCATENATE("Tranfer ",table_Transfers[[#This Row],[ID]])</f>
        <v>Tranfer 175</v>
      </c>
      <c r="C177">
        <f t="shared" ca="1" si="3"/>
        <v>4249600</v>
      </c>
      <c r="D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443</v>
      </c>
      <c r="E177">
        <f ca="1">ROUND(1/table_Transfers[[#This Row],[investcost]]*RANDBETWEEN(10,100)/10,5)</f>
        <v>1.5350000000000001E-2</v>
      </c>
    </row>
    <row r="178" spans="1:5" x14ac:dyDescent="0.45">
      <c r="A178">
        <v>176</v>
      </c>
      <c r="B178" t="str">
        <f>CONCATENATE("Tranfer ",table_Transfers[[#This Row],[ID]])</f>
        <v>Tranfer 176</v>
      </c>
      <c r="C178">
        <f t="shared" ca="1" si="3"/>
        <v>4147200</v>
      </c>
      <c r="D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330</v>
      </c>
      <c r="E178">
        <f ca="1">ROUND(1/table_Transfers[[#This Row],[investcost]]*RANDBETWEEN(10,100)/10,5)</f>
        <v>3.3300000000000001E-3</v>
      </c>
    </row>
    <row r="179" spans="1:5" x14ac:dyDescent="0.45">
      <c r="A179">
        <v>177</v>
      </c>
      <c r="B179" t="str">
        <f>CONCATENATE("Tranfer ",table_Transfers[[#This Row],[ID]])</f>
        <v>Tranfer 177</v>
      </c>
      <c r="C179">
        <f t="shared" ca="1" si="3"/>
        <v>4659200</v>
      </c>
      <c r="D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657</v>
      </c>
      <c r="E179">
        <f ca="1">ROUND(1/table_Transfers[[#This Row],[investcost]]*RANDBETWEEN(10,100)/10,5)</f>
        <v>2.8900000000000002E-3</v>
      </c>
    </row>
    <row r="180" spans="1:5" x14ac:dyDescent="0.45">
      <c r="A180">
        <v>178</v>
      </c>
      <c r="B180" t="str">
        <f>CONCATENATE("Tranfer ",table_Transfers[[#This Row],[ID]])</f>
        <v>Tranfer 178</v>
      </c>
      <c r="C180">
        <f t="shared" ca="1" si="3"/>
        <v>665600</v>
      </c>
      <c r="D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</v>
      </c>
      <c r="E180">
        <f ca="1">ROUND(1/table_Transfers[[#This Row],[investcost]]*RANDBETWEEN(10,100)/10,5)</f>
        <v>0.14666999999999999</v>
      </c>
    </row>
    <row r="181" spans="1:5" x14ac:dyDescent="0.45">
      <c r="A181">
        <v>179</v>
      </c>
      <c r="B181" t="str">
        <f>CONCATENATE("Tranfer ",table_Transfers[[#This Row],[ID]])</f>
        <v>Tranfer 179</v>
      </c>
      <c r="C181">
        <f t="shared" ca="1" si="3"/>
        <v>563200</v>
      </c>
      <c r="D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E181">
        <f ca="1">ROUND(1/table_Transfers[[#This Row],[investcost]]*RANDBETWEEN(10,100)/10,5)</f>
        <v>3.5000000000000003E-2</v>
      </c>
    </row>
    <row r="182" spans="1:5" x14ac:dyDescent="0.45">
      <c r="A182">
        <v>180</v>
      </c>
      <c r="B182" t="str">
        <f>CONCATENATE("Tranfer ",table_Transfers[[#This Row],[ID]])</f>
        <v>Tranfer 180</v>
      </c>
      <c r="C182">
        <f t="shared" ca="1" si="3"/>
        <v>268800</v>
      </c>
      <c r="D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E182">
        <f ca="1">ROUND(1/table_Transfers[[#This Row],[investcost]]*RANDBETWEEN(10,100)/10,5)</f>
        <v>9.8250000000000004E-2</v>
      </c>
    </row>
    <row r="183" spans="1:5" x14ac:dyDescent="0.45">
      <c r="A183">
        <v>181</v>
      </c>
      <c r="B183" t="str">
        <f>CONCATENATE("Tranfer ",table_Transfers[[#This Row],[ID]])</f>
        <v>Tranfer 181</v>
      </c>
      <c r="C183">
        <f t="shared" ca="1" si="3"/>
        <v>192000</v>
      </c>
      <c r="D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</v>
      </c>
      <c r="E183">
        <f ca="1">ROUND(1/table_Transfers[[#This Row],[investcost]]*RANDBETWEEN(10,100)/10,5)</f>
        <v>0.16428999999999999</v>
      </c>
    </row>
    <row r="184" spans="1:5" x14ac:dyDescent="0.45">
      <c r="A184">
        <v>182</v>
      </c>
      <c r="B184" t="str">
        <f>CONCATENATE("Tranfer ",table_Transfers[[#This Row],[ID]])</f>
        <v>Tranfer 182</v>
      </c>
      <c r="C184">
        <f t="shared" ca="1" si="3"/>
        <v>10649600</v>
      </c>
      <c r="D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1797</v>
      </c>
      <c r="E184">
        <f ca="1">ROUND(1/table_Transfers[[#This Row],[investcost]]*RANDBETWEEN(10,100)/10,5)</f>
        <v>1.4499999999999999E-3</v>
      </c>
    </row>
    <row r="185" spans="1:5" x14ac:dyDescent="0.45">
      <c r="A185">
        <v>183</v>
      </c>
      <c r="B185" t="str">
        <f>CONCATENATE("Tranfer ",table_Transfers[[#This Row],[ID]])</f>
        <v>Tranfer 183</v>
      </c>
      <c r="C185">
        <f t="shared" ca="1" si="3"/>
        <v>8396800</v>
      </c>
      <c r="D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867</v>
      </c>
      <c r="E185">
        <f ca="1">ROUND(1/table_Transfers[[#This Row],[investcost]]*RANDBETWEEN(10,100)/10,5)</f>
        <v>6.4599999999999996E-3</v>
      </c>
    </row>
    <row r="186" spans="1:5" x14ac:dyDescent="0.45">
      <c r="A186">
        <v>184</v>
      </c>
      <c r="B186" t="str">
        <f>CONCATENATE("Tranfer ",table_Transfers[[#This Row],[ID]])</f>
        <v>Tranfer 184</v>
      </c>
      <c r="C186">
        <f t="shared" ca="1" si="3"/>
        <v>409600</v>
      </c>
      <c r="D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</v>
      </c>
      <c r="E186">
        <f ca="1">ROUND(1/table_Transfers[[#This Row],[investcost]]*RANDBETWEEN(10,100)/10,5)</f>
        <v>9.6879999999999994E-2</v>
      </c>
    </row>
    <row r="187" spans="1:5" x14ac:dyDescent="0.45">
      <c r="A187">
        <v>185</v>
      </c>
      <c r="B187" t="str">
        <f>CONCATENATE("Tranfer ",table_Transfers[[#This Row],[ID]])</f>
        <v>Tranfer 185</v>
      </c>
      <c r="C187">
        <f t="shared" ca="1" si="3"/>
        <v>9113600</v>
      </c>
      <c r="D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734</v>
      </c>
      <c r="E187">
        <f ca="1">ROUND(1/table_Transfers[[#This Row],[investcost]]*RANDBETWEEN(10,100)/10,5)</f>
        <v>1.5E-3</v>
      </c>
    </row>
    <row r="188" spans="1:5" x14ac:dyDescent="0.45">
      <c r="A188">
        <v>186</v>
      </c>
      <c r="B188" t="str">
        <f>CONCATENATE("Tranfer ",table_Transfers[[#This Row],[ID]])</f>
        <v>Tranfer 186</v>
      </c>
      <c r="C188">
        <f t="shared" ca="1" si="3"/>
        <v>1638400</v>
      </c>
      <c r="D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115</v>
      </c>
      <c r="E188">
        <f ca="1">ROUND(1/table_Transfers[[#This Row],[investcost]]*RANDBETWEEN(10,100)/10,5)</f>
        <v>3.3910000000000003E-2</v>
      </c>
    </row>
    <row r="189" spans="1:5" x14ac:dyDescent="0.45">
      <c r="A189">
        <v>187</v>
      </c>
      <c r="B189" t="str">
        <f>CONCATENATE("Tranfer ",table_Transfers[[#This Row],[ID]])</f>
        <v>Tranfer 187</v>
      </c>
      <c r="C189">
        <f t="shared" ca="1" si="3"/>
        <v>537600</v>
      </c>
      <c r="D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E189">
        <f ca="1">ROUND(1/table_Transfers[[#This Row],[investcost]]*RANDBETWEEN(10,100)/10,5)</f>
        <v>0.14560999999999999</v>
      </c>
    </row>
    <row r="190" spans="1:5" x14ac:dyDescent="0.45">
      <c r="A190">
        <v>188</v>
      </c>
      <c r="B190" t="str">
        <f>CONCATENATE("Tranfer ",table_Transfers[[#This Row],[ID]])</f>
        <v>Tranfer 188</v>
      </c>
      <c r="C190">
        <f t="shared" ca="1" si="3"/>
        <v>460800</v>
      </c>
      <c r="D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E190">
        <f ca="1">ROUND(1/table_Transfers[[#This Row],[investcost]]*RANDBETWEEN(10,100)/10,5)</f>
        <v>0.16078000000000001</v>
      </c>
    </row>
    <row r="191" spans="1:5" x14ac:dyDescent="0.45">
      <c r="A191">
        <v>189</v>
      </c>
      <c r="B191" t="str">
        <f>CONCATENATE("Tranfer ",table_Transfers[[#This Row],[ID]])</f>
        <v>Tranfer 189</v>
      </c>
      <c r="C191">
        <f t="shared" ca="1" si="3"/>
        <v>691200</v>
      </c>
      <c r="D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E191">
        <f ca="1">ROUND(1/table_Transfers[[#This Row],[investcost]]*RANDBETWEEN(10,100)/10,5)</f>
        <v>5.7729999999999997E-2</v>
      </c>
    </row>
    <row r="192" spans="1:5" x14ac:dyDescent="0.45">
      <c r="A192">
        <v>190</v>
      </c>
      <c r="B192" t="str">
        <f>CONCATENATE("Tranfer ",table_Transfers[[#This Row],[ID]])</f>
        <v>Tranfer 190</v>
      </c>
      <c r="C192">
        <f t="shared" ca="1" si="3"/>
        <v>9625600</v>
      </c>
      <c r="D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1943</v>
      </c>
      <c r="E192">
        <f ca="1">ROUND(1/table_Transfers[[#This Row],[investcost]]*RANDBETWEEN(10,100)/10,5)</f>
        <v>4.6800000000000001E-3</v>
      </c>
    </row>
    <row r="193" spans="1:5" x14ac:dyDescent="0.45">
      <c r="A193">
        <v>191</v>
      </c>
      <c r="B193" t="str">
        <f>CONCATENATE("Tranfer ",table_Transfers[[#This Row],[ID]])</f>
        <v>Tranfer 191</v>
      </c>
      <c r="C193">
        <f t="shared" ca="1" si="3"/>
        <v>339200</v>
      </c>
      <c r="D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E193">
        <f ca="1">ROUND(1/table_Transfers[[#This Row],[investcost]]*RANDBETWEEN(10,100)/10,5)</f>
        <v>1.528E-2</v>
      </c>
    </row>
    <row r="194" spans="1:5" x14ac:dyDescent="0.45">
      <c r="A194">
        <v>192</v>
      </c>
      <c r="B194" t="str">
        <f>CONCATENATE("Tranfer ",table_Transfers[[#This Row],[ID]])</f>
        <v>Tranfer 192</v>
      </c>
      <c r="C194">
        <f t="shared" ref="C194:C202" ca="1" si="4">2^RANDBETWEEN(6,12)*100*RANDBETWEEN(10,100)</f>
        <v>11264000</v>
      </c>
      <c r="D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1417</v>
      </c>
      <c r="E194">
        <f ca="1">ROUND(1/table_Transfers[[#This Row],[investcost]]*RANDBETWEEN(10,100)/10,5)</f>
        <v>2.0500000000000002E-3</v>
      </c>
    </row>
    <row r="195" spans="1:5" x14ac:dyDescent="0.45">
      <c r="A195">
        <v>193</v>
      </c>
      <c r="B195" t="str">
        <f>CONCATENATE("Tranfer ",table_Transfers[[#This Row],[ID]])</f>
        <v>Tranfer 193</v>
      </c>
      <c r="C195">
        <f t="shared" ca="1" si="4"/>
        <v>6656000</v>
      </c>
      <c r="D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757</v>
      </c>
      <c r="E195">
        <f ca="1">ROUND(1/table_Transfers[[#This Row],[investcost]]*RANDBETWEEN(10,100)/10,5)</f>
        <v>9.3799999999999994E-3</v>
      </c>
    </row>
    <row r="196" spans="1:5" x14ac:dyDescent="0.45">
      <c r="A196">
        <v>194</v>
      </c>
      <c r="B196" t="str">
        <f>CONCATENATE("Tranfer ",table_Transfers[[#This Row],[ID]])</f>
        <v>Tranfer 194</v>
      </c>
      <c r="C196">
        <f t="shared" ca="1" si="4"/>
        <v>409600</v>
      </c>
      <c r="D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</v>
      </c>
      <c r="E196">
        <f ca="1">ROUND(1/table_Transfers[[#This Row],[investcost]]*RANDBETWEEN(10,100)/10,5)</f>
        <v>8.6889999999999995E-2</v>
      </c>
    </row>
    <row r="197" spans="1:5" x14ac:dyDescent="0.45">
      <c r="A197">
        <v>195</v>
      </c>
      <c r="B197" t="str">
        <f>CONCATENATE("Tranfer ",table_Transfers[[#This Row],[ID]])</f>
        <v>Tranfer 195</v>
      </c>
      <c r="C197">
        <f t="shared" ca="1" si="4"/>
        <v>1075200</v>
      </c>
      <c r="D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230</v>
      </c>
      <c r="E197">
        <f ca="1">ROUND(1/table_Transfers[[#This Row],[investcost]]*RANDBETWEEN(10,100)/10,5)</f>
        <v>6.96E-3</v>
      </c>
    </row>
    <row r="198" spans="1:5" x14ac:dyDescent="0.45">
      <c r="A198">
        <v>196</v>
      </c>
      <c r="B198" t="str">
        <f>CONCATENATE("Tranfer ",table_Transfers[[#This Row],[ID]])</f>
        <v>Tranfer 196</v>
      </c>
      <c r="C198">
        <f t="shared" ca="1" si="4"/>
        <v>8396800</v>
      </c>
      <c r="D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1677</v>
      </c>
      <c r="E198">
        <f ca="1">ROUND(1/table_Transfers[[#This Row],[investcost]]*RANDBETWEEN(10,100)/10,5)</f>
        <v>1.07E-3</v>
      </c>
    </row>
    <row r="199" spans="1:5" x14ac:dyDescent="0.45">
      <c r="A199">
        <v>197</v>
      </c>
      <c r="B199" t="str">
        <f>CONCATENATE("Tranfer ",table_Transfers[[#This Row],[ID]])</f>
        <v>Tranfer 197</v>
      </c>
      <c r="C199">
        <f t="shared" ca="1" si="4"/>
        <v>588800</v>
      </c>
      <c r="D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120</v>
      </c>
      <c r="E199">
        <f ca="1">ROUND(1/table_Transfers[[#This Row],[investcost]]*RANDBETWEEN(10,100)/10,5)</f>
        <v>1.167E-2</v>
      </c>
    </row>
    <row r="200" spans="1:5" x14ac:dyDescent="0.45">
      <c r="A200">
        <v>198</v>
      </c>
      <c r="B200" t="str">
        <f>CONCATENATE("Tranfer ",table_Transfers[[#This Row],[ID]])</f>
        <v>Tranfer 198</v>
      </c>
      <c r="C200">
        <f t="shared" ca="1" si="4"/>
        <v>384000</v>
      </c>
      <c r="D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</v>
      </c>
      <c r="E200">
        <f ca="1">ROUND(1/table_Transfers[[#This Row],[investcost]]*RANDBETWEEN(10,100)/10,5)</f>
        <v>0.31739000000000001</v>
      </c>
    </row>
    <row r="201" spans="1:5" x14ac:dyDescent="0.45">
      <c r="A201">
        <v>199</v>
      </c>
      <c r="B201" t="str">
        <f>CONCATENATE("Tranfer ",table_Transfers[[#This Row],[ID]])</f>
        <v>Tranfer 199</v>
      </c>
      <c r="C201">
        <f t="shared" ca="1" si="4"/>
        <v>37273600</v>
      </c>
      <c r="D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2653</v>
      </c>
      <c r="E201">
        <f ca="1">ROUND(1/table_Transfers[[#This Row],[investcost]]*RANDBETWEEN(10,100)/10,5)</f>
        <v>2.3E-3</v>
      </c>
    </row>
    <row r="202" spans="1:5" x14ac:dyDescent="0.45">
      <c r="A202">
        <v>200</v>
      </c>
      <c r="B202" t="str">
        <f>CONCATENATE("Tranfer ",table_Transfers[[#This Row],[ID]])</f>
        <v>Tranfer 200</v>
      </c>
      <c r="C202">
        <f t="shared" ca="1" si="4"/>
        <v>921600</v>
      </c>
      <c r="D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E202">
        <f ca="1">ROUND(1/table_Transfers[[#This Row],[investcost]]*RANDBETWEEN(10,100)/10,5)</f>
        <v>0.12534999999999999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"/>
  <sheetViews>
    <sheetView workbookViewId="0">
      <selection activeCell="C1" sqref="C1:C1048576"/>
    </sheetView>
  </sheetViews>
  <sheetFormatPr baseColWidth="10" defaultRowHeight="14.25" x14ac:dyDescent="0.45"/>
  <cols>
    <col min="3" max="3" width="16.1328125" bestFit="1" customWidth="1"/>
    <col min="4" max="4" width="12.265625" bestFit="1" customWidth="1"/>
    <col min="5" max="5" width="21.59765625" bestFit="1" customWidth="1"/>
  </cols>
  <sheetData>
    <row r="1" spans="1:5" x14ac:dyDescent="0.45">
      <c r="A1" t="s">
        <v>0</v>
      </c>
      <c r="B1" t="s">
        <v>1</v>
      </c>
      <c r="C1" t="s">
        <v>97</v>
      </c>
      <c r="D1" s="2" t="s">
        <v>2</v>
      </c>
      <c r="E1" t="s">
        <v>34</v>
      </c>
    </row>
    <row r="2" spans="1:5" x14ac:dyDescent="0.45">
      <c r="A2">
        <v>0</v>
      </c>
      <c r="B2" t="str">
        <f>CONCATENATE("Storage ",table_Storages[[#This Row],[ID]])</f>
        <v>Storage 0</v>
      </c>
      <c r="C2">
        <f t="shared" ref="C2:C33" ca="1" si="0">2^RANDBETWEEN(4,12)*1000*RANDBETWEEN(10,100)</f>
        <v>2816000</v>
      </c>
      <c r="D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232</v>
      </c>
      <c r="E2">
        <f ca="1">ROUND(ROUND(1/table_Transfers[[#This Row],[investcost]],3)*RANDBETWEEN(5,50)/10,5)</f>
        <v>1.38E-2</v>
      </c>
    </row>
    <row r="3" spans="1:5" x14ac:dyDescent="0.45">
      <c r="A3">
        <v>1</v>
      </c>
      <c r="B3" t="str">
        <f>CONCATENATE("Storage ",table_Storages[[#This Row],[ID]])</f>
        <v>Storage 1</v>
      </c>
      <c r="C3">
        <f t="shared" ca="1" si="0"/>
        <v>2784000</v>
      </c>
      <c r="D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115</v>
      </c>
      <c r="E3">
        <f ca="1">ROUND(1/table_Transfers[[#This Row],[investcost]]*RANDBETWEEN(10,100)/10,5)</f>
        <v>3.8710000000000001E-2</v>
      </c>
    </row>
    <row r="4" spans="1:5" x14ac:dyDescent="0.45">
      <c r="A4">
        <v>2</v>
      </c>
      <c r="B4" t="str">
        <f>CONCATENATE("Storage ",table_Storages[[#This Row],[ID]])</f>
        <v>Storage 2</v>
      </c>
      <c r="C4">
        <f t="shared" ca="1" si="0"/>
        <v>23040000</v>
      </c>
      <c r="D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90</v>
      </c>
      <c r="E4">
        <f ca="1">ROUND(1/table_Transfers[[#This Row],[investcost]]*RANDBETWEEN(10,100)/10,5)</f>
        <v>0.16471</v>
      </c>
    </row>
    <row r="5" spans="1:5" x14ac:dyDescent="0.45">
      <c r="A5">
        <v>3</v>
      </c>
      <c r="B5" t="str">
        <f>CONCATENATE("Storage ",table_Storages[[#This Row],[ID]])</f>
        <v>Storage 3</v>
      </c>
      <c r="C5">
        <f t="shared" ca="1" si="0"/>
        <v>816000</v>
      </c>
      <c r="D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1151</v>
      </c>
      <c r="E5">
        <f ca="1">ROUND(1/table_Transfers[[#This Row],[investcost]]*RANDBETWEEN(10,100)/10,5)</f>
        <v>5.77E-3</v>
      </c>
    </row>
    <row r="6" spans="1:5" x14ac:dyDescent="0.45">
      <c r="A6">
        <v>4</v>
      </c>
      <c r="B6" t="str">
        <f>CONCATENATE("Storage ",table_Storages[[#This Row],[ID]])</f>
        <v>Storage 4</v>
      </c>
      <c r="C6">
        <f t="shared" ca="1" si="0"/>
        <v>180224000</v>
      </c>
      <c r="D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100</v>
      </c>
      <c r="E6">
        <f ca="1">ROUND(1/table_Transfers[[#This Row],[investcost]]*RANDBETWEEN(10,100)/10,5)</f>
        <v>4.1829999999999999E-2</v>
      </c>
    </row>
    <row r="7" spans="1:5" x14ac:dyDescent="0.45">
      <c r="A7">
        <v>5</v>
      </c>
      <c r="B7" t="str">
        <f>CONCATENATE("Storage ",table_Storages[[#This Row],[ID]])</f>
        <v>Storage 5</v>
      </c>
      <c r="C7">
        <f t="shared" ca="1" si="0"/>
        <v>1024000</v>
      </c>
      <c r="D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</v>
      </c>
      <c r="E7">
        <f ca="1">ROUND(1/table_Transfers[[#This Row],[investcost]]*RANDBETWEEN(10,100)/10,5)</f>
        <v>0.30832999999999999</v>
      </c>
    </row>
    <row r="8" spans="1:5" x14ac:dyDescent="0.45">
      <c r="A8">
        <v>6</v>
      </c>
      <c r="B8" t="str">
        <f>CONCATENATE("Storage ",table_Storages[[#This Row],[ID]])</f>
        <v>Storage 6</v>
      </c>
      <c r="C8">
        <f t="shared" ca="1" si="0"/>
        <v>1376000</v>
      </c>
      <c r="D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156</v>
      </c>
      <c r="E8">
        <f ca="1">ROUND(1/table_Transfers[[#This Row],[investcost]]*RANDBETWEEN(10,100)/10,5)</f>
        <v>3.465E-2</v>
      </c>
    </row>
    <row r="9" spans="1:5" x14ac:dyDescent="0.45">
      <c r="A9">
        <v>7</v>
      </c>
      <c r="B9" t="str">
        <f>CONCATENATE("Storage ",table_Storages[[#This Row],[ID]])</f>
        <v>Storage 7</v>
      </c>
      <c r="C9">
        <f t="shared" ca="1" si="0"/>
        <v>2432000</v>
      </c>
      <c r="D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122</v>
      </c>
      <c r="E9">
        <f ca="1">ROUND(1/table_Transfers[[#This Row],[investcost]]*RANDBETWEEN(10,100)/10,5)</f>
        <v>3.4439999999999998E-2</v>
      </c>
    </row>
    <row r="10" spans="1:5" x14ac:dyDescent="0.45">
      <c r="A10">
        <v>8</v>
      </c>
      <c r="B10" t="str">
        <f>CONCATENATE("Storage ",table_Storages[[#This Row],[ID]])</f>
        <v>Storage 8</v>
      </c>
      <c r="C10">
        <f t="shared" ca="1" si="0"/>
        <v>32768000</v>
      </c>
      <c r="D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759</v>
      </c>
      <c r="E10">
        <f ca="1">ROUND(1/table_Transfers[[#This Row],[investcost]]*RANDBETWEEN(10,100)/10,5)</f>
        <v>7.6E-3</v>
      </c>
    </row>
    <row r="11" spans="1:5" x14ac:dyDescent="0.45">
      <c r="A11">
        <v>9</v>
      </c>
      <c r="B11" t="str">
        <f>CONCATENATE("Storage ",table_Storages[[#This Row],[ID]])</f>
        <v>Storage 9</v>
      </c>
      <c r="C11">
        <f t="shared" ca="1" si="0"/>
        <v>90112000</v>
      </c>
      <c r="D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1243</v>
      </c>
      <c r="E11">
        <f ca="1">ROUND(1/table_Transfers[[#This Row],[investcost]]*RANDBETWEEN(10,100)/10,5)</f>
        <v>1.75E-3</v>
      </c>
    </row>
    <row r="12" spans="1:5" x14ac:dyDescent="0.45">
      <c r="A12">
        <v>10</v>
      </c>
      <c r="B12" t="str">
        <f>CONCATENATE("Storage ",table_Storages[[#This Row],[ID]])</f>
        <v>Storage 10</v>
      </c>
      <c r="C12">
        <f t="shared" ca="1" si="0"/>
        <v>18432000</v>
      </c>
      <c r="D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217</v>
      </c>
      <c r="E12">
        <f ca="1">ROUND(1/table_Transfers[[#This Row],[investcost]]*RANDBETWEEN(10,100)/10,5)</f>
        <v>3.6650000000000002E-2</v>
      </c>
    </row>
    <row r="13" spans="1:5" x14ac:dyDescent="0.45">
      <c r="A13">
        <v>11</v>
      </c>
      <c r="B13" t="str">
        <f>CONCATENATE("Storage ",table_Storages[[#This Row],[ID]])</f>
        <v>Storage 11</v>
      </c>
      <c r="C13">
        <f t="shared" ca="1" si="0"/>
        <v>249856000</v>
      </c>
      <c r="D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116</v>
      </c>
      <c r="E13">
        <f ca="1">ROUND(1/table_Transfers[[#This Row],[investcost]]*RANDBETWEEN(10,100)/10,5)</f>
        <v>8.8749999999999996E-2</v>
      </c>
    </row>
    <row r="14" spans="1:5" x14ac:dyDescent="0.45">
      <c r="A14">
        <v>12</v>
      </c>
      <c r="B14" t="str">
        <f>CONCATENATE("Storage ",table_Storages[[#This Row],[ID]])</f>
        <v>Storage 12</v>
      </c>
      <c r="C14">
        <f t="shared" ca="1" si="0"/>
        <v>1056000</v>
      </c>
      <c r="D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77</v>
      </c>
      <c r="E14">
        <f ca="1">ROUND(1/table_Transfers[[#This Row],[investcost]]*RANDBETWEEN(10,100)/10,5)</f>
        <v>1.3559999999999999E-2</v>
      </c>
    </row>
    <row r="15" spans="1:5" x14ac:dyDescent="0.45">
      <c r="A15">
        <v>13</v>
      </c>
      <c r="B15" t="str">
        <f>CONCATENATE("Storage ",table_Storages[[#This Row],[ID]])</f>
        <v>Storage 13</v>
      </c>
      <c r="C15">
        <f t="shared" ca="1" si="0"/>
        <v>768000</v>
      </c>
      <c r="D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90</v>
      </c>
      <c r="E15">
        <f ca="1">ROUND(1/table_Transfers[[#This Row],[investcost]]*RANDBETWEEN(10,100)/10,5)</f>
        <v>9.375E-2</v>
      </c>
    </row>
    <row r="16" spans="1:5" x14ac:dyDescent="0.45">
      <c r="A16">
        <v>14</v>
      </c>
      <c r="B16" t="str">
        <f>CONCATENATE("Storage ",table_Storages[[#This Row],[ID]])</f>
        <v>Storage 14</v>
      </c>
      <c r="C16">
        <f t="shared" ca="1" si="0"/>
        <v>356352000</v>
      </c>
      <c r="D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836</v>
      </c>
      <c r="E16">
        <f ca="1">ROUND(1/table_Transfers[[#This Row],[investcost]]*RANDBETWEEN(10,100)/10,5)</f>
        <v>9.3999999999999997E-4</v>
      </c>
    </row>
    <row r="17" spans="1:5" x14ac:dyDescent="0.45">
      <c r="A17">
        <v>15</v>
      </c>
      <c r="B17" t="str">
        <f>CONCATENATE("Storage ",table_Storages[[#This Row],[ID]])</f>
        <v>Storage 15</v>
      </c>
      <c r="C17">
        <f t="shared" ca="1" si="0"/>
        <v>17408000</v>
      </c>
      <c r="D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</v>
      </c>
      <c r="E17">
        <f ca="1">ROUND(1/table_Transfers[[#This Row],[investcost]]*RANDBETWEEN(10,100)/10,5)</f>
        <v>0.34615000000000001</v>
      </c>
    </row>
    <row r="18" spans="1:5" x14ac:dyDescent="0.45">
      <c r="A18">
        <v>16</v>
      </c>
      <c r="B18" t="str">
        <f>CONCATENATE("Storage ",table_Storages[[#This Row],[ID]])</f>
        <v>Storage 16</v>
      </c>
      <c r="C18">
        <f t="shared" ca="1" si="0"/>
        <v>143360000</v>
      </c>
      <c r="D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2834</v>
      </c>
      <c r="E18">
        <f ca="1">ROUND(1/table_Transfers[[#This Row],[investcost]]*RANDBETWEEN(10,100)/10,5)</f>
        <v>6.3499999999999997E-3</v>
      </c>
    </row>
    <row r="19" spans="1:5" x14ac:dyDescent="0.45">
      <c r="A19">
        <v>17</v>
      </c>
      <c r="B19" t="str">
        <f>CONCATENATE("Storage ",table_Storages[[#This Row],[ID]])</f>
        <v>Storage 17</v>
      </c>
      <c r="C19">
        <f t="shared" ca="1" si="0"/>
        <v>34816000</v>
      </c>
      <c r="D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643</v>
      </c>
      <c r="E19">
        <f ca="1">ROUND(1/table_Transfers[[#This Row],[investcost]]*RANDBETWEEN(10,100)/10,5)</f>
        <v>8.2199999999999999E-3</v>
      </c>
    </row>
    <row r="20" spans="1:5" x14ac:dyDescent="0.45">
      <c r="A20">
        <v>18</v>
      </c>
      <c r="B20" t="str">
        <f>CONCATENATE("Storage ",table_Storages[[#This Row],[ID]])</f>
        <v>Storage 18</v>
      </c>
      <c r="C20">
        <f t="shared" ca="1" si="0"/>
        <v>95232000</v>
      </c>
      <c r="D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</v>
      </c>
      <c r="E20">
        <f ca="1">ROUND(1/table_Transfers[[#This Row],[investcost]]*RANDBETWEEN(10,100)/10,5)</f>
        <v>0.11111</v>
      </c>
    </row>
    <row r="21" spans="1:5" x14ac:dyDescent="0.45">
      <c r="A21">
        <v>19</v>
      </c>
      <c r="B21" t="str">
        <f>CONCATENATE("Storage ",table_Storages[[#This Row],[ID]])</f>
        <v>Storage 19</v>
      </c>
      <c r="C21">
        <f t="shared" ca="1" si="0"/>
        <v>4224000</v>
      </c>
      <c r="D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78</v>
      </c>
      <c r="E21">
        <f ca="1">ROUND(1/table_Transfers[[#This Row],[investcost]]*RANDBETWEEN(10,100)/10,5)</f>
        <v>9.5149999999999998E-2</v>
      </c>
    </row>
    <row r="22" spans="1:5" x14ac:dyDescent="0.45">
      <c r="A22">
        <v>20</v>
      </c>
      <c r="B22" t="str">
        <f>CONCATENATE("Storage ",table_Storages[[#This Row],[ID]])</f>
        <v>Storage 20</v>
      </c>
      <c r="C22">
        <f t="shared" ca="1" si="0"/>
        <v>20736000</v>
      </c>
      <c r="D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2147</v>
      </c>
      <c r="E22">
        <f ca="1">ROUND(1/table_Transfers[[#This Row],[investcost]]*RANDBETWEEN(10,100)/10,5)</f>
        <v>3.5400000000000002E-3</v>
      </c>
    </row>
    <row r="23" spans="1:5" x14ac:dyDescent="0.45">
      <c r="A23">
        <v>21</v>
      </c>
      <c r="B23" t="str">
        <f>CONCATENATE("Storage ",table_Storages[[#This Row],[ID]])</f>
        <v>Storage 21</v>
      </c>
      <c r="C23">
        <f t="shared" ca="1" si="0"/>
        <v>848000</v>
      </c>
      <c r="D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188</v>
      </c>
      <c r="E23">
        <f ca="1">ROUND(1/table_Transfers[[#This Row],[investcost]]*RANDBETWEEN(10,100)/10,5)</f>
        <v>4.6390000000000001E-2</v>
      </c>
    </row>
    <row r="24" spans="1:5" x14ac:dyDescent="0.45">
      <c r="A24">
        <v>22</v>
      </c>
      <c r="B24" t="str">
        <f>CONCATENATE("Storage ",table_Storages[[#This Row],[ID]])</f>
        <v>Storage 22</v>
      </c>
      <c r="C24">
        <f t="shared" ca="1" si="0"/>
        <v>3136000</v>
      </c>
      <c r="D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1103</v>
      </c>
      <c r="E24">
        <f ca="1">ROUND(1/table_Transfers[[#This Row],[investcost]]*RANDBETWEEN(10,100)/10,5)</f>
        <v>4.4299999999999999E-3</v>
      </c>
    </row>
    <row r="25" spans="1:5" x14ac:dyDescent="0.45">
      <c r="A25">
        <v>23</v>
      </c>
      <c r="B25" t="str">
        <f>CONCATENATE("Storage ",table_Storages[[#This Row],[ID]])</f>
        <v>Storage 23</v>
      </c>
      <c r="C25">
        <f t="shared" ca="1" si="0"/>
        <v>86016000</v>
      </c>
      <c r="D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3786</v>
      </c>
      <c r="E25">
        <f ca="1">ROUND(1/table_Transfers[[#This Row],[investcost]]*RANDBETWEEN(10,100)/10,5)</f>
        <v>5.9000000000000003E-4</v>
      </c>
    </row>
    <row r="26" spans="1:5" x14ac:dyDescent="0.45">
      <c r="A26">
        <v>24</v>
      </c>
      <c r="B26" t="str">
        <f>CONCATENATE("Storage ",table_Storages[[#This Row],[ID]])</f>
        <v>Storage 24</v>
      </c>
      <c r="C26">
        <f t="shared" ca="1" si="0"/>
        <v>36864000</v>
      </c>
      <c r="D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102</v>
      </c>
      <c r="E26">
        <f ca="1">ROUND(1/table_Transfers[[#This Row],[investcost]]*RANDBETWEEN(10,100)/10,5)</f>
        <v>1.538E-2</v>
      </c>
    </row>
    <row r="27" spans="1:5" x14ac:dyDescent="0.45">
      <c r="A27">
        <v>25</v>
      </c>
      <c r="B27" t="str">
        <f>CONCATENATE("Storage ",table_Storages[[#This Row],[ID]])</f>
        <v>Storage 25</v>
      </c>
      <c r="C27">
        <f t="shared" ca="1" si="0"/>
        <v>2176000</v>
      </c>
      <c r="D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335</v>
      </c>
      <c r="E27">
        <f ca="1">ROUND(1/table_Transfers[[#This Row],[investcost]]*RANDBETWEEN(10,100)/10,5)</f>
        <v>2.2669999999999999E-2</v>
      </c>
    </row>
    <row r="28" spans="1:5" x14ac:dyDescent="0.45">
      <c r="A28">
        <v>26</v>
      </c>
      <c r="B28" t="str">
        <f>CONCATENATE("Storage ",table_Storages[[#This Row],[ID]])</f>
        <v>Storage 26</v>
      </c>
      <c r="C28">
        <f t="shared" ca="1" si="0"/>
        <v>11264000</v>
      </c>
      <c r="D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</v>
      </c>
      <c r="E28">
        <f ca="1">ROUND(1/table_Transfers[[#This Row],[investcost]]*RANDBETWEEN(10,100)/10,5)</f>
        <v>0.44545000000000001</v>
      </c>
    </row>
    <row r="29" spans="1:5" x14ac:dyDescent="0.45">
      <c r="A29">
        <v>27</v>
      </c>
      <c r="B29" t="str">
        <f>CONCATENATE("Storage ",table_Storages[[#This Row],[ID]])</f>
        <v>Storage 27</v>
      </c>
      <c r="C29">
        <f t="shared" ca="1" si="0"/>
        <v>98304000</v>
      </c>
      <c r="D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</v>
      </c>
      <c r="E29">
        <f ca="1">ROUND(1/table_Transfers[[#This Row],[investcost]]*RANDBETWEEN(10,100)/10,5)</f>
        <v>4.2860000000000002E-2</v>
      </c>
    </row>
    <row r="30" spans="1:5" x14ac:dyDescent="0.45">
      <c r="A30">
        <v>28</v>
      </c>
      <c r="B30" t="str">
        <f>CONCATENATE("Storage ",table_Storages[[#This Row],[ID]])</f>
        <v>Storage 28</v>
      </c>
      <c r="C30">
        <f t="shared" ca="1" si="0"/>
        <v>1664000</v>
      </c>
      <c r="D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1635</v>
      </c>
      <c r="E30">
        <f ca="1">ROUND(1/table_Transfers[[#This Row],[investcost]]*RANDBETWEEN(10,100)/10,5)</f>
        <v>1.4370000000000001E-2</v>
      </c>
    </row>
    <row r="31" spans="1:5" x14ac:dyDescent="0.45">
      <c r="A31">
        <v>29</v>
      </c>
      <c r="B31" t="str">
        <f>CONCATENATE("Storage ",table_Storages[[#This Row],[ID]])</f>
        <v>Storage 29</v>
      </c>
      <c r="C31">
        <f t="shared" ca="1" si="0"/>
        <v>1040000</v>
      </c>
      <c r="D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E31">
        <f ca="1">ROUND(1/table_Transfers[[#This Row],[investcost]]*RANDBETWEEN(10,100)/10,5)</f>
        <v>0.14000000000000001</v>
      </c>
    </row>
    <row r="32" spans="1:5" x14ac:dyDescent="0.45">
      <c r="A32">
        <v>30</v>
      </c>
      <c r="B32" t="str">
        <f>CONCATENATE("Storage ",table_Storages[[#This Row],[ID]])</f>
        <v>Storage 30</v>
      </c>
      <c r="C32">
        <f t="shared" ca="1" si="0"/>
        <v>29184000</v>
      </c>
      <c r="D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1314</v>
      </c>
      <c r="E32">
        <f ca="1">ROUND(1/table_Transfers[[#This Row],[investcost]]*RANDBETWEEN(10,100)/10,5)</f>
        <v>3.29E-3</v>
      </c>
    </row>
    <row r="33" spans="1:5" x14ac:dyDescent="0.45">
      <c r="A33">
        <v>31</v>
      </c>
      <c r="B33" t="str">
        <f>CONCATENATE("Storage ",table_Storages[[#This Row],[ID]])</f>
        <v>Storage 31</v>
      </c>
      <c r="C33">
        <f t="shared" ca="1" si="0"/>
        <v>49152000</v>
      </c>
      <c r="D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876</v>
      </c>
      <c r="E33">
        <f ca="1">ROUND(1/table_Transfers[[#This Row],[investcost]]*RANDBETWEEN(10,100)/10,5)</f>
        <v>2.3600000000000001E-3</v>
      </c>
    </row>
    <row r="34" spans="1:5" x14ac:dyDescent="0.45">
      <c r="A34">
        <v>32</v>
      </c>
      <c r="B34" t="str">
        <f>CONCATENATE("Storage ",table_Storages[[#This Row],[ID]])</f>
        <v>Storage 32</v>
      </c>
      <c r="C34">
        <f t="shared" ref="C34:C65" ca="1" si="1">2^RANDBETWEEN(4,12)*1000*RANDBETWEEN(10,100)</f>
        <v>2080000</v>
      </c>
      <c r="D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127</v>
      </c>
      <c r="E34">
        <f ca="1">ROUND(1/table_Transfers[[#This Row],[investcost]]*RANDBETWEEN(10,100)/10,5)</f>
        <v>2.3310000000000001E-2</v>
      </c>
    </row>
    <row r="35" spans="1:5" x14ac:dyDescent="0.45">
      <c r="A35">
        <v>33</v>
      </c>
      <c r="B35" t="str">
        <f>CONCATENATE("Storage ",table_Storages[[#This Row],[ID]])</f>
        <v>Storage 33</v>
      </c>
      <c r="C35">
        <f t="shared" ca="1" si="1"/>
        <v>224000</v>
      </c>
      <c r="D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81</v>
      </c>
      <c r="E35">
        <f ca="1">ROUND(1/table_Transfers[[#This Row],[investcost]]*RANDBETWEEN(10,100)/10,5)</f>
        <v>5.935E-2</v>
      </c>
    </row>
    <row r="36" spans="1:5" x14ac:dyDescent="0.45">
      <c r="A36">
        <v>34</v>
      </c>
      <c r="B36" t="str">
        <f>CONCATENATE("Storage ",table_Storages[[#This Row],[ID]])</f>
        <v>Storage 34</v>
      </c>
      <c r="C36">
        <f t="shared" ca="1" si="1"/>
        <v>15616000</v>
      </c>
      <c r="D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1307</v>
      </c>
      <c r="E36">
        <f ca="1">ROUND(1/table_Transfers[[#This Row],[investcost]]*RANDBETWEEN(10,100)/10,5)</f>
        <v>2.8E-3</v>
      </c>
    </row>
    <row r="37" spans="1:5" x14ac:dyDescent="0.45">
      <c r="A37">
        <v>35</v>
      </c>
      <c r="B37" t="str">
        <f>CONCATENATE("Storage ",table_Storages[[#This Row],[ID]])</f>
        <v>Storage 35</v>
      </c>
      <c r="C37">
        <f t="shared" ca="1" si="1"/>
        <v>194560000</v>
      </c>
      <c r="D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578</v>
      </c>
      <c r="E37">
        <f ca="1">ROUND(1/table_Transfers[[#This Row],[investcost]]*RANDBETWEEN(10,100)/10,5)</f>
        <v>3.1289999999999998E-2</v>
      </c>
    </row>
    <row r="38" spans="1:5" x14ac:dyDescent="0.45">
      <c r="A38">
        <v>36</v>
      </c>
      <c r="B38" t="str">
        <f>CONCATENATE("Storage ",table_Storages[[#This Row],[ID]])</f>
        <v>Storage 36</v>
      </c>
      <c r="C38">
        <f t="shared" ca="1" si="1"/>
        <v>3136000</v>
      </c>
      <c r="D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130</v>
      </c>
      <c r="E38">
        <f ca="1">ROUND(1/table_Transfers[[#This Row],[investcost]]*RANDBETWEEN(10,100)/10,5)</f>
        <v>4.394E-2</v>
      </c>
    </row>
    <row r="39" spans="1:5" x14ac:dyDescent="0.45">
      <c r="A39">
        <v>37</v>
      </c>
      <c r="B39" t="str">
        <f>CONCATENATE("Storage ",table_Storages[[#This Row],[ID]])</f>
        <v>Storage 37</v>
      </c>
      <c r="C39">
        <f t="shared" ca="1" si="1"/>
        <v>12672000</v>
      </c>
      <c r="D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522</v>
      </c>
      <c r="E39">
        <f ca="1">ROUND(1/table_Transfers[[#This Row],[investcost]]*RANDBETWEEN(10,100)/10,5)</f>
        <v>1.2319999999999999E-2</v>
      </c>
    </row>
    <row r="40" spans="1:5" x14ac:dyDescent="0.45">
      <c r="A40">
        <v>38</v>
      </c>
      <c r="B40" t="str">
        <f>CONCATENATE("Storage ",table_Storages[[#This Row],[ID]])</f>
        <v>Storage 38</v>
      </c>
      <c r="C40">
        <f t="shared" ca="1" si="1"/>
        <v>72704000</v>
      </c>
      <c r="D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4891</v>
      </c>
      <c r="E40">
        <f ca="1">ROUND(1/table_Transfers[[#This Row],[investcost]]*RANDBETWEEN(10,100)/10,5)</f>
        <v>1.5399999999999999E-3</v>
      </c>
    </row>
    <row r="41" spans="1:5" x14ac:dyDescent="0.45">
      <c r="A41">
        <v>39</v>
      </c>
      <c r="B41" t="str">
        <f>CONCATENATE("Storage ",table_Storages[[#This Row],[ID]])</f>
        <v>Storage 39</v>
      </c>
      <c r="C41">
        <f t="shared" ca="1" si="1"/>
        <v>3136000</v>
      </c>
      <c r="D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4244</v>
      </c>
      <c r="E41">
        <f ca="1">ROUND(1/table_Transfers[[#This Row],[investcost]]*RANDBETWEEN(10,100)/10,5)</f>
        <v>2.32E-3</v>
      </c>
    </row>
    <row r="42" spans="1:5" x14ac:dyDescent="0.45">
      <c r="A42">
        <v>40</v>
      </c>
      <c r="B42" t="str">
        <f>CONCATENATE("Storage ",table_Storages[[#This Row],[ID]])</f>
        <v>Storage 40</v>
      </c>
      <c r="C42">
        <f t="shared" ca="1" si="1"/>
        <v>165888000</v>
      </c>
      <c r="D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193</v>
      </c>
      <c r="E42">
        <f ca="1">ROUND(1/table_Transfers[[#This Row],[investcost]]*RANDBETWEEN(10,100)/10,5)</f>
        <v>4.7500000000000001E-2</v>
      </c>
    </row>
    <row r="43" spans="1:5" x14ac:dyDescent="0.45">
      <c r="A43">
        <v>41</v>
      </c>
      <c r="B43" t="str">
        <f>CONCATENATE("Storage ",table_Storages[[#This Row],[ID]])</f>
        <v>Storage 41</v>
      </c>
      <c r="C43">
        <f t="shared" ca="1" si="1"/>
        <v>118784000</v>
      </c>
      <c r="D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5221</v>
      </c>
      <c r="E43">
        <f ca="1">ROUND(1/table_Transfers[[#This Row],[investcost]]*RANDBETWEEN(10,100)/10,5)</f>
        <v>1.4499999999999999E-3</v>
      </c>
    </row>
    <row r="44" spans="1:5" x14ac:dyDescent="0.45">
      <c r="A44">
        <v>42</v>
      </c>
      <c r="B44" t="str">
        <f>CONCATENATE("Storage ",table_Storages[[#This Row],[ID]])</f>
        <v>Storage 42</v>
      </c>
      <c r="C44">
        <f t="shared" ca="1" si="1"/>
        <v>98304000</v>
      </c>
      <c r="D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273</v>
      </c>
      <c r="E44">
        <f ca="1">ROUND(1/table_Transfers[[#This Row],[investcost]]*RANDBETWEEN(10,100)/10,5)</f>
        <v>1.873E-2</v>
      </c>
    </row>
    <row r="45" spans="1:5" x14ac:dyDescent="0.45">
      <c r="A45">
        <v>43</v>
      </c>
      <c r="B45" t="str">
        <f>CONCATENATE("Storage ",table_Storages[[#This Row],[ID]])</f>
        <v>Storage 43</v>
      </c>
      <c r="C45">
        <f t="shared" ca="1" si="1"/>
        <v>33792000</v>
      </c>
      <c r="D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573</v>
      </c>
      <c r="E45">
        <f ca="1">ROUND(1/table_Transfers[[#This Row],[investcost]]*RANDBETWEEN(10,100)/10,5)</f>
        <v>4.0299999999999997E-3</v>
      </c>
    </row>
    <row r="46" spans="1:5" x14ac:dyDescent="0.45">
      <c r="A46">
        <v>44</v>
      </c>
      <c r="B46" t="str">
        <f>CONCATENATE("Storage ",table_Storages[[#This Row],[ID]])</f>
        <v>Storage 44</v>
      </c>
      <c r="C46">
        <f t="shared" ca="1" si="1"/>
        <v>2464000</v>
      </c>
      <c r="D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</v>
      </c>
      <c r="E46">
        <f ca="1">ROUND(1/table_Transfers[[#This Row],[investcost]]*RANDBETWEEN(10,100)/10,5)</f>
        <v>0.47777999999999998</v>
      </c>
    </row>
    <row r="47" spans="1:5" x14ac:dyDescent="0.45">
      <c r="A47">
        <v>45</v>
      </c>
      <c r="B47" t="str">
        <f>CONCATENATE("Storage ",table_Storages[[#This Row],[ID]])</f>
        <v>Storage 45</v>
      </c>
      <c r="C47">
        <f t="shared" ca="1" si="1"/>
        <v>7808000</v>
      </c>
      <c r="D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99</v>
      </c>
      <c r="E47">
        <f ca="1">ROUND(1/table_Transfers[[#This Row],[investcost]]*RANDBETWEEN(10,100)/10,5)</f>
        <v>9.8399999999999998E-3</v>
      </c>
    </row>
    <row r="48" spans="1:5" x14ac:dyDescent="0.45">
      <c r="A48">
        <v>46</v>
      </c>
      <c r="B48" t="str">
        <f>CONCATENATE("Storage ",table_Storages[[#This Row],[ID]])</f>
        <v>Storage 46</v>
      </c>
      <c r="C48">
        <f t="shared" ca="1" si="1"/>
        <v>4864000</v>
      </c>
      <c r="D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253</v>
      </c>
      <c r="E48">
        <f ca="1">ROUND(1/table_Transfers[[#This Row],[investcost]]*RANDBETWEEN(10,100)/10,5)</f>
        <v>5.2199999999999998E-3</v>
      </c>
    </row>
    <row r="49" spans="1:5" x14ac:dyDescent="0.45">
      <c r="A49">
        <v>47</v>
      </c>
      <c r="B49" t="str">
        <f>CONCATENATE("Storage ",table_Storages[[#This Row],[ID]])</f>
        <v>Storage 47</v>
      </c>
      <c r="C49">
        <f t="shared" ca="1" si="1"/>
        <v>496000</v>
      </c>
      <c r="D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1367</v>
      </c>
      <c r="E49">
        <f ca="1">ROUND(1/table_Transfers[[#This Row],[investcost]]*RANDBETWEEN(10,100)/10,5)</f>
        <v>6.2100000000000002E-3</v>
      </c>
    </row>
    <row r="50" spans="1:5" x14ac:dyDescent="0.45">
      <c r="A50">
        <v>48</v>
      </c>
      <c r="B50" t="str">
        <f>CONCATENATE("Storage ",table_Storages[[#This Row],[ID]])</f>
        <v>Storage 48</v>
      </c>
      <c r="C50">
        <f t="shared" ca="1" si="1"/>
        <v>61440000</v>
      </c>
      <c r="D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1516</v>
      </c>
      <c r="E50">
        <f ca="1">ROUND(1/table_Transfers[[#This Row],[investcost]]*RANDBETWEEN(10,100)/10,5)</f>
        <v>7.9000000000000001E-4</v>
      </c>
    </row>
    <row r="51" spans="1:5" x14ac:dyDescent="0.45">
      <c r="A51">
        <v>49</v>
      </c>
      <c r="B51" t="str">
        <f>CONCATENATE("Storage ",table_Storages[[#This Row],[ID]])</f>
        <v>Storage 49</v>
      </c>
      <c r="C51">
        <f t="shared" ca="1" si="1"/>
        <v>1216000</v>
      </c>
      <c r="D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381</v>
      </c>
      <c r="E51">
        <f ca="1">ROUND(1/table_Transfers[[#This Row],[investcost]]*RANDBETWEEN(10,100)/10,5)</f>
        <v>1.4E-2</v>
      </c>
    </row>
    <row r="52" spans="1:5" x14ac:dyDescent="0.45">
      <c r="A52">
        <v>50</v>
      </c>
      <c r="B52" t="str">
        <f>CONCATENATE("Storage ",table_Storages[[#This Row],[ID]])</f>
        <v>Storage 50</v>
      </c>
      <c r="C52">
        <f t="shared" ca="1" si="1"/>
        <v>7680000</v>
      </c>
      <c r="D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250</v>
      </c>
      <c r="E52">
        <f ca="1">ROUND(1/table_Transfers[[#This Row],[investcost]]*RANDBETWEEN(10,100)/10,5)</f>
        <v>3.015E-2</v>
      </c>
    </row>
    <row r="53" spans="1:5" x14ac:dyDescent="0.45">
      <c r="A53">
        <v>51</v>
      </c>
      <c r="B53" t="str">
        <f>CONCATENATE("Storage ",table_Storages[[#This Row],[ID]])</f>
        <v>Storage 51</v>
      </c>
      <c r="C53">
        <f t="shared" ca="1" si="1"/>
        <v>57344000</v>
      </c>
      <c r="D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4027</v>
      </c>
      <c r="E53">
        <f ca="1">ROUND(1/table_Transfers[[#This Row],[investcost]]*RANDBETWEEN(10,100)/10,5)</f>
        <v>2.6900000000000001E-3</v>
      </c>
    </row>
    <row r="54" spans="1:5" x14ac:dyDescent="0.45">
      <c r="A54">
        <v>52</v>
      </c>
      <c r="B54" t="str">
        <f>CONCATENATE("Storage ",table_Storages[[#This Row],[ID]])</f>
        <v>Storage 52</v>
      </c>
      <c r="C54">
        <f t="shared" ca="1" si="1"/>
        <v>20480000</v>
      </c>
      <c r="D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221</v>
      </c>
      <c r="E54">
        <f ca="1">ROUND(1/table_Transfers[[#This Row],[investcost]]*RANDBETWEEN(10,100)/10,5)</f>
        <v>1.7840000000000002E-2</v>
      </c>
    </row>
    <row r="55" spans="1:5" x14ac:dyDescent="0.45">
      <c r="A55">
        <v>53</v>
      </c>
      <c r="B55" t="str">
        <f>CONCATENATE("Storage ",table_Storages[[#This Row],[ID]])</f>
        <v>Storage 53</v>
      </c>
      <c r="C55">
        <f t="shared" ca="1" si="1"/>
        <v>11264000</v>
      </c>
      <c r="D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</v>
      </c>
      <c r="E55">
        <f ca="1">ROUND(1/table_Transfers[[#This Row],[investcost]]*RANDBETWEEN(10,100)/10,5)</f>
        <v>0.1197</v>
      </c>
    </row>
    <row r="56" spans="1:5" x14ac:dyDescent="0.45">
      <c r="A56">
        <v>54</v>
      </c>
      <c r="B56" t="str">
        <f>CONCATENATE("Storage ",table_Storages[[#This Row],[ID]])</f>
        <v>Storage 54</v>
      </c>
      <c r="C56">
        <f t="shared" ca="1" si="1"/>
        <v>2240000</v>
      </c>
      <c r="D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1175</v>
      </c>
      <c r="E56">
        <f ca="1">ROUND(1/table_Transfers[[#This Row],[investcost]]*RANDBETWEEN(10,100)/10,5)</f>
        <v>1.1140000000000001E-2</v>
      </c>
    </row>
    <row r="57" spans="1:5" x14ac:dyDescent="0.45">
      <c r="A57">
        <v>55</v>
      </c>
      <c r="B57" t="str">
        <f>CONCATENATE("Storage ",table_Storages[[#This Row],[ID]])</f>
        <v>Storage 55</v>
      </c>
      <c r="C57">
        <f t="shared" ca="1" si="1"/>
        <v>944000</v>
      </c>
      <c r="D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62</v>
      </c>
      <c r="E57">
        <f ca="1">ROUND(1/table_Transfers[[#This Row],[investcost]]*RANDBETWEEN(10,100)/10,5)</f>
        <v>5.6640000000000003E-2</v>
      </c>
    </row>
    <row r="58" spans="1:5" x14ac:dyDescent="0.45">
      <c r="A58">
        <v>56</v>
      </c>
      <c r="B58" t="str">
        <f>CONCATENATE("Storage ",table_Storages[[#This Row],[ID]])</f>
        <v>Storage 56</v>
      </c>
      <c r="C58">
        <f t="shared" ca="1" si="1"/>
        <v>5248000</v>
      </c>
      <c r="D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442</v>
      </c>
      <c r="E58">
        <f ca="1">ROUND(1/table_Transfers[[#This Row],[investcost]]*RANDBETWEEN(10,100)/10,5)</f>
        <v>1.8519999999999998E-2</v>
      </c>
    </row>
    <row r="59" spans="1:5" x14ac:dyDescent="0.45">
      <c r="A59">
        <v>57</v>
      </c>
      <c r="B59" t="str">
        <f>CONCATENATE("Storage ",table_Storages[[#This Row],[ID]])</f>
        <v>Storage 57</v>
      </c>
      <c r="C59">
        <f t="shared" ca="1" si="1"/>
        <v>560000</v>
      </c>
      <c r="D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105</v>
      </c>
      <c r="E59">
        <f ca="1">ROUND(1/table_Transfers[[#This Row],[investcost]]*RANDBETWEEN(10,100)/10,5)</f>
        <v>8.9160000000000003E-2</v>
      </c>
    </row>
    <row r="60" spans="1:5" x14ac:dyDescent="0.45">
      <c r="A60">
        <v>58</v>
      </c>
      <c r="B60" t="str">
        <f>CONCATENATE("Storage ",table_Storages[[#This Row],[ID]])</f>
        <v>Storage 58</v>
      </c>
      <c r="C60">
        <f t="shared" ca="1" si="1"/>
        <v>149504000</v>
      </c>
      <c r="D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149</v>
      </c>
      <c r="E60">
        <f ca="1">ROUND(1/table_Transfers[[#This Row],[investcost]]*RANDBETWEEN(10,100)/10,5)</f>
        <v>2.077E-2</v>
      </c>
    </row>
    <row r="61" spans="1:5" x14ac:dyDescent="0.45">
      <c r="A61">
        <v>59</v>
      </c>
      <c r="B61" t="str">
        <f>CONCATENATE("Storage ",table_Storages[[#This Row],[ID]])</f>
        <v>Storage 59</v>
      </c>
      <c r="C61">
        <f t="shared" ca="1" si="1"/>
        <v>160000</v>
      </c>
      <c r="D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</v>
      </c>
      <c r="E61">
        <f ca="1">ROUND(1/table_Transfers[[#This Row],[investcost]]*RANDBETWEEN(10,100)/10,5)</f>
        <v>0.19642999999999999</v>
      </c>
    </row>
    <row r="62" spans="1:5" x14ac:dyDescent="0.45">
      <c r="A62">
        <v>60</v>
      </c>
      <c r="B62" t="str">
        <f>CONCATENATE("Storage ",table_Storages[[#This Row],[ID]])</f>
        <v>Storage 60</v>
      </c>
      <c r="C62">
        <f t="shared" ca="1" si="1"/>
        <v>22528000</v>
      </c>
      <c r="D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977</v>
      </c>
      <c r="E62">
        <f ca="1">ROUND(1/table_Transfers[[#This Row],[investcost]]*RANDBETWEEN(10,100)/10,5)</f>
        <v>1.9499999999999999E-3</v>
      </c>
    </row>
    <row r="63" spans="1:5" x14ac:dyDescent="0.45">
      <c r="A63">
        <v>61</v>
      </c>
      <c r="B63" t="str">
        <f>CONCATENATE("Storage ",table_Storages[[#This Row],[ID]])</f>
        <v>Storage 61</v>
      </c>
      <c r="C63">
        <f t="shared" ca="1" si="1"/>
        <v>5312000</v>
      </c>
      <c r="D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1038</v>
      </c>
      <c r="E63">
        <f ca="1">ROUND(1/table_Transfers[[#This Row],[investcost]]*RANDBETWEEN(10,100)/10,5)</f>
        <v>1.217E-2</v>
      </c>
    </row>
    <row r="64" spans="1:5" x14ac:dyDescent="0.45">
      <c r="A64">
        <v>62</v>
      </c>
      <c r="B64" t="str">
        <f>CONCATENATE("Storage ",table_Storages[[#This Row],[ID]])</f>
        <v>Storage 62</v>
      </c>
      <c r="C64">
        <f t="shared" ca="1" si="1"/>
        <v>196608000</v>
      </c>
      <c r="D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2406</v>
      </c>
      <c r="E64">
        <f ca="1">ROUND(1/table_Transfers[[#This Row],[investcost]]*RANDBETWEEN(10,100)/10,5)</f>
        <v>6.7000000000000002E-4</v>
      </c>
    </row>
    <row r="65" spans="1:5" x14ac:dyDescent="0.45">
      <c r="A65">
        <v>63</v>
      </c>
      <c r="B65" t="str">
        <f>CONCATENATE("Storage ",table_Storages[[#This Row],[ID]])</f>
        <v>Storage 63</v>
      </c>
      <c r="C65">
        <f t="shared" ca="1" si="1"/>
        <v>2176000</v>
      </c>
      <c r="D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345</v>
      </c>
      <c r="E65">
        <f ca="1">ROUND(1/table_Transfers[[#This Row],[investcost]]*RANDBETWEEN(10,100)/10,5)</f>
        <v>2.8800000000000002E-3</v>
      </c>
    </row>
    <row r="66" spans="1:5" x14ac:dyDescent="0.45">
      <c r="A66">
        <v>64</v>
      </c>
      <c r="B66" t="str">
        <f>CONCATENATE("Storage ",table_Storages[[#This Row],[ID]])</f>
        <v>Storage 64</v>
      </c>
      <c r="C66">
        <f t="shared" ref="C66:C100" ca="1" si="2">2^RANDBETWEEN(4,12)*1000*RANDBETWEEN(10,100)</f>
        <v>47104000</v>
      </c>
      <c r="D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233</v>
      </c>
      <c r="E66">
        <f ca="1">ROUND(1/table_Transfers[[#This Row],[investcost]]*RANDBETWEEN(10,100)/10,5)</f>
        <v>4.41E-2</v>
      </c>
    </row>
    <row r="67" spans="1:5" x14ac:dyDescent="0.45">
      <c r="A67">
        <v>65</v>
      </c>
      <c r="B67" t="str">
        <f>CONCATENATE("Storage ",table_Storages[[#This Row],[ID]])</f>
        <v>Storage 65</v>
      </c>
      <c r="C67">
        <f t="shared" ca="1" si="2"/>
        <v>405504000</v>
      </c>
      <c r="D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242</v>
      </c>
      <c r="E67">
        <f ca="1">ROUND(1/table_Transfers[[#This Row],[investcost]]*RANDBETWEEN(10,100)/10,5)</f>
        <v>0.01</v>
      </c>
    </row>
    <row r="68" spans="1:5" x14ac:dyDescent="0.45">
      <c r="A68">
        <v>66</v>
      </c>
      <c r="B68" t="str">
        <f>CONCATENATE("Storage ",table_Storages[[#This Row],[ID]])</f>
        <v>Storage 66</v>
      </c>
      <c r="C68">
        <f t="shared" ca="1" si="2"/>
        <v>12544000</v>
      </c>
      <c r="D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74</v>
      </c>
      <c r="E68">
        <f ca="1">ROUND(1/table_Transfers[[#This Row],[investcost]]*RANDBETWEEN(10,100)/10,5)</f>
        <v>3.8600000000000002E-2</v>
      </c>
    </row>
    <row r="69" spans="1:5" x14ac:dyDescent="0.45">
      <c r="A69">
        <v>67</v>
      </c>
      <c r="B69" t="str">
        <f>CONCATENATE("Storage ",table_Storages[[#This Row],[ID]])</f>
        <v>Storage 67</v>
      </c>
      <c r="C69">
        <f t="shared" ca="1" si="2"/>
        <v>576000</v>
      </c>
      <c r="D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3188</v>
      </c>
      <c r="E69">
        <f ca="1">ROUND(1/table_Transfers[[#This Row],[investcost]]*RANDBETWEEN(10,100)/10,5)</f>
        <v>1.23E-3</v>
      </c>
    </row>
    <row r="70" spans="1:5" x14ac:dyDescent="0.45">
      <c r="A70">
        <v>68</v>
      </c>
      <c r="B70" t="str">
        <f>CONCATENATE("Storage ",table_Storages[[#This Row],[ID]])</f>
        <v>Storage 68</v>
      </c>
      <c r="C70">
        <f t="shared" ca="1" si="2"/>
        <v>3040000</v>
      </c>
      <c r="D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107</v>
      </c>
      <c r="E70">
        <f ca="1">ROUND(1/table_Transfers[[#This Row],[investcost]]*RANDBETWEEN(10,100)/10,5)</f>
        <v>2.6540000000000001E-2</v>
      </c>
    </row>
    <row r="71" spans="1:5" x14ac:dyDescent="0.45">
      <c r="A71">
        <v>69</v>
      </c>
      <c r="B71" t="str">
        <f>CONCATENATE("Storage ",table_Storages[[#This Row],[ID]])</f>
        <v>Storage 69</v>
      </c>
      <c r="C71">
        <f t="shared" ca="1" si="2"/>
        <v>624000</v>
      </c>
      <c r="D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374</v>
      </c>
      <c r="E71">
        <f ca="1">ROUND(1/table_Transfers[[#This Row],[investcost]]*RANDBETWEEN(10,100)/10,5)</f>
        <v>3.286E-2</v>
      </c>
    </row>
    <row r="72" spans="1:5" x14ac:dyDescent="0.45">
      <c r="A72">
        <v>70</v>
      </c>
      <c r="B72" t="str">
        <f>CONCATENATE("Storage ",table_Storages[[#This Row],[ID]])</f>
        <v>Storage 70</v>
      </c>
      <c r="C72">
        <f t="shared" ca="1" si="2"/>
        <v>2720000</v>
      </c>
      <c r="D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77</v>
      </c>
      <c r="E72">
        <f ca="1">ROUND(1/table_Transfers[[#This Row],[investcost]]*RANDBETWEEN(10,100)/10,5)</f>
        <v>0.13952999999999999</v>
      </c>
    </row>
    <row r="73" spans="1:5" x14ac:dyDescent="0.45">
      <c r="A73">
        <v>71</v>
      </c>
      <c r="B73" t="str">
        <f>CONCATENATE("Storage ",table_Storages[[#This Row],[ID]])</f>
        <v>Storage 71</v>
      </c>
      <c r="C73">
        <f t="shared" ca="1" si="2"/>
        <v>73728000</v>
      </c>
      <c r="D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233</v>
      </c>
      <c r="E73">
        <f ca="1">ROUND(1/table_Transfers[[#This Row],[investcost]]*RANDBETWEEN(10,100)/10,5)</f>
        <v>1.1809999999999999E-2</v>
      </c>
    </row>
    <row r="74" spans="1:5" x14ac:dyDescent="0.45">
      <c r="A74">
        <v>72</v>
      </c>
      <c r="B74" t="str">
        <f>CONCATENATE("Storage ",table_Storages[[#This Row],[ID]])</f>
        <v>Storage 72</v>
      </c>
      <c r="C74">
        <f t="shared" ca="1" si="2"/>
        <v>1184000</v>
      </c>
      <c r="D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176</v>
      </c>
      <c r="E74">
        <f ca="1">ROUND(1/table_Transfers[[#This Row],[investcost]]*RANDBETWEEN(10,100)/10,5)</f>
        <v>5.9540000000000003E-2</v>
      </c>
    </row>
    <row r="75" spans="1:5" x14ac:dyDescent="0.45">
      <c r="A75">
        <v>73</v>
      </c>
      <c r="B75" t="str">
        <f>CONCATENATE("Storage ",table_Storages[[#This Row],[ID]])</f>
        <v>Storage 73</v>
      </c>
      <c r="C75">
        <f t="shared" ca="1" si="2"/>
        <v>86016000</v>
      </c>
      <c r="D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3588</v>
      </c>
      <c r="E75">
        <f ca="1">ROUND(1/table_Transfers[[#This Row],[investcost]]*RANDBETWEEN(10,100)/10,5)</f>
        <v>6.8000000000000005E-4</v>
      </c>
    </row>
    <row r="76" spans="1:5" x14ac:dyDescent="0.45">
      <c r="A76">
        <v>74</v>
      </c>
      <c r="B76" t="str">
        <f>CONCATENATE("Storage ",table_Storages[[#This Row],[ID]])</f>
        <v>Storage 74</v>
      </c>
      <c r="C76">
        <f t="shared" ca="1" si="2"/>
        <v>344064000</v>
      </c>
      <c r="D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152</v>
      </c>
      <c r="E76">
        <f ca="1">ROUND(1/table_Transfers[[#This Row],[investcost]]*RANDBETWEEN(10,100)/10,5)</f>
        <v>5.0340000000000003E-2</v>
      </c>
    </row>
    <row r="77" spans="1:5" x14ac:dyDescent="0.45">
      <c r="A77">
        <v>75</v>
      </c>
      <c r="B77" t="str">
        <f>CONCATENATE("Storage ",table_Storages[[#This Row],[ID]])</f>
        <v>Storage 75</v>
      </c>
      <c r="C77">
        <f t="shared" ca="1" si="2"/>
        <v>7168000</v>
      </c>
      <c r="D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</v>
      </c>
      <c r="E77">
        <f ca="1">ROUND(1/table_Transfers[[#This Row],[investcost]]*RANDBETWEEN(10,100)/10,5)</f>
        <v>9.3329999999999996E-2</v>
      </c>
    </row>
    <row r="78" spans="1:5" x14ac:dyDescent="0.45">
      <c r="A78">
        <v>76</v>
      </c>
      <c r="B78" t="str">
        <f>CONCATENATE("Storage ",table_Storages[[#This Row],[ID]])</f>
        <v>Storage 76</v>
      </c>
      <c r="C78">
        <f t="shared" ca="1" si="2"/>
        <v>1600000</v>
      </c>
      <c r="D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</v>
      </c>
      <c r="E78">
        <f ca="1">ROUND(1/table_Transfers[[#This Row],[investcost]]*RANDBETWEEN(10,100)/10,5)</f>
        <v>1.83E-2</v>
      </c>
    </row>
    <row r="79" spans="1:5" x14ac:dyDescent="0.45">
      <c r="A79">
        <v>77</v>
      </c>
      <c r="B79" t="str">
        <f>CONCATENATE("Storage ",table_Storages[[#This Row],[ID]])</f>
        <v>Storage 77</v>
      </c>
      <c r="C79">
        <f t="shared" ca="1" si="2"/>
        <v>5312000</v>
      </c>
      <c r="D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</v>
      </c>
      <c r="E79">
        <f ca="1">ROUND(1/table_Transfers[[#This Row],[investcost]]*RANDBETWEEN(10,100)/10,5)</f>
        <v>0.12931000000000001</v>
      </c>
    </row>
    <row r="80" spans="1:5" x14ac:dyDescent="0.45">
      <c r="A80">
        <v>78</v>
      </c>
      <c r="B80" t="str">
        <f>CONCATENATE("Storage ",table_Storages[[#This Row],[ID]])</f>
        <v>Storage 78</v>
      </c>
      <c r="C80">
        <f t="shared" ca="1" si="2"/>
        <v>12032000</v>
      </c>
      <c r="D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178</v>
      </c>
      <c r="E80">
        <f ca="1">ROUND(1/table_Transfers[[#This Row],[investcost]]*RANDBETWEEN(10,100)/10,5)</f>
        <v>2.9090000000000001E-2</v>
      </c>
    </row>
    <row r="81" spans="1:5" x14ac:dyDescent="0.45">
      <c r="A81">
        <v>79</v>
      </c>
      <c r="B81" t="str">
        <f>CONCATENATE("Storage ",table_Storages[[#This Row],[ID]])</f>
        <v>Storage 79</v>
      </c>
      <c r="C81">
        <f t="shared" ca="1" si="2"/>
        <v>8704000</v>
      </c>
      <c r="D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1765</v>
      </c>
      <c r="E81">
        <f ca="1">ROUND(1/table_Transfers[[#This Row],[investcost]]*RANDBETWEEN(10,100)/10,5)</f>
        <v>5.28E-3</v>
      </c>
    </row>
    <row r="82" spans="1:5" x14ac:dyDescent="0.45">
      <c r="A82">
        <v>80</v>
      </c>
      <c r="B82" t="str">
        <f>CONCATENATE("Storage ",table_Storages[[#This Row],[ID]])</f>
        <v>Storage 80</v>
      </c>
      <c r="C82">
        <f t="shared" ca="1" si="2"/>
        <v>768000</v>
      </c>
      <c r="D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838</v>
      </c>
      <c r="E82">
        <f ca="1">ROUND(1/table_Transfers[[#This Row],[investcost]]*RANDBETWEEN(10,100)/10,5)</f>
        <v>4.8900000000000002E-3</v>
      </c>
    </row>
    <row r="83" spans="1:5" x14ac:dyDescent="0.45">
      <c r="A83">
        <v>81</v>
      </c>
      <c r="B83" t="str">
        <f>CONCATENATE("Storage ",table_Storages[[#This Row],[ID]])</f>
        <v>Storage 81</v>
      </c>
      <c r="C83">
        <f t="shared" ca="1" si="2"/>
        <v>163840000</v>
      </c>
      <c r="D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133</v>
      </c>
      <c r="E83">
        <f ca="1">ROUND(1/table_Transfers[[#This Row],[investcost]]*RANDBETWEEN(10,100)/10,5)</f>
        <v>7.2279999999999997E-2</v>
      </c>
    </row>
    <row r="84" spans="1:5" x14ac:dyDescent="0.45">
      <c r="A84">
        <v>82</v>
      </c>
      <c r="B84" t="str">
        <f>CONCATENATE("Storage ",table_Storages[[#This Row],[ID]])</f>
        <v>Storage 82</v>
      </c>
      <c r="C84">
        <f t="shared" ca="1" si="2"/>
        <v>23552000</v>
      </c>
      <c r="D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4614</v>
      </c>
      <c r="E84">
        <f ca="1">ROUND(1/table_Transfers[[#This Row],[investcost]]*RANDBETWEEN(10,100)/10,5)</f>
        <v>3.3400000000000001E-3</v>
      </c>
    </row>
    <row r="85" spans="1:5" x14ac:dyDescent="0.45">
      <c r="A85">
        <v>83</v>
      </c>
      <c r="B85" t="str">
        <f>CONCATENATE("Storage ",table_Storages[[#This Row],[ID]])</f>
        <v>Storage 83</v>
      </c>
      <c r="C85">
        <f t="shared" ca="1" si="2"/>
        <v>198656000</v>
      </c>
      <c r="D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72</v>
      </c>
      <c r="E85">
        <f ca="1">ROUND(1/table_Transfers[[#This Row],[investcost]]*RANDBETWEEN(10,100)/10,5)</f>
        <v>4.2290000000000001E-2</v>
      </c>
    </row>
    <row r="86" spans="1:5" x14ac:dyDescent="0.45">
      <c r="A86">
        <v>84</v>
      </c>
      <c r="B86" t="str">
        <f>CONCATENATE("Storage ",table_Storages[[#This Row],[ID]])</f>
        <v>Storage 84</v>
      </c>
      <c r="C86">
        <f t="shared" ca="1" si="2"/>
        <v>704000</v>
      </c>
      <c r="D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</v>
      </c>
      <c r="E86">
        <f ca="1">ROUND(1/table_Transfers[[#This Row],[investcost]]*RANDBETWEEN(10,100)/10,5)</f>
        <v>4.505E-2</v>
      </c>
    </row>
    <row r="87" spans="1:5" x14ac:dyDescent="0.45">
      <c r="A87">
        <v>85</v>
      </c>
      <c r="B87" t="str">
        <f>CONCATENATE("Storage ",table_Storages[[#This Row],[ID]])</f>
        <v>Storage 85</v>
      </c>
      <c r="C87">
        <f t="shared" ca="1" si="2"/>
        <v>31232000</v>
      </c>
      <c r="D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986</v>
      </c>
      <c r="E87">
        <f ca="1">ROUND(1/table_Transfers[[#This Row],[investcost]]*RANDBETWEEN(10,100)/10,5)</f>
        <v>3.0599999999999998E-3</v>
      </c>
    </row>
    <row r="88" spans="1:5" x14ac:dyDescent="0.45">
      <c r="A88">
        <v>86</v>
      </c>
      <c r="B88" t="str">
        <f>CONCATENATE("Storage ",table_Storages[[#This Row],[ID]])</f>
        <v>Storage 86</v>
      </c>
      <c r="C88">
        <f t="shared" ca="1" si="2"/>
        <v>53248000</v>
      </c>
      <c r="D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E88">
        <f ca="1">ROUND(1/table_Transfers[[#This Row],[investcost]]*RANDBETWEEN(10,100)/10,5)</f>
        <v>0.13134000000000001</v>
      </c>
    </row>
    <row r="89" spans="1:5" x14ac:dyDescent="0.45">
      <c r="A89">
        <v>87</v>
      </c>
      <c r="B89" t="str">
        <f>CONCATENATE("Storage ",table_Storages[[#This Row],[ID]])</f>
        <v>Storage 87</v>
      </c>
      <c r="C89">
        <f t="shared" ca="1" si="2"/>
        <v>4096000</v>
      </c>
      <c r="D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</v>
      </c>
      <c r="E89">
        <f ca="1">ROUND(1/table_Transfers[[#This Row],[investcost]]*RANDBETWEEN(10,100)/10,5)</f>
        <v>4.333E-2</v>
      </c>
    </row>
    <row r="90" spans="1:5" x14ac:dyDescent="0.45">
      <c r="A90">
        <v>88</v>
      </c>
      <c r="B90" t="str">
        <f>CONCATENATE("Storage ",table_Storages[[#This Row],[ID]])</f>
        <v>Storage 88</v>
      </c>
      <c r="C90">
        <f t="shared" ca="1" si="2"/>
        <v>7808000</v>
      </c>
      <c r="D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</v>
      </c>
      <c r="E90">
        <f ca="1">ROUND(1/table_Transfers[[#This Row],[investcost]]*RANDBETWEEN(10,100)/10,5)</f>
        <v>0.23077</v>
      </c>
    </row>
    <row r="91" spans="1:5" x14ac:dyDescent="0.45">
      <c r="A91">
        <v>89</v>
      </c>
      <c r="B91" t="str">
        <f>CONCATENATE("Storage ",table_Storages[[#This Row],[ID]])</f>
        <v>Storage 89</v>
      </c>
      <c r="C91">
        <f t="shared" ca="1" si="2"/>
        <v>10496000</v>
      </c>
      <c r="D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655</v>
      </c>
      <c r="E91">
        <f ca="1">ROUND(1/table_Transfers[[#This Row],[investcost]]*RANDBETWEEN(10,100)/10,5)</f>
        <v>2.1700000000000001E-3</v>
      </c>
    </row>
    <row r="92" spans="1:5" x14ac:dyDescent="0.45">
      <c r="A92">
        <v>90</v>
      </c>
      <c r="B92" t="str">
        <f>CONCATENATE("Storage ",table_Storages[[#This Row],[ID]])</f>
        <v>Storage 90</v>
      </c>
      <c r="C92">
        <f t="shared" ca="1" si="2"/>
        <v>5248000</v>
      </c>
      <c r="D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98</v>
      </c>
      <c r="E92">
        <f ca="1">ROUND(1/table_Transfers[[#This Row],[investcost]]*RANDBETWEEN(10,100)/10,5)</f>
        <v>2.785E-2</v>
      </c>
    </row>
    <row r="93" spans="1:5" x14ac:dyDescent="0.45">
      <c r="A93">
        <v>91</v>
      </c>
      <c r="B93" t="str">
        <f>CONCATENATE("Storage ",table_Storages[[#This Row],[ID]])</f>
        <v>Storage 91</v>
      </c>
      <c r="C93">
        <f t="shared" ca="1" si="2"/>
        <v>16896000</v>
      </c>
      <c r="D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</v>
      </c>
      <c r="E93">
        <f ca="1">ROUND(1/table_Transfers[[#This Row],[investcost]]*RANDBETWEEN(10,100)/10,5)</f>
        <v>2.3779999999999999E-2</v>
      </c>
    </row>
    <row r="94" spans="1:5" x14ac:dyDescent="0.45">
      <c r="A94">
        <v>92</v>
      </c>
      <c r="B94" t="str">
        <f>CONCATENATE("Storage ",table_Storages[[#This Row],[ID]])</f>
        <v>Storage 92</v>
      </c>
      <c r="C94">
        <f t="shared" ca="1" si="2"/>
        <v>416000</v>
      </c>
      <c r="D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3958</v>
      </c>
      <c r="E94">
        <f ca="1">ROUND(1/table_Transfers[[#This Row],[investcost]]*RANDBETWEEN(10,100)/10,5)</f>
        <v>1.6000000000000001E-3</v>
      </c>
    </row>
    <row r="95" spans="1:5" x14ac:dyDescent="0.45">
      <c r="A95">
        <v>93</v>
      </c>
      <c r="B95" t="str">
        <f>CONCATENATE("Storage ",table_Storages[[#This Row],[ID]])</f>
        <v>Storage 93</v>
      </c>
      <c r="C95">
        <f t="shared" ca="1" si="2"/>
        <v>6144000</v>
      </c>
      <c r="D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719</v>
      </c>
      <c r="E95">
        <f ca="1">ROUND(1/table_Transfers[[#This Row],[investcost]]*RANDBETWEEN(10,100)/10,5)</f>
        <v>4.28E-3</v>
      </c>
    </row>
    <row r="96" spans="1:5" x14ac:dyDescent="0.45">
      <c r="A96">
        <v>94</v>
      </c>
      <c r="B96" t="str">
        <f>CONCATENATE("Storage ",table_Storages[[#This Row],[ID]])</f>
        <v>Storage 94</v>
      </c>
      <c r="C96">
        <f t="shared" ca="1" si="2"/>
        <v>188416000</v>
      </c>
      <c r="D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1386</v>
      </c>
      <c r="E96">
        <f ca="1">ROUND(1/table_Transfers[[#This Row],[investcost]]*RANDBETWEEN(10,100)/10,5)</f>
        <v>2.2300000000000002E-3</v>
      </c>
    </row>
    <row r="97" spans="1:5" x14ac:dyDescent="0.45">
      <c r="A97">
        <v>95</v>
      </c>
      <c r="B97" t="str">
        <f>CONCATENATE("Storage ",table_Storages[[#This Row],[ID]])</f>
        <v>Storage 95</v>
      </c>
      <c r="C97">
        <f t="shared" ca="1" si="2"/>
        <v>53248000</v>
      </c>
      <c r="D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684</v>
      </c>
      <c r="E97">
        <f ca="1">ROUND(1/table_Transfers[[#This Row],[investcost]]*RANDBETWEEN(10,100)/10,5)</f>
        <v>3.3899999999999998E-3</v>
      </c>
    </row>
    <row r="98" spans="1:5" x14ac:dyDescent="0.45">
      <c r="A98">
        <v>96</v>
      </c>
      <c r="B98" t="str">
        <f>CONCATENATE("Storage ",table_Storages[[#This Row],[ID]])</f>
        <v>Storage 96</v>
      </c>
      <c r="C98">
        <f t="shared" ca="1" si="2"/>
        <v>167936000</v>
      </c>
      <c r="D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370</v>
      </c>
      <c r="E98">
        <f ca="1">ROUND(1/table_Transfers[[#This Row],[investcost]]*RANDBETWEEN(10,100)/10,5)</f>
        <v>1.272E-2</v>
      </c>
    </row>
    <row r="99" spans="1:5" x14ac:dyDescent="0.45">
      <c r="A99">
        <v>97</v>
      </c>
      <c r="B99" t="str">
        <f>CONCATENATE("Storage ",table_Storages[[#This Row],[ID]])</f>
        <v>Storage 97</v>
      </c>
      <c r="C99">
        <f t="shared" ca="1" si="2"/>
        <v>39424000</v>
      </c>
      <c r="D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</v>
      </c>
      <c r="E99">
        <f ca="1">ROUND(1/table_Transfers[[#This Row],[investcost]]*RANDBETWEEN(10,100)/10,5)</f>
        <v>0.86</v>
      </c>
    </row>
    <row r="100" spans="1:5" x14ac:dyDescent="0.45">
      <c r="A100">
        <v>98</v>
      </c>
      <c r="B100" t="str">
        <f>CONCATENATE("Storage ",table_Storages[[#This Row],[ID]])</f>
        <v>Storage 98</v>
      </c>
      <c r="C100">
        <f t="shared" ca="1" si="2"/>
        <v>192512000</v>
      </c>
      <c r="D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2293</v>
      </c>
      <c r="E100">
        <f ca="1">ROUND(1/table_Transfers[[#This Row],[investcost]]*RANDBETWEEN(10,100)/10,5)</f>
        <v>3.0200000000000001E-3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abSelected="1" workbookViewId="0">
      <selection activeCell="L9" sqref="L9"/>
    </sheetView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31</v>
      </c>
      <c r="B1" t="s">
        <v>30</v>
      </c>
      <c r="C1" t="s">
        <v>69</v>
      </c>
      <c r="D1" t="s">
        <v>148</v>
      </c>
      <c r="E1" t="s">
        <v>149</v>
      </c>
      <c r="F1" s="7" t="s">
        <v>150</v>
      </c>
      <c r="G1" s="7" t="s">
        <v>151</v>
      </c>
      <c r="H1" s="7" t="s">
        <v>33</v>
      </c>
      <c r="I1" t="s">
        <v>27</v>
      </c>
      <c r="J1" t="s">
        <v>95</v>
      </c>
      <c r="K1" t="s">
        <v>96</v>
      </c>
      <c r="L1" t="s">
        <v>154</v>
      </c>
      <c r="M1" t="s">
        <v>153</v>
      </c>
    </row>
    <row r="2" spans="1:13" x14ac:dyDescent="0.45">
      <c r="A2">
        <v>0</v>
      </c>
      <c r="B2">
        <v>22</v>
      </c>
      <c r="C2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>
        <v>50</v>
      </c>
      <c r="E2">
        <v>0.01</v>
      </c>
      <c r="F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</v>
      </c>
      <c r="H2" s="9" t="str">
        <f>VLOOKUP(VLOOKUP(dict_DQ_Meth_max[[#This Row],[ID_DataQualities]],table_DataQualities[],3),table_Units[],2)</f>
        <v>+/- °C</v>
      </c>
      <c r="I2">
        <v>0</v>
      </c>
      <c r="J2">
        <v>10</v>
      </c>
      <c r="K2">
        <v>0.02</v>
      </c>
      <c r="L2">
        <f>VLOOKUP(dict_DQ_Meth_max[[#This Row],[ID_DataQualities]],table_DataQualities!$A:$I,8,FALSE)</f>
        <v>1E-3</v>
      </c>
      <c r="M2">
        <f>VLOOKUP($A2,table_DataQualities!$A:$I,9,FALSE)</f>
        <v>50</v>
      </c>
    </row>
    <row r="3" spans="1:13" x14ac:dyDescent="0.45">
      <c r="A3">
        <v>1</v>
      </c>
      <c r="B3">
        <v>22</v>
      </c>
      <c r="C3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>
        <v>0.01</v>
      </c>
      <c r="E3">
        <v>10</v>
      </c>
      <c r="F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</v>
      </c>
      <c r="H3" s="9" t="str">
        <f>VLOOKUP(VLOOKUP(dict_DQ_Meth_max[[#This Row],[ID_DataQualities]],table_DataQualities[],3),table_Units[],2)</f>
        <v>Hz</v>
      </c>
      <c r="I3">
        <v>0</v>
      </c>
      <c r="J3">
        <v>300</v>
      </c>
      <c r="K3">
        <v>0.02</v>
      </c>
      <c r="L3">
        <f>VLOOKUP(dict_DQ_Meth_max[[#This Row],[ID_DataQualities]],table_DataQualities!$A:$I,8,FALSE)</f>
        <v>1.0000000000000001E-5</v>
      </c>
      <c r="M3">
        <f>VLOOKUP($A3,table_DataQualities!$A:$I,9,FALSE)</f>
        <v>100000</v>
      </c>
    </row>
    <row r="4" spans="1:13" x14ac:dyDescent="0.45">
      <c r="A4">
        <v>0</v>
      </c>
      <c r="B4">
        <v>23</v>
      </c>
      <c r="C4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>
        <v>50</v>
      </c>
      <c r="E4">
        <v>10</v>
      </c>
      <c r="F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</v>
      </c>
      <c r="H4" s="9" t="str">
        <f>VLOOKUP(VLOOKUP(dict_DQ_Meth_max[[#This Row],[ID_DataQualities]],table_DataQualities[],3),table_Units[],2)</f>
        <v>+/- °C</v>
      </c>
      <c r="I4">
        <v>0</v>
      </c>
      <c r="J4">
        <v>20</v>
      </c>
      <c r="K4">
        <v>0.02</v>
      </c>
      <c r="L4">
        <f>VLOOKUP(dict_DQ_Meth_max[[#This Row],[ID_DataQualities]],table_DataQualities!$A:$I,8,FALSE)</f>
        <v>1E-3</v>
      </c>
      <c r="M4">
        <f>VLOOKUP($A4,table_DataQualities!$A:$I,9,FALSE)</f>
        <v>50</v>
      </c>
    </row>
    <row r="5" spans="1:13" x14ac:dyDescent="0.45">
      <c r="A5">
        <v>1</v>
      </c>
      <c r="B5">
        <v>23</v>
      </c>
      <c r="C5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>
        <v>0.01</v>
      </c>
      <c r="E5">
        <v>1000</v>
      </c>
      <c r="F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</v>
      </c>
      <c r="H5" s="9" t="str">
        <f>VLOOKUP(VLOOKUP(dict_DQ_Meth_max[[#This Row],[ID_DataQualities]],table_DataQualities[],3),table_Units[],2)</f>
        <v>Hz</v>
      </c>
      <c r="I5">
        <v>0</v>
      </c>
      <c r="J5">
        <v>300</v>
      </c>
      <c r="K5">
        <v>0.02</v>
      </c>
      <c r="L5">
        <f>VLOOKUP(dict_DQ_Meth_max[[#This Row],[ID_DataQualities]],table_DataQualities!$A:$I,8,FALSE)</f>
        <v>1.0000000000000001E-5</v>
      </c>
      <c r="M5">
        <f>VLOOKUP($A5,table_DataQualities!$A:$I,9,FALSE)</f>
        <v>100000</v>
      </c>
    </row>
    <row r="6" spans="1:13" x14ac:dyDescent="0.45">
      <c r="A6">
        <v>2</v>
      </c>
      <c r="B6">
        <v>24</v>
      </c>
      <c r="C6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>
        <v>0.1</v>
      </c>
      <c r="E6">
        <v>2000</v>
      </c>
      <c r="F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0.1</v>
      </c>
      <c r="G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2000</v>
      </c>
      <c r="H6" s="9" t="str">
        <f>VLOOKUP(VLOOKUP(dict_DQ_Meth_max[[#This Row],[ID_DataQualities]],table_DataQualities[],3),table_Units[],2)</f>
        <v>Hz</v>
      </c>
      <c r="I6">
        <v>0</v>
      </c>
      <c r="J6">
        <v>10</v>
      </c>
      <c r="K6">
        <v>1</v>
      </c>
      <c r="L6">
        <f>VLOOKUP(dict_DQ_Meth_max[[#This Row],[ID_DataQualities]],table_DataQualities!$A:$I,8,FALSE)</f>
        <v>1.0000000000000001E-5</v>
      </c>
      <c r="M6">
        <f>VLOOKUP($A6,table_DataQualities!$A:$I,9,FALSE)</f>
        <v>100000</v>
      </c>
    </row>
    <row r="7" spans="1:13" x14ac:dyDescent="0.45">
      <c r="A7">
        <v>3</v>
      </c>
      <c r="B7">
        <v>24</v>
      </c>
      <c r="C7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>
        <v>200</v>
      </c>
      <c r="E7">
        <v>200</v>
      </c>
      <c r="F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200</v>
      </c>
      <c r="G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</v>
      </c>
      <c r="H7" s="9" t="str">
        <f>VLOOKUP(VLOOKUP(dict_DQ_Meth_max[[#This Row],[ID_DataQualities]],table_DataQualities[],3),table_Units[],2)</f>
        <v>bit</v>
      </c>
      <c r="I7">
        <v>0</v>
      </c>
      <c r="J7">
        <v>300</v>
      </c>
      <c r="K7">
        <v>1</v>
      </c>
      <c r="L7">
        <f>VLOOKUP(dict_DQ_Meth_max[[#This Row],[ID_DataQualities]],table_DataQualities!$A:$I,8,FALSE)</f>
        <v>1.0000000000000001E-5</v>
      </c>
      <c r="M7">
        <f>VLOOKUP($A7,table_DataQualities!$A:$I,9,FALSE)</f>
        <v>100000</v>
      </c>
    </row>
    <row r="8" spans="1:13" x14ac:dyDescent="0.45">
      <c r="A8">
        <v>10</v>
      </c>
      <c r="B8">
        <v>24</v>
      </c>
      <c r="C8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">
        <v>8</v>
      </c>
      <c r="E8">
        <v>8</v>
      </c>
      <c r="F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8</v>
      </c>
      <c r="G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8</v>
      </c>
      <c r="H8" s="9" t="str">
        <f>VLOOKUP(VLOOKUP(dict_DQ_Meth_max[[#This Row],[ID_DataQualities]],table_DataQualities[],3),table_Units[],2)</f>
        <v>Hz</v>
      </c>
      <c r="I8">
        <v>0</v>
      </c>
      <c r="K8">
        <v>1</v>
      </c>
      <c r="L8" t="e">
        <f>VLOOKUP(dict_DQ_Meth_max[[#This Row],[ID_DataQualities]],table_DataQualities!$A:$I,8,FALSE)</f>
        <v>#N/A</v>
      </c>
      <c r="M8" t="e">
        <f>VLOOKUP($A8,table_DataQualities!$A:$I,9,FALSE)</f>
        <v>#N/A</v>
      </c>
    </row>
    <row r="9" spans="1:13" x14ac:dyDescent="0.45">
      <c r="A9">
        <v>11</v>
      </c>
      <c r="B9">
        <v>24</v>
      </c>
      <c r="C9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">
        <v>10</v>
      </c>
      <c r="E9">
        <v>10</v>
      </c>
      <c r="F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</v>
      </c>
      <c r="H9" s="9" t="str">
        <f>VLOOKUP(VLOOKUP(dict_DQ_Meth_max[[#This Row],[ID_DataQualities]],table_DataQualities[],3),table_Units[],2)</f>
        <v>Hz</v>
      </c>
      <c r="L9" t="e">
        <f>VLOOKUP(dict_DQ_Meth_max[[#This Row],[ID_DataQualities]],table_DataQualities!$A:$I,8,FALSE)</f>
        <v>#N/A</v>
      </c>
      <c r="M9" t="e">
        <f>VLOOKUP($A9,table_DataQualities!$A:$I,9,FALSE)</f>
        <v>#N/A</v>
      </c>
    </row>
    <row r="10" spans="1:13" x14ac:dyDescent="0.45">
      <c r="A10">
        <v>2</v>
      </c>
      <c r="B10">
        <v>25</v>
      </c>
      <c r="C10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>
        <v>1</v>
      </c>
      <c r="E10">
        <v>10</v>
      </c>
      <c r="F1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1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</v>
      </c>
      <c r="H10" s="9" t="str">
        <f>VLOOKUP(VLOOKUP(dict_DQ_Meth_max[[#This Row],[ID_DataQualities]],table_DataQualities[],3),table_Units[],2)</f>
        <v>Hz</v>
      </c>
      <c r="I10">
        <v>0</v>
      </c>
      <c r="J10">
        <v>10</v>
      </c>
      <c r="K10">
        <v>1</v>
      </c>
      <c r="L10">
        <f>VLOOKUP(dict_DQ_Meth_max[[#This Row],[ID_DataQualities]],table_DataQualities!$A:$I,8,FALSE)</f>
        <v>1.0000000000000001E-5</v>
      </c>
      <c r="M10">
        <f>VLOOKUP($A10,table_DataQualities!$A:$I,9,FALSE)</f>
        <v>100000</v>
      </c>
    </row>
    <row r="11" spans="1:13" x14ac:dyDescent="0.45">
      <c r="A11">
        <v>3</v>
      </c>
      <c r="B11">
        <v>25</v>
      </c>
      <c r="C11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>
        <v>125</v>
      </c>
      <c r="E11">
        <v>125</v>
      </c>
      <c r="F1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125</v>
      </c>
      <c r="G1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125</v>
      </c>
      <c r="H11" s="9" t="str">
        <f>VLOOKUP(VLOOKUP(dict_DQ_Meth_max[[#This Row],[ID_DataQualities]],table_DataQualities[],3),table_Units[],2)</f>
        <v>bit</v>
      </c>
      <c r="I11">
        <v>0</v>
      </c>
      <c r="J11">
        <v>5000</v>
      </c>
      <c r="K11">
        <v>1</v>
      </c>
      <c r="L11">
        <f>VLOOKUP(dict_DQ_Meth_max[[#This Row],[ID_DataQualities]],table_DataQualities!$A:$I,8,FALSE)</f>
        <v>1.0000000000000001E-5</v>
      </c>
      <c r="M11">
        <f>VLOOKUP($A11,table_DataQualities!$A:$I,9,FALSE)</f>
        <v>100000</v>
      </c>
    </row>
    <row r="12" spans="1:13" x14ac:dyDescent="0.45">
      <c r="A12">
        <v>10</v>
      </c>
      <c r="B12">
        <v>25</v>
      </c>
      <c r="C12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">
        <v>24</v>
      </c>
      <c r="E12">
        <v>24</v>
      </c>
      <c r="F1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24</v>
      </c>
      <c r="G1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24</v>
      </c>
      <c r="H12" s="9" t="str">
        <f>VLOOKUP(VLOOKUP(dict_DQ_Meth_max[[#This Row],[ID_DataQualities]],table_DataQualities[],3),table_Units[],2)</f>
        <v>Hz</v>
      </c>
      <c r="I12">
        <v>0</v>
      </c>
      <c r="K12">
        <v>1</v>
      </c>
      <c r="L12" t="e">
        <f>VLOOKUP(dict_DQ_Meth_max[[#This Row],[ID_DataQualities]],table_DataQualities!$A:$I,8,FALSE)</f>
        <v>#N/A</v>
      </c>
      <c r="M12" t="e">
        <f>VLOOKUP($A12,table_DataQualities!$A:$I,9,FALSE)</f>
        <v>#N/A</v>
      </c>
    </row>
    <row r="13" spans="1:13" x14ac:dyDescent="0.45">
      <c r="A13">
        <v>11</v>
      </c>
      <c r="B13">
        <v>25</v>
      </c>
      <c r="C13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">
        <v>40</v>
      </c>
      <c r="E13">
        <v>40</v>
      </c>
      <c r="F1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40</v>
      </c>
      <c r="G1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40</v>
      </c>
      <c r="H13" s="9" t="str">
        <f>VLOOKUP(VLOOKUP(dict_DQ_Meth_max[[#This Row],[ID_DataQualities]],table_DataQualities[],3),table_Units[],2)</f>
        <v>Hz</v>
      </c>
      <c r="L13" t="e">
        <f>VLOOKUP(dict_DQ_Meth_max[[#This Row],[ID_DataQualities]],table_DataQualities!$A:$I,8,FALSE)</f>
        <v>#N/A</v>
      </c>
      <c r="M13" t="e">
        <f>VLOOKUP($A13,table_DataQualities!$A:$I,9,FALSE)</f>
        <v>#N/A</v>
      </c>
    </row>
    <row r="14" spans="1:13" x14ac:dyDescent="0.45">
      <c r="A14">
        <v>0</v>
      </c>
      <c r="B14">
        <v>26</v>
      </c>
      <c r="C14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>
        <v>50</v>
      </c>
      <c r="E14">
        <v>1</v>
      </c>
      <c r="F1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1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</v>
      </c>
      <c r="H14" s="9" t="str">
        <f>VLOOKUP(VLOOKUP(dict_DQ_Meth_max[[#This Row],[ID_DataQualities]],table_DataQualities[],3),table_Units[],2)</f>
        <v>+/- °C</v>
      </c>
      <c r="I14">
        <v>0</v>
      </c>
      <c r="J14">
        <v>10</v>
      </c>
      <c r="K14">
        <v>0.02</v>
      </c>
      <c r="L14">
        <f>VLOOKUP(dict_DQ_Meth_max[[#This Row],[ID_DataQualities]],table_DataQualities!$A:$I,8,FALSE)</f>
        <v>1E-3</v>
      </c>
      <c r="M14">
        <f>VLOOKUP($A14,table_DataQualities!$A:$I,9,FALSE)</f>
        <v>50</v>
      </c>
    </row>
    <row r="15" spans="1:13" x14ac:dyDescent="0.45">
      <c r="A15">
        <v>1</v>
      </c>
      <c r="B15">
        <v>26</v>
      </c>
      <c r="C15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>
        <v>0.01</v>
      </c>
      <c r="E15">
        <v>1</v>
      </c>
      <c r="F1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0.01</v>
      </c>
      <c r="G1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</v>
      </c>
      <c r="H15" s="9" t="str">
        <f>VLOOKUP(VLOOKUP(dict_DQ_Meth_max[[#This Row],[ID_DataQualities]],table_DataQualities[],3),table_Units[],2)</f>
        <v>Hz</v>
      </c>
      <c r="I15">
        <v>0</v>
      </c>
      <c r="J15">
        <v>300</v>
      </c>
      <c r="K15">
        <v>0.02</v>
      </c>
      <c r="L15">
        <f>VLOOKUP(dict_DQ_Meth_max[[#This Row],[ID_DataQualities]],table_DataQualities!$A:$I,8,FALSE)</f>
        <v>1.0000000000000001E-5</v>
      </c>
      <c r="M15">
        <f>VLOOKUP($A15,table_DataQualities!$A:$I,9,FALSE)</f>
        <v>100000</v>
      </c>
    </row>
    <row r="16" spans="1:13" x14ac:dyDescent="0.45">
      <c r="A16">
        <v>2</v>
      </c>
      <c r="B16">
        <v>26</v>
      </c>
      <c r="C16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>
        <v>0.5</v>
      </c>
      <c r="E16">
        <v>150</v>
      </c>
      <c r="F1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0.5</v>
      </c>
      <c r="G1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150</v>
      </c>
      <c r="H16" s="9" t="str">
        <f>VLOOKUP(VLOOKUP(dict_DQ_Meth_max[[#This Row],[ID_DataQualities]],table_DataQualities[],3),table_Units[],2)</f>
        <v>Hz</v>
      </c>
      <c r="I16">
        <v>0</v>
      </c>
      <c r="J16">
        <v>10</v>
      </c>
      <c r="K16">
        <v>1</v>
      </c>
      <c r="L16">
        <f>VLOOKUP(dict_DQ_Meth_max[[#This Row],[ID_DataQualities]],table_DataQualities!$A:$I,8,FALSE)</f>
        <v>1.0000000000000001E-5</v>
      </c>
      <c r="M16">
        <f>VLOOKUP($A16,table_DataQualities!$A:$I,9,FALSE)</f>
        <v>100000</v>
      </c>
    </row>
    <row r="17" spans="1:13" x14ac:dyDescent="0.45">
      <c r="A17">
        <v>3</v>
      </c>
      <c r="B17">
        <v>26</v>
      </c>
      <c r="C17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>
        <v>130</v>
      </c>
      <c r="E17">
        <v>130</v>
      </c>
      <c r="F1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130</v>
      </c>
      <c r="G1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130</v>
      </c>
      <c r="H17" s="9" t="str">
        <f>VLOOKUP(VLOOKUP(dict_DQ_Meth_max[[#This Row],[ID_DataQualities]],table_DataQualities[],3),table_Units[],2)</f>
        <v>bit</v>
      </c>
      <c r="I17">
        <v>0</v>
      </c>
      <c r="J17">
        <v>300</v>
      </c>
      <c r="K17">
        <v>1</v>
      </c>
      <c r="L17">
        <f>VLOOKUP(dict_DQ_Meth_max[[#This Row],[ID_DataQualities]],table_DataQualities!$A:$I,8,FALSE)</f>
        <v>1.0000000000000001E-5</v>
      </c>
      <c r="M17">
        <f>VLOOKUP($A17,table_DataQualities!$A:$I,9,FALSE)</f>
        <v>100000</v>
      </c>
    </row>
    <row r="18" spans="1:13" x14ac:dyDescent="0.45">
      <c r="A18">
        <v>10</v>
      </c>
      <c r="B18">
        <v>26</v>
      </c>
      <c r="C18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">
        <v>8</v>
      </c>
      <c r="E18">
        <v>8</v>
      </c>
      <c r="F18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8</v>
      </c>
      <c r="G18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8</v>
      </c>
      <c r="H18" s="9" t="str">
        <f>VLOOKUP(VLOOKUP(dict_DQ_Meth_max[[#This Row],[ID_DataQualities]],table_DataQualities[],3),table_Units[],2)</f>
        <v>Hz</v>
      </c>
      <c r="I18">
        <v>0</v>
      </c>
      <c r="K18">
        <v>1</v>
      </c>
      <c r="L18" t="e">
        <f>VLOOKUP(dict_DQ_Meth_max[[#This Row],[ID_DataQualities]],table_DataQualities!$A:$I,8,FALSE)</f>
        <v>#N/A</v>
      </c>
      <c r="M18" t="e">
        <f>VLOOKUP($A18,table_DataQualities!$A:$I,9,FALSE)</f>
        <v>#N/A</v>
      </c>
    </row>
    <row r="19" spans="1:13" x14ac:dyDescent="0.45">
      <c r="A19">
        <v>11</v>
      </c>
      <c r="B19">
        <v>26</v>
      </c>
      <c r="C19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">
        <v>30</v>
      </c>
      <c r="E19">
        <v>30</v>
      </c>
      <c r="F19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30</v>
      </c>
      <c r="G19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30</v>
      </c>
      <c r="H19" s="9" t="str">
        <f>VLOOKUP(VLOOKUP(dict_DQ_Meth_max[[#This Row],[ID_DataQualities]],table_DataQualities[],3),table_Units[],2)</f>
        <v>Hz</v>
      </c>
      <c r="L19" t="e">
        <f>VLOOKUP(dict_DQ_Meth_max[[#This Row],[ID_DataQualities]],table_DataQualities!$A:$I,8,FALSE)</f>
        <v>#N/A</v>
      </c>
      <c r="M19" t="e">
        <f>VLOOKUP($A19,table_DataQualities!$A:$I,9,FALSE)</f>
        <v>#N/A</v>
      </c>
    </row>
    <row r="20" spans="1:13" x14ac:dyDescent="0.45">
      <c r="A20">
        <v>4</v>
      </c>
      <c r="B20">
        <v>27</v>
      </c>
      <c r="C20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>
        <v>0.5</v>
      </c>
      <c r="E20">
        <v>0.4</v>
      </c>
      <c r="F20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0.4</v>
      </c>
      <c r="G20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0.5</v>
      </c>
      <c r="H20" s="9" t="str">
        <f>VLOOKUP(VLOOKUP(dict_DQ_Meth_max[[#This Row],[ID_DataQualities]],table_DataQualities[],3),table_Units[],2)</f>
        <v>+/- mm</v>
      </c>
      <c r="L20">
        <f>VLOOKUP(dict_DQ_Meth_max[[#This Row],[ID_DataQualities]],table_DataQualities!$A:$I,8,FALSE)</f>
        <v>1.0000000000000001E-5</v>
      </c>
      <c r="M20">
        <f>VLOOKUP($A20,table_DataQualities!$A:$I,9,FALSE)</f>
        <v>3</v>
      </c>
    </row>
    <row r="21" spans="1:13" x14ac:dyDescent="0.45">
      <c r="A21">
        <v>5</v>
      </c>
      <c r="B21">
        <v>27</v>
      </c>
      <c r="C21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>
        <v>10</v>
      </c>
      <c r="E21">
        <v>200</v>
      </c>
      <c r="F21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21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</v>
      </c>
      <c r="H21" s="9" t="str">
        <f>VLOOKUP(VLOOKUP(dict_DQ_Meth_max[[#This Row],[ID_DataQualities]],table_DataQualities[],3),table_Units[],2)</f>
        <v>Hz</v>
      </c>
      <c r="L21">
        <f>VLOOKUP(dict_DQ_Meth_max[[#This Row],[ID_DataQualities]],table_DataQualities!$A:$I,8,FALSE)</f>
        <v>1.0000000000000001E-5</v>
      </c>
      <c r="M21">
        <f>VLOOKUP($A21,table_DataQualities!$A:$I,9,FALSE)</f>
        <v>50000</v>
      </c>
    </row>
    <row r="22" spans="1:13" x14ac:dyDescent="0.45">
      <c r="A22">
        <v>4</v>
      </c>
      <c r="B22">
        <v>28</v>
      </c>
      <c r="C22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>
        <v>0.35</v>
      </c>
      <c r="E22">
        <v>0.3</v>
      </c>
      <c r="F22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0.3</v>
      </c>
      <c r="G22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0.35</v>
      </c>
      <c r="H22" s="9" t="str">
        <f>VLOOKUP(VLOOKUP(dict_DQ_Meth_max[[#This Row],[ID_DataQualities]],table_DataQualities[],3),table_Units[],2)</f>
        <v>+/- mm</v>
      </c>
      <c r="L22">
        <f>VLOOKUP(dict_DQ_Meth_max[[#This Row],[ID_DataQualities]],table_DataQualities!$A:$I,8,FALSE)</f>
        <v>1.0000000000000001E-5</v>
      </c>
      <c r="M22">
        <f>VLOOKUP($A22,table_DataQualities!$A:$I,9,FALSE)</f>
        <v>3</v>
      </c>
    </row>
    <row r="23" spans="1:13" x14ac:dyDescent="0.45">
      <c r="A23">
        <v>5</v>
      </c>
      <c r="B23">
        <v>28</v>
      </c>
      <c r="C23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>
        <v>20</v>
      </c>
      <c r="E23">
        <v>400</v>
      </c>
      <c r="F23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23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400</v>
      </c>
      <c r="H23" s="9" t="str">
        <f>VLOOKUP(VLOOKUP(dict_DQ_Meth_max[[#This Row],[ID_DataQualities]],table_DataQualities[],3),table_Units[],2)</f>
        <v>Hz</v>
      </c>
      <c r="L23">
        <f>VLOOKUP(dict_DQ_Meth_max[[#This Row],[ID_DataQualities]],table_DataQualities!$A:$I,8,FALSE)</f>
        <v>1.0000000000000001E-5</v>
      </c>
      <c r="M23">
        <f>VLOOKUP($A23,table_DataQualities!$A:$I,9,FALSE)</f>
        <v>50000</v>
      </c>
    </row>
    <row r="24" spans="1:13" x14ac:dyDescent="0.45">
      <c r="A24">
        <v>8</v>
      </c>
      <c r="B24">
        <v>29</v>
      </c>
      <c r="C24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>
        <v>5000</v>
      </c>
      <c r="E24">
        <v>15000</v>
      </c>
      <c r="F24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5000</v>
      </c>
      <c r="G24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15000</v>
      </c>
      <c r="H24" s="9" t="str">
        <f>VLOOKUP(VLOOKUP(dict_DQ_Meth_max[[#This Row],[ID_DataQualities]],table_DataQualities[],3),table_Units[],2)</f>
        <v>bit</v>
      </c>
      <c r="L24">
        <f>VLOOKUP(dict_DQ_Meth_max[[#This Row],[ID_DataQualities]],table_DataQualities!$A:$I,8,FALSE)</f>
        <v>1</v>
      </c>
      <c r="M24">
        <f>VLOOKUP($A24,table_DataQualities!$A:$I,9,FALSE)</f>
        <v>200000</v>
      </c>
    </row>
    <row r="25" spans="1:13" x14ac:dyDescent="0.45">
      <c r="A25">
        <v>9</v>
      </c>
      <c r="B25">
        <v>29</v>
      </c>
      <c r="C25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>
        <v>30</v>
      </c>
      <c r="E25">
        <v>120</v>
      </c>
      <c r="F25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30</v>
      </c>
      <c r="G25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120</v>
      </c>
      <c r="H25" s="9" t="str">
        <f>VLOOKUP(VLOOKUP(dict_DQ_Meth_max[[#This Row],[ID_DataQualities]],table_DataQualities[],3),table_Units[],2)</f>
        <v>Hz</v>
      </c>
      <c r="L25">
        <f>VLOOKUP(dict_DQ_Meth_max[[#This Row],[ID_DataQualities]],table_DataQualities!$A:$I,8,FALSE)</f>
        <v>1E-3</v>
      </c>
      <c r="M25">
        <f>VLOOKUP($A25,table_DataQualities!$A:$I,9,FALSE)</f>
        <v>500</v>
      </c>
    </row>
    <row r="26" spans="1:13" x14ac:dyDescent="0.45">
      <c r="A26">
        <v>8</v>
      </c>
      <c r="B26">
        <v>30</v>
      </c>
      <c r="C26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>
        <v>9000</v>
      </c>
      <c r="E26">
        <v>100000</v>
      </c>
      <c r="F26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9000</v>
      </c>
      <c r="G26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100000</v>
      </c>
      <c r="H26" s="9" t="str">
        <f>VLOOKUP(VLOOKUP(dict_DQ_Meth_max[[#This Row],[ID_DataQualities]],table_DataQualities[],3),table_Units[],2)</f>
        <v>bit</v>
      </c>
      <c r="L26">
        <f>VLOOKUP(dict_DQ_Meth_max[[#This Row],[ID_DataQualities]],table_DataQualities!$A:$I,8,FALSE)</f>
        <v>1</v>
      </c>
      <c r="M26">
        <f>VLOOKUP($A26,table_DataQualities!$A:$I,9,FALSE)</f>
        <v>200000</v>
      </c>
    </row>
    <row r="27" spans="1:13" x14ac:dyDescent="0.45">
      <c r="A27">
        <v>9</v>
      </c>
      <c r="B27">
        <v>30</v>
      </c>
      <c r="C27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>
        <v>10</v>
      </c>
      <c r="E27">
        <v>500</v>
      </c>
      <c r="F27" s="8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10</v>
      </c>
      <c r="G27" s="8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500</v>
      </c>
      <c r="H27" s="9" t="str">
        <f>VLOOKUP(VLOOKUP(dict_DQ_Meth_max[[#This Row],[ID_DataQualities]],table_DataQualities[],3),table_Units[],2)</f>
        <v>Hz</v>
      </c>
      <c r="L27">
        <f>VLOOKUP(dict_DQ_Meth_max[[#This Row],[ID_DataQualities]],table_DataQualities!$A:$I,8,FALSE)</f>
        <v>1E-3</v>
      </c>
      <c r="M27">
        <f>VLOOKUP($A27,table_DataQualities!$A:$I,9,FALSE)</f>
        <v>500</v>
      </c>
    </row>
    <row r="28" spans="1:13" x14ac:dyDescent="0.45">
      <c r="A28">
        <v>6</v>
      </c>
      <c r="B28">
        <v>31</v>
      </c>
      <c r="C28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>
        <v>20</v>
      </c>
      <c r="E28">
        <v>120</v>
      </c>
      <c r="F28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20</v>
      </c>
      <c r="G28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120</v>
      </c>
      <c r="H28" s="9" t="str">
        <f>VLOOKUP(VLOOKUP(dict_DQ_Meth_max[[#This Row],[ID_DataQualities]],table_DataQualities[],3),table_Units[],2)</f>
        <v>mm²</v>
      </c>
      <c r="L28" s="3">
        <f>VLOOKUP(dict_DQ_Meth_max[[#This Row],[ID_DataQualities]],table_DataQualities!$A:$I,8,FALSE)</f>
        <v>1.0000000000000001E-5</v>
      </c>
      <c r="M28" s="3">
        <f>VLOOKUP($A28,table_DataQualities!$A:$I,9,FALSE)</f>
        <v>100000</v>
      </c>
    </row>
    <row r="29" spans="1:13" x14ac:dyDescent="0.45">
      <c r="A29">
        <v>7</v>
      </c>
      <c r="B29">
        <v>31</v>
      </c>
      <c r="C29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>
        <v>1</v>
      </c>
      <c r="E29">
        <v>2000</v>
      </c>
      <c r="F29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29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2000</v>
      </c>
      <c r="H29" s="9" t="str">
        <f>VLOOKUP(VLOOKUP(dict_DQ_Meth_max[[#This Row],[ID_DataQualities]],table_DataQualities[],3),table_Units[],2)</f>
        <v>Hz</v>
      </c>
      <c r="L29" s="3">
        <f>VLOOKUP(dict_DQ_Meth_max[[#This Row],[ID_DataQualities]],table_DataQualities!$A:$I,8,FALSE)</f>
        <v>1</v>
      </c>
      <c r="M29" s="3">
        <f>VLOOKUP($A29,table_DataQualities!$A:$I,9,FALSE)</f>
        <v>100000</v>
      </c>
    </row>
    <row r="30" spans="1:13" x14ac:dyDescent="0.45">
      <c r="A30">
        <v>6</v>
      </c>
      <c r="B30">
        <v>32</v>
      </c>
      <c r="C30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>
        <v>15</v>
      </c>
      <c r="E30">
        <v>100</v>
      </c>
      <c r="F30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15</v>
      </c>
      <c r="G30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100</v>
      </c>
      <c r="H30" s="9" t="str">
        <f>VLOOKUP(VLOOKUP(dict_DQ_Meth_max[[#This Row],[ID_DataQualities]],table_DataQualities[],3),table_Units[],2)</f>
        <v>mm²</v>
      </c>
      <c r="L30" s="3">
        <f>VLOOKUP(dict_DQ_Meth_max[[#This Row],[ID_DataQualities]],table_DataQualities!$A:$I,8,FALSE)</f>
        <v>1.0000000000000001E-5</v>
      </c>
      <c r="M30" s="3">
        <f>VLOOKUP($A30,table_DataQualities!$A:$I,9,FALSE)</f>
        <v>100000</v>
      </c>
    </row>
    <row r="31" spans="1:13" x14ac:dyDescent="0.45">
      <c r="A31">
        <v>7</v>
      </c>
      <c r="B31">
        <v>32</v>
      </c>
      <c r="C31" s="3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>
        <v>1</v>
      </c>
      <c r="E31">
        <v>1200</v>
      </c>
      <c r="F31" s="9">
        <f>IF(VLOOKUP(VLOOKUP(dict_DQ_Meth_max[[#This Row],[ID_DataQualities]],table_DataQualities[],3),table_Units[],5)&gt;0,dict_DQ_Meth_max[[#This Row],[z_J_worst]],IF(VLOOKUP(VLOOKUP(dict_DQ_Meth_max[[#This Row],[ID_DataQualities]],table_DataQualities[],3),table_Units[],6)=1,dict_DQ_Meth_max[[#This Row],[z_J_best]]))</f>
        <v>1</v>
      </c>
      <c r="G31" s="9">
        <f>IF(VLOOKUP(VLOOKUP(dict_DQ_Meth_max[[#This Row],[ID_DataQualities]],table_DataQualities[],3),table_Units[],5)&gt;0,dict_DQ_Meth_max[[#This Row],[z_J_best]],IF(VLOOKUP(VLOOKUP(dict_DQ_Meth_max[[#This Row],[ID_DataQualities]],table_DataQualities[],3),table_Units[],6)=1,dict_DQ_Meth_max[[#This Row],[z_J_worst]]))</f>
        <v>1200</v>
      </c>
      <c r="H31" s="9" t="str">
        <f>VLOOKUP(VLOOKUP(dict_DQ_Meth_max[[#This Row],[ID_DataQualities]],table_DataQualities[],3),table_Units[],2)</f>
        <v>Hz</v>
      </c>
      <c r="L31" s="3">
        <f>VLOOKUP(dict_DQ_Meth_max[[#This Row],[ID_DataQualities]],table_DataQualities!$A:$I,8,FALSE)</f>
        <v>1</v>
      </c>
      <c r="M31" s="3">
        <f>VLOOKUP($A31,table_DataQualities!$A:$I,9,FALSE)</f>
        <v>100000</v>
      </c>
    </row>
  </sheetData>
  <conditionalFormatting sqref="G1:G1048576">
    <cfRule type="cellIs" dxfId="21" priority="1" operator="greaterThan">
      <formula>$M1</formula>
    </cfRule>
    <cfRule type="cellIs" dxfId="20" priority="6" operator="lessThan">
      <formula>$F1</formula>
    </cfRule>
  </conditionalFormatting>
  <conditionalFormatting sqref="F1:F1048576">
    <cfRule type="cellIs" dxfId="1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53"/>
  <sheetViews>
    <sheetView topLeftCell="A46" workbookViewId="0">
      <selection activeCell="D12" sqref="D12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29</v>
      </c>
      <c r="B1" t="s">
        <v>30</v>
      </c>
      <c r="C1" t="s">
        <v>69</v>
      </c>
      <c r="D1" t="s">
        <v>372</v>
      </c>
      <c r="E1" t="s">
        <v>373</v>
      </c>
      <c r="F1" t="s">
        <v>374</v>
      </c>
      <c r="G1" t="s">
        <v>375</v>
      </c>
    </row>
    <row r="2" spans="1:7" x14ac:dyDescent="0.45">
      <c r="A2">
        <f ca="1">VLOOKUP(dict_zul_Var_Meth[[#This Row],[ignored_rank]],help_zuord_Var_Meth[],2)</f>
        <v>13</v>
      </c>
      <c r="B2">
        <v>0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t="shared" ref="D2:D65" ca="1" si="0">RAND()</f>
        <v>0.93867387233404609</v>
      </c>
      <c r="E2">
        <f ca="1">RANK(dict_zul_Var_Meth[[#This Row],[ignored_rand]],dict_zul_Var_Meth[ignored_rand])</f>
        <v>47</v>
      </c>
      <c r="F2">
        <v>1</v>
      </c>
      <c r="G2">
        <v>0</v>
      </c>
    </row>
    <row r="3" spans="1:7" x14ac:dyDescent="0.45">
      <c r="A3" s="3">
        <f ca="1">VLOOKUP(dict_zul_Var_Meth[[#This Row],[ignored_rank]],help_zuord_Var_Meth[],2)</f>
        <v>82</v>
      </c>
      <c r="B3">
        <v>0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t="shared" ca="1" si="0"/>
        <v>0.62366386722108325</v>
      </c>
      <c r="E3" s="3">
        <f ca="1">RANK(dict_zul_Var_Meth[[#This Row],[ignored_rand]],dict_zul_Var_Meth[ignored_rand])</f>
        <v>287</v>
      </c>
      <c r="F3">
        <f ca="1">ROUNDUP(698/200*help_zuord_Var_Meth[[#This Row],[ignored_help_VarsID]],0)+RANDBETWEEN(0,1)-RANDBETWEEN(0,1)</f>
        <v>5</v>
      </c>
      <c r="G3">
        <v>1</v>
      </c>
    </row>
    <row r="4" spans="1:7" x14ac:dyDescent="0.45">
      <c r="A4">
        <f ca="1">VLOOKUP(dict_zul_Var_Meth[[#This Row],[ignored_rank]],help_zuord_Var_Meth[],2)</f>
        <v>190</v>
      </c>
      <c r="B4">
        <f>B3+1</f>
        <v>1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t="shared" ca="1" si="0"/>
        <v>0.11138247629084075</v>
      </c>
      <c r="E4">
        <f ca="1">RANK(dict_zul_Var_Meth[[#This Row],[ignored_rand]],dict_zul_Var_Meth[ignored_rand])</f>
        <v>666</v>
      </c>
      <c r="F4">
        <f ca="1">ROUNDUP(698/200*help_zuord_Var_Meth[[#This Row],[ignored_help_VarsID]],0)+RANDBETWEEN(0,1)-RANDBETWEEN(0,1)</f>
        <v>7</v>
      </c>
      <c r="G4">
        <v>2</v>
      </c>
    </row>
    <row r="5" spans="1:7" x14ac:dyDescent="0.45">
      <c r="A5" s="3">
        <f ca="1">VLOOKUP(dict_zul_Var_Meth[[#This Row],[ignored_rank]],help_zuord_Var_Meth[],2)</f>
        <v>115</v>
      </c>
      <c r="B5">
        <v>1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t="shared" ca="1" si="0"/>
        <v>0.4692965366026034</v>
      </c>
      <c r="E5" s="3">
        <f ca="1">RANK(dict_zul_Var_Meth[[#This Row],[ignored_rand]],dict_zul_Var_Meth[ignored_rand])</f>
        <v>403</v>
      </c>
      <c r="F5">
        <f ca="1">ROUNDUP(698/200*help_zuord_Var_Meth[[#This Row],[ignored_help_VarsID]],0)+RANDBETWEEN(0,1)-RANDBETWEEN(0,1)</f>
        <v>11</v>
      </c>
      <c r="G5">
        <v>3</v>
      </c>
    </row>
    <row r="6" spans="1:7" x14ac:dyDescent="0.45">
      <c r="A6">
        <f ca="1">VLOOKUP(dict_zul_Var_Meth[[#This Row],[ignored_rank]],help_zuord_Var_Meth[],2)</f>
        <v>199</v>
      </c>
      <c r="B6">
        <f>B5+1</f>
        <v>2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t="shared" ca="1" si="0"/>
        <v>1.9461950193494948E-2</v>
      </c>
      <c r="E6">
        <f ca="1">RANK(dict_zul_Var_Meth[[#This Row],[ignored_rand]],dict_zul_Var_Meth[ignored_rand])</f>
        <v>736</v>
      </c>
      <c r="F6">
        <f ca="1">ROUNDUP(698/200*help_zuord_Var_Meth[[#This Row],[ignored_help_VarsID]],0)+RANDBETWEEN(0,1)-RANDBETWEEN(0,1)</f>
        <v>13</v>
      </c>
      <c r="G6">
        <v>4</v>
      </c>
    </row>
    <row r="7" spans="1:7" x14ac:dyDescent="0.45">
      <c r="A7" s="3">
        <f ca="1">VLOOKUP(dict_zul_Var_Meth[[#This Row],[ignored_rank]],help_zuord_Var_Meth[],2)</f>
        <v>150</v>
      </c>
      <c r="B7">
        <v>2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t="shared" ca="1" si="0"/>
        <v>0.29596380596208272</v>
      </c>
      <c r="E7" s="3">
        <f ca="1">RANK(dict_zul_Var_Meth[[#This Row],[ignored_rand]],dict_zul_Var_Meth[ignored_rand])</f>
        <v>525</v>
      </c>
      <c r="F7">
        <f ca="1">ROUNDUP(698/200*help_zuord_Var_Meth[[#This Row],[ignored_help_VarsID]],0)+RANDBETWEEN(0,1)-RANDBETWEEN(0,1)</f>
        <v>18</v>
      </c>
      <c r="G7">
        <v>5</v>
      </c>
    </row>
    <row r="8" spans="1:7" x14ac:dyDescent="0.45">
      <c r="A8">
        <f ca="1">VLOOKUP(dict_zul_Var_Meth[[#This Row],[ignored_rank]],help_zuord_Var_Meth[],2)</f>
        <v>128</v>
      </c>
      <c r="B8">
        <f>B7+1</f>
        <v>3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t="shared" ca="1" si="0"/>
        <v>0.39351172705663695</v>
      </c>
      <c r="E8">
        <f ca="1">RANK(dict_zul_Var_Meth[[#This Row],[ignored_rand]],dict_zul_Var_Meth[ignored_rand])</f>
        <v>450</v>
      </c>
      <c r="F8">
        <f ca="1">ROUNDUP(698/200*help_zuord_Var_Meth[[#This Row],[ignored_help_VarsID]],0)+RANDBETWEEN(0,1)-RANDBETWEEN(0,1)</f>
        <v>21</v>
      </c>
      <c r="G8">
        <v>6</v>
      </c>
    </row>
    <row r="9" spans="1:7" x14ac:dyDescent="0.45">
      <c r="A9" s="3">
        <f ca="1">VLOOKUP(dict_zul_Var_Meth[[#This Row],[ignored_rank]],help_zuord_Var_Meth[],2)</f>
        <v>30</v>
      </c>
      <c r="B9">
        <v>3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t="shared" ca="1" si="0"/>
        <v>0.85276249313461072</v>
      </c>
      <c r="E9" s="3">
        <f ca="1">RANK(dict_zul_Var_Meth[[#This Row],[ignored_rand]],dict_zul_Var_Meth[ignored_rand])</f>
        <v>108</v>
      </c>
      <c r="F9">
        <f ca="1">ROUNDUP(698/200*help_zuord_Var_Meth[[#This Row],[ignored_help_VarsID]],0)+RANDBETWEEN(0,1)-RANDBETWEEN(0,1)</f>
        <v>26</v>
      </c>
      <c r="G9">
        <v>7</v>
      </c>
    </row>
    <row r="10" spans="1:7" x14ac:dyDescent="0.45">
      <c r="A10">
        <f ca="1">VLOOKUP(dict_zul_Var_Meth[[#This Row],[ignored_rank]],help_zuord_Var_Meth[],2)</f>
        <v>62</v>
      </c>
      <c r="B10">
        <f>B9+1</f>
        <v>4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t="shared" ca="1" si="0"/>
        <v>0.70916027103521073</v>
      </c>
      <c r="E10">
        <f ca="1">RANK(dict_zul_Var_Meth[[#This Row],[ignored_rand]],dict_zul_Var_Meth[ignored_rand])</f>
        <v>219</v>
      </c>
      <c r="F10">
        <f ca="1">ROUNDUP(698/200*help_zuord_Var_Meth[[#This Row],[ignored_help_VarsID]],0)+RANDBETWEEN(0,1)-RANDBETWEEN(0,1)</f>
        <v>28</v>
      </c>
      <c r="G10">
        <v>8</v>
      </c>
    </row>
    <row r="11" spans="1:7" x14ac:dyDescent="0.45">
      <c r="A11" s="3">
        <f ca="1">VLOOKUP(dict_zul_Var_Meth[[#This Row],[ignored_rank]],help_zuord_Var_Meth[],2)</f>
        <v>110</v>
      </c>
      <c r="B11">
        <v>4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t="shared" ca="1" si="0"/>
        <v>0.49315535843729574</v>
      </c>
      <c r="E11" s="3">
        <f ca="1">RANK(dict_zul_Var_Meth[[#This Row],[ignored_rand]],dict_zul_Var_Meth[ignored_rand])</f>
        <v>385</v>
      </c>
      <c r="F11">
        <f ca="1">ROUNDUP(698/200*help_zuord_Var_Meth[[#This Row],[ignored_help_VarsID]],0)+RANDBETWEEN(0,1)-RANDBETWEEN(0,1)</f>
        <v>31</v>
      </c>
      <c r="G11">
        <v>9</v>
      </c>
    </row>
    <row r="12" spans="1:7" x14ac:dyDescent="0.45">
      <c r="A12">
        <f ca="1">VLOOKUP(dict_zul_Var_Meth[[#This Row],[ignored_rank]],help_zuord_Var_Meth[],2)</f>
        <v>107</v>
      </c>
      <c r="B12">
        <f>B11+1</f>
        <v>5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t="shared" ca="1" si="0"/>
        <v>0.50904736395196215</v>
      </c>
      <c r="E12">
        <f ca="1">RANK(dict_zul_Var_Meth[[#This Row],[ignored_rand]],dict_zul_Var_Meth[ignored_rand])</f>
        <v>374</v>
      </c>
      <c r="F12">
        <f ca="1">ROUNDUP(698/200*help_zuord_Var_Meth[[#This Row],[ignored_help_VarsID]],0)+RANDBETWEEN(0,1)-RANDBETWEEN(0,1)</f>
        <v>36</v>
      </c>
      <c r="G12">
        <v>10</v>
      </c>
    </row>
    <row r="13" spans="1:7" x14ac:dyDescent="0.45">
      <c r="A13" s="3">
        <f ca="1">VLOOKUP(dict_zul_Var_Meth[[#This Row],[ignored_rank]],help_zuord_Var_Meth[],2)</f>
        <v>159</v>
      </c>
      <c r="B13">
        <v>5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t="shared" ca="1" si="0"/>
        <v>0.25959847749525133</v>
      </c>
      <c r="E13" s="3">
        <f ca="1">RANK(dict_zul_Var_Meth[[#This Row],[ignored_rand]],dict_zul_Var_Meth[ignored_rand])</f>
        <v>557</v>
      </c>
      <c r="F13">
        <f ca="1">ROUNDUP(698/200*help_zuord_Var_Meth[[#This Row],[ignored_help_VarsID]],0)+RANDBETWEEN(0,1)-RANDBETWEEN(0,1)</f>
        <v>38</v>
      </c>
      <c r="G13">
        <v>11</v>
      </c>
    </row>
    <row r="14" spans="1:7" x14ac:dyDescent="0.45">
      <c r="A14">
        <f ca="1">VLOOKUP(dict_zul_Var_Meth[[#This Row],[ignored_rank]],help_zuord_Var_Meth[],2)</f>
        <v>103</v>
      </c>
      <c r="B14">
        <f>B13+1</f>
        <v>6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t="shared" ca="1" si="0"/>
        <v>0.5232754651273549</v>
      </c>
      <c r="E14">
        <f ca="1">RANK(dict_zul_Var_Meth[[#This Row],[ignored_rand]],dict_zul_Var_Meth[ignored_rand])</f>
        <v>361</v>
      </c>
      <c r="F14">
        <f ca="1">ROUNDUP(698/200*help_zuord_Var_Meth[[#This Row],[ignored_help_VarsID]],0)+RANDBETWEEN(0,1)-RANDBETWEEN(0,1)</f>
        <v>42</v>
      </c>
      <c r="G14">
        <v>12</v>
      </c>
    </row>
    <row r="15" spans="1:7" x14ac:dyDescent="0.45">
      <c r="A15" s="3">
        <f ca="1">VLOOKUP(dict_zul_Var_Meth[[#This Row],[ignored_rank]],help_zuord_Var_Meth[],2)</f>
        <v>70</v>
      </c>
      <c r="B15">
        <v>6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t="shared" ca="1" si="0"/>
        <v>0.69079869733967303</v>
      </c>
      <c r="E15" s="3">
        <f ca="1">RANK(dict_zul_Var_Meth[[#This Row],[ignored_rand]],dict_zul_Var_Meth[ignored_rand])</f>
        <v>245</v>
      </c>
      <c r="F15">
        <f ca="1">ROUNDUP(698/200*help_zuord_Var_Meth[[#This Row],[ignored_help_VarsID]],0)+RANDBETWEEN(0,1)-RANDBETWEEN(0,1)</f>
        <v>45</v>
      </c>
      <c r="G15">
        <v>13</v>
      </c>
    </row>
    <row r="16" spans="1:7" x14ac:dyDescent="0.45">
      <c r="A16">
        <f ca="1">VLOOKUP(dict_zul_Var_Meth[[#This Row],[ignored_rank]],help_zuord_Var_Meth[],2)</f>
        <v>179</v>
      </c>
      <c r="B16">
        <f>B15+1</f>
        <v>7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t="shared" ca="1" si="0"/>
        <v>0.16295945928747457</v>
      </c>
      <c r="E16">
        <f ca="1">RANK(dict_zul_Var_Meth[[#This Row],[ignored_rand]],dict_zul_Var_Meth[ignored_rand])</f>
        <v>624</v>
      </c>
      <c r="F16">
        <f ca="1">ROUNDUP(698/200*help_zuord_Var_Meth[[#This Row],[ignored_help_VarsID]],0)+RANDBETWEEN(0,1)-RANDBETWEEN(0,1)</f>
        <v>48</v>
      </c>
      <c r="G16">
        <v>14</v>
      </c>
    </row>
    <row r="17" spans="1:7" x14ac:dyDescent="0.45">
      <c r="A17" s="3">
        <f ca="1">VLOOKUP(dict_zul_Var_Meth[[#This Row],[ignored_rank]],help_zuord_Var_Meth[],2)</f>
        <v>109</v>
      </c>
      <c r="B17">
        <v>7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t="shared" ca="1" si="0"/>
        <v>0.49866841511377924</v>
      </c>
      <c r="E17" s="3">
        <f ca="1">RANK(dict_zul_Var_Meth[[#This Row],[ignored_rand]],dict_zul_Var_Meth[ignored_rand])</f>
        <v>382</v>
      </c>
      <c r="F17">
        <f ca="1">ROUNDUP(698/200*help_zuord_Var_Meth[[#This Row],[ignored_help_VarsID]],0)+RANDBETWEEN(0,1)-RANDBETWEEN(0,1)</f>
        <v>52</v>
      </c>
      <c r="G17">
        <v>15</v>
      </c>
    </row>
    <row r="18" spans="1:7" x14ac:dyDescent="0.45">
      <c r="A18">
        <f ca="1">VLOOKUP(dict_zul_Var_Meth[[#This Row],[ignored_rank]],help_zuord_Var_Meth[],2)</f>
        <v>39</v>
      </c>
      <c r="B18">
        <f>B17+1</f>
        <v>8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t="shared" ca="1" si="0"/>
        <v>0.8167919920906781</v>
      </c>
      <c r="E18">
        <f ca="1">RANK(dict_zul_Var_Meth[[#This Row],[ignored_rand]],dict_zul_Var_Meth[ignored_rand])</f>
        <v>137</v>
      </c>
      <c r="F18">
        <f ca="1">ROUNDUP(698/200*help_zuord_Var_Meth[[#This Row],[ignored_help_VarsID]],0)+RANDBETWEEN(0,1)-RANDBETWEEN(0,1)</f>
        <v>56</v>
      </c>
      <c r="G18">
        <v>16</v>
      </c>
    </row>
    <row r="19" spans="1:7" x14ac:dyDescent="0.45">
      <c r="A19" s="3">
        <f ca="1">VLOOKUP(dict_zul_Var_Meth[[#This Row],[ignored_rank]],help_zuord_Var_Meth[],2)</f>
        <v>38</v>
      </c>
      <c r="B19">
        <v>8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t="shared" ca="1" si="0"/>
        <v>0.825967364015043</v>
      </c>
      <c r="E19" s="3">
        <f ca="1">RANK(dict_zul_Var_Meth[[#This Row],[ignored_rand]],dict_zul_Var_Meth[ignored_rand])</f>
        <v>134</v>
      </c>
      <c r="F19">
        <f ca="1">ROUNDUP(698/200*help_zuord_Var_Meth[[#This Row],[ignored_help_VarsID]],0)+RANDBETWEEN(0,1)-RANDBETWEEN(0,1)</f>
        <v>59</v>
      </c>
      <c r="G19">
        <v>17</v>
      </c>
    </row>
    <row r="20" spans="1:7" x14ac:dyDescent="0.45">
      <c r="A20">
        <f ca="1">VLOOKUP(dict_zul_Var_Meth[[#This Row],[ignored_rank]],help_zuord_Var_Meth[],2)</f>
        <v>8</v>
      </c>
      <c r="B20">
        <f>B19+1</f>
        <v>9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t="shared" ca="1" si="0"/>
        <v>0.96377067679180473</v>
      </c>
      <c r="E20">
        <f ca="1">RANK(dict_zul_Var_Meth[[#This Row],[ignored_rand]],dict_zul_Var_Meth[ignored_rand])</f>
        <v>29</v>
      </c>
      <c r="F20">
        <f ca="1">ROUNDUP(698/200*help_zuord_Var_Meth[[#This Row],[ignored_help_VarsID]],0)+RANDBETWEEN(0,1)-RANDBETWEEN(0,1)</f>
        <v>64</v>
      </c>
      <c r="G20">
        <v>18</v>
      </c>
    </row>
    <row r="21" spans="1:7" x14ac:dyDescent="0.45">
      <c r="A21" s="3">
        <f ca="1">VLOOKUP(dict_zul_Var_Meth[[#This Row],[ignored_rank]],help_zuord_Var_Meth[],2)</f>
        <v>164</v>
      </c>
      <c r="B21">
        <v>9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">
        <f t="shared" ca="1" si="0"/>
        <v>0.23119022624045626</v>
      </c>
      <c r="E21" s="3">
        <f ca="1">RANK(dict_zul_Var_Meth[[#This Row],[ignored_rand]],dict_zul_Var_Meth[ignored_rand])</f>
        <v>575</v>
      </c>
      <c r="F21">
        <f ca="1">ROUNDUP(698/200*help_zuord_Var_Meth[[#This Row],[ignored_help_VarsID]],0)+RANDBETWEEN(0,1)-RANDBETWEEN(0,1)</f>
        <v>68</v>
      </c>
      <c r="G21">
        <v>19</v>
      </c>
    </row>
    <row r="22" spans="1:7" x14ac:dyDescent="0.45">
      <c r="A22">
        <f ca="1">VLOOKUP(dict_zul_Var_Meth[[#This Row],[ignored_rank]],help_zuord_Var_Meth[],2)</f>
        <v>125</v>
      </c>
      <c r="B22">
        <f>B21+1</f>
        <v>10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">
        <f t="shared" ca="1" si="0"/>
        <v>0.4121690425184692</v>
      </c>
      <c r="E22">
        <f ca="1">RANK(dict_zul_Var_Meth[[#This Row],[ignored_rand]],dict_zul_Var_Meth[ignored_rand])</f>
        <v>438</v>
      </c>
      <c r="F22">
        <f ca="1">ROUNDUP(698/200*help_zuord_Var_Meth[[#This Row],[ignored_help_VarsID]],0)+RANDBETWEEN(0,1)-RANDBETWEEN(0,1)</f>
        <v>69</v>
      </c>
      <c r="G22">
        <v>20</v>
      </c>
    </row>
    <row r="23" spans="1:7" x14ac:dyDescent="0.45">
      <c r="A23" s="3">
        <f ca="1">VLOOKUP(dict_zul_Var_Meth[[#This Row],[ignored_rank]],help_zuord_Var_Meth[],2)</f>
        <v>96</v>
      </c>
      <c r="B23">
        <v>10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">
        <f t="shared" ca="1" si="0"/>
        <v>0.55135711342229332</v>
      </c>
      <c r="E23" s="3">
        <f ca="1">RANK(dict_zul_Var_Meth[[#This Row],[ignored_rand]],dict_zul_Var_Meth[ignored_rand])</f>
        <v>337</v>
      </c>
      <c r="F23">
        <f ca="1">ROUNDUP(698/200*help_zuord_Var_Meth[[#This Row],[ignored_help_VarsID]],0)+RANDBETWEEN(0,1)-RANDBETWEEN(0,1)</f>
        <v>73</v>
      </c>
      <c r="G23">
        <v>21</v>
      </c>
    </row>
    <row r="24" spans="1:7" x14ac:dyDescent="0.45">
      <c r="A24">
        <f ca="1">VLOOKUP(dict_zul_Var_Meth[[#This Row],[ignored_rank]],help_zuord_Var_Meth[],2)</f>
        <v>51</v>
      </c>
      <c r="B24">
        <f>B23+1</f>
        <v>11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">
        <f t="shared" ca="1" si="0"/>
        <v>0.76640413808258967</v>
      </c>
      <c r="E24">
        <f ca="1">RANK(dict_zul_Var_Meth[[#This Row],[ignored_rand]],dict_zul_Var_Meth[ignored_rand])</f>
        <v>180</v>
      </c>
      <c r="F24">
        <f ca="1">ROUNDUP(698/200*help_zuord_Var_Meth[[#This Row],[ignored_help_VarsID]],0)+RANDBETWEEN(0,1)-RANDBETWEEN(0,1)</f>
        <v>77</v>
      </c>
      <c r="G24">
        <v>22</v>
      </c>
    </row>
    <row r="25" spans="1:7" x14ac:dyDescent="0.45">
      <c r="A25" s="3">
        <f ca="1">VLOOKUP(dict_zul_Var_Meth[[#This Row],[ignored_rank]],help_zuord_Var_Meth[],2)</f>
        <v>42</v>
      </c>
      <c r="B25">
        <v>11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">
        <f t="shared" ca="1" si="0"/>
        <v>0.7997294498254498</v>
      </c>
      <c r="E25" s="3">
        <f ca="1">RANK(dict_zul_Var_Meth[[#This Row],[ignored_rand]],dict_zul_Var_Meth[ignored_rand])</f>
        <v>149</v>
      </c>
      <c r="F25">
        <f ca="1">ROUNDUP(698/200*help_zuord_Var_Meth[[#This Row],[ignored_help_VarsID]],0)+RANDBETWEEN(0,1)-RANDBETWEEN(0,1)</f>
        <v>81</v>
      </c>
      <c r="G25">
        <v>23</v>
      </c>
    </row>
    <row r="26" spans="1:7" x14ac:dyDescent="0.45">
      <c r="A26">
        <f ca="1">VLOOKUP(dict_zul_Var_Meth[[#This Row],[ignored_rank]],help_zuord_Var_Meth[],2)</f>
        <v>126</v>
      </c>
      <c r="B26">
        <f>B25+1</f>
        <v>12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">
        <f t="shared" ca="1" si="0"/>
        <v>0.40811547301915063</v>
      </c>
      <c r="E26">
        <f ca="1">RANK(dict_zul_Var_Meth[[#This Row],[ignored_rand]],dict_zul_Var_Meth[ignored_rand])</f>
        <v>440</v>
      </c>
      <c r="F26">
        <f ca="1">ROUNDUP(698/200*help_zuord_Var_Meth[[#This Row],[ignored_help_VarsID]],0)+RANDBETWEEN(0,1)-RANDBETWEEN(0,1)</f>
        <v>83</v>
      </c>
      <c r="G26">
        <v>24</v>
      </c>
    </row>
    <row r="27" spans="1:7" x14ac:dyDescent="0.45">
      <c r="A27" s="3">
        <f ca="1">VLOOKUP(dict_zul_Var_Meth[[#This Row],[ignored_rank]],help_zuord_Var_Meth[],2)</f>
        <v>47</v>
      </c>
      <c r="B27">
        <v>12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">
        <f t="shared" ca="1" si="0"/>
        <v>0.77522121186396564</v>
      </c>
      <c r="E27" s="3">
        <f ca="1">RANK(dict_zul_Var_Meth[[#This Row],[ignored_rand]],dict_zul_Var_Meth[ignored_rand])</f>
        <v>167</v>
      </c>
      <c r="F27">
        <f ca="1">ROUNDUP(698/200*help_zuord_Var_Meth[[#This Row],[ignored_help_VarsID]],0)+RANDBETWEEN(0,1)-RANDBETWEEN(0,1)</f>
        <v>89</v>
      </c>
      <c r="G27">
        <v>25</v>
      </c>
    </row>
    <row r="28" spans="1:7" x14ac:dyDescent="0.45">
      <c r="A28">
        <f ca="1">VLOOKUP(dict_zul_Var_Meth[[#This Row],[ignored_rank]],help_zuord_Var_Meth[],2)</f>
        <v>16</v>
      </c>
      <c r="B28">
        <f>B27+1</f>
        <v>13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">
        <f t="shared" ca="1" si="0"/>
        <v>0.92423059334741942</v>
      </c>
      <c r="E28">
        <f ca="1">RANK(dict_zul_Var_Meth[[#This Row],[ignored_rand]],dict_zul_Var_Meth[ignored_rand])</f>
        <v>57</v>
      </c>
      <c r="F28">
        <f ca="1">ROUNDUP(698/200*help_zuord_Var_Meth[[#This Row],[ignored_help_VarsID]],0)+RANDBETWEEN(0,1)-RANDBETWEEN(0,1)</f>
        <v>92</v>
      </c>
      <c r="G28">
        <v>26</v>
      </c>
    </row>
    <row r="29" spans="1:7" x14ac:dyDescent="0.45">
      <c r="A29" s="3">
        <f ca="1">VLOOKUP(dict_zul_Var_Meth[[#This Row],[ignored_rank]],help_zuord_Var_Meth[],2)</f>
        <v>76</v>
      </c>
      <c r="B29">
        <v>13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">
        <f t="shared" ca="1" si="0"/>
        <v>0.64932899859881077</v>
      </c>
      <c r="E29" s="3">
        <f ca="1">RANK(dict_zul_Var_Meth[[#This Row],[ignored_rand]],dict_zul_Var_Meth[ignored_rand])</f>
        <v>266</v>
      </c>
      <c r="F29">
        <f ca="1">ROUNDUP(698/200*help_zuord_Var_Meth[[#This Row],[ignored_help_VarsID]],0)+RANDBETWEEN(0,1)-RANDBETWEEN(0,1)</f>
        <v>95</v>
      </c>
      <c r="G29">
        <v>27</v>
      </c>
    </row>
    <row r="30" spans="1:7" x14ac:dyDescent="0.45">
      <c r="A30">
        <f ca="1">VLOOKUP(dict_zul_Var_Meth[[#This Row],[ignored_rank]],help_zuord_Var_Meth[],2)</f>
        <v>170</v>
      </c>
      <c r="B30">
        <f>B29+1</f>
        <v>14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">
        <f t="shared" ca="1" si="0"/>
        <v>0.20030049454836651</v>
      </c>
      <c r="E30">
        <f ca="1">RANK(dict_zul_Var_Meth[[#This Row],[ignored_rand]],dict_zul_Var_Meth[ignored_rand])</f>
        <v>596</v>
      </c>
      <c r="F30">
        <f ca="1">ROUNDUP(698/200*help_zuord_Var_Meth[[#This Row],[ignored_help_VarsID]],0)+RANDBETWEEN(0,1)-RANDBETWEEN(0,1)</f>
        <v>98</v>
      </c>
      <c r="G30">
        <v>28</v>
      </c>
    </row>
    <row r="31" spans="1:7" x14ac:dyDescent="0.45">
      <c r="A31" s="3">
        <f ca="1">VLOOKUP(dict_zul_Var_Meth[[#This Row],[ignored_rank]],help_zuord_Var_Meth[],2)</f>
        <v>199</v>
      </c>
      <c r="B31">
        <v>14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">
        <f t="shared" ca="1" si="0"/>
        <v>5.6980770587556351E-2</v>
      </c>
      <c r="E31" s="3">
        <f ca="1">RANK(dict_zul_Var_Meth[[#This Row],[ignored_rand]],dict_zul_Var_Meth[ignored_rand])</f>
        <v>705</v>
      </c>
      <c r="F31">
        <f ca="1">ROUNDUP(698/200*help_zuord_Var_Meth[[#This Row],[ignored_help_VarsID]],0)+RANDBETWEEN(0,1)-RANDBETWEEN(0,1)</f>
        <v>103</v>
      </c>
      <c r="G31">
        <v>29</v>
      </c>
    </row>
    <row r="32" spans="1:7" x14ac:dyDescent="0.45">
      <c r="A32">
        <f ca="1">VLOOKUP(dict_zul_Var_Meth[[#This Row],[ignored_rank]],help_zuord_Var_Meth[],2)</f>
        <v>193</v>
      </c>
      <c r="B32">
        <f>B31+1</f>
        <v>15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">
        <f t="shared" ca="1" si="0"/>
        <v>0.10712219967033187</v>
      </c>
      <c r="E32">
        <f ca="1">RANK(dict_zul_Var_Meth[[#This Row],[ignored_rand]],dict_zul_Var_Meth[ignored_rand])</f>
        <v>674</v>
      </c>
      <c r="F32">
        <f ca="1">ROUNDUP(698/200*help_zuord_Var_Meth[[#This Row],[ignored_help_VarsID]],0)+RANDBETWEEN(0,1)-RANDBETWEEN(0,1)</f>
        <v>106</v>
      </c>
      <c r="G32">
        <v>30</v>
      </c>
    </row>
    <row r="33" spans="1:7" x14ac:dyDescent="0.45">
      <c r="A33" s="3">
        <f ca="1">VLOOKUP(dict_zul_Var_Meth[[#This Row],[ignored_rank]],help_zuord_Var_Meth[],2)</f>
        <v>109</v>
      </c>
      <c r="B33">
        <v>15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">
        <f t="shared" ca="1" si="0"/>
        <v>0.49820948302824564</v>
      </c>
      <c r="E33" s="3">
        <f ca="1">RANK(dict_zul_Var_Meth[[#This Row],[ignored_rand]],dict_zul_Var_Meth[ignored_rand])</f>
        <v>383</v>
      </c>
      <c r="F33">
        <f ca="1">ROUNDUP(698/200*help_zuord_Var_Meth[[#This Row],[ignored_help_VarsID]],0)+RANDBETWEEN(0,1)-RANDBETWEEN(0,1)</f>
        <v>109</v>
      </c>
      <c r="G33">
        <v>31</v>
      </c>
    </row>
    <row r="34" spans="1:7" x14ac:dyDescent="0.45">
      <c r="A34">
        <f ca="1">VLOOKUP(dict_zul_Var_Meth[[#This Row],[ignored_rank]],help_zuord_Var_Meth[],2)</f>
        <v>18</v>
      </c>
      <c r="B34">
        <f>B33+1</f>
        <v>16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">
        <f t="shared" ca="1" si="0"/>
        <v>0.91739970636219836</v>
      </c>
      <c r="E34">
        <f ca="1">RANK(dict_zul_Var_Meth[[#This Row],[ignored_rand]],dict_zul_Var_Meth[ignored_rand])</f>
        <v>66</v>
      </c>
      <c r="F34">
        <f ca="1">ROUNDUP(698/200*help_zuord_Var_Meth[[#This Row],[ignored_help_VarsID]],0)+RANDBETWEEN(0,1)-RANDBETWEEN(0,1)</f>
        <v>112</v>
      </c>
      <c r="G34">
        <v>32</v>
      </c>
    </row>
    <row r="35" spans="1:7" x14ac:dyDescent="0.45">
      <c r="A35" s="3">
        <f ca="1">VLOOKUP(dict_zul_Var_Meth[[#This Row],[ignored_rank]],help_zuord_Var_Meth[],2)</f>
        <v>187</v>
      </c>
      <c r="B35">
        <v>16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">
        <f t="shared" ca="1" si="0"/>
        <v>0.12465319845474876</v>
      </c>
      <c r="E35" s="3">
        <f ca="1">RANK(dict_zul_Var_Meth[[#This Row],[ignored_rand]],dict_zul_Var_Meth[ignored_rand])</f>
        <v>655</v>
      </c>
      <c r="F35">
        <f ca="1">ROUNDUP(698/200*help_zuord_Var_Meth[[#This Row],[ignored_help_VarsID]],0)+RANDBETWEEN(0,1)-RANDBETWEEN(0,1)</f>
        <v>116</v>
      </c>
      <c r="G35">
        <v>33</v>
      </c>
    </row>
    <row r="36" spans="1:7" x14ac:dyDescent="0.45">
      <c r="A36">
        <f ca="1">VLOOKUP(dict_zul_Var_Meth[[#This Row],[ignored_rank]],help_zuord_Var_Meth[],2)</f>
        <v>189</v>
      </c>
      <c r="B36">
        <f>B35+1</f>
        <v>17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">
        <f t="shared" ca="1" si="0"/>
        <v>0.12022067528417002</v>
      </c>
      <c r="E36">
        <f ca="1">RANK(dict_zul_Var_Meth[[#This Row],[ignored_rand]],dict_zul_Var_Meth[ignored_rand])</f>
        <v>659</v>
      </c>
      <c r="F36">
        <f ca="1">ROUNDUP(698/200*help_zuord_Var_Meth[[#This Row],[ignored_help_VarsID]],0)+RANDBETWEEN(0,1)-RANDBETWEEN(0,1)</f>
        <v>118</v>
      </c>
      <c r="G36">
        <v>34</v>
      </c>
    </row>
    <row r="37" spans="1:7" x14ac:dyDescent="0.45">
      <c r="A37" s="3">
        <f ca="1">VLOOKUP(dict_zul_Var_Meth[[#This Row],[ignored_rank]],help_zuord_Var_Meth[],2)</f>
        <v>126</v>
      </c>
      <c r="B37">
        <v>17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">
        <f t="shared" ca="1" si="0"/>
        <v>0.40621823342191477</v>
      </c>
      <c r="E37" s="3">
        <f ca="1">RANK(dict_zul_Var_Meth[[#This Row],[ignored_rand]],dict_zul_Var_Meth[ignored_rand])</f>
        <v>441</v>
      </c>
      <c r="F37">
        <f ca="1">ROUNDUP(698/200*help_zuord_Var_Meth[[#This Row],[ignored_help_VarsID]],0)+RANDBETWEEN(0,1)-RANDBETWEEN(0,1)</f>
        <v>124</v>
      </c>
      <c r="G37">
        <v>35</v>
      </c>
    </row>
    <row r="38" spans="1:7" x14ac:dyDescent="0.45">
      <c r="A38">
        <f ca="1">VLOOKUP(dict_zul_Var_Meth[[#This Row],[ignored_rank]],help_zuord_Var_Meth[],2)</f>
        <v>17</v>
      </c>
      <c r="B38">
        <f>B37+1</f>
        <v>18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">
        <f t="shared" ca="1" si="0"/>
        <v>0.92112127177548819</v>
      </c>
      <c r="E38">
        <f ca="1">RANK(dict_zul_Var_Meth[[#This Row],[ignored_rand]],dict_zul_Var_Meth[ignored_rand])</f>
        <v>61</v>
      </c>
      <c r="F38">
        <f ca="1">ROUNDUP(698/200*help_zuord_Var_Meth[[#This Row],[ignored_help_VarsID]],0)+RANDBETWEEN(0,1)-RANDBETWEEN(0,1)</f>
        <v>126</v>
      </c>
      <c r="G38">
        <v>36</v>
      </c>
    </row>
    <row r="39" spans="1:7" x14ac:dyDescent="0.45">
      <c r="A39" s="3">
        <f ca="1">VLOOKUP(dict_zul_Var_Meth[[#This Row],[ignored_rank]],help_zuord_Var_Meth[],2)</f>
        <v>84</v>
      </c>
      <c r="B39">
        <v>18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">
        <f t="shared" ca="1" si="0"/>
        <v>0.6155210954986895</v>
      </c>
      <c r="E39" s="3">
        <f ca="1">RANK(dict_zul_Var_Meth[[#This Row],[ignored_rand]],dict_zul_Var_Meth[ignored_rand])</f>
        <v>296</v>
      </c>
      <c r="F39">
        <f ca="1">ROUNDUP(698/200*help_zuord_Var_Meth[[#This Row],[ignored_help_VarsID]],0)+RANDBETWEEN(0,1)-RANDBETWEEN(0,1)</f>
        <v>129</v>
      </c>
      <c r="G39">
        <v>37</v>
      </c>
    </row>
    <row r="40" spans="1:7" x14ac:dyDescent="0.45">
      <c r="A40">
        <f ca="1">VLOOKUP(dict_zul_Var_Meth[[#This Row],[ignored_rank]],help_zuord_Var_Meth[],2)</f>
        <v>57</v>
      </c>
      <c r="B40">
        <f>B39+1</f>
        <v>19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">
        <f t="shared" ca="1" si="0"/>
        <v>0.7433799329646279</v>
      </c>
      <c r="E40">
        <f ca="1">RANK(dict_zul_Var_Meth[[#This Row],[ignored_rand]],dict_zul_Var_Meth[ignored_rand])</f>
        <v>199</v>
      </c>
      <c r="F40">
        <f ca="1">ROUNDUP(698/200*help_zuord_Var_Meth[[#This Row],[ignored_help_VarsID]],0)+RANDBETWEEN(0,1)-RANDBETWEEN(0,1)</f>
        <v>134</v>
      </c>
      <c r="G40">
        <v>38</v>
      </c>
    </row>
    <row r="41" spans="1:7" x14ac:dyDescent="0.45">
      <c r="A41" s="3">
        <f ca="1">VLOOKUP(dict_zul_Var_Meth[[#This Row],[ignored_rank]],help_zuord_Var_Meth[],2)</f>
        <v>178</v>
      </c>
      <c r="B41">
        <v>19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">
        <f t="shared" ca="1" si="0"/>
        <v>0.16325163705324541</v>
      </c>
      <c r="E41" s="3">
        <f ca="1">RANK(dict_zul_Var_Meth[[#This Row],[ignored_rand]],dict_zul_Var_Meth[ignored_rand])</f>
        <v>622</v>
      </c>
      <c r="F41">
        <f ca="1">ROUNDUP(698/200*help_zuord_Var_Meth[[#This Row],[ignored_help_VarsID]],0)+RANDBETWEEN(0,1)-RANDBETWEEN(0,1)</f>
        <v>136</v>
      </c>
      <c r="G41">
        <v>39</v>
      </c>
    </row>
    <row r="42" spans="1:7" x14ac:dyDescent="0.45">
      <c r="A42">
        <f ca="1">VLOOKUP(dict_zul_Var_Meth[[#This Row],[ignored_rank]],help_zuord_Var_Meth[],2)</f>
        <v>82</v>
      </c>
      <c r="B42">
        <f>B41+1</f>
        <v>20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">
        <f t="shared" ca="1" si="0"/>
        <v>0.62013595635200947</v>
      </c>
      <c r="E42">
        <f ca="1">RANK(dict_zul_Var_Meth[[#This Row],[ignored_rand]],dict_zul_Var_Meth[ignored_rand])</f>
        <v>289</v>
      </c>
      <c r="F42">
        <f ca="1">ROUNDUP(698/200*help_zuord_Var_Meth[[#This Row],[ignored_help_VarsID]],0)+RANDBETWEEN(0,1)-RANDBETWEEN(0,1)</f>
        <v>140</v>
      </c>
      <c r="G42">
        <v>40</v>
      </c>
    </row>
    <row r="43" spans="1:7" x14ac:dyDescent="0.45">
      <c r="A43" s="3">
        <f ca="1">VLOOKUP(dict_zul_Var_Meth[[#This Row],[ignored_rank]],help_zuord_Var_Meth[],2)</f>
        <v>174</v>
      </c>
      <c r="B43">
        <v>20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">
        <f t="shared" ca="1" si="0"/>
        <v>0.18404933415808122</v>
      </c>
      <c r="E43" s="3">
        <f ca="1">RANK(dict_zul_Var_Meth[[#This Row],[ignored_rand]],dict_zul_Var_Meth[ignored_rand])</f>
        <v>607</v>
      </c>
      <c r="F43">
        <f ca="1">ROUNDUP(698/200*help_zuord_Var_Meth[[#This Row],[ignored_help_VarsID]],0)+RANDBETWEEN(0,1)-RANDBETWEEN(0,1)</f>
        <v>143</v>
      </c>
      <c r="G43">
        <v>41</v>
      </c>
    </row>
    <row r="44" spans="1:7" x14ac:dyDescent="0.45">
      <c r="A44">
        <f ca="1">VLOOKUP(dict_zul_Var_Meth[[#This Row],[ignored_rank]],help_zuord_Var_Meth[],2)</f>
        <v>4</v>
      </c>
      <c r="B44">
        <f>B43+1</f>
        <v>21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">
        <f t="shared" ca="1" si="0"/>
        <v>0.98587253407824382</v>
      </c>
      <c r="E44">
        <f ca="1">RANK(dict_zul_Var_Meth[[#This Row],[ignored_rand]],dict_zul_Var_Meth[ignored_rand])</f>
        <v>13</v>
      </c>
      <c r="F44">
        <f ca="1">ROUNDUP(698/200*help_zuord_Var_Meth[[#This Row],[ignored_help_VarsID]],0)+RANDBETWEEN(0,1)-RANDBETWEEN(0,1)</f>
        <v>148</v>
      </c>
      <c r="G44">
        <v>42</v>
      </c>
    </row>
    <row r="45" spans="1:7" x14ac:dyDescent="0.45">
      <c r="A45" s="3">
        <f ca="1">VLOOKUP(dict_zul_Var_Meth[[#This Row],[ignored_rank]],help_zuord_Var_Meth[],2)</f>
        <v>66</v>
      </c>
      <c r="B45">
        <v>21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">
        <f t="shared" ca="1" si="0"/>
        <v>0.70132850924333301</v>
      </c>
      <c r="E45" s="3">
        <f ca="1">RANK(dict_zul_Var_Meth[[#This Row],[ignored_rand]],dict_zul_Var_Meth[ignored_rand])</f>
        <v>231</v>
      </c>
      <c r="F45">
        <f ca="1">ROUNDUP(698/200*help_zuord_Var_Meth[[#This Row],[ignored_help_VarsID]],0)+RANDBETWEEN(0,1)-RANDBETWEEN(0,1)</f>
        <v>151</v>
      </c>
      <c r="G45">
        <v>43</v>
      </c>
    </row>
    <row r="46" spans="1:7" x14ac:dyDescent="0.45">
      <c r="A46">
        <f ca="1">VLOOKUP(dict_zul_Var_Meth[[#This Row],[ignored_rank]],help_zuord_Var_Meth[],2)</f>
        <v>155</v>
      </c>
      <c r="B46">
        <f>B45+1</f>
        <v>22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">
        <f t="shared" ca="1" si="0"/>
        <v>0.2790004937547278</v>
      </c>
      <c r="E46">
        <f ca="1">RANK(dict_zul_Var_Meth[[#This Row],[ignored_rand]],dict_zul_Var_Meth[ignored_rand])</f>
        <v>542</v>
      </c>
      <c r="F46">
        <f ca="1">ROUNDUP(698/200*help_zuord_Var_Meth[[#This Row],[ignored_help_VarsID]],0)+RANDBETWEEN(0,1)-RANDBETWEEN(0,1)</f>
        <v>155</v>
      </c>
      <c r="G46">
        <v>44</v>
      </c>
    </row>
    <row r="47" spans="1:7" x14ac:dyDescent="0.45">
      <c r="A47" s="3">
        <f ca="1">VLOOKUP(dict_zul_Var_Meth[[#This Row],[ignored_rank]],help_zuord_Var_Meth[],2)</f>
        <v>45</v>
      </c>
      <c r="B47">
        <v>22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">
        <f t="shared" ca="1" si="0"/>
        <v>0.78063662200175099</v>
      </c>
      <c r="E47" s="3">
        <f ca="1">RANK(dict_zul_Var_Meth[[#This Row],[ignored_rand]],dict_zul_Var_Meth[ignored_rand])</f>
        <v>161</v>
      </c>
      <c r="F47">
        <f ca="1">ROUNDUP(698/200*help_zuord_Var_Meth[[#This Row],[ignored_help_VarsID]],0)+RANDBETWEEN(0,1)-RANDBETWEEN(0,1)</f>
        <v>157</v>
      </c>
      <c r="G47">
        <v>45</v>
      </c>
    </row>
    <row r="48" spans="1:7" x14ac:dyDescent="0.45">
      <c r="A48">
        <f ca="1">VLOOKUP(dict_zul_Var_Meth[[#This Row],[ignored_rank]],help_zuord_Var_Meth[],2)</f>
        <v>12</v>
      </c>
      <c r="B48">
        <f>B47+1</f>
        <v>23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">
        <f t="shared" ca="1" si="0"/>
        <v>0.94476381213533012</v>
      </c>
      <c r="E48">
        <f ca="1">RANK(dict_zul_Var_Meth[[#This Row],[ignored_rand]],dict_zul_Var_Meth[ignored_rand])</f>
        <v>44</v>
      </c>
      <c r="F48">
        <f ca="1">ROUNDUP(698/200*help_zuord_Var_Meth[[#This Row],[ignored_help_VarsID]],0)+RANDBETWEEN(0,1)-RANDBETWEEN(0,1)</f>
        <v>162</v>
      </c>
      <c r="G48">
        <v>46</v>
      </c>
    </row>
    <row r="49" spans="1:7" x14ac:dyDescent="0.45">
      <c r="A49" s="3">
        <f ca="1">VLOOKUP(dict_zul_Var_Meth[[#This Row],[ignored_rank]],help_zuord_Var_Meth[],2)</f>
        <v>45</v>
      </c>
      <c r="B49">
        <v>23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">
        <f t="shared" ca="1" si="0"/>
        <v>0.78641030596432571</v>
      </c>
      <c r="E49" s="3">
        <f ca="1">RANK(dict_zul_Var_Meth[[#This Row],[ignored_rand]],dict_zul_Var_Meth[ignored_rand])</f>
        <v>160</v>
      </c>
      <c r="F49">
        <f ca="1">ROUNDUP(698/200*help_zuord_Var_Meth[[#This Row],[ignored_help_VarsID]],0)+RANDBETWEEN(0,1)-RANDBETWEEN(0,1)</f>
        <v>166</v>
      </c>
      <c r="G49">
        <v>47</v>
      </c>
    </row>
    <row r="50" spans="1:7" x14ac:dyDescent="0.45">
      <c r="A50">
        <f ca="1">VLOOKUP(dict_zul_Var_Meth[[#This Row],[ignored_rank]],help_zuord_Var_Meth[],2)</f>
        <v>102</v>
      </c>
      <c r="B50">
        <f>B49+1</f>
        <v>24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">
        <f t="shared" ca="1" si="0"/>
        <v>0.52543378239937311</v>
      </c>
      <c r="E50">
        <f ca="1">RANK(dict_zul_Var_Meth[[#This Row],[ignored_rand]],dict_zul_Var_Meth[ignored_rand])</f>
        <v>358</v>
      </c>
      <c r="F50">
        <f ca="1">ROUNDUP(698/200*help_zuord_Var_Meth[[#This Row],[ignored_help_VarsID]],0)+RANDBETWEEN(0,1)-RANDBETWEEN(0,1)</f>
        <v>169</v>
      </c>
      <c r="G50">
        <v>48</v>
      </c>
    </row>
    <row r="51" spans="1:7" x14ac:dyDescent="0.45">
      <c r="A51" s="3">
        <f ca="1">VLOOKUP(dict_zul_Var_Meth[[#This Row],[ignored_rank]],help_zuord_Var_Meth[],2)</f>
        <v>23</v>
      </c>
      <c r="B51">
        <v>24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">
        <f t="shared" ca="1" si="0"/>
        <v>0.88461291702460487</v>
      </c>
      <c r="E51" s="3">
        <f ca="1">RANK(dict_zul_Var_Meth[[#This Row],[ignored_rand]],dict_zul_Var_Meth[ignored_rand])</f>
        <v>82</v>
      </c>
      <c r="F51">
        <f ca="1">ROUNDUP(698/200*help_zuord_Var_Meth[[#This Row],[ignored_help_VarsID]],0)+RANDBETWEEN(0,1)-RANDBETWEEN(0,1)</f>
        <v>173</v>
      </c>
      <c r="G51">
        <v>49</v>
      </c>
    </row>
    <row r="52" spans="1:7" x14ac:dyDescent="0.45">
      <c r="A52">
        <f ca="1">VLOOKUP(dict_zul_Var_Meth[[#This Row],[ignored_rank]],help_zuord_Var_Meth[],2)</f>
        <v>195</v>
      </c>
      <c r="B52">
        <f>B51+1</f>
        <v>25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">
        <f t="shared" ca="1" si="0"/>
        <v>9.5694337526476492E-2</v>
      </c>
      <c r="E52">
        <f ca="1">RANK(dict_zul_Var_Meth[[#This Row],[ignored_rand]],dict_zul_Var_Meth[ignored_rand])</f>
        <v>685</v>
      </c>
      <c r="F52">
        <f ca="1">ROUNDUP(698/200*help_zuord_Var_Meth[[#This Row],[ignored_help_VarsID]],0)+RANDBETWEEN(0,1)-RANDBETWEEN(0,1)</f>
        <v>175</v>
      </c>
      <c r="G52">
        <v>50</v>
      </c>
    </row>
    <row r="53" spans="1:7" x14ac:dyDescent="0.45">
      <c r="A53" s="3">
        <f ca="1">VLOOKUP(dict_zul_Var_Meth[[#This Row],[ignored_rank]],help_zuord_Var_Meth[],2)</f>
        <v>199</v>
      </c>
      <c r="B53">
        <v>25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">
        <f t="shared" ca="1" si="0"/>
        <v>2.3296230091919501E-2</v>
      </c>
      <c r="E53" s="3">
        <f ca="1">RANK(dict_zul_Var_Meth[[#This Row],[ignored_rand]],dict_zul_Var_Meth[ignored_rand])</f>
        <v>734</v>
      </c>
      <c r="F53">
        <f ca="1">ROUNDUP(698/200*help_zuord_Var_Meth[[#This Row],[ignored_help_VarsID]],0)+RANDBETWEEN(0,1)-RANDBETWEEN(0,1)</f>
        <v>179</v>
      </c>
      <c r="G53">
        <v>51</v>
      </c>
    </row>
    <row r="54" spans="1:7" x14ac:dyDescent="0.45">
      <c r="A54">
        <f ca="1">VLOOKUP(dict_zul_Var_Meth[[#This Row],[ignored_rank]],help_zuord_Var_Meth[],2)</f>
        <v>95</v>
      </c>
      <c r="B54">
        <f>B53+1</f>
        <v>26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">
        <f t="shared" ca="1" si="0"/>
        <v>0.55443409123041254</v>
      </c>
      <c r="E54">
        <f ca="1">RANK(dict_zul_Var_Meth[[#This Row],[ignored_rand]],dict_zul_Var_Meth[ignored_rand])</f>
        <v>331</v>
      </c>
      <c r="F54">
        <f ca="1">ROUNDUP(698/200*help_zuord_Var_Meth[[#This Row],[ignored_help_VarsID]],0)+RANDBETWEEN(0,1)-RANDBETWEEN(0,1)</f>
        <v>183</v>
      </c>
      <c r="G54">
        <v>52</v>
      </c>
    </row>
    <row r="55" spans="1:7" x14ac:dyDescent="0.45">
      <c r="A55" s="3">
        <f ca="1">VLOOKUP(dict_zul_Var_Meth[[#This Row],[ignored_rank]],help_zuord_Var_Meth[],2)</f>
        <v>199</v>
      </c>
      <c r="B55">
        <v>26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">
        <f t="shared" ca="1" si="0"/>
        <v>6.5292942032129431E-2</v>
      </c>
      <c r="E55" s="3">
        <f ca="1">RANK(dict_zul_Var_Meth[[#This Row],[ignored_rand]],dict_zul_Var_Meth[ignored_rand])</f>
        <v>696</v>
      </c>
      <c r="F55">
        <f ca="1">ROUNDUP(698/200*help_zuord_Var_Meth[[#This Row],[ignored_help_VarsID]],0)+RANDBETWEEN(0,1)-RANDBETWEEN(0,1)</f>
        <v>185</v>
      </c>
      <c r="G55">
        <v>53</v>
      </c>
    </row>
    <row r="56" spans="1:7" x14ac:dyDescent="0.45">
      <c r="A56">
        <f ca="1">VLOOKUP(dict_zul_Var_Meth[[#This Row],[ignored_rank]],help_zuord_Var_Meth[],2)</f>
        <v>35</v>
      </c>
      <c r="B56">
        <f>B55+1</f>
        <v>27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">
        <f t="shared" ca="1" si="0"/>
        <v>0.84148789849210881</v>
      </c>
      <c r="E56">
        <f ca="1">RANK(dict_zul_Var_Meth[[#This Row],[ignored_rand]],dict_zul_Var_Meth[ignored_rand])</f>
        <v>125</v>
      </c>
      <c r="F56">
        <f ca="1">ROUNDUP(698/200*help_zuord_Var_Meth[[#This Row],[ignored_help_VarsID]],0)+RANDBETWEEN(0,1)-RANDBETWEEN(0,1)</f>
        <v>190</v>
      </c>
      <c r="G56">
        <v>54</v>
      </c>
    </row>
    <row r="57" spans="1:7" x14ac:dyDescent="0.45">
      <c r="A57" s="3">
        <f ca="1">VLOOKUP(dict_zul_Var_Meth[[#This Row],[ignored_rank]],help_zuord_Var_Meth[],2)</f>
        <v>65</v>
      </c>
      <c r="B57">
        <v>27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">
        <f t="shared" ca="1" si="0"/>
        <v>0.70345065058986533</v>
      </c>
      <c r="E57" s="3">
        <f ca="1">RANK(dict_zul_Var_Meth[[#This Row],[ignored_rand]],dict_zul_Var_Meth[ignored_rand])</f>
        <v>226</v>
      </c>
      <c r="F57">
        <f ca="1">ROUNDUP(698/200*help_zuord_Var_Meth[[#This Row],[ignored_help_VarsID]],0)+RANDBETWEEN(0,1)-RANDBETWEEN(0,1)</f>
        <v>192</v>
      </c>
      <c r="G57">
        <v>55</v>
      </c>
    </row>
    <row r="58" spans="1:7" x14ac:dyDescent="0.45">
      <c r="A58">
        <f ca="1">VLOOKUP(dict_zul_Var_Meth[[#This Row],[ignored_rank]],help_zuord_Var_Meth[],2)</f>
        <v>34</v>
      </c>
      <c r="B58">
        <f>B57+1</f>
        <v>28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">
        <f t="shared" ca="1" si="0"/>
        <v>0.8473176446288001</v>
      </c>
      <c r="E58">
        <f ca="1">RANK(dict_zul_Var_Meth[[#This Row],[ignored_rand]],dict_zul_Var_Meth[ignored_rand])</f>
        <v>120</v>
      </c>
      <c r="F58">
        <f ca="1">ROUNDUP(698/200*help_zuord_Var_Meth[[#This Row],[ignored_help_VarsID]],0)+RANDBETWEEN(0,1)-RANDBETWEEN(0,1)</f>
        <v>195</v>
      </c>
      <c r="G58">
        <v>56</v>
      </c>
    </row>
    <row r="59" spans="1:7" x14ac:dyDescent="0.45">
      <c r="A59" s="3">
        <f ca="1">VLOOKUP(dict_zul_Var_Meth[[#This Row],[ignored_rank]],help_zuord_Var_Meth[],2)</f>
        <v>191</v>
      </c>
      <c r="B59">
        <v>28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">
        <f t="shared" ca="1" si="0"/>
        <v>0.10933990367283042</v>
      </c>
      <c r="E59" s="3">
        <f ca="1">RANK(dict_zul_Var_Meth[[#This Row],[ignored_rand]],dict_zul_Var_Meth[ignored_rand])</f>
        <v>669</v>
      </c>
      <c r="F59">
        <f ca="1">ROUNDUP(698/200*help_zuord_Var_Meth[[#This Row],[ignored_help_VarsID]],0)+RANDBETWEEN(0,1)-RANDBETWEEN(0,1)</f>
        <v>198</v>
      </c>
      <c r="G59">
        <v>57</v>
      </c>
    </row>
    <row r="60" spans="1:7" x14ac:dyDescent="0.45">
      <c r="A60">
        <f ca="1">VLOOKUP(dict_zul_Var_Meth[[#This Row],[ignored_rank]],help_zuord_Var_Meth[],2)</f>
        <v>185</v>
      </c>
      <c r="B60">
        <f>B59+1</f>
        <v>29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">
        <f t="shared" ca="1" si="0"/>
        <v>0.13551882103596691</v>
      </c>
      <c r="E60">
        <f ca="1">RANK(dict_zul_Var_Meth[[#This Row],[ignored_rand]],dict_zul_Var_Meth[ignored_rand])</f>
        <v>647</v>
      </c>
      <c r="F60">
        <f ca="1">ROUNDUP(698/200*help_zuord_Var_Meth[[#This Row],[ignored_help_VarsID]],0)+RANDBETWEEN(0,1)-RANDBETWEEN(0,1)</f>
        <v>203</v>
      </c>
      <c r="G60">
        <v>58</v>
      </c>
    </row>
    <row r="61" spans="1:7" x14ac:dyDescent="0.45">
      <c r="A61" s="3">
        <f ca="1">VLOOKUP(dict_zul_Var_Meth[[#This Row],[ignored_rank]],help_zuord_Var_Meth[],2)</f>
        <v>124</v>
      </c>
      <c r="B61">
        <v>29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">
        <f t="shared" ca="1" si="0"/>
        <v>0.41669494471290003</v>
      </c>
      <c r="E61" s="3">
        <f ca="1">RANK(dict_zul_Var_Meth[[#This Row],[ignored_rand]],dict_zul_Var_Meth[ignored_rand])</f>
        <v>435</v>
      </c>
      <c r="F61">
        <f ca="1">ROUNDUP(698/200*help_zuord_Var_Meth[[#This Row],[ignored_help_VarsID]],0)+RANDBETWEEN(0,1)-RANDBETWEEN(0,1)</f>
        <v>205</v>
      </c>
      <c r="G61">
        <v>59</v>
      </c>
    </row>
    <row r="62" spans="1:7" x14ac:dyDescent="0.45">
      <c r="A62">
        <f ca="1">VLOOKUP(dict_zul_Var_Meth[[#This Row],[ignored_rank]],help_zuord_Var_Meth[],2)</f>
        <v>91</v>
      </c>
      <c r="B62">
        <f>B61+1</f>
        <v>30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">
        <f t="shared" ca="1" si="0"/>
        <v>0.56828988512338996</v>
      </c>
      <c r="E62">
        <f ca="1">RANK(dict_zul_Var_Meth[[#This Row],[ignored_rand]],dict_zul_Var_Meth[ignored_rand])</f>
        <v>321</v>
      </c>
      <c r="F62">
        <f ca="1">ROUNDUP(698/200*help_zuord_Var_Meth[[#This Row],[ignored_help_VarsID]],0)+RANDBETWEEN(0,1)-RANDBETWEEN(0,1)</f>
        <v>209</v>
      </c>
      <c r="G62">
        <v>60</v>
      </c>
    </row>
    <row r="63" spans="1:7" x14ac:dyDescent="0.45">
      <c r="A63" s="3">
        <f ca="1">VLOOKUP(dict_zul_Var_Meth[[#This Row],[ignored_rank]],help_zuord_Var_Meth[],2)</f>
        <v>190</v>
      </c>
      <c r="B63">
        <v>30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">
        <f t="shared" ca="1" si="0"/>
        <v>0.11186148020704856</v>
      </c>
      <c r="E63" s="3">
        <f ca="1">RANK(dict_zul_Var_Meth[[#This Row],[ignored_rand]],dict_zul_Var_Meth[ignored_rand])</f>
        <v>664</v>
      </c>
      <c r="F63">
        <f ca="1">ROUNDUP(698/200*help_zuord_Var_Meth[[#This Row],[ignored_help_VarsID]],0)+RANDBETWEEN(0,1)-RANDBETWEEN(0,1)</f>
        <v>212</v>
      </c>
      <c r="G63">
        <v>61</v>
      </c>
    </row>
    <row r="64" spans="1:7" x14ac:dyDescent="0.45">
      <c r="A64">
        <f ca="1">VLOOKUP(dict_zul_Var_Meth[[#This Row],[ignored_rank]],help_zuord_Var_Meth[],2)</f>
        <v>14</v>
      </c>
      <c r="B64">
        <f>B63+1</f>
        <v>31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">
        <f t="shared" ca="1" si="0"/>
        <v>0.93703396984508491</v>
      </c>
      <c r="E64">
        <f ca="1">RANK(dict_zul_Var_Meth[[#This Row],[ignored_rand]],dict_zul_Var_Meth[ignored_rand])</f>
        <v>49</v>
      </c>
      <c r="F64">
        <f ca="1">ROUNDUP(698/200*help_zuord_Var_Meth[[#This Row],[ignored_help_VarsID]],0)+RANDBETWEEN(0,1)-RANDBETWEEN(0,1)</f>
        <v>216</v>
      </c>
      <c r="G64">
        <v>62</v>
      </c>
    </row>
    <row r="65" spans="1:7" x14ac:dyDescent="0.45">
      <c r="A65" s="3">
        <f ca="1">VLOOKUP(dict_zul_Var_Meth[[#This Row],[ignored_rank]],help_zuord_Var_Meth[],2)</f>
        <v>153</v>
      </c>
      <c r="B65">
        <v>31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">
        <f t="shared" ca="1" si="0"/>
        <v>0.28519831896540127</v>
      </c>
      <c r="E65" s="3">
        <f ca="1">RANK(dict_zul_Var_Meth[[#This Row],[ignored_rand]],dict_zul_Var_Meth[ignored_rand])</f>
        <v>537</v>
      </c>
      <c r="F65">
        <f ca="1">ROUNDUP(698/200*help_zuord_Var_Meth[[#This Row],[ignored_help_VarsID]],0)+RANDBETWEEN(0,1)-RANDBETWEEN(0,1)</f>
        <v>220</v>
      </c>
      <c r="G65">
        <v>63</v>
      </c>
    </row>
    <row r="66" spans="1:7" x14ac:dyDescent="0.45">
      <c r="A66">
        <f ca="1">VLOOKUP(dict_zul_Var_Meth[[#This Row],[ignored_rank]],help_zuord_Var_Meth[],2)</f>
        <v>82</v>
      </c>
      <c r="B66">
        <f>B65+1</f>
        <v>32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">
        <f t="shared" ref="D66:D129" ca="1" si="1">RAND()</f>
        <v>0.62451565239918405</v>
      </c>
      <c r="E66">
        <f ca="1">RANK(dict_zul_Var_Meth[[#This Row],[ignored_rand]],dict_zul_Var_Meth[ignored_rand])</f>
        <v>286</v>
      </c>
      <c r="F66">
        <f ca="1">ROUNDUP(698/200*help_zuord_Var_Meth[[#This Row],[ignored_help_VarsID]],0)+RANDBETWEEN(0,1)-RANDBETWEEN(0,1)</f>
        <v>224</v>
      </c>
      <c r="G66">
        <v>64</v>
      </c>
    </row>
    <row r="67" spans="1:7" x14ac:dyDescent="0.45">
      <c r="A67" s="3">
        <f ca="1">VLOOKUP(dict_zul_Var_Meth[[#This Row],[ignored_rank]],help_zuord_Var_Meth[],2)</f>
        <v>192</v>
      </c>
      <c r="B67">
        <v>32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">
        <f t="shared" ca="1" si="1"/>
        <v>0.10847710896363383</v>
      </c>
      <c r="E67" s="3">
        <f ca="1">RANK(dict_zul_Var_Meth[[#This Row],[ignored_rand]],dict_zul_Var_Meth[ignored_rand])</f>
        <v>672</v>
      </c>
      <c r="F67">
        <f ca="1">ROUNDUP(698/200*help_zuord_Var_Meth[[#This Row],[ignored_help_VarsID]],0)+RANDBETWEEN(0,1)-RANDBETWEEN(0,1)</f>
        <v>226</v>
      </c>
      <c r="G67">
        <v>65</v>
      </c>
    </row>
    <row r="68" spans="1:7" x14ac:dyDescent="0.45">
      <c r="A68">
        <f ca="1">VLOOKUP(dict_zul_Var_Meth[[#This Row],[ignored_rank]],help_zuord_Var_Meth[],2)</f>
        <v>162</v>
      </c>
      <c r="B68">
        <f>B67+1</f>
        <v>33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">
        <f t="shared" ca="1" si="1"/>
        <v>0.24116573415810949</v>
      </c>
      <c r="E68">
        <f ca="1">RANK(dict_zul_Var_Meth[[#This Row],[ignored_rand]],dict_zul_Var_Meth[ignored_rand])</f>
        <v>569</v>
      </c>
      <c r="F68">
        <f ca="1">ROUNDUP(698/200*help_zuord_Var_Meth[[#This Row],[ignored_help_VarsID]],0)+RANDBETWEEN(0,1)-RANDBETWEEN(0,1)</f>
        <v>230</v>
      </c>
      <c r="G68">
        <v>66</v>
      </c>
    </row>
    <row r="69" spans="1:7" x14ac:dyDescent="0.45">
      <c r="A69" s="3">
        <f ca="1">VLOOKUP(dict_zul_Var_Meth[[#This Row],[ignored_rank]],help_zuord_Var_Meth[],2)</f>
        <v>199</v>
      </c>
      <c r="B69">
        <v>33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">
        <f t="shared" ca="1" si="1"/>
        <v>9.4610652686626384E-3</v>
      </c>
      <c r="E69" s="3">
        <f ca="1">RANK(dict_zul_Var_Meth[[#This Row],[ignored_rand]],dict_zul_Var_Meth[ignored_rand])</f>
        <v>742</v>
      </c>
      <c r="F69">
        <f ca="1">ROUNDUP(698/200*help_zuord_Var_Meth[[#This Row],[ignored_help_VarsID]],0)+RANDBETWEEN(0,1)-RANDBETWEEN(0,1)</f>
        <v>234</v>
      </c>
      <c r="G69">
        <v>67</v>
      </c>
    </row>
    <row r="70" spans="1:7" x14ac:dyDescent="0.45">
      <c r="A70">
        <f ca="1">VLOOKUP(dict_zul_Var_Meth[[#This Row],[ignored_rank]],help_zuord_Var_Meth[],2)</f>
        <v>183</v>
      </c>
      <c r="B70">
        <f>B69+1</f>
        <v>34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">
        <f t="shared" ca="1" si="1"/>
        <v>0.14495446222916086</v>
      </c>
      <c r="E70">
        <f ca="1">RANK(dict_zul_Var_Meth[[#This Row],[ignored_rand]],dict_zul_Var_Meth[ignored_rand])</f>
        <v>641</v>
      </c>
      <c r="F70">
        <f ca="1">ROUNDUP(698/200*help_zuord_Var_Meth[[#This Row],[ignored_help_VarsID]],0)+RANDBETWEEN(0,1)-RANDBETWEEN(0,1)</f>
        <v>238</v>
      </c>
      <c r="G70">
        <v>68</v>
      </c>
    </row>
    <row r="71" spans="1:7" x14ac:dyDescent="0.45">
      <c r="A71" s="3">
        <f ca="1">VLOOKUP(dict_zul_Var_Meth[[#This Row],[ignored_rank]],help_zuord_Var_Meth[],2)</f>
        <v>144</v>
      </c>
      <c r="B71">
        <v>34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">
        <f t="shared" ca="1" si="1"/>
        <v>0.32118631260222352</v>
      </c>
      <c r="E71" s="3">
        <f ca="1">RANK(dict_zul_Var_Meth[[#This Row],[ignored_rand]],dict_zul_Var_Meth[ignored_rand])</f>
        <v>506</v>
      </c>
      <c r="F71">
        <f ca="1">ROUNDUP(698/200*help_zuord_Var_Meth[[#This Row],[ignored_help_VarsID]],0)+RANDBETWEEN(0,1)-RANDBETWEEN(0,1)</f>
        <v>241</v>
      </c>
      <c r="G71">
        <v>69</v>
      </c>
    </row>
    <row r="72" spans="1:7" x14ac:dyDescent="0.45">
      <c r="A72">
        <f ca="1">VLOOKUP(dict_zul_Var_Meth[[#This Row],[ignored_rank]],help_zuord_Var_Meth[],2)</f>
        <v>27</v>
      </c>
      <c r="B72">
        <f>B71+1</f>
        <v>35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">
        <f t="shared" ca="1" si="1"/>
        <v>0.86898382160568521</v>
      </c>
      <c r="E72">
        <f ca="1">RANK(dict_zul_Var_Meth[[#This Row],[ignored_rand]],dict_zul_Var_Meth[ignored_rand])</f>
        <v>96</v>
      </c>
      <c r="F72">
        <f ca="1">ROUNDUP(698/200*help_zuord_Var_Meth[[#This Row],[ignored_help_VarsID]],0)+RANDBETWEEN(0,1)-RANDBETWEEN(0,1)</f>
        <v>245</v>
      </c>
      <c r="G72">
        <v>70</v>
      </c>
    </row>
    <row r="73" spans="1:7" x14ac:dyDescent="0.45">
      <c r="A73" s="3">
        <f ca="1">VLOOKUP(dict_zul_Var_Meth[[#This Row],[ignored_rank]],help_zuord_Var_Meth[],2)</f>
        <v>24</v>
      </c>
      <c r="B73">
        <v>35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">
        <f t="shared" ca="1" si="1"/>
        <v>0.87655366870570428</v>
      </c>
      <c r="E73" s="3">
        <f ca="1">RANK(dict_zul_Var_Meth[[#This Row],[ignored_rand]],dict_zul_Var_Meth[ignored_rand])</f>
        <v>88</v>
      </c>
      <c r="F73">
        <f ca="1">ROUNDUP(698/200*help_zuord_Var_Meth[[#This Row],[ignored_help_VarsID]],0)+RANDBETWEEN(0,1)-RANDBETWEEN(0,1)</f>
        <v>248</v>
      </c>
      <c r="G73">
        <v>71</v>
      </c>
    </row>
    <row r="74" spans="1:7" x14ac:dyDescent="0.45">
      <c r="A74">
        <f ca="1">VLOOKUP(dict_zul_Var_Meth[[#This Row],[ignored_rank]],help_zuord_Var_Meth[],2)</f>
        <v>181</v>
      </c>
      <c r="B74">
        <f>B73+1</f>
        <v>36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">
        <f t="shared" ca="1" si="1"/>
        <v>0.14904888081792189</v>
      </c>
      <c r="E74">
        <f ca="1">RANK(dict_zul_Var_Meth[[#This Row],[ignored_rand]],dict_zul_Var_Meth[ignored_rand])</f>
        <v>634</v>
      </c>
      <c r="F74">
        <f ca="1">ROUNDUP(698/200*help_zuord_Var_Meth[[#This Row],[ignored_help_VarsID]],0)+RANDBETWEEN(0,1)-RANDBETWEEN(0,1)</f>
        <v>251</v>
      </c>
      <c r="G74">
        <v>72</v>
      </c>
    </row>
    <row r="75" spans="1:7" x14ac:dyDescent="0.45">
      <c r="A75" s="3">
        <f ca="1">VLOOKUP(dict_zul_Var_Meth[[#This Row],[ignored_rank]],help_zuord_Var_Meth[],2)</f>
        <v>148</v>
      </c>
      <c r="B75">
        <v>36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">
        <f t="shared" ca="1" si="1"/>
        <v>0.30268965556461214</v>
      </c>
      <c r="E75" s="3">
        <f ca="1">RANK(dict_zul_Var_Meth[[#This Row],[ignored_rand]],dict_zul_Var_Meth[ignored_rand])</f>
        <v>518</v>
      </c>
      <c r="F75">
        <f ca="1">ROUNDUP(698/200*help_zuord_Var_Meth[[#This Row],[ignored_help_VarsID]],0)+RANDBETWEEN(0,1)-RANDBETWEEN(0,1)</f>
        <v>256</v>
      </c>
      <c r="G75">
        <v>73</v>
      </c>
    </row>
    <row r="76" spans="1:7" x14ac:dyDescent="0.45">
      <c r="A76">
        <f ca="1">VLOOKUP(dict_zul_Var_Meth[[#This Row],[ignored_rank]],help_zuord_Var_Meth[],2)</f>
        <v>95</v>
      </c>
      <c r="B76">
        <f>B75+1</f>
        <v>37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6">
        <f t="shared" ca="1" si="1"/>
        <v>0.55306335188551681</v>
      </c>
      <c r="E76">
        <f ca="1">RANK(dict_zul_Var_Meth[[#This Row],[ignored_rand]],dict_zul_Var_Meth[ignored_rand])</f>
        <v>334</v>
      </c>
      <c r="F76">
        <f ca="1">ROUNDUP(698/200*help_zuord_Var_Meth[[#This Row],[ignored_help_VarsID]],0)+RANDBETWEEN(0,1)-RANDBETWEEN(0,1)</f>
        <v>258</v>
      </c>
      <c r="G76">
        <v>74</v>
      </c>
    </row>
    <row r="77" spans="1:7" x14ac:dyDescent="0.45">
      <c r="A77" s="3">
        <f ca="1">VLOOKUP(dict_zul_Var_Meth[[#This Row],[ignored_rank]],help_zuord_Var_Meth[],2)</f>
        <v>46</v>
      </c>
      <c r="B77">
        <v>37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7">
        <f t="shared" ca="1" si="1"/>
        <v>0.78030543898514415</v>
      </c>
      <c r="E77" s="3">
        <f ca="1">RANK(dict_zul_Var_Meth[[#This Row],[ignored_rand]],dict_zul_Var_Meth[ignored_rand])</f>
        <v>162</v>
      </c>
      <c r="F77">
        <f ca="1">ROUNDUP(698/200*help_zuord_Var_Meth[[#This Row],[ignored_help_VarsID]],0)+RANDBETWEEN(0,1)-RANDBETWEEN(0,1)</f>
        <v>262</v>
      </c>
      <c r="G77">
        <v>75</v>
      </c>
    </row>
    <row r="78" spans="1:7" x14ac:dyDescent="0.45">
      <c r="A78">
        <f ca="1">VLOOKUP(dict_zul_Var_Meth[[#This Row],[ignored_rank]],help_zuord_Var_Meth[],2)</f>
        <v>169</v>
      </c>
      <c r="B78">
        <f>B77+1</f>
        <v>38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8">
        <f t="shared" ca="1" si="1"/>
        <v>0.20455262358286352</v>
      </c>
      <c r="E78">
        <f ca="1">RANK(dict_zul_Var_Meth[[#This Row],[ignored_rand]],dict_zul_Var_Meth[ignored_rand])</f>
        <v>590</v>
      </c>
      <c r="F78">
        <f ca="1">ROUNDUP(698/200*help_zuord_Var_Meth[[#This Row],[ignored_help_VarsID]],0)+RANDBETWEEN(0,1)-RANDBETWEEN(0,1)</f>
        <v>265</v>
      </c>
      <c r="G78">
        <v>76</v>
      </c>
    </row>
    <row r="79" spans="1:7" x14ac:dyDescent="0.45">
      <c r="A79" s="3">
        <f ca="1">VLOOKUP(dict_zul_Var_Meth[[#This Row],[ignored_rank]],help_zuord_Var_Meth[],2)</f>
        <v>199</v>
      </c>
      <c r="B79">
        <v>38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9">
        <f t="shared" ca="1" si="1"/>
        <v>5.3537203717628157E-2</v>
      </c>
      <c r="E79" s="3">
        <f ca="1">RANK(dict_zul_Var_Meth[[#This Row],[ignored_rand]],dict_zul_Var_Meth[ignored_rand])</f>
        <v>709</v>
      </c>
      <c r="F79">
        <f ca="1">ROUNDUP(698/200*help_zuord_Var_Meth[[#This Row],[ignored_help_VarsID]],0)+RANDBETWEEN(0,1)-RANDBETWEEN(0,1)</f>
        <v>268</v>
      </c>
      <c r="G79">
        <v>77</v>
      </c>
    </row>
    <row r="80" spans="1:7" x14ac:dyDescent="0.45">
      <c r="A80">
        <f ca="1">VLOOKUP(dict_zul_Var_Meth[[#This Row],[ignored_rank]],help_zuord_Var_Meth[],2)</f>
        <v>14</v>
      </c>
      <c r="B80">
        <f>B79+1</f>
        <v>39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0">
        <f t="shared" ca="1" si="1"/>
        <v>0.93608618246752473</v>
      </c>
      <c r="E80">
        <f ca="1">RANK(dict_zul_Var_Meth[[#This Row],[ignored_rand]],dict_zul_Var_Meth[ignored_rand])</f>
        <v>50</v>
      </c>
      <c r="F80">
        <f ca="1">ROUNDUP(698/200*help_zuord_Var_Meth[[#This Row],[ignored_help_VarsID]],0)+RANDBETWEEN(0,1)-RANDBETWEEN(0,1)</f>
        <v>273</v>
      </c>
      <c r="G80">
        <v>78</v>
      </c>
    </row>
    <row r="81" spans="1:7" x14ac:dyDescent="0.45">
      <c r="A81" s="3">
        <f ca="1">VLOOKUP(dict_zul_Var_Meth[[#This Row],[ignored_rank]],help_zuord_Var_Meth[],2)</f>
        <v>0</v>
      </c>
      <c r="B81">
        <v>39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1">
        <f t="shared" ca="1" si="1"/>
        <v>0.99721805863685631</v>
      </c>
      <c r="E81" s="3">
        <f ca="1">RANK(dict_zul_Var_Meth[[#This Row],[ignored_rand]],dict_zul_Var_Meth[ignored_rand])</f>
        <v>2</v>
      </c>
      <c r="F81">
        <f ca="1">ROUNDUP(698/200*help_zuord_Var_Meth[[#This Row],[ignored_help_VarsID]],0)+RANDBETWEEN(0,1)-RANDBETWEEN(0,1)</f>
        <v>277</v>
      </c>
      <c r="G81">
        <v>79</v>
      </c>
    </row>
    <row r="82" spans="1:7" x14ac:dyDescent="0.45">
      <c r="A82">
        <f ca="1">VLOOKUP(dict_zul_Var_Meth[[#This Row],[ignored_rank]],help_zuord_Var_Meth[],2)</f>
        <v>55</v>
      </c>
      <c r="B82">
        <f>B81+1</f>
        <v>40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2">
        <f t="shared" ca="1" si="1"/>
        <v>0.75081566766762908</v>
      </c>
      <c r="E82">
        <f ca="1">RANK(dict_zul_Var_Meth[[#This Row],[ignored_rand]],dict_zul_Var_Meth[ignored_rand])</f>
        <v>193</v>
      </c>
      <c r="F82">
        <f ca="1">ROUNDUP(698/200*help_zuord_Var_Meth[[#This Row],[ignored_help_VarsID]],0)+RANDBETWEEN(0,1)-RANDBETWEEN(0,1)</f>
        <v>281</v>
      </c>
      <c r="G82">
        <v>80</v>
      </c>
    </row>
    <row r="83" spans="1:7" x14ac:dyDescent="0.45">
      <c r="A83" s="3">
        <f ca="1">VLOOKUP(dict_zul_Var_Meth[[#This Row],[ignored_rank]],help_zuord_Var_Meth[],2)</f>
        <v>164</v>
      </c>
      <c r="B83">
        <v>40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3">
        <f t="shared" ca="1" si="1"/>
        <v>0.23178936362847291</v>
      </c>
      <c r="E83" s="3">
        <f ca="1">RANK(dict_zul_Var_Meth[[#This Row],[ignored_rand]],dict_zul_Var_Meth[ignored_rand])</f>
        <v>574</v>
      </c>
      <c r="F83">
        <f ca="1">ROUNDUP(698/200*help_zuord_Var_Meth[[#This Row],[ignored_help_VarsID]],0)+RANDBETWEEN(0,1)-RANDBETWEEN(0,1)</f>
        <v>284</v>
      </c>
      <c r="G83">
        <v>81</v>
      </c>
    </row>
    <row r="84" spans="1:7" x14ac:dyDescent="0.45">
      <c r="A84">
        <f ca="1">VLOOKUP(dict_zul_Var_Meth[[#This Row],[ignored_rank]],help_zuord_Var_Meth[],2)</f>
        <v>193</v>
      </c>
      <c r="B84">
        <f>B83+1</f>
        <v>41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4">
        <f t="shared" ca="1" si="1"/>
        <v>0.10189730879320347</v>
      </c>
      <c r="E84">
        <f ca="1">RANK(dict_zul_Var_Meth[[#This Row],[ignored_rand]],dict_zul_Var_Meth[ignored_rand])</f>
        <v>677</v>
      </c>
      <c r="F84">
        <f ca="1">ROUNDUP(698/200*help_zuord_Var_Meth[[#This Row],[ignored_help_VarsID]],0)+RANDBETWEEN(0,1)-RANDBETWEEN(0,1)</f>
        <v>286</v>
      </c>
      <c r="G84">
        <v>82</v>
      </c>
    </row>
    <row r="85" spans="1:7" x14ac:dyDescent="0.45">
      <c r="A85" s="3">
        <f ca="1">VLOOKUP(dict_zul_Var_Meth[[#This Row],[ignored_rank]],help_zuord_Var_Meth[],2)</f>
        <v>83</v>
      </c>
      <c r="B85">
        <v>41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5">
        <f t="shared" ca="1" si="1"/>
        <v>0.61865319824770093</v>
      </c>
      <c r="E85" s="3">
        <f ca="1">RANK(dict_zul_Var_Meth[[#This Row],[ignored_rand]],dict_zul_Var_Meth[ignored_rand])</f>
        <v>290</v>
      </c>
      <c r="F85">
        <f ca="1">ROUNDUP(698/200*help_zuord_Var_Meth[[#This Row],[ignored_help_VarsID]],0)+RANDBETWEEN(0,1)-RANDBETWEEN(0,1)</f>
        <v>290</v>
      </c>
      <c r="G85">
        <v>83</v>
      </c>
    </row>
    <row r="86" spans="1:7" x14ac:dyDescent="0.45">
      <c r="A86">
        <f ca="1">VLOOKUP(dict_zul_Var_Meth[[#This Row],[ignored_rank]],help_zuord_Var_Meth[],2)</f>
        <v>162</v>
      </c>
      <c r="B86">
        <f>B85+1</f>
        <v>42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6">
        <f t="shared" ca="1" si="1"/>
        <v>0.24487890076108565</v>
      </c>
      <c r="E86">
        <f ca="1">RANK(dict_zul_Var_Meth[[#This Row],[ignored_rand]],dict_zul_Var_Meth[ignored_rand])</f>
        <v>567</v>
      </c>
      <c r="F86">
        <f ca="1">ROUNDUP(698/200*help_zuord_Var_Meth[[#This Row],[ignored_help_VarsID]],0)+RANDBETWEEN(0,1)-RANDBETWEEN(0,1)</f>
        <v>295</v>
      </c>
      <c r="G86">
        <v>84</v>
      </c>
    </row>
    <row r="87" spans="1:7" x14ac:dyDescent="0.45">
      <c r="A87" s="3">
        <f ca="1">VLOOKUP(dict_zul_Var_Meth[[#This Row],[ignored_rank]],help_zuord_Var_Meth[],2)</f>
        <v>157</v>
      </c>
      <c r="B87">
        <v>42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7">
        <f t="shared" ca="1" si="1"/>
        <v>0.26798613649616432</v>
      </c>
      <c r="E87" s="3">
        <f ca="1">RANK(dict_zul_Var_Meth[[#This Row],[ignored_rand]],dict_zul_Var_Meth[ignored_rand])</f>
        <v>549</v>
      </c>
      <c r="F87">
        <f ca="1">ROUNDUP(698/200*help_zuord_Var_Meth[[#This Row],[ignored_help_VarsID]],0)+RANDBETWEEN(0,1)-RANDBETWEEN(0,1)</f>
        <v>297</v>
      </c>
      <c r="G87">
        <v>85</v>
      </c>
    </row>
    <row r="88" spans="1:7" x14ac:dyDescent="0.45">
      <c r="A88">
        <f ca="1">VLOOKUP(dict_zul_Var_Meth[[#This Row],[ignored_rank]],help_zuord_Var_Meth[],2)</f>
        <v>197</v>
      </c>
      <c r="B88">
        <f>B87+1</f>
        <v>43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8">
        <f t="shared" ca="1" si="1"/>
        <v>7.4280159233827914E-2</v>
      </c>
      <c r="E88">
        <f ca="1">RANK(dict_zul_Var_Meth[[#This Row],[ignored_rand]],dict_zul_Var_Meth[ignored_rand])</f>
        <v>691</v>
      </c>
      <c r="F88">
        <f ca="1">ROUNDUP(698/200*help_zuord_Var_Meth[[#This Row],[ignored_help_VarsID]],0)+RANDBETWEEN(0,1)-RANDBETWEEN(0,1)</f>
        <v>302</v>
      </c>
      <c r="G88">
        <v>86</v>
      </c>
    </row>
    <row r="89" spans="1:7" x14ac:dyDescent="0.45">
      <c r="A89" s="3">
        <f ca="1">VLOOKUP(dict_zul_Var_Meth[[#This Row],[ignored_rank]],help_zuord_Var_Meth[],2)</f>
        <v>62</v>
      </c>
      <c r="B89">
        <v>43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9">
        <f t="shared" ca="1" si="1"/>
        <v>0.71104726848799493</v>
      </c>
      <c r="E89" s="3">
        <f ca="1">RANK(dict_zul_Var_Meth[[#This Row],[ignored_rand]],dict_zul_Var_Meth[ignored_rand])</f>
        <v>218</v>
      </c>
      <c r="F89">
        <f ca="1">ROUNDUP(698/200*help_zuord_Var_Meth[[#This Row],[ignored_help_VarsID]],0)+RANDBETWEEN(0,1)-RANDBETWEEN(0,1)</f>
        <v>305</v>
      </c>
      <c r="G89">
        <v>87</v>
      </c>
    </row>
    <row r="90" spans="1:7" x14ac:dyDescent="0.45">
      <c r="A90">
        <f ca="1">VLOOKUP(dict_zul_Var_Meth[[#This Row],[ignored_rank]],help_zuord_Var_Meth[],2)</f>
        <v>132</v>
      </c>
      <c r="B90">
        <f>B89+1</f>
        <v>44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0">
        <f t="shared" ca="1" si="1"/>
        <v>0.37526948955219575</v>
      </c>
      <c r="E90">
        <f ca="1">RANK(dict_zul_Var_Meth[[#This Row],[ignored_rand]],dict_zul_Var_Meth[ignored_rand])</f>
        <v>465</v>
      </c>
      <c r="F90">
        <f ca="1">ROUNDUP(698/200*help_zuord_Var_Meth[[#This Row],[ignored_help_VarsID]],0)+RANDBETWEEN(0,1)-RANDBETWEEN(0,1)</f>
        <v>309</v>
      </c>
      <c r="G90">
        <v>88</v>
      </c>
    </row>
    <row r="91" spans="1:7" x14ac:dyDescent="0.45">
      <c r="A91" s="3">
        <f ca="1">VLOOKUP(dict_zul_Var_Meth[[#This Row],[ignored_rank]],help_zuord_Var_Meth[],2)</f>
        <v>68</v>
      </c>
      <c r="B91">
        <v>44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1">
        <f t="shared" ca="1" si="1"/>
        <v>0.69687321225792742</v>
      </c>
      <c r="E91" s="3">
        <f ca="1">RANK(dict_zul_Var_Meth[[#This Row],[ignored_rand]],dict_zul_Var_Meth[ignored_rand])</f>
        <v>239</v>
      </c>
      <c r="F91">
        <f ca="1">ROUNDUP(698/200*help_zuord_Var_Meth[[#This Row],[ignored_help_VarsID]],0)+RANDBETWEEN(0,1)-RANDBETWEEN(0,1)</f>
        <v>310</v>
      </c>
      <c r="G91">
        <v>89</v>
      </c>
    </row>
    <row r="92" spans="1:7" x14ac:dyDescent="0.45">
      <c r="A92">
        <f ca="1">VLOOKUP(dict_zul_Var_Meth[[#This Row],[ignored_rank]],help_zuord_Var_Meth[],2)</f>
        <v>160</v>
      </c>
      <c r="B92">
        <f>B91+1</f>
        <v>45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2">
        <f t="shared" ca="1" si="1"/>
        <v>0.25058742109018151</v>
      </c>
      <c r="E92">
        <f ca="1">RANK(dict_zul_Var_Meth[[#This Row],[ignored_rand]],dict_zul_Var_Meth[ignored_rand])</f>
        <v>561</v>
      </c>
      <c r="F92">
        <f ca="1">ROUNDUP(698/200*help_zuord_Var_Meth[[#This Row],[ignored_help_VarsID]],0)+RANDBETWEEN(0,1)-RANDBETWEEN(0,1)</f>
        <v>315</v>
      </c>
      <c r="G92">
        <v>90</v>
      </c>
    </row>
    <row r="93" spans="1:7" x14ac:dyDescent="0.45">
      <c r="A93" s="3">
        <f ca="1">VLOOKUP(dict_zul_Var_Meth[[#This Row],[ignored_rank]],help_zuord_Var_Meth[],2)</f>
        <v>113</v>
      </c>
      <c r="B93">
        <v>45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3">
        <f t="shared" ca="1" si="1"/>
        <v>0.47695362483746029</v>
      </c>
      <c r="E93" s="3">
        <f ca="1">RANK(dict_zul_Var_Meth[[#This Row],[ignored_rand]],dict_zul_Var_Meth[ignored_rand])</f>
        <v>396</v>
      </c>
      <c r="F93">
        <f ca="1">ROUNDUP(698/200*help_zuord_Var_Meth[[#This Row],[ignored_help_VarsID]],0)+RANDBETWEEN(0,1)-RANDBETWEEN(0,1)</f>
        <v>318</v>
      </c>
      <c r="G93">
        <v>91</v>
      </c>
    </row>
    <row r="94" spans="1:7" x14ac:dyDescent="0.45">
      <c r="A94">
        <f ca="1">VLOOKUP(dict_zul_Var_Meth[[#This Row],[ignored_rank]],help_zuord_Var_Meth[],2)</f>
        <v>130</v>
      </c>
      <c r="B94">
        <f>B93+1</f>
        <v>46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4">
        <f t="shared" ca="1" si="1"/>
        <v>0.38603803841712248</v>
      </c>
      <c r="E94">
        <f ca="1">RANK(dict_zul_Var_Meth[[#This Row],[ignored_rand]],dict_zul_Var_Meth[ignored_rand])</f>
        <v>457</v>
      </c>
      <c r="F94">
        <f ca="1">ROUNDUP(698/200*help_zuord_Var_Meth[[#This Row],[ignored_help_VarsID]],0)+RANDBETWEEN(0,1)-RANDBETWEEN(0,1)</f>
        <v>322</v>
      </c>
      <c r="G94">
        <v>92</v>
      </c>
    </row>
    <row r="95" spans="1:7" x14ac:dyDescent="0.45">
      <c r="A95" s="3">
        <f ca="1">VLOOKUP(dict_zul_Var_Meth[[#This Row],[ignored_rank]],help_zuord_Var_Meth[],2)</f>
        <v>175</v>
      </c>
      <c r="B95">
        <v>46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5">
        <f t="shared" ca="1" si="1"/>
        <v>0.17755730894100907</v>
      </c>
      <c r="E95" s="3">
        <f ca="1">RANK(dict_zul_Var_Meth[[#This Row],[ignored_rand]],dict_zul_Var_Meth[ignored_rand])</f>
        <v>612</v>
      </c>
      <c r="F95">
        <f ca="1">ROUNDUP(698/200*help_zuord_Var_Meth[[#This Row],[ignored_help_VarsID]],0)+RANDBETWEEN(0,1)-RANDBETWEEN(0,1)</f>
        <v>325</v>
      </c>
      <c r="G95">
        <v>93</v>
      </c>
    </row>
    <row r="96" spans="1:7" x14ac:dyDescent="0.45">
      <c r="A96">
        <f ca="1">VLOOKUP(dict_zul_Var_Meth[[#This Row],[ignored_rank]],help_zuord_Var_Meth[],2)</f>
        <v>71</v>
      </c>
      <c r="B96">
        <f>B95+1</f>
        <v>47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6">
        <f t="shared" ca="1" si="1"/>
        <v>0.68408024044434046</v>
      </c>
      <c r="E96">
        <f ca="1">RANK(dict_zul_Var_Meth[[#This Row],[ignored_rand]],dict_zul_Var_Meth[ignored_rand])</f>
        <v>249</v>
      </c>
      <c r="F96">
        <f ca="1">ROUNDUP(698/200*help_zuord_Var_Meth[[#This Row],[ignored_help_VarsID]],0)+RANDBETWEEN(0,1)-RANDBETWEEN(0,1)</f>
        <v>328</v>
      </c>
      <c r="G96">
        <v>94</v>
      </c>
    </row>
    <row r="97" spans="1:7" x14ac:dyDescent="0.45">
      <c r="A97" s="3">
        <f ca="1">VLOOKUP(dict_zul_Var_Meth[[#This Row],[ignored_rank]],help_zuord_Var_Meth[],2)</f>
        <v>106</v>
      </c>
      <c r="B97">
        <v>47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7">
        <f t="shared" ca="1" si="1"/>
        <v>0.51309815921870172</v>
      </c>
      <c r="E97" s="3">
        <f ca="1">RANK(dict_zul_Var_Meth[[#This Row],[ignored_rand]],dict_zul_Var_Meth[ignored_rand])</f>
        <v>370</v>
      </c>
      <c r="F97">
        <f ca="1">ROUNDUP(698/200*help_zuord_Var_Meth[[#This Row],[ignored_help_VarsID]],0)+RANDBETWEEN(0,1)-RANDBETWEEN(0,1)</f>
        <v>331</v>
      </c>
      <c r="G97">
        <v>95</v>
      </c>
    </row>
    <row r="98" spans="1:7" x14ac:dyDescent="0.45">
      <c r="A98">
        <f ca="1">VLOOKUP(dict_zul_Var_Meth[[#This Row],[ignored_rank]],help_zuord_Var_Meth[],2)</f>
        <v>32</v>
      </c>
      <c r="B98">
        <f>B97+1</f>
        <v>48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8">
        <f t="shared" ca="1" si="1"/>
        <v>0.85058760812962442</v>
      </c>
      <c r="E98">
        <f ca="1">RANK(dict_zul_Var_Meth[[#This Row],[ignored_rand]],dict_zul_Var_Meth[ignored_rand])</f>
        <v>113</v>
      </c>
      <c r="F98">
        <f ca="1">ROUNDUP(698/200*help_zuord_Var_Meth[[#This Row],[ignored_help_VarsID]],0)+RANDBETWEEN(0,1)-RANDBETWEEN(0,1)</f>
        <v>336</v>
      </c>
      <c r="G98">
        <v>96</v>
      </c>
    </row>
    <row r="99" spans="1:7" x14ac:dyDescent="0.45">
      <c r="A99" s="3">
        <f ca="1">VLOOKUP(dict_zul_Var_Meth[[#This Row],[ignored_rank]],help_zuord_Var_Meth[],2)</f>
        <v>117</v>
      </c>
      <c r="B99">
        <v>48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9">
        <f t="shared" ca="1" si="1"/>
        <v>0.45316619769201627</v>
      </c>
      <c r="E99" s="3">
        <f ca="1">RANK(dict_zul_Var_Meth[[#This Row],[ignored_rand]],dict_zul_Var_Meth[ignored_rand])</f>
        <v>411</v>
      </c>
      <c r="F99">
        <f ca="1">ROUNDUP(698/200*help_zuord_Var_Meth[[#This Row],[ignored_help_VarsID]],0)+RANDBETWEEN(0,1)-RANDBETWEEN(0,1)</f>
        <v>340</v>
      </c>
      <c r="G99">
        <v>97</v>
      </c>
    </row>
    <row r="100" spans="1:7" x14ac:dyDescent="0.45">
      <c r="A100">
        <f ca="1">VLOOKUP(dict_zul_Var_Meth[[#This Row],[ignored_rank]],help_zuord_Var_Meth[],2)</f>
        <v>199</v>
      </c>
      <c r="B100">
        <f>B99+1</f>
        <v>49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0">
        <f t="shared" ca="1" si="1"/>
        <v>3.27048116139107E-2</v>
      </c>
      <c r="E100">
        <f ca="1">RANK(dict_zul_Var_Meth[[#This Row],[ignored_rand]],dict_zul_Var_Meth[ignored_rand])</f>
        <v>727</v>
      </c>
      <c r="F100">
        <f ca="1">ROUNDUP(698/200*help_zuord_Var_Meth[[#This Row],[ignored_help_VarsID]],0)+RANDBETWEEN(0,1)-RANDBETWEEN(0,1)</f>
        <v>344</v>
      </c>
      <c r="G100">
        <v>98</v>
      </c>
    </row>
    <row r="101" spans="1:7" x14ac:dyDescent="0.45">
      <c r="A101" s="3">
        <f ca="1">VLOOKUP(dict_zul_Var_Meth[[#This Row],[ignored_rank]],help_zuord_Var_Meth[],2)</f>
        <v>199</v>
      </c>
      <c r="B101">
        <v>49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1">
        <f t="shared" ca="1" si="1"/>
        <v>5.8408301240952976E-2</v>
      </c>
      <c r="E101" s="3">
        <f ca="1">RANK(dict_zul_Var_Meth[[#This Row],[ignored_rand]],dict_zul_Var_Meth[ignored_rand])</f>
        <v>704</v>
      </c>
      <c r="F101">
        <f ca="1">ROUNDUP(698/200*help_zuord_Var_Meth[[#This Row],[ignored_help_VarsID]],0)+RANDBETWEEN(0,1)-RANDBETWEEN(0,1)</f>
        <v>346</v>
      </c>
      <c r="G101">
        <v>99</v>
      </c>
    </row>
    <row r="102" spans="1:7" x14ac:dyDescent="0.45">
      <c r="A102">
        <f ca="1">VLOOKUP(dict_zul_Var_Meth[[#This Row],[ignored_rank]],help_zuord_Var_Meth[],2)</f>
        <v>51</v>
      </c>
      <c r="B102">
        <f>B101+1</f>
        <v>50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2">
        <f t="shared" ca="1" si="1"/>
        <v>0.76456516325375701</v>
      </c>
      <c r="E102">
        <f ca="1">RANK(dict_zul_Var_Meth[[#This Row],[ignored_rand]],dict_zul_Var_Meth[ignored_rand])</f>
        <v>182</v>
      </c>
      <c r="F102">
        <f ca="1">ROUNDUP(698/200*help_zuord_Var_Meth[[#This Row],[ignored_help_VarsID]],0)+RANDBETWEEN(0,1)-RANDBETWEEN(0,1)</f>
        <v>350</v>
      </c>
      <c r="G102">
        <v>100</v>
      </c>
    </row>
    <row r="103" spans="1:7" x14ac:dyDescent="0.45">
      <c r="A103" s="3">
        <f ca="1">VLOOKUP(dict_zul_Var_Meth[[#This Row],[ignored_rank]],help_zuord_Var_Meth[],2)</f>
        <v>100</v>
      </c>
      <c r="B103">
        <v>50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3">
        <f t="shared" ca="1" si="1"/>
        <v>0.53296136910224357</v>
      </c>
      <c r="E103" s="3">
        <f ca="1">RANK(dict_zul_Var_Meth[[#This Row],[ignored_rand]],dict_zul_Var_Meth[ignored_rand])</f>
        <v>350</v>
      </c>
      <c r="F103">
        <f ca="1">ROUNDUP(698/200*help_zuord_Var_Meth[[#This Row],[ignored_help_VarsID]],0)+RANDBETWEEN(0,1)-RANDBETWEEN(0,1)</f>
        <v>352</v>
      </c>
      <c r="G103">
        <v>101</v>
      </c>
    </row>
    <row r="104" spans="1:7" x14ac:dyDescent="0.45">
      <c r="A104">
        <f ca="1">VLOOKUP(dict_zul_Var_Meth[[#This Row],[ignored_rank]],help_zuord_Var_Meth[],2)</f>
        <v>166</v>
      </c>
      <c r="B104">
        <f t="shared" ref="B104:B167" si="2">B103+1</f>
        <v>51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4">
        <f t="shared" ca="1" si="1"/>
        <v>0.22452495321109611</v>
      </c>
      <c r="E104">
        <f ca="1">RANK(dict_zul_Var_Meth[[#This Row],[ignored_rand]],dict_zul_Var_Meth[ignored_rand])</f>
        <v>580</v>
      </c>
      <c r="F104">
        <f ca="1">ROUNDUP(698/200*help_zuord_Var_Meth[[#This Row],[ignored_help_VarsID]],0)+RANDBETWEEN(0,1)-RANDBETWEEN(0,1)</f>
        <v>357</v>
      </c>
      <c r="G104">
        <v>102</v>
      </c>
    </row>
    <row r="105" spans="1:7" x14ac:dyDescent="0.45">
      <c r="A105">
        <f ca="1">VLOOKUP(dict_zul_Var_Meth[[#This Row],[ignored_rank]],help_zuord_Var_Meth[],2)</f>
        <v>157</v>
      </c>
      <c r="B105">
        <f t="shared" si="2"/>
        <v>52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5">
        <f t="shared" ca="1" si="1"/>
        <v>0.26674501738461887</v>
      </c>
      <c r="E105">
        <f ca="1">RANK(dict_zul_Var_Meth[[#This Row],[ignored_rand]],dict_zul_Var_Meth[ignored_rand])</f>
        <v>550</v>
      </c>
      <c r="F105">
        <f ca="1">ROUNDUP(698/200*help_zuord_Var_Meth[[#This Row],[ignored_help_VarsID]],0)+RANDBETWEEN(0,1)-RANDBETWEEN(0,1)</f>
        <v>361</v>
      </c>
      <c r="G105">
        <v>103</v>
      </c>
    </row>
    <row r="106" spans="1:7" x14ac:dyDescent="0.45">
      <c r="A106">
        <f ca="1">VLOOKUP(dict_zul_Var_Meth[[#This Row],[ignored_rank]],help_zuord_Var_Meth[],2)</f>
        <v>148</v>
      </c>
      <c r="B106">
        <f t="shared" si="2"/>
        <v>53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6">
        <f t="shared" ca="1" si="1"/>
        <v>0.30064177310461682</v>
      </c>
      <c r="E106">
        <f ca="1">RANK(dict_zul_Var_Meth[[#This Row],[ignored_rand]],dict_zul_Var_Meth[ignored_rand])</f>
        <v>519</v>
      </c>
      <c r="F106">
        <f ca="1">ROUNDUP(698/200*help_zuord_Var_Meth[[#This Row],[ignored_help_VarsID]],0)+RANDBETWEEN(0,1)-RANDBETWEEN(0,1)</f>
        <v>362</v>
      </c>
      <c r="G106">
        <v>104</v>
      </c>
    </row>
    <row r="107" spans="1:7" x14ac:dyDescent="0.45">
      <c r="A107">
        <f ca="1">VLOOKUP(dict_zul_Var_Meth[[#This Row],[ignored_rank]],help_zuord_Var_Meth[],2)</f>
        <v>198</v>
      </c>
      <c r="B107">
        <f t="shared" si="2"/>
        <v>54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7">
        <f t="shared" ca="1" si="1"/>
        <v>7.3240625675065174E-2</v>
      </c>
      <c r="E107">
        <f ca="1">RANK(dict_zul_Var_Meth[[#This Row],[ignored_rand]],dict_zul_Var_Meth[ignored_rand])</f>
        <v>692</v>
      </c>
      <c r="F107">
        <f ca="1">ROUNDUP(698/200*help_zuord_Var_Meth[[#This Row],[ignored_help_VarsID]],0)+RANDBETWEEN(0,1)-RANDBETWEEN(0,1)</f>
        <v>367</v>
      </c>
      <c r="G107">
        <v>105</v>
      </c>
    </row>
    <row r="108" spans="1:7" x14ac:dyDescent="0.45">
      <c r="A108">
        <f ca="1">VLOOKUP(dict_zul_Var_Meth[[#This Row],[ignored_rank]],help_zuord_Var_Meth[],2)</f>
        <v>173</v>
      </c>
      <c r="B108">
        <f t="shared" si="2"/>
        <v>55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8">
        <f t="shared" ca="1" si="1"/>
        <v>0.18520451379290903</v>
      </c>
      <c r="E108">
        <f ca="1">RANK(dict_zul_Var_Meth[[#This Row],[ignored_rand]],dict_zul_Var_Meth[ignored_rand])</f>
        <v>604</v>
      </c>
      <c r="F108">
        <f ca="1">ROUNDUP(698/200*help_zuord_Var_Meth[[#This Row],[ignored_help_VarsID]],0)+RANDBETWEEN(0,1)-RANDBETWEEN(0,1)</f>
        <v>370</v>
      </c>
      <c r="G108">
        <v>106</v>
      </c>
    </row>
    <row r="109" spans="1:7" x14ac:dyDescent="0.45">
      <c r="A109">
        <f ca="1">VLOOKUP(dict_zul_Var_Meth[[#This Row],[ignored_rank]],help_zuord_Var_Meth[],2)</f>
        <v>178</v>
      </c>
      <c r="B109">
        <f t="shared" si="2"/>
        <v>56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9">
        <f t="shared" ca="1" si="1"/>
        <v>0.16314679628832041</v>
      </c>
      <c r="E109">
        <f ca="1">RANK(dict_zul_Var_Meth[[#This Row],[ignored_rand]],dict_zul_Var_Meth[ignored_rand])</f>
        <v>623</v>
      </c>
      <c r="F109">
        <f ca="1">ROUNDUP(698/200*help_zuord_Var_Meth[[#This Row],[ignored_help_VarsID]],0)+RANDBETWEEN(0,1)-RANDBETWEEN(0,1)</f>
        <v>374</v>
      </c>
      <c r="G109">
        <v>107</v>
      </c>
    </row>
    <row r="110" spans="1:7" x14ac:dyDescent="0.45">
      <c r="A110">
        <f ca="1">VLOOKUP(dict_zul_Var_Meth[[#This Row],[ignored_rank]],help_zuord_Var_Meth[],2)</f>
        <v>15</v>
      </c>
      <c r="B110">
        <f t="shared" si="2"/>
        <v>57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0">
        <f t="shared" ca="1" si="1"/>
        <v>0.93065864827656797</v>
      </c>
      <c r="E110">
        <f ca="1">RANK(dict_zul_Var_Meth[[#This Row],[ignored_rand]],dict_zul_Var_Meth[ignored_rand])</f>
        <v>53</v>
      </c>
      <c r="F110">
        <f ca="1">ROUNDUP(698/200*help_zuord_Var_Meth[[#This Row],[ignored_help_VarsID]],0)+RANDBETWEEN(0,1)-RANDBETWEEN(0,1)</f>
        <v>376</v>
      </c>
      <c r="G110">
        <v>108</v>
      </c>
    </row>
    <row r="111" spans="1:7" x14ac:dyDescent="0.45">
      <c r="A111">
        <f ca="1">VLOOKUP(dict_zul_Var_Meth[[#This Row],[ignored_rank]],help_zuord_Var_Meth[],2)</f>
        <v>11</v>
      </c>
      <c r="B111">
        <f t="shared" si="2"/>
        <v>58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1">
        <f t="shared" ca="1" si="1"/>
        <v>0.95001538933117724</v>
      </c>
      <c r="E111">
        <f ca="1">RANK(dict_zul_Var_Meth[[#This Row],[ignored_rand]],dict_zul_Var_Meth[ignored_rand])</f>
        <v>39</v>
      </c>
      <c r="F111">
        <f ca="1">ROUNDUP(698/200*help_zuord_Var_Meth[[#This Row],[ignored_help_VarsID]],0)+RANDBETWEEN(0,1)-RANDBETWEEN(0,1)</f>
        <v>382</v>
      </c>
      <c r="G111">
        <v>109</v>
      </c>
    </row>
    <row r="112" spans="1:7" x14ac:dyDescent="0.45">
      <c r="A112">
        <f ca="1">VLOOKUP(dict_zul_Var_Meth[[#This Row],[ignored_rank]],help_zuord_Var_Meth[],2)</f>
        <v>105</v>
      </c>
      <c r="B112">
        <f t="shared" si="2"/>
        <v>59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2">
        <f t="shared" ca="1" si="1"/>
        <v>0.51468758370181178</v>
      </c>
      <c r="E112">
        <f ca="1">RANK(dict_zul_Var_Meth[[#This Row],[ignored_rand]],dict_zul_Var_Meth[ignored_rand])</f>
        <v>368</v>
      </c>
      <c r="F112">
        <f ca="1">ROUNDUP(698/200*help_zuord_Var_Meth[[#This Row],[ignored_help_VarsID]],0)+RANDBETWEEN(0,1)-RANDBETWEEN(0,1)</f>
        <v>384</v>
      </c>
      <c r="G112">
        <v>110</v>
      </c>
    </row>
    <row r="113" spans="1:7" x14ac:dyDescent="0.45">
      <c r="A113">
        <f ca="1">VLOOKUP(dict_zul_Var_Meth[[#This Row],[ignored_rank]],help_zuord_Var_Meth[],2)</f>
        <v>13</v>
      </c>
      <c r="B113">
        <f t="shared" si="2"/>
        <v>60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3">
        <f t="shared" ca="1" si="1"/>
        <v>0.94374691580825609</v>
      </c>
      <c r="E113">
        <f ca="1">RANK(dict_zul_Var_Meth[[#This Row],[ignored_rand]],dict_zul_Var_Meth[ignored_rand])</f>
        <v>45</v>
      </c>
      <c r="F113">
        <f ca="1">ROUNDUP(698/200*help_zuord_Var_Meth[[#This Row],[ignored_help_VarsID]],0)+RANDBETWEEN(0,1)-RANDBETWEEN(0,1)</f>
        <v>388</v>
      </c>
      <c r="G113">
        <v>111</v>
      </c>
    </row>
    <row r="114" spans="1:7" x14ac:dyDescent="0.45">
      <c r="A114">
        <f ca="1">VLOOKUP(dict_zul_Var_Meth[[#This Row],[ignored_rank]],help_zuord_Var_Meth[],2)</f>
        <v>180</v>
      </c>
      <c r="B114">
        <f t="shared" si="2"/>
        <v>61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4">
        <f t="shared" ca="1" si="1"/>
        <v>0.15197056396673869</v>
      </c>
      <c r="E114">
        <f ca="1">RANK(dict_zul_Var_Meth[[#This Row],[ignored_rand]],dict_zul_Var_Meth[ignored_rand])</f>
        <v>630</v>
      </c>
      <c r="F114">
        <f ca="1">ROUNDUP(698/200*help_zuord_Var_Meth[[#This Row],[ignored_help_VarsID]],0)+RANDBETWEEN(0,1)-RANDBETWEEN(0,1)</f>
        <v>390</v>
      </c>
      <c r="G114">
        <v>112</v>
      </c>
    </row>
    <row r="115" spans="1:7" x14ac:dyDescent="0.45">
      <c r="A115">
        <f ca="1">VLOOKUP(dict_zul_Var_Meth[[#This Row],[ignored_rank]],help_zuord_Var_Meth[],2)</f>
        <v>76</v>
      </c>
      <c r="B115">
        <f t="shared" si="2"/>
        <v>62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5">
        <f t="shared" ca="1" si="1"/>
        <v>0.65007325375073544</v>
      </c>
      <c r="E115">
        <f ca="1">RANK(dict_zul_Var_Meth[[#This Row],[ignored_rand]],dict_zul_Var_Meth[ignored_rand])</f>
        <v>265</v>
      </c>
      <c r="F115">
        <f ca="1">ROUNDUP(698/200*help_zuord_Var_Meth[[#This Row],[ignored_help_VarsID]],0)+RANDBETWEEN(0,1)-RANDBETWEEN(0,1)</f>
        <v>395</v>
      </c>
      <c r="G115">
        <v>113</v>
      </c>
    </row>
    <row r="116" spans="1:7" x14ac:dyDescent="0.45">
      <c r="A116">
        <f ca="1">VLOOKUP(dict_zul_Var_Meth[[#This Row],[ignored_rank]],help_zuord_Var_Meth[],2)</f>
        <v>174</v>
      </c>
      <c r="B116">
        <f t="shared" si="2"/>
        <v>63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6">
        <f t="shared" ca="1" si="1"/>
        <v>0.18038764793405371</v>
      </c>
      <c r="E116">
        <f ca="1">RANK(dict_zul_Var_Meth[[#This Row],[ignored_rand]],dict_zul_Var_Meth[ignored_rand])</f>
        <v>610</v>
      </c>
      <c r="F116">
        <f ca="1">ROUNDUP(698/200*help_zuord_Var_Meth[[#This Row],[ignored_help_VarsID]],0)+RANDBETWEEN(0,1)-RANDBETWEEN(0,1)</f>
        <v>398</v>
      </c>
      <c r="G116">
        <v>114</v>
      </c>
    </row>
    <row r="117" spans="1:7" x14ac:dyDescent="0.45">
      <c r="A117">
        <f ca="1">VLOOKUP(dict_zul_Var_Meth[[#This Row],[ignored_rank]],help_zuord_Var_Meth[],2)</f>
        <v>32</v>
      </c>
      <c r="B117">
        <f t="shared" si="2"/>
        <v>64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7">
        <f t="shared" ca="1" si="1"/>
        <v>0.84981428470277776</v>
      </c>
      <c r="E117">
        <f ca="1">RANK(dict_zul_Var_Meth[[#This Row],[ignored_rand]],dict_zul_Var_Meth[ignored_rand])</f>
        <v>115</v>
      </c>
      <c r="F117">
        <f ca="1">ROUNDUP(698/200*help_zuord_Var_Meth[[#This Row],[ignored_help_VarsID]],0)+RANDBETWEEN(0,1)-RANDBETWEEN(0,1)</f>
        <v>402</v>
      </c>
      <c r="G117">
        <v>115</v>
      </c>
    </row>
    <row r="118" spans="1:7" x14ac:dyDescent="0.45">
      <c r="A118">
        <f ca="1">VLOOKUP(dict_zul_Var_Meth[[#This Row],[ignored_rank]],help_zuord_Var_Meth[],2)</f>
        <v>102</v>
      </c>
      <c r="B118">
        <f t="shared" si="2"/>
        <v>65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8">
        <f t="shared" ca="1" si="1"/>
        <v>0.5251033123593547</v>
      </c>
      <c r="E118">
        <f ca="1">RANK(dict_zul_Var_Meth[[#This Row],[ignored_rand]],dict_zul_Var_Meth[ignored_rand])</f>
        <v>359</v>
      </c>
      <c r="F118">
        <f ca="1">ROUNDUP(698/200*help_zuord_Var_Meth[[#This Row],[ignored_help_VarsID]],0)+RANDBETWEEN(0,1)-RANDBETWEEN(0,1)</f>
        <v>406</v>
      </c>
      <c r="G118">
        <v>116</v>
      </c>
    </row>
    <row r="119" spans="1:7" x14ac:dyDescent="0.45">
      <c r="A119">
        <f ca="1">VLOOKUP(dict_zul_Var_Meth[[#This Row],[ignored_rank]],help_zuord_Var_Meth[],2)</f>
        <v>123</v>
      </c>
      <c r="B119">
        <f t="shared" si="2"/>
        <v>66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9">
        <f t="shared" ca="1" si="1"/>
        <v>0.42292800527045316</v>
      </c>
      <c r="E119">
        <f ca="1">RANK(dict_zul_Var_Meth[[#This Row],[ignored_rand]],dict_zul_Var_Meth[ignored_rand])</f>
        <v>430</v>
      </c>
      <c r="F119">
        <f ca="1">ROUNDUP(698/200*help_zuord_Var_Meth[[#This Row],[ignored_help_VarsID]],0)+RANDBETWEEN(0,1)-RANDBETWEEN(0,1)</f>
        <v>410</v>
      </c>
      <c r="G119">
        <v>117</v>
      </c>
    </row>
    <row r="120" spans="1:7" x14ac:dyDescent="0.45">
      <c r="A120">
        <f ca="1">VLOOKUP(dict_zul_Var_Meth[[#This Row],[ignored_rank]],help_zuord_Var_Meth[],2)</f>
        <v>124</v>
      </c>
      <c r="B120">
        <f t="shared" si="2"/>
        <v>67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0">
        <f t="shared" ca="1" si="1"/>
        <v>0.41546708501882035</v>
      </c>
      <c r="E120">
        <f ca="1">RANK(dict_zul_Var_Meth[[#This Row],[ignored_rand]],dict_zul_Var_Meth[ignored_rand])</f>
        <v>436</v>
      </c>
      <c r="F120">
        <f ca="1">ROUNDUP(698/200*help_zuord_Var_Meth[[#This Row],[ignored_help_VarsID]],0)+RANDBETWEEN(0,1)-RANDBETWEEN(0,1)</f>
        <v>413</v>
      </c>
      <c r="G120">
        <v>118</v>
      </c>
    </row>
    <row r="121" spans="1:7" x14ac:dyDescent="0.45">
      <c r="A121">
        <f ca="1">VLOOKUP(dict_zul_Var_Meth[[#This Row],[ignored_rank]],help_zuord_Var_Meth[],2)</f>
        <v>22</v>
      </c>
      <c r="B121">
        <f t="shared" si="2"/>
        <v>68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1">
        <f t="shared" ca="1" si="1"/>
        <v>0.89260651219467002</v>
      </c>
      <c r="E121">
        <f ca="1">RANK(dict_zul_Var_Meth[[#This Row],[ignored_rand]],dict_zul_Var_Meth[ignored_rand])</f>
        <v>77</v>
      </c>
      <c r="F121">
        <f ca="1">ROUNDUP(698/200*help_zuord_Var_Meth[[#This Row],[ignored_help_VarsID]],0)+RANDBETWEEN(0,1)-RANDBETWEEN(0,1)</f>
        <v>417</v>
      </c>
      <c r="G121">
        <v>119</v>
      </c>
    </row>
    <row r="122" spans="1:7" x14ac:dyDescent="0.45">
      <c r="A122">
        <f ca="1">VLOOKUP(dict_zul_Var_Meth[[#This Row],[ignored_rank]],help_zuord_Var_Meth[],2)</f>
        <v>19</v>
      </c>
      <c r="B122">
        <f t="shared" si="2"/>
        <v>69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2">
        <f t="shared" ca="1" si="1"/>
        <v>0.91524130948143545</v>
      </c>
      <c r="E122">
        <f ca="1">RANK(dict_zul_Var_Meth[[#This Row],[ignored_rand]],dict_zul_Var_Meth[ignored_rand])</f>
        <v>68</v>
      </c>
      <c r="F122">
        <f ca="1">ROUNDUP(698/200*help_zuord_Var_Meth[[#This Row],[ignored_help_VarsID]],0)+RANDBETWEEN(0,1)-RANDBETWEEN(0,1)</f>
        <v>419</v>
      </c>
      <c r="G122">
        <v>120</v>
      </c>
    </row>
    <row r="123" spans="1:7" x14ac:dyDescent="0.45">
      <c r="A123">
        <f ca="1">VLOOKUP(dict_zul_Var_Meth[[#This Row],[ignored_rank]],help_zuord_Var_Meth[],2)</f>
        <v>34</v>
      </c>
      <c r="B123">
        <f t="shared" si="2"/>
        <v>70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3">
        <f t="shared" ca="1" si="1"/>
        <v>0.84571390882175757</v>
      </c>
      <c r="E123">
        <f ca="1">RANK(dict_zul_Var_Meth[[#This Row],[ignored_rand]],dict_zul_Var_Meth[ignored_rand])</f>
        <v>122</v>
      </c>
      <c r="F123">
        <f ca="1">ROUNDUP(698/200*help_zuord_Var_Meth[[#This Row],[ignored_help_VarsID]],0)+RANDBETWEEN(0,1)-RANDBETWEEN(0,1)</f>
        <v>424</v>
      </c>
      <c r="G123">
        <v>121</v>
      </c>
    </row>
    <row r="124" spans="1:7" x14ac:dyDescent="0.45">
      <c r="A124">
        <f ca="1">VLOOKUP(dict_zul_Var_Meth[[#This Row],[ignored_rank]],help_zuord_Var_Meth[],2)</f>
        <v>6</v>
      </c>
      <c r="B124">
        <f t="shared" si="2"/>
        <v>71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4">
        <f t="shared" ca="1" si="1"/>
        <v>0.9703826343193549</v>
      </c>
      <c r="E124">
        <f ca="1">RANK(dict_zul_Var_Meth[[#This Row],[ignored_rand]],dict_zul_Var_Meth[ignored_rand])</f>
        <v>24</v>
      </c>
      <c r="F124">
        <f ca="1">ROUNDUP(698/200*help_zuord_Var_Meth[[#This Row],[ignored_help_VarsID]],0)+RANDBETWEEN(0,1)-RANDBETWEEN(0,1)</f>
        <v>427</v>
      </c>
      <c r="G124">
        <v>122</v>
      </c>
    </row>
    <row r="125" spans="1:7" x14ac:dyDescent="0.45">
      <c r="A125">
        <f ca="1">VLOOKUP(dict_zul_Var_Meth[[#This Row],[ignored_rank]],help_zuord_Var_Meth[],2)</f>
        <v>16</v>
      </c>
      <c r="B125">
        <f t="shared" si="2"/>
        <v>72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5">
        <f t="shared" ca="1" si="1"/>
        <v>0.92202781892207053</v>
      </c>
      <c r="E125">
        <f ca="1">RANK(dict_zul_Var_Meth[[#This Row],[ignored_rand]],dict_zul_Var_Meth[ignored_rand])</f>
        <v>58</v>
      </c>
      <c r="F125">
        <f ca="1">ROUNDUP(698/200*help_zuord_Var_Meth[[#This Row],[ignored_help_VarsID]],0)+RANDBETWEEN(0,1)-RANDBETWEEN(0,1)</f>
        <v>430</v>
      </c>
      <c r="G125">
        <v>123</v>
      </c>
    </row>
    <row r="126" spans="1:7" x14ac:dyDescent="0.45">
      <c r="A126">
        <f ca="1">VLOOKUP(dict_zul_Var_Meth[[#This Row],[ignored_rank]],help_zuord_Var_Meth[],2)</f>
        <v>72</v>
      </c>
      <c r="B126">
        <f t="shared" si="2"/>
        <v>73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6">
        <f t="shared" ca="1" si="1"/>
        <v>0.67968256357447954</v>
      </c>
      <c r="E126">
        <f ca="1">RANK(dict_zul_Var_Meth[[#This Row],[ignored_rand]],dict_zul_Var_Meth[ignored_rand])</f>
        <v>253</v>
      </c>
      <c r="F126">
        <f ca="1">ROUNDUP(698/200*help_zuord_Var_Meth[[#This Row],[ignored_help_VarsID]],0)+RANDBETWEEN(0,1)-RANDBETWEEN(0,1)</f>
        <v>432</v>
      </c>
      <c r="G126">
        <v>124</v>
      </c>
    </row>
    <row r="127" spans="1:7" x14ac:dyDescent="0.45">
      <c r="A127">
        <f ca="1">VLOOKUP(dict_zul_Var_Meth[[#This Row],[ignored_rank]],help_zuord_Var_Meth[],2)</f>
        <v>124</v>
      </c>
      <c r="B127">
        <f t="shared" si="2"/>
        <v>74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7">
        <f t="shared" ca="1" si="1"/>
        <v>0.41248964680254274</v>
      </c>
      <c r="E127">
        <f ca="1">RANK(dict_zul_Var_Meth[[#This Row],[ignored_rand]],dict_zul_Var_Meth[ignored_rand])</f>
        <v>437</v>
      </c>
      <c r="F127">
        <f ca="1">ROUNDUP(698/200*help_zuord_Var_Meth[[#This Row],[ignored_help_VarsID]],0)+RANDBETWEEN(0,1)-RANDBETWEEN(0,1)</f>
        <v>438</v>
      </c>
      <c r="G127">
        <v>125</v>
      </c>
    </row>
    <row r="128" spans="1:7" x14ac:dyDescent="0.45">
      <c r="A128">
        <f ca="1">VLOOKUP(dict_zul_Var_Meth[[#This Row],[ignored_rank]],help_zuord_Var_Meth[],2)</f>
        <v>37</v>
      </c>
      <c r="B128">
        <f t="shared" si="2"/>
        <v>75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8">
        <f t="shared" ca="1" si="1"/>
        <v>0.82979327464509178</v>
      </c>
      <c r="E128">
        <f ca="1">RANK(dict_zul_Var_Meth[[#This Row],[ignored_rand]],dict_zul_Var_Meth[ignored_rand])</f>
        <v>131</v>
      </c>
      <c r="F128">
        <f ca="1">ROUNDUP(698/200*help_zuord_Var_Meth[[#This Row],[ignored_help_VarsID]],0)+RANDBETWEEN(0,1)-RANDBETWEEN(0,1)</f>
        <v>440</v>
      </c>
      <c r="G128">
        <v>126</v>
      </c>
    </row>
    <row r="129" spans="1:7" x14ac:dyDescent="0.45">
      <c r="A129">
        <f ca="1">VLOOKUP(dict_zul_Var_Meth[[#This Row],[ignored_rank]],help_zuord_Var_Meth[],2)</f>
        <v>136</v>
      </c>
      <c r="B129">
        <f t="shared" si="2"/>
        <v>76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9">
        <f t="shared" ca="1" si="1"/>
        <v>0.36193776312345594</v>
      </c>
      <c r="E129">
        <f ca="1">RANK(dict_zul_Var_Meth[[#This Row],[ignored_rand]],dict_zul_Var_Meth[ignored_rand])</f>
        <v>476</v>
      </c>
      <c r="F129">
        <f ca="1">ROUNDUP(698/200*help_zuord_Var_Meth[[#This Row],[ignored_help_VarsID]],0)+RANDBETWEEN(0,1)-RANDBETWEEN(0,1)</f>
        <v>445</v>
      </c>
      <c r="G129">
        <v>127</v>
      </c>
    </row>
    <row r="130" spans="1:7" x14ac:dyDescent="0.45">
      <c r="A130">
        <f ca="1">VLOOKUP(dict_zul_Var_Meth[[#This Row],[ignored_rank]],help_zuord_Var_Meth[],2)</f>
        <v>146</v>
      </c>
      <c r="B130">
        <f t="shared" si="2"/>
        <v>77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0">
        <f t="shared" ref="D130:D193" ca="1" si="3">RAND()</f>
        <v>0.30855556652057547</v>
      </c>
      <c r="E130">
        <f ca="1">RANK(dict_zul_Var_Meth[[#This Row],[ignored_rand]],dict_zul_Var_Meth[ignored_rand])</f>
        <v>513</v>
      </c>
      <c r="F130">
        <f ca="1">ROUNDUP(698/200*help_zuord_Var_Meth[[#This Row],[ignored_help_VarsID]],0)+RANDBETWEEN(0,1)-RANDBETWEEN(0,1)</f>
        <v>447</v>
      </c>
      <c r="G130">
        <v>128</v>
      </c>
    </row>
    <row r="131" spans="1:7" x14ac:dyDescent="0.45">
      <c r="A131">
        <f ca="1">VLOOKUP(dict_zul_Var_Meth[[#This Row],[ignored_rank]],help_zuord_Var_Meth[],2)</f>
        <v>48</v>
      </c>
      <c r="B131">
        <f t="shared" si="2"/>
        <v>78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1">
        <f t="shared" ca="1" si="3"/>
        <v>0.7740910548289589</v>
      </c>
      <c r="E131">
        <f ca="1">RANK(dict_zul_Var_Meth[[#This Row],[ignored_rand]],dict_zul_Var_Meth[ignored_rand])</f>
        <v>170</v>
      </c>
      <c r="F131">
        <f ca="1">ROUNDUP(698/200*help_zuord_Var_Meth[[#This Row],[ignored_help_VarsID]],0)+RANDBETWEEN(0,1)-RANDBETWEEN(0,1)</f>
        <v>452</v>
      </c>
      <c r="G131">
        <v>129</v>
      </c>
    </row>
    <row r="132" spans="1:7" x14ac:dyDescent="0.45">
      <c r="A132">
        <f ca="1">VLOOKUP(dict_zul_Var_Meth[[#This Row],[ignored_rank]],help_zuord_Var_Meth[],2)</f>
        <v>86</v>
      </c>
      <c r="B132">
        <f t="shared" si="2"/>
        <v>79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2">
        <f t="shared" ca="1" si="3"/>
        <v>0.60731636195688932</v>
      </c>
      <c r="E132">
        <f ca="1">RANK(dict_zul_Var_Meth[[#This Row],[ignored_rand]],dict_zul_Var_Meth[ignored_rand])</f>
        <v>302</v>
      </c>
      <c r="F132">
        <f ca="1">ROUNDUP(698/200*help_zuord_Var_Meth[[#This Row],[ignored_help_VarsID]],0)+RANDBETWEEN(0,1)-RANDBETWEEN(0,1)</f>
        <v>454</v>
      </c>
      <c r="G132">
        <v>130</v>
      </c>
    </row>
    <row r="133" spans="1:7" x14ac:dyDescent="0.45">
      <c r="A133">
        <f ca="1">VLOOKUP(dict_zul_Var_Meth[[#This Row],[ignored_rank]],help_zuord_Var_Meth[],2)</f>
        <v>29</v>
      </c>
      <c r="B133">
        <f t="shared" si="2"/>
        <v>80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3">
        <f t="shared" ca="1" si="3"/>
        <v>0.86101527795984967</v>
      </c>
      <c r="E133">
        <f ca="1">RANK(dict_zul_Var_Meth[[#This Row],[ignored_rand]],dict_zul_Var_Meth[ignored_rand])</f>
        <v>103</v>
      </c>
      <c r="F133">
        <f ca="1">ROUNDUP(698/200*help_zuord_Var_Meth[[#This Row],[ignored_help_VarsID]],0)+RANDBETWEEN(0,1)-RANDBETWEEN(0,1)</f>
        <v>459</v>
      </c>
      <c r="G133">
        <v>131</v>
      </c>
    </row>
    <row r="134" spans="1:7" x14ac:dyDescent="0.45">
      <c r="A134">
        <f ca="1">VLOOKUP(dict_zul_Var_Meth[[#This Row],[ignored_rank]],help_zuord_Var_Meth[],2)</f>
        <v>92</v>
      </c>
      <c r="B134">
        <f t="shared" si="2"/>
        <v>81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4">
        <f t="shared" ca="1" si="3"/>
        <v>0.56471825917570939</v>
      </c>
      <c r="E134">
        <f ca="1">RANK(dict_zul_Var_Meth[[#This Row],[ignored_rand]],dict_zul_Var_Meth[ignored_rand])</f>
        <v>324</v>
      </c>
      <c r="F134">
        <f ca="1">ROUNDUP(698/200*help_zuord_Var_Meth[[#This Row],[ignored_help_VarsID]],0)+RANDBETWEEN(0,1)-RANDBETWEEN(0,1)</f>
        <v>461</v>
      </c>
      <c r="G134">
        <v>132</v>
      </c>
    </row>
    <row r="135" spans="1:7" x14ac:dyDescent="0.45">
      <c r="A135">
        <f ca="1">VLOOKUP(dict_zul_Var_Meth[[#This Row],[ignored_rank]],help_zuord_Var_Meth[],2)</f>
        <v>106</v>
      </c>
      <c r="B135">
        <f t="shared" si="2"/>
        <v>82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5">
        <f t="shared" ca="1" si="3"/>
        <v>0.51143666950778588</v>
      </c>
      <c r="E135">
        <f ca="1">RANK(dict_zul_Var_Meth[[#This Row],[ignored_rand]],dict_zul_Var_Meth[ignored_rand])</f>
        <v>371</v>
      </c>
      <c r="F135">
        <f ca="1">ROUNDUP(698/200*help_zuord_Var_Meth[[#This Row],[ignored_help_VarsID]],0)+RANDBETWEEN(0,1)-RANDBETWEEN(0,1)</f>
        <v>466</v>
      </c>
      <c r="G135">
        <v>133</v>
      </c>
    </row>
    <row r="136" spans="1:7" x14ac:dyDescent="0.45">
      <c r="A136">
        <f ca="1">VLOOKUP(dict_zul_Var_Meth[[#This Row],[ignored_rank]],help_zuord_Var_Meth[],2)</f>
        <v>70</v>
      </c>
      <c r="B136">
        <f t="shared" si="2"/>
        <v>83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6">
        <f t="shared" ca="1" si="3"/>
        <v>0.68936722838509956</v>
      </c>
      <c r="E136">
        <f ca="1">RANK(dict_zul_Var_Meth[[#This Row],[ignored_rand]],dict_zul_Var_Meth[ignored_rand])</f>
        <v>246</v>
      </c>
      <c r="F136">
        <f ca="1">ROUNDUP(698/200*help_zuord_Var_Meth[[#This Row],[ignored_help_VarsID]],0)+RANDBETWEEN(0,1)-RANDBETWEEN(0,1)</f>
        <v>469</v>
      </c>
      <c r="G136">
        <v>134</v>
      </c>
    </row>
    <row r="137" spans="1:7" x14ac:dyDescent="0.45">
      <c r="A137">
        <f ca="1">VLOOKUP(dict_zul_Var_Meth[[#This Row],[ignored_rank]],help_zuord_Var_Meth[],2)</f>
        <v>199</v>
      </c>
      <c r="B137">
        <f t="shared" si="2"/>
        <v>84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7">
        <f t="shared" ca="1" si="3"/>
        <v>6.1032835404247199E-2</v>
      </c>
      <c r="E137">
        <f ca="1">RANK(dict_zul_Var_Meth[[#This Row],[ignored_rand]],dict_zul_Var_Meth[ignored_rand])</f>
        <v>700</v>
      </c>
      <c r="F137">
        <f ca="1">ROUNDUP(698/200*help_zuord_Var_Meth[[#This Row],[ignored_help_VarsID]],0)+RANDBETWEEN(0,1)-RANDBETWEEN(0,1)</f>
        <v>472</v>
      </c>
      <c r="G137">
        <v>135</v>
      </c>
    </row>
    <row r="138" spans="1:7" x14ac:dyDescent="0.45">
      <c r="A138">
        <f ca="1">VLOOKUP(dict_zul_Var_Meth[[#This Row],[ignored_rank]],help_zuord_Var_Meth[],2)</f>
        <v>199</v>
      </c>
      <c r="B138">
        <f t="shared" si="2"/>
        <v>85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8">
        <f t="shared" ca="1" si="3"/>
        <v>5.5377174292797648E-2</v>
      </c>
      <c r="E138">
        <f ca="1">RANK(dict_zul_Var_Meth[[#This Row],[ignored_rand]],dict_zul_Var_Meth[ignored_rand])</f>
        <v>708</v>
      </c>
      <c r="F138">
        <f ca="1">ROUNDUP(698/200*help_zuord_Var_Meth[[#This Row],[ignored_help_VarsID]],0)+RANDBETWEEN(0,1)-RANDBETWEEN(0,1)</f>
        <v>476</v>
      </c>
      <c r="G138">
        <v>136</v>
      </c>
    </row>
    <row r="139" spans="1:7" x14ac:dyDescent="0.45">
      <c r="A139">
        <f ca="1">VLOOKUP(dict_zul_Var_Meth[[#This Row],[ignored_rank]],help_zuord_Var_Meth[],2)</f>
        <v>199</v>
      </c>
      <c r="B139">
        <f t="shared" si="2"/>
        <v>86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9">
        <f t="shared" ca="1" si="3"/>
        <v>6.0851770020973195E-2</v>
      </c>
      <c r="E139">
        <f ca="1">RANK(dict_zul_Var_Meth[[#This Row],[ignored_rand]],dict_zul_Var_Meth[ignored_rand])</f>
        <v>701</v>
      </c>
      <c r="F139">
        <f ca="1">ROUNDUP(698/200*help_zuord_Var_Meth[[#This Row],[ignored_help_VarsID]],0)+RANDBETWEEN(0,1)-RANDBETWEEN(0,1)</f>
        <v>480</v>
      </c>
      <c r="G139">
        <v>137</v>
      </c>
    </row>
    <row r="140" spans="1:7" x14ac:dyDescent="0.45">
      <c r="A140">
        <f ca="1">VLOOKUP(dict_zul_Var_Meth[[#This Row],[ignored_rank]],help_zuord_Var_Meth[],2)</f>
        <v>171</v>
      </c>
      <c r="B140">
        <f t="shared" si="2"/>
        <v>87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0">
        <f t="shared" ca="1" si="3"/>
        <v>0.19192070031745978</v>
      </c>
      <c r="E140">
        <f ca="1">RANK(dict_zul_Var_Meth[[#This Row],[ignored_rand]],dict_zul_Var_Meth[ignored_rand])</f>
        <v>601</v>
      </c>
      <c r="F140">
        <f ca="1">ROUNDUP(698/200*help_zuord_Var_Meth[[#This Row],[ignored_help_VarsID]],0)+RANDBETWEEN(0,1)-RANDBETWEEN(0,1)</f>
        <v>481</v>
      </c>
      <c r="G140">
        <v>138</v>
      </c>
    </row>
    <row r="141" spans="1:7" x14ac:dyDescent="0.45">
      <c r="A141">
        <f ca="1">VLOOKUP(dict_zul_Var_Meth[[#This Row],[ignored_rank]],help_zuord_Var_Meth[],2)</f>
        <v>26</v>
      </c>
      <c r="B141">
        <f t="shared" si="2"/>
        <v>88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1">
        <f t="shared" ca="1" si="3"/>
        <v>0.8718407951567424</v>
      </c>
      <c r="E141">
        <f ca="1">RANK(dict_zul_Var_Meth[[#This Row],[ignored_rand]],dict_zul_Var_Meth[ignored_rand])</f>
        <v>93</v>
      </c>
      <c r="F141">
        <f ca="1">ROUNDUP(698/200*help_zuord_Var_Meth[[#This Row],[ignored_help_VarsID]],0)+RANDBETWEEN(0,1)-RANDBETWEEN(0,1)</f>
        <v>485</v>
      </c>
      <c r="G141">
        <v>139</v>
      </c>
    </row>
    <row r="142" spans="1:7" x14ac:dyDescent="0.45">
      <c r="A142">
        <f ca="1">VLOOKUP(dict_zul_Var_Meth[[#This Row],[ignored_rank]],help_zuord_Var_Meth[],2)</f>
        <v>182</v>
      </c>
      <c r="B142">
        <f t="shared" si="2"/>
        <v>89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2">
        <f t="shared" ca="1" si="3"/>
        <v>0.14832792567078656</v>
      </c>
      <c r="E142">
        <f ca="1">RANK(dict_zul_Var_Meth[[#This Row],[ignored_rand]],dict_zul_Var_Meth[ignored_rand])</f>
        <v>636</v>
      </c>
      <c r="F142">
        <f ca="1">ROUNDUP(698/200*help_zuord_Var_Meth[[#This Row],[ignored_help_VarsID]],0)+RANDBETWEEN(0,1)-RANDBETWEEN(0,1)</f>
        <v>489</v>
      </c>
      <c r="G142">
        <v>140</v>
      </c>
    </row>
    <row r="143" spans="1:7" x14ac:dyDescent="0.45">
      <c r="A143">
        <f ca="1">VLOOKUP(dict_zul_Var_Meth[[#This Row],[ignored_rank]],help_zuord_Var_Meth[],2)</f>
        <v>127</v>
      </c>
      <c r="B143">
        <f t="shared" si="2"/>
        <v>90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3">
        <f t="shared" ca="1" si="3"/>
        <v>0.40058743827214593</v>
      </c>
      <c r="E143">
        <f ca="1">RANK(dict_zul_Var_Meth[[#This Row],[ignored_rand]],dict_zul_Var_Meth[ignored_rand])</f>
        <v>446</v>
      </c>
      <c r="F143">
        <f ca="1">ROUNDUP(698/200*help_zuord_Var_Meth[[#This Row],[ignored_help_VarsID]],0)+RANDBETWEEN(0,1)-RANDBETWEEN(0,1)</f>
        <v>493</v>
      </c>
      <c r="G143">
        <v>141</v>
      </c>
    </row>
    <row r="144" spans="1:7" x14ac:dyDescent="0.45">
      <c r="A144">
        <f ca="1">VLOOKUP(dict_zul_Var_Meth[[#This Row],[ignored_rank]],help_zuord_Var_Meth[],2)</f>
        <v>199</v>
      </c>
      <c r="B144">
        <f t="shared" si="2"/>
        <v>91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4">
        <f t="shared" ca="1" si="3"/>
        <v>5.6090867019620627E-2</v>
      </c>
      <c r="E144">
        <f ca="1">RANK(dict_zul_Var_Meth[[#This Row],[ignored_rand]],dict_zul_Var_Meth[ignored_rand])</f>
        <v>706</v>
      </c>
      <c r="F144">
        <f ca="1">ROUNDUP(698/200*help_zuord_Var_Meth[[#This Row],[ignored_help_VarsID]],0)+RANDBETWEEN(0,1)-RANDBETWEEN(0,1)</f>
        <v>495</v>
      </c>
      <c r="G144">
        <v>142</v>
      </c>
    </row>
    <row r="145" spans="1:7" x14ac:dyDescent="0.45">
      <c r="A145">
        <f ca="1">VLOOKUP(dict_zul_Var_Meth[[#This Row],[ignored_rank]],help_zuord_Var_Meth[],2)</f>
        <v>6</v>
      </c>
      <c r="B145">
        <f t="shared" si="2"/>
        <v>92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5">
        <f t="shared" ca="1" si="3"/>
        <v>0.97080962917812474</v>
      </c>
      <c r="E145">
        <f ca="1">RANK(dict_zul_Var_Meth[[#This Row],[ignored_rand]],dict_zul_Var_Meth[ignored_rand])</f>
        <v>23</v>
      </c>
      <c r="F145">
        <f ca="1">ROUNDUP(698/200*help_zuord_Var_Meth[[#This Row],[ignored_help_VarsID]],0)+RANDBETWEEN(0,1)-RANDBETWEEN(0,1)</f>
        <v>501</v>
      </c>
      <c r="G145">
        <v>143</v>
      </c>
    </row>
    <row r="146" spans="1:7" x14ac:dyDescent="0.45">
      <c r="A146">
        <f ca="1">VLOOKUP(dict_zul_Var_Meth[[#This Row],[ignored_rank]],help_zuord_Var_Meth[],2)</f>
        <v>130</v>
      </c>
      <c r="B146">
        <f t="shared" si="2"/>
        <v>93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6">
        <f t="shared" ca="1" si="3"/>
        <v>0.38563523761059793</v>
      </c>
      <c r="E146">
        <f ca="1">RANK(dict_zul_Var_Meth[[#This Row],[ignored_rand]],dict_zul_Var_Meth[ignored_rand])</f>
        <v>458</v>
      </c>
      <c r="F146">
        <f ca="1">ROUNDUP(698/200*help_zuord_Var_Meth[[#This Row],[ignored_help_VarsID]],0)+RANDBETWEEN(0,1)-RANDBETWEEN(0,1)</f>
        <v>502</v>
      </c>
      <c r="G146">
        <v>144</v>
      </c>
    </row>
    <row r="147" spans="1:7" x14ac:dyDescent="0.45">
      <c r="A147">
        <f ca="1">VLOOKUP(dict_zul_Var_Meth[[#This Row],[ignored_rank]],help_zuord_Var_Meth[],2)</f>
        <v>50</v>
      </c>
      <c r="B147">
        <f t="shared" si="2"/>
        <v>94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7">
        <f t="shared" ca="1" si="3"/>
        <v>0.77195642812974696</v>
      </c>
      <c r="E147">
        <f ca="1">RANK(dict_zul_Var_Meth[[#This Row],[ignored_rand]],dict_zul_Var_Meth[ignored_rand])</f>
        <v>175</v>
      </c>
      <c r="F147">
        <f ca="1">ROUNDUP(698/200*help_zuord_Var_Meth[[#This Row],[ignored_help_VarsID]],0)+RANDBETWEEN(0,1)-RANDBETWEEN(0,1)</f>
        <v>508</v>
      </c>
      <c r="G147">
        <v>145</v>
      </c>
    </row>
    <row r="148" spans="1:7" x14ac:dyDescent="0.45">
      <c r="A148">
        <f ca="1">VLOOKUP(dict_zul_Var_Meth[[#This Row],[ignored_rank]],help_zuord_Var_Meth[],2)</f>
        <v>27</v>
      </c>
      <c r="B148">
        <f t="shared" si="2"/>
        <v>95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8">
        <f t="shared" ca="1" si="3"/>
        <v>0.86989162524283159</v>
      </c>
      <c r="E148">
        <f ca="1">RANK(dict_zul_Var_Meth[[#This Row],[ignored_rand]],dict_zul_Var_Meth[ignored_rand])</f>
        <v>95</v>
      </c>
      <c r="F148">
        <f ca="1">ROUNDUP(698/200*help_zuord_Var_Meth[[#This Row],[ignored_help_VarsID]],0)+RANDBETWEEN(0,1)-RANDBETWEEN(0,1)</f>
        <v>509</v>
      </c>
      <c r="G148">
        <v>146</v>
      </c>
    </row>
    <row r="149" spans="1:7" x14ac:dyDescent="0.45">
      <c r="A149">
        <f ca="1">VLOOKUP(dict_zul_Var_Meth[[#This Row],[ignored_rank]],help_zuord_Var_Meth[],2)</f>
        <v>199</v>
      </c>
      <c r="B149">
        <f t="shared" si="2"/>
        <v>96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9">
        <f t="shared" ca="1" si="3"/>
        <v>5.2094414290621893E-2</v>
      </c>
      <c r="E149">
        <f ca="1">RANK(dict_zul_Var_Meth[[#This Row],[ignored_rand]],dict_zul_Var_Meth[ignored_rand])</f>
        <v>711</v>
      </c>
      <c r="F149">
        <f ca="1">ROUNDUP(698/200*help_zuord_Var_Meth[[#This Row],[ignored_help_VarsID]],0)+RANDBETWEEN(0,1)-RANDBETWEEN(0,1)</f>
        <v>515</v>
      </c>
      <c r="G149">
        <v>147</v>
      </c>
    </row>
    <row r="150" spans="1:7" x14ac:dyDescent="0.45">
      <c r="A150">
        <f ca="1">VLOOKUP(dict_zul_Var_Meth[[#This Row],[ignored_rank]],help_zuord_Var_Meth[],2)</f>
        <v>28</v>
      </c>
      <c r="B150">
        <f t="shared" si="2"/>
        <v>97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0">
        <f t="shared" ca="1" si="3"/>
        <v>0.86373908974229419</v>
      </c>
      <c r="E150">
        <f ca="1">RANK(dict_zul_Var_Meth[[#This Row],[ignored_rand]],dict_zul_Var_Meth[ignored_rand])</f>
        <v>100</v>
      </c>
      <c r="F150">
        <f ca="1">ROUNDUP(698/200*help_zuord_Var_Meth[[#This Row],[ignored_help_VarsID]],0)+RANDBETWEEN(0,1)-RANDBETWEEN(0,1)</f>
        <v>517</v>
      </c>
      <c r="G150">
        <v>148</v>
      </c>
    </row>
    <row r="151" spans="1:7" x14ac:dyDescent="0.45">
      <c r="A151">
        <f ca="1">VLOOKUP(dict_zul_Var_Meth[[#This Row],[ignored_rank]],help_zuord_Var_Meth[],2)</f>
        <v>166</v>
      </c>
      <c r="B151">
        <f t="shared" si="2"/>
        <v>98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1">
        <f t="shared" ca="1" si="3"/>
        <v>0.22075497213051976</v>
      </c>
      <c r="E151">
        <f ca="1">RANK(dict_zul_Var_Meth[[#This Row],[ignored_rand]],dict_zul_Var_Meth[ignored_rand])</f>
        <v>581</v>
      </c>
      <c r="F151">
        <f ca="1">ROUNDUP(698/200*help_zuord_Var_Meth[[#This Row],[ignored_help_VarsID]],0)+RANDBETWEEN(0,1)-RANDBETWEEN(0,1)</f>
        <v>522</v>
      </c>
      <c r="G151">
        <v>149</v>
      </c>
    </row>
    <row r="152" spans="1:7" x14ac:dyDescent="0.45">
      <c r="A152">
        <f ca="1">VLOOKUP(dict_zul_Var_Meth[[#This Row],[ignored_rank]],help_zuord_Var_Meth[],2)</f>
        <v>134</v>
      </c>
      <c r="B152">
        <f t="shared" si="2"/>
        <v>99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2">
        <f t="shared" ca="1" si="3"/>
        <v>0.36902695506907102</v>
      </c>
      <c r="E152">
        <f ca="1">RANK(dict_zul_Var_Meth[[#This Row],[ignored_rand]],dict_zul_Var_Meth[ignored_rand])</f>
        <v>470</v>
      </c>
      <c r="F152">
        <f ca="1">ROUNDUP(698/200*help_zuord_Var_Meth[[#This Row],[ignored_help_VarsID]],0)+RANDBETWEEN(0,1)-RANDBETWEEN(0,1)</f>
        <v>524</v>
      </c>
      <c r="G152">
        <v>150</v>
      </c>
    </row>
    <row r="153" spans="1:7" x14ac:dyDescent="0.45">
      <c r="A153">
        <f ca="1">VLOOKUP(dict_zul_Var_Meth[[#This Row],[ignored_rank]],help_zuord_Var_Meth[],2)</f>
        <v>157</v>
      </c>
      <c r="B153">
        <f t="shared" si="2"/>
        <v>100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3">
        <f t="shared" ca="1" si="3"/>
        <v>0.26645984576139159</v>
      </c>
      <c r="E153">
        <f ca="1">RANK(dict_zul_Var_Meth[[#This Row],[ignored_rand]],dict_zul_Var_Meth[ignored_rand])</f>
        <v>551</v>
      </c>
      <c r="F153">
        <f ca="1">ROUNDUP(698/200*help_zuord_Var_Meth[[#This Row],[ignored_help_VarsID]],0)+RANDBETWEEN(0,1)-RANDBETWEEN(0,1)</f>
        <v>528</v>
      </c>
      <c r="G153">
        <v>151</v>
      </c>
    </row>
    <row r="154" spans="1:7" x14ac:dyDescent="0.45">
      <c r="A154">
        <f ca="1">VLOOKUP(dict_zul_Var_Meth[[#This Row],[ignored_rank]],help_zuord_Var_Meth[],2)</f>
        <v>40</v>
      </c>
      <c r="B154">
        <f t="shared" si="2"/>
        <v>101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4">
        <f t="shared" ca="1" si="3"/>
        <v>0.81278956138400515</v>
      </c>
      <c r="E154">
        <f ca="1">RANK(dict_zul_Var_Meth[[#This Row],[ignored_rand]],dict_zul_Var_Meth[ignored_rand])</f>
        <v>140</v>
      </c>
      <c r="F154">
        <f ca="1">ROUNDUP(698/200*help_zuord_Var_Meth[[#This Row],[ignored_help_VarsID]],0)+RANDBETWEEN(0,1)-RANDBETWEEN(0,1)</f>
        <v>532</v>
      </c>
      <c r="G154">
        <v>152</v>
      </c>
    </row>
    <row r="155" spans="1:7" x14ac:dyDescent="0.45">
      <c r="A155">
        <f ca="1">VLOOKUP(dict_zul_Var_Meth[[#This Row],[ignored_rank]],help_zuord_Var_Meth[],2)</f>
        <v>199</v>
      </c>
      <c r="B155">
        <f t="shared" si="2"/>
        <v>102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5">
        <f t="shared" ca="1" si="3"/>
        <v>4.6703951048164494E-2</v>
      </c>
      <c r="E155">
        <f ca="1">RANK(dict_zul_Var_Meth[[#This Row],[ignored_rand]],dict_zul_Var_Meth[ignored_rand])</f>
        <v>719</v>
      </c>
      <c r="F155">
        <f ca="1">ROUNDUP(698/200*help_zuord_Var_Meth[[#This Row],[ignored_help_VarsID]],0)+RANDBETWEEN(0,1)-RANDBETWEEN(0,1)</f>
        <v>534</v>
      </c>
      <c r="G155">
        <v>153</v>
      </c>
    </row>
    <row r="156" spans="1:7" x14ac:dyDescent="0.45">
      <c r="A156">
        <f ca="1">VLOOKUP(dict_zul_Var_Meth[[#This Row],[ignored_rank]],help_zuord_Var_Meth[],2)</f>
        <v>22</v>
      </c>
      <c r="B156">
        <f t="shared" si="2"/>
        <v>103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6">
        <f t="shared" ca="1" si="3"/>
        <v>0.89040871068086547</v>
      </c>
      <c r="E156">
        <f ca="1">RANK(dict_zul_Var_Meth[[#This Row],[ignored_rand]],dict_zul_Var_Meth[ignored_rand])</f>
        <v>79</v>
      </c>
      <c r="F156">
        <f ca="1">ROUNDUP(698/200*help_zuord_Var_Meth[[#This Row],[ignored_help_VarsID]],0)+RANDBETWEEN(0,1)-RANDBETWEEN(0,1)</f>
        <v>538</v>
      </c>
      <c r="G156">
        <v>154</v>
      </c>
    </row>
    <row r="157" spans="1:7" x14ac:dyDescent="0.45">
      <c r="A157">
        <f ca="1">VLOOKUP(dict_zul_Var_Meth[[#This Row],[ignored_rank]],help_zuord_Var_Meth[],2)</f>
        <v>24</v>
      </c>
      <c r="B157">
        <f t="shared" si="2"/>
        <v>104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7">
        <f t="shared" ca="1" si="3"/>
        <v>0.8796731177743653</v>
      </c>
      <c r="E157">
        <f ca="1">RANK(dict_zul_Var_Meth[[#This Row],[ignored_rand]],dict_zul_Var_Meth[ignored_rand])</f>
        <v>85</v>
      </c>
      <c r="F157">
        <f ca="1">ROUNDUP(698/200*help_zuord_Var_Meth[[#This Row],[ignored_help_VarsID]],0)+RANDBETWEEN(0,1)-RANDBETWEEN(0,1)</f>
        <v>542</v>
      </c>
      <c r="G157">
        <v>155</v>
      </c>
    </row>
    <row r="158" spans="1:7" x14ac:dyDescent="0.45">
      <c r="A158">
        <f ca="1">VLOOKUP(dict_zul_Var_Meth[[#This Row],[ignored_rank]],help_zuord_Var_Meth[],2)</f>
        <v>199</v>
      </c>
      <c r="B158">
        <f t="shared" si="2"/>
        <v>105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8">
        <f t="shared" ca="1" si="3"/>
        <v>9.5283756406001618E-3</v>
      </c>
      <c r="E158">
        <f ca="1">RANK(dict_zul_Var_Meth[[#This Row],[ignored_rand]],dict_zul_Var_Meth[ignored_rand])</f>
        <v>741</v>
      </c>
      <c r="F158">
        <f ca="1">ROUNDUP(698/200*help_zuord_Var_Meth[[#This Row],[ignored_help_VarsID]],0)+RANDBETWEEN(0,1)-RANDBETWEEN(0,1)</f>
        <v>545</v>
      </c>
      <c r="G158">
        <v>156</v>
      </c>
    </row>
    <row r="159" spans="1:7" x14ac:dyDescent="0.45">
      <c r="A159">
        <f ca="1">VLOOKUP(dict_zul_Var_Meth[[#This Row],[ignored_rank]],help_zuord_Var_Meth[],2)</f>
        <v>24</v>
      </c>
      <c r="B159">
        <f t="shared" si="2"/>
        <v>106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9">
        <f t="shared" ca="1" si="3"/>
        <v>0.88317122913605162</v>
      </c>
      <c r="E159">
        <f ca="1">RANK(dict_zul_Var_Meth[[#This Row],[ignored_rand]],dict_zul_Var_Meth[ignored_rand])</f>
        <v>83</v>
      </c>
      <c r="F159">
        <f ca="1">ROUNDUP(698/200*help_zuord_Var_Meth[[#This Row],[ignored_help_VarsID]],0)+RANDBETWEEN(0,1)-RANDBETWEEN(0,1)</f>
        <v>549</v>
      </c>
      <c r="G159">
        <v>157</v>
      </c>
    </row>
    <row r="160" spans="1:7" x14ac:dyDescent="0.45">
      <c r="A160">
        <f ca="1">VLOOKUP(dict_zul_Var_Meth[[#This Row],[ignored_rank]],help_zuord_Var_Meth[],2)</f>
        <v>87</v>
      </c>
      <c r="B160">
        <f t="shared" si="2"/>
        <v>107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0">
        <f t="shared" ca="1" si="3"/>
        <v>0.60134485149682027</v>
      </c>
      <c r="E160">
        <f ca="1">RANK(dict_zul_Var_Meth[[#This Row],[ignored_rand]],dict_zul_Var_Meth[ignored_rand])</f>
        <v>306</v>
      </c>
      <c r="F160">
        <f ca="1">ROUNDUP(698/200*help_zuord_Var_Meth[[#This Row],[ignored_help_VarsID]],0)+RANDBETWEEN(0,1)-RANDBETWEEN(0,1)</f>
        <v>552</v>
      </c>
      <c r="G160">
        <v>158</v>
      </c>
    </row>
    <row r="161" spans="1:7" x14ac:dyDescent="0.45">
      <c r="A161">
        <f ca="1">VLOOKUP(dict_zul_Var_Meth[[#This Row],[ignored_rank]],help_zuord_Var_Meth[],2)</f>
        <v>146</v>
      </c>
      <c r="B161">
        <f t="shared" si="2"/>
        <v>108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1">
        <f t="shared" ca="1" si="3"/>
        <v>0.30851040694802934</v>
      </c>
      <c r="E161">
        <f ca="1">RANK(dict_zul_Var_Meth[[#This Row],[ignored_rand]],dict_zul_Var_Meth[ignored_rand])</f>
        <v>514</v>
      </c>
      <c r="F161">
        <f ca="1">ROUNDUP(698/200*help_zuord_Var_Meth[[#This Row],[ignored_help_VarsID]],0)+RANDBETWEEN(0,1)-RANDBETWEEN(0,1)</f>
        <v>556</v>
      </c>
      <c r="G161">
        <v>159</v>
      </c>
    </row>
    <row r="162" spans="1:7" x14ac:dyDescent="0.45">
      <c r="A162">
        <f ca="1">VLOOKUP(dict_zul_Var_Meth[[#This Row],[ignored_rank]],help_zuord_Var_Meth[],2)</f>
        <v>104</v>
      </c>
      <c r="B162">
        <f t="shared" si="2"/>
        <v>109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2">
        <f t="shared" ca="1" si="3"/>
        <v>0.51617622891899861</v>
      </c>
      <c r="E162">
        <f ca="1">RANK(dict_zul_Var_Meth[[#This Row],[ignored_rand]],dict_zul_Var_Meth[ignored_rand])</f>
        <v>366</v>
      </c>
      <c r="F162">
        <f ca="1">ROUNDUP(698/200*help_zuord_Var_Meth[[#This Row],[ignored_help_VarsID]],0)+RANDBETWEEN(0,1)-RANDBETWEEN(0,1)</f>
        <v>558</v>
      </c>
      <c r="G162">
        <v>160</v>
      </c>
    </row>
    <row r="163" spans="1:7" x14ac:dyDescent="0.45">
      <c r="A163">
        <f ca="1">VLOOKUP(dict_zul_Var_Meth[[#This Row],[ignored_rank]],help_zuord_Var_Meth[],2)</f>
        <v>120</v>
      </c>
      <c r="B163">
        <f t="shared" si="2"/>
        <v>110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3">
        <f t="shared" ca="1" si="3"/>
        <v>0.43937665064970488</v>
      </c>
      <c r="E163">
        <f ca="1">RANK(dict_zul_Var_Meth[[#This Row],[ignored_rand]],dict_zul_Var_Meth[ignored_rand])</f>
        <v>421</v>
      </c>
      <c r="F163">
        <f ca="1">ROUNDUP(698/200*help_zuord_Var_Meth[[#This Row],[ignored_help_VarsID]],0)+RANDBETWEEN(0,1)-RANDBETWEEN(0,1)</f>
        <v>563</v>
      </c>
      <c r="G163">
        <v>161</v>
      </c>
    </row>
    <row r="164" spans="1:7" x14ac:dyDescent="0.45">
      <c r="A164">
        <f ca="1">VLOOKUP(dict_zul_Var_Meth[[#This Row],[ignored_rank]],help_zuord_Var_Meth[],2)</f>
        <v>54</v>
      </c>
      <c r="B164">
        <f t="shared" si="2"/>
        <v>111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4">
        <f t="shared" ca="1" si="3"/>
        <v>0.75410523627030812</v>
      </c>
      <c r="E164">
        <f ca="1">RANK(dict_zul_Var_Meth[[#This Row],[ignored_rand]],dict_zul_Var_Meth[ignored_rand])</f>
        <v>190</v>
      </c>
      <c r="F164">
        <f ca="1">ROUNDUP(698/200*help_zuord_Var_Meth[[#This Row],[ignored_help_VarsID]],0)+RANDBETWEEN(0,1)-RANDBETWEEN(0,1)</f>
        <v>565</v>
      </c>
      <c r="G164">
        <v>162</v>
      </c>
    </row>
    <row r="165" spans="1:7" x14ac:dyDescent="0.45">
      <c r="A165">
        <f ca="1">VLOOKUP(dict_zul_Var_Meth[[#This Row],[ignored_rank]],help_zuord_Var_Meth[],2)</f>
        <v>72</v>
      </c>
      <c r="B165">
        <f t="shared" si="2"/>
        <v>112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5">
        <f t="shared" ca="1" si="3"/>
        <v>0.67418730077546452</v>
      </c>
      <c r="E165">
        <f ca="1">RANK(dict_zul_Var_Meth[[#This Row],[ignored_rand]],dict_zul_Var_Meth[ignored_rand])</f>
        <v>255</v>
      </c>
      <c r="F165">
        <f ca="1">ROUNDUP(698/200*help_zuord_Var_Meth[[#This Row],[ignored_help_VarsID]],0)+RANDBETWEEN(0,1)-RANDBETWEEN(0,1)</f>
        <v>570</v>
      </c>
      <c r="G165">
        <v>163</v>
      </c>
    </row>
    <row r="166" spans="1:7" x14ac:dyDescent="0.45">
      <c r="A166">
        <f ca="1">VLOOKUP(dict_zul_Var_Meth[[#This Row],[ignored_rank]],help_zuord_Var_Meth[],2)</f>
        <v>26</v>
      </c>
      <c r="B166">
        <f t="shared" si="2"/>
        <v>113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6">
        <f t="shared" ca="1" si="3"/>
        <v>0.87084009829506748</v>
      </c>
      <c r="E166">
        <f ca="1">RANK(dict_zul_Var_Meth[[#This Row],[ignored_rand]],dict_zul_Var_Meth[ignored_rand])</f>
        <v>94</v>
      </c>
      <c r="F166">
        <f ca="1">ROUNDUP(698/200*help_zuord_Var_Meth[[#This Row],[ignored_help_VarsID]],0)+RANDBETWEEN(0,1)-RANDBETWEEN(0,1)</f>
        <v>574</v>
      </c>
      <c r="G166">
        <v>164</v>
      </c>
    </row>
    <row r="167" spans="1:7" x14ac:dyDescent="0.45">
      <c r="A167">
        <f ca="1">VLOOKUP(dict_zul_Var_Meth[[#This Row],[ignored_rank]],help_zuord_Var_Meth[],2)</f>
        <v>11</v>
      </c>
      <c r="B167">
        <f t="shared" si="2"/>
        <v>114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7">
        <f t="shared" ca="1" si="3"/>
        <v>0.94886892712428872</v>
      </c>
      <c r="E167">
        <f ca="1">RANK(dict_zul_Var_Meth[[#This Row],[ignored_rand]],dict_zul_Var_Meth[ignored_rand])</f>
        <v>40</v>
      </c>
      <c r="F167">
        <f ca="1">ROUNDUP(698/200*help_zuord_Var_Meth[[#This Row],[ignored_help_VarsID]],0)+RANDBETWEEN(0,1)-RANDBETWEEN(0,1)</f>
        <v>576</v>
      </c>
      <c r="G167">
        <v>165</v>
      </c>
    </row>
    <row r="168" spans="1:7" x14ac:dyDescent="0.45">
      <c r="A168">
        <f ca="1">VLOOKUP(dict_zul_Var_Meth[[#This Row],[ignored_rank]],help_zuord_Var_Meth[],2)</f>
        <v>168</v>
      </c>
      <c r="B168">
        <f t="shared" ref="B168:B231" si="4">B167+1</f>
        <v>115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8">
        <f t="shared" ca="1" si="3"/>
        <v>0.20729084366604855</v>
      </c>
      <c r="E168">
        <f ca="1">RANK(dict_zul_Var_Meth[[#This Row],[ignored_rand]],dict_zul_Var_Meth[ignored_rand])</f>
        <v>587</v>
      </c>
      <c r="F168">
        <f ca="1">ROUNDUP(698/200*help_zuord_Var_Meth[[#This Row],[ignored_help_VarsID]],0)+RANDBETWEEN(0,1)-RANDBETWEEN(0,1)</f>
        <v>580</v>
      </c>
      <c r="G168">
        <v>166</v>
      </c>
    </row>
    <row r="169" spans="1:7" x14ac:dyDescent="0.45">
      <c r="A169">
        <f ca="1">VLOOKUP(dict_zul_Var_Meth[[#This Row],[ignored_rank]],help_zuord_Var_Meth[],2)</f>
        <v>45</v>
      </c>
      <c r="B169">
        <f t="shared" si="4"/>
        <v>116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9">
        <f t="shared" ca="1" si="3"/>
        <v>0.78696763148572257</v>
      </c>
      <c r="E169">
        <f ca="1">RANK(dict_zul_Var_Meth[[#This Row],[ignored_rand]],dict_zul_Var_Meth[ignored_rand])</f>
        <v>159</v>
      </c>
      <c r="F169">
        <f ca="1">ROUNDUP(698/200*help_zuord_Var_Meth[[#This Row],[ignored_help_VarsID]],0)+RANDBETWEEN(0,1)-RANDBETWEEN(0,1)</f>
        <v>583</v>
      </c>
      <c r="G169">
        <v>167</v>
      </c>
    </row>
    <row r="170" spans="1:7" x14ac:dyDescent="0.45">
      <c r="A170">
        <f ca="1">VLOOKUP(dict_zul_Var_Meth[[#This Row],[ignored_rank]],help_zuord_Var_Meth[],2)</f>
        <v>179</v>
      </c>
      <c r="B170">
        <f t="shared" si="4"/>
        <v>117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0">
        <f t="shared" ca="1" si="3"/>
        <v>0.15639065762197468</v>
      </c>
      <c r="E170">
        <f ca="1">RANK(dict_zul_Var_Meth[[#This Row],[ignored_rand]],dict_zul_Var_Meth[ignored_rand])</f>
        <v>626</v>
      </c>
      <c r="F170">
        <f ca="1">ROUNDUP(698/200*help_zuord_Var_Meth[[#This Row],[ignored_help_VarsID]],0)+RANDBETWEEN(0,1)-RANDBETWEEN(0,1)</f>
        <v>587</v>
      </c>
      <c r="G170">
        <v>168</v>
      </c>
    </row>
    <row r="171" spans="1:7" x14ac:dyDescent="0.45">
      <c r="A171">
        <f ca="1">VLOOKUP(dict_zul_Var_Meth[[#This Row],[ignored_rank]],help_zuord_Var_Meth[],2)</f>
        <v>79</v>
      </c>
      <c r="B171">
        <f t="shared" si="4"/>
        <v>118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1">
        <f t="shared" ca="1" si="3"/>
        <v>0.63343327859416521</v>
      </c>
      <c r="E171">
        <f ca="1">RANK(dict_zul_Var_Meth[[#This Row],[ignored_rand]],dict_zul_Var_Meth[ignored_rand])</f>
        <v>277</v>
      </c>
      <c r="F171">
        <f ca="1">ROUNDUP(698/200*help_zuord_Var_Meth[[#This Row],[ignored_help_VarsID]],0)+RANDBETWEEN(0,1)-RANDBETWEEN(0,1)</f>
        <v>589</v>
      </c>
      <c r="G171">
        <v>169</v>
      </c>
    </row>
    <row r="172" spans="1:7" x14ac:dyDescent="0.45">
      <c r="A172">
        <f ca="1">VLOOKUP(dict_zul_Var_Meth[[#This Row],[ignored_rank]],help_zuord_Var_Meth[],2)</f>
        <v>199</v>
      </c>
      <c r="B172">
        <f t="shared" si="4"/>
        <v>119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2">
        <f t="shared" ca="1" si="3"/>
        <v>9.1626236025563745E-3</v>
      </c>
      <c r="E172">
        <f ca="1">RANK(dict_zul_Var_Meth[[#This Row],[ignored_rand]],dict_zul_Var_Meth[ignored_rand])</f>
        <v>743</v>
      </c>
      <c r="F172">
        <f ca="1">ROUNDUP(698/200*help_zuord_Var_Meth[[#This Row],[ignored_help_VarsID]],0)+RANDBETWEEN(0,1)-RANDBETWEEN(0,1)</f>
        <v>594</v>
      </c>
      <c r="G172">
        <v>170</v>
      </c>
    </row>
    <row r="173" spans="1:7" x14ac:dyDescent="0.45">
      <c r="A173">
        <f ca="1">VLOOKUP(dict_zul_Var_Meth[[#This Row],[ignored_rank]],help_zuord_Var_Meth[],2)</f>
        <v>119</v>
      </c>
      <c r="B173">
        <f t="shared" si="4"/>
        <v>120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3">
        <f t="shared" ca="1" si="3"/>
        <v>0.44583859536925574</v>
      </c>
      <c r="E173">
        <f ca="1">RANK(dict_zul_Var_Meth[[#This Row],[ignored_rand]],dict_zul_Var_Meth[ignored_rand])</f>
        <v>418</v>
      </c>
      <c r="F173">
        <f ca="1">ROUNDUP(698/200*help_zuord_Var_Meth[[#This Row],[ignored_help_VarsID]],0)+RANDBETWEEN(0,1)-RANDBETWEEN(0,1)</f>
        <v>597</v>
      </c>
      <c r="G173">
        <v>171</v>
      </c>
    </row>
    <row r="174" spans="1:7" x14ac:dyDescent="0.45">
      <c r="A174">
        <f ca="1">VLOOKUP(dict_zul_Var_Meth[[#This Row],[ignored_rank]],help_zuord_Var_Meth[],2)</f>
        <v>185</v>
      </c>
      <c r="B174">
        <f t="shared" si="4"/>
        <v>121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4">
        <f t="shared" ca="1" si="3"/>
        <v>0.13207197151731165</v>
      </c>
      <c r="E174">
        <f ca="1">RANK(dict_zul_Var_Meth[[#This Row],[ignored_rand]],dict_zul_Var_Meth[ignored_rand])</f>
        <v>648</v>
      </c>
      <c r="F174">
        <f ca="1">ROUNDUP(698/200*help_zuord_Var_Meth[[#This Row],[ignored_help_VarsID]],0)+RANDBETWEEN(0,1)-RANDBETWEEN(0,1)</f>
        <v>602</v>
      </c>
      <c r="G174">
        <v>172</v>
      </c>
    </row>
    <row r="175" spans="1:7" x14ac:dyDescent="0.45">
      <c r="A175">
        <f ca="1">VLOOKUP(dict_zul_Var_Meth[[#This Row],[ignored_rank]],help_zuord_Var_Meth[],2)</f>
        <v>112</v>
      </c>
      <c r="B175">
        <f t="shared" si="4"/>
        <v>122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5">
        <f t="shared" ca="1" si="3"/>
        <v>0.48292470253158026</v>
      </c>
      <c r="E175">
        <f ca="1">RANK(dict_zul_Var_Meth[[#This Row],[ignored_rand]],dict_zul_Var_Meth[ignored_rand])</f>
        <v>393</v>
      </c>
      <c r="F175">
        <f ca="1">ROUNDUP(698/200*help_zuord_Var_Meth[[#This Row],[ignored_help_VarsID]],0)+RANDBETWEEN(0,1)-RANDBETWEEN(0,1)</f>
        <v>604</v>
      </c>
      <c r="G175">
        <v>173</v>
      </c>
    </row>
    <row r="176" spans="1:7" x14ac:dyDescent="0.45">
      <c r="A176">
        <f ca="1">VLOOKUP(dict_zul_Var_Meth[[#This Row],[ignored_rank]],help_zuord_Var_Meth[],2)</f>
        <v>134</v>
      </c>
      <c r="B176">
        <f t="shared" si="4"/>
        <v>123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6">
        <f t="shared" ca="1" si="3"/>
        <v>0.36424323866996844</v>
      </c>
      <c r="E176">
        <f ca="1">RANK(dict_zul_Var_Meth[[#This Row],[ignored_rand]],dict_zul_Var_Meth[ignored_rand])</f>
        <v>471</v>
      </c>
      <c r="F176">
        <f ca="1">ROUNDUP(698/200*help_zuord_Var_Meth[[#This Row],[ignored_help_VarsID]],0)+RANDBETWEEN(0,1)-RANDBETWEEN(0,1)</f>
        <v>607</v>
      </c>
      <c r="G176">
        <v>174</v>
      </c>
    </row>
    <row r="177" spans="1:7" x14ac:dyDescent="0.45">
      <c r="A177">
        <f ca="1">VLOOKUP(dict_zul_Var_Meth[[#This Row],[ignored_rank]],help_zuord_Var_Meth[],2)</f>
        <v>48</v>
      </c>
      <c r="B177">
        <f t="shared" si="4"/>
        <v>124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7">
        <f t="shared" ca="1" si="3"/>
        <v>0.77400852788428465</v>
      </c>
      <c r="E177">
        <f ca="1">RANK(dict_zul_Var_Meth[[#This Row],[ignored_rand]],dict_zul_Var_Meth[ignored_rand])</f>
        <v>171</v>
      </c>
      <c r="F177">
        <f ca="1">ROUNDUP(698/200*help_zuord_Var_Meth[[#This Row],[ignored_help_VarsID]],0)+RANDBETWEEN(0,1)-RANDBETWEEN(0,1)</f>
        <v>612</v>
      </c>
      <c r="G177">
        <v>175</v>
      </c>
    </row>
    <row r="178" spans="1:7" x14ac:dyDescent="0.45">
      <c r="A178">
        <f ca="1">VLOOKUP(dict_zul_Var_Meth[[#This Row],[ignored_rank]],help_zuord_Var_Meth[],2)</f>
        <v>171</v>
      </c>
      <c r="B178">
        <f t="shared" si="4"/>
        <v>125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8">
        <f t="shared" ca="1" si="3"/>
        <v>0.19753809281441903</v>
      </c>
      <c r="E178">
        <f ca="1">RANK(dict_zul_Var_Meth[[#This Row],[ignored_rand]],dict_zul_Var_Meth[ignored_rand])</f>
        <v>597</v>
      </c>
      <c r="F178">
        <f ca="1">ROUNDUP(698/200*help_zuord_Var_Meth[[#This Row],[ignored_help_VarsID]],0)+RANDBETWEEN(0,1)-RANDBETWEEN(0,1)</f>
        <v>615</v>
      </c>
      <c r="G178">
        <v>176</v>
      </c>
    </row>
    <row r="179" spans="1:7" x14ac:dyDescent="0.45">
      <c r="A179">
        <f ca="1">VLOOKUP(dict_zul_Var_Meth[[#This Row],[ignored_rank]],help_zuord_Var_Meth[],2)</f>
        <v>199</v>
      </c>
      <c r="B179">
        <f t="shared" si="4"/>
        <v>126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9">
        <f t="shared" ca="1" si="3"/>
        <v>4.7588265848403588E-2</v>
      </c>
      <c r="E179">
        <f ca="1">RANK(dict_zul_Var_Meth[[#This Row],[ignored_rand]],dict_zul_Var_Meth[ignored_rand])</f>
        <v>718</v>
      </c>
      <c r="F179">
        <f ca="1">ROUNDUP(698/200*help_zuord_Var_Meth[[#This Row],[ignored_help_VarsID]],0)+RANDBETWEEN(0,1)-RANDBETWEEN(0,1)</f>
        <v>617</v>
      </c>
      <c r="G179">
        <v>177</v>
      </c>
    </row>
    <row r="180" spans="1:7" x14ac:dyDescent="0.45">
      <c r="A180">
        <f ca="1">VLOOKUP(dict_zul_Var_Meth[[#This Row],[ignored_rank]],help_zuord_Var_Meth[],2)</f>
        <v>146</v>
      </c>
      <c r="B180">
        <f t="shared" si="4"/>
        <v>127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0">
        <f t="shared" ca="1" si="3"/>
        <v>0.31222038937136687</v>
      </c>
      <c r="E180">
        <f ca="1">RANK(dict_zul_Var_Meth[[#This Row],[ignored_rand]],dict_zul_Var_Meth[ignored_rand])</f>
        <v>511</v>
      </c>
      <c r="F180">
        <f ca="1">ROUNDUP(698/200*help_zuord_Var_Meth[[#This Row],[ignored_help_VarsID]],0)+RANDBETWEEN(0,1)-RANDBETWEEN(0,1)</f>
        <v>621</v>
      </c>
      <c r="G180">
        <v>178</v>
      </c>
    </row>
    <row r="181" spans="1:7" x14ac:dyDescent="0.45">
      <c r="A181">
        <f ca="1">VLOOKUP(dict_zul_Var_Meth[[#This Row],[ignored_rank]],help_zuord_Var_Meth[],2)</f>
        <v>62</v>
      </c>
      <c r="B181">
        <f t="shared" si="4"/>
        <v>128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1">
        <f t="shared" ca="1" si="3"/>
        <v>0.71395419390666903</v>
      </c>
      <c r="E181">
        <f ca="1">RANK(dict_zul_Var_Meth[[#This Row],[ignored_rand]],dict_zul_Var_Meth[ignored_rand])</f>
        <v>216</v>
      </c>
      <c r="F181">
        <f ca="1">ROUNDUP(698/200*help_zuord_Var_Meth[[#This Row],[ignored_help_VarsID]],0)+RANDBETWEEN(0,1)-RANDBETWEEN(0,1)</f>
        <v>624</v>
      </c>
      <c r="G181">
        <v>179</v>
      </c>
    </row>
    <row r="182" spans="1:7" x14ac:dyDescent="0.45">
      <c r="A182">
        <f ca="1">VLOOKUP(dict_zul_Var_Meth[[#This Row],[ignored_rank]],help_zuord_Var_Meth[],2)</f>
        <v>11</v>
      </c>
      <c r="B182">
        <f t="shared" si="4"/>
        <v>129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2">
        <f t="shared" ca="1" si="3"/>
        <v>0.95201652065517384</v>
      </c>
      <c r="E182">
        <f ca="1">RANK(dict_zul_Var_Meth[[#This Row],[ignored_rand]],dict_zul_Var_Meth[ignored_rand])</f>
        <v>38</v>
      </c>
      <c r="F182">
        <f ca="1">ROUNDUP(698/200*help_zuord_Var_Meth[[#This Row],[ignored_help_VarsID]],0)+RANDBETWEEN(0,1)-RANDBETWEEN(0,1)</f>
        <v>628</v>
      </c>
      <c r="G182">
        <v>180</v>
      </c>
    </row>
    <row r="183" spans="1:7" x14ac:dyDescent="0.45">
      <c r="A183">
        <f ca="1">VLOOKUP(dict_zul_Var_Meth[[#This Row],[ignored_rank]],help_zuord_Var_Meth[],2)</f>
        <v>122</v>
      </c>
      <c r="B183">
        <f t="shared" si="4"/>
        <v>130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3">
        <f t="shared" ca="1" si="3"/>
        <v>0.43272223284053057</v>
      </c>
      <c r="E183">
        <f ca="1">RANK(dict_zul_Var_Meth[[#This Row],[ignored_rand]],dict_zul_Var_Meth[ignored_rand])</f>
        <v>427</v>
      </c>
      <c r="F183">
        <f ca="1">ROUNDUP(698/200*help_zuord_Var_Meth[[#This Row],[ignored_help_VarsID]],0)+RANDBETWEEN(0,1)-RANDBETWEEN(0,1)</f>
        <v>631</v>
      </c>
      <c r="G183">
        <v>181</v>
      </c>
    </row>
    <row r="184" spans="1:7" x14ac:dyDescent="0.45">
      <c r="A184">
        <f ca="1">VLOOKUP(dict_zul_Var_Meth[[#This Row],[ignored_rank]],help_zuord_Var_Meth[],2)</f>
        <v>6</v>
      </c>
      <c r="B184">
        <f t="shared" si="4"/>
        <v>131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4">
        <f t="shared" ca="1" si="3"/>
        <v>0.97692464625569186</v>
      </c>
      <c r="E184">
        <f ca="1">RANK(dict_zul_Var_Meth[[#This Row],[ignored_rand]],dict_zul_Var_Meth[ignored_rand])</f>
        <v>21</v>
      </c>
      <c r="F184">
        <f ca="1">ROUNDUP(698/200*help_zuord_Var_Meth[[#This Row],[ignored_help_VarsID]],0)+RANDBETWEEN(0,1)-RANDBETWEEN(0,1)</f>
        <v>636</v>
      </c>
      <c r="G184">
        <v>182</v>
      </c>
    </row>
    <row r="185" spans="1:7" x14ac:dyDescent="0.45">
      <c r="A185">
        <f ca="1">VLOOKUP(dict_zul_Var_Meth[[#This Row],[ignored_rank]],help_zuord_Var_Meth[],2)</f>
        <v>36</v>
      </c>
      <c r="B185">
        <f t="shared" si="4"/>
        <v>132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5">
        <f t="shared" ca="1" si="3"/>
        <v>0.83487780452141791</v>
      </c>
      <c r="E185">
        <f ca="1">RANK(dict_zul_Var_Meth[[#This Row],[ignored_rand]],dict_zul_Var_Meth[ignored_rand])</f>
        <v>127</v>
      </c>
      <c r="F185">
        <f ca="1">ROUNDUP(698/200*help_zuord_Var_Meth[[#This Row],[ignored_help_VarsID]],0)+RANDBETWEEN(0,1)-RANDBETWEEN(0,1)</f>
        <v>640</v>
      </c>
      <c r="G185">
        <v>183</v>
      </c>
    </row>
    <row r="186" spans="1:7" x14ac:dyDescent="0.45">
      <c r="A186">
        <f ca="1">VLOOKUP(dict_zul_Var_Meth[[#This Row],[ignored_rank]],help_zuord_Var_Meth[],2)</f>
        <v>114</v>
      </c>
      <c r="B186">
        <f t="shared" si="4"/>
        <v>133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6">
        <f t="shared" ca="1" si="3"/>
        <v>0.47528156563446511</v>
      </c>
      <c r="E186">
        <f ca="1">RANK(dict_zul_Var_Meth[[#This Row],[ignored_rand]],dict_zul_Var_Meth[ignored_rand])</f>
        <v>399</v>
      </c>
      <c r="F186">
        <f ca="1">ROUNDUP(698/200*help_zuord_Var_Meth[[#This Row],[ignored_help_VarsID]],0)+RANDBETWEEN(0,1)-RANDBETWEEN(0,1)</f>
        <v>643</v>
      </c>
      <c r="G186">
        <v>184</v>
      </c>
    </row>
    <row r="187" spans="1:7" x14ac:dyDescent="0.45">
      <c r="A187">
        <f ca="1">VLOOKUP(dict_zul_Var_Meth[[#This Row],[ignored_rank]],help_zuord_Var_Meth[],2)</f>
        <v>80</v>
      </c>
      <c r="B187">
        <f t="shared" si="4"/>
        <v>134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7">
        <f t="shared" ca="1" si="3"/>
        <v>0.62671148537210919</v>
      </c>
      <c r="E187">
        <f ca="1">RANK(dict_zul_Var_Meth[[#This Row],[ignored_rand]],dict_zul_Var_Meth[ignored_rand])</f>
        <v>281</v>
      </c>
      <c r="F187">
        <f ca="1">ROUNDUP(698/200*help_zuord_Var_Meth[[#This Row],[ignored_help_VarsID]],0)+RANDBETWEEN(0,1)-RANDBETWEEN(0,1)</f>
        <v>646</v>
      </c>
      <c r="G187">
        <v>185</v>
      </c>
    </row>
    <row r="188" spans="1:7" x14ac:dyDescent="0.45">
      <c r="A188">
        <f ca="1">VLOOKUP(dict_zul_Var_Meth[[#This Row],[ignored_rank]],help_zuord_Var_Meth[],2)</f>
        <v>59</v>
      </c>
      <c r="B188">
        <f t="shared" si="4"/>
        <v>135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8">
        <f t="shared" ca="1" si="3"/>
        <v>0.73546606938907733</v>
      </c>
      <c r="E188">
        <f ca="1">RANK(dict_zul_Var_Meth[[#This Row],[ignored_rand]],dict_zul_Var_Meth[ignored_rand])</f>
        <v>205</v>
      </c>
      <c r="F188">
        <f ca="1">ROUNDUP(698/200*help_zuord_Var_Meth[[#This Row],[ignored_help_VarsID]],0)+RANDBETWEEN(0,1)-RANDBETWEEN(0,1)</f>
        <v>651</v>
      </c>
      <c r="G188">
        <v>186</v>
      </c>
    </row>
    <row r="189" spans="1:7" x14ac:dyDescent="0.45">
      <c r="A189">
        <f ca="1">VLOOKUP(dict_zul_Var_Meth[[#This Row],[ignored_rank]],help_zuord_Var_Meth[],2)</f>
        <v>199</v>
      </c>
      <c r="B189">
        <f t="shared" si="4"/>
        <v>136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9">
        <f t="shared" ca="1" si="3"/>
        <v>4.6493633721228833E-2</v>
      </c>
      <c r="E189">
        <f ca="1">RANK(dict_zul_Var_Meth[[#This Row],[ignored_rand]],dict_zul_Var_Meth[ignored_rand])</f>
        <v>720</v>
      </c>
      <c r="F189">
        <f ca="1">ROUNDUP(698/200*help_zuord_Var_Meth[[#This Row],[ignored_help_VarsID]],0)+RANDBETWEEN(0,1)-RANDBETWEEN(0,1)</f>
        <v>653</v>
      </c>
      <c r="G189">
        <v>187</v>
      </c>
    </row>
    <row r="190" spans="1:7" x14ac:dyDescent="0.45">
      <c r="A190">
        <f ca="1">VLOOKUP(dict_zul_Var_Meth[[#This Row],[ignored_rank]],help_zuord_Var_Meth[],2)</f>
        <v>199</v>
      </c>
      <c r="B190">
        <f t="shared" si="4"/>
        <v>137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0">
        <f t="shared" ca="1" si="3"/>
        <v>6.2014083294078759E-2</v>
      </c>
      <c r="E190">
        <f ca="1">RANK(dict_zul_Var_Meth[[#This Row],[ignored_rand]],dict_zul_Var_Meth[ignored_rand])</f>
        <v>699</v>
      </c>
      <c r="F190">
        <f ca="1">ROUNDUP(698/200*help_zuord_Var_Meth[[#This Row],[ignored_help_VarsID]],0)+RANDBETWEEN(0,1)-RANDBETWEEN(0,1)</f>
        <v>657</v>
      </c>
      <c r="G190">
        <v>188</v>
      </c>
    </row>
    <row r="191" spans="1:7" x14ac:dyDescent="0.45">
      <c r="A191">
        <f ca="1">VLOOKUP(dict_zul_Var_Meth[[#This Row],[ignored_rank]],help_zuord_Var_Meth[],2)</f>
        <v>129</v>
      </c>
      <c r="B191">
        <f t="shared" si="4"/>
        <v>138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1">
        <f t="shared" ca="1" si="3"/>
        <v>0.39264656147088106</v>
      </c>
      <c r="E191">
        <f ca="1">RANK(dict_zul_Var_Meth[[#This Row],[ignored_rand]],dict_zul_Var_Meth[ignored_rand])</f>
        <v>452</v>
      </c>
      <c r="F191">
        <f ca="1">ROUNDUP(698/200*help_zuord_Var_Meth[[#This Row],[ignored_help_VarsID]],0)+RANDBETWEEN(0,1)-RANDBETWEEN(0,1)</f>
        <v>659</v>
      </c>
      <c r="G191">
        <v>189</v>
      </c>
    </row>
    <row r="192" spans="1:7" x14ac:dyDescent="0.45">
      <c r="A192">
        <f ca="1">VLOOKUP(dict_zul_Var_Meth[[#This Row],[ignored_rank]],help_zuord_Var_Meth[],2)</f>
        <v>161</v>
      </c>
      <c r="B192">
        <f t="shared" si="4"/>
        <v>139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2">
        <f t="shared" ca="1" si="3"/>
        <v>0.24872260533104273</v>
      </c>
      <c r="E192">
        <f ca="1">RANK(dict_zul_Var_Meth[[#This Row],[ignored_rand]],dict_zul_Var_Meth[ignored_rand])</f>
        <v>564</v>
      </c>
      <c r="F192">
        <f ca="1">ROUNDUP(698/200*help_zuord_Var_Meth[[#This Row],[ignored_help_VarsID]],0)+RANDBETWEEN(0,1)-RANDBETWEEN(0,1)</f>
        <v>663</v>
      </c>
      <c r="G192">
        <v>190</v>
      </c>
    </row>
    <row r="193" spans="1:7" x14ac:dyDescent="0.45">
      <c r="A193">
        <f ca="1">VLOOKUP(dict_zul_Var_Meth[[#This Row],[ignored_rank]],help_zuord_Var_Meth[],2)</f>
        <v>199</v>
      </c>
      <c r="B193">
        <f t="shared" si="4"/>
        <v>140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3">
        <f t="shared" ca="1" si="3"/>
        <v>5.555852424359442E-2</v>
      </c>
      <c r="E193">
        <f ca="1">RANK(dict_zul_Var_Meth[[#This Row],[ignored_rand]],dict_zul_Var_Meth[ignored_rand])</f>
        <v>707</v>
      </c>
      <c r="F193">
        <f ca="1">ROUNDUP(698/200*help_zuord_Var_Meth[[#This Row],[ignored_help_VarsID]],0)+RANDBETWEEN(0,1)-RANDBETWEEN(0,1)</f>
        <v>667</v>
      </c>
      <c r="G193">
        <v>191</v>
      </c>
    </row>
    <row r="194" spans="1:7" x14ac:dyDescent="0.45">
      <c r="A194">
        <f ca="1">VLOOKUP(dict_zul_Var_Meth[[#This Row],[ignored_rank]],help_zuord_Var_Meth[],2)</f>
        <v>40</v>
      </c>
      <c r="B194">
        <f t="shared" si="4"/>
        <v>141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4">
        <f t="shared" ref="D194:D257" ca="1" si="5">RAND()</f>
        <v>0.81155784855752688</v>
      </c>
      <c r="E194">
        <f ca="1">RANK(dict_zul_Var_Meth[[#This Row],[ignored_rand]],dict_zul_Var_Meth[ignored_rand])</f>
        <v>141</v>
      </c>
      <c r="F194">
        <f ca="1">ROUNDUP(698/200*help_zuord_Var_Meth[[#This Row],[ignored_help_VarsID]],0)+RANDBETWEEN(0,1)-RANDBETWEEN(0,1)</f>
        <v>671</v>
      </c>
      <c r="G194">
        <v>192</v>
      </c>
    </row>
    <row r="195" spans="1:7" x14ac:dyDescent="0.45">
      <c r="A195">
        <f ca="1">VLOOKUP(dict_zul_Var_Meth[[#This Row],[ignored_rank]],help_zuord_Var_Meth[],2)</f>
        <v>6</v>
      </c>
      <c r="B195">
        <f t="shared" si="4"/>
        <v>142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5">
        <f t="shared" ca="1" si="5"/>
        <v>0.97616101557206036</v>
      </c>
      <c r="E195">
        <f ca="1">RANK(dict_zul_Var_Meth[[#This Row],[ignored_rand]],dict_zul_Var_Meth[ignored_rand])</f>
        <v>22</v>
      </c>
      <c r="F195">
        <f ca="1">ROUNDUP(698/200*help_zuord_Var_Meth[[#This Row],[ignored_help_VarsID]],0)+RANDBETWEEN(0,1)-RANDBETWEEN(0,1)</f>
        <v>674</v>
      </c>
      <c r="G195">
        <v>193</v>
      </c>
    </row>
    <row r="196" spans="1:7" x14ac:dyDescent="0.45">
      <c r="A196">
        <f ca="1">VLOOKUP(dict_zul_Var_Meth[[#This Row],[ignored_rank]],help_zuord_Var_Meth[],2)</f>
        <v>22</v>
      </c>
      <c r="B196">
        <f t="shared" si="4"/>
        <v>143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6">
        <f t="shared" ca="1" si="5"/>
        <v>0.88962078764315544</v>
      </c>
      <c r="E196">
        <f ca="1">RANK(dict_zul_Var_Meth[[#This Row],[ignored_rand]],dict_zul_Var_Meth[ignored_rand])</f>
        <v>80</v>
      </c>
      <c r="F196">
        <f ca="1">ROUNDUP(698/200*help_zuord_Var_Meth[[#This Row],[ignored_help_VarsID]],0)+RANDBETWEEN(0,1)-RANDBETWEEN(0,1)</f>
        <v>678</v>
      </c>
      <c r="G196">
        <v>194</v>
      </c>
    </row>
    <row r="197" spans="1:7" x14ac:dyDescent="0.45">
      <c r="A197">
        <f ca="1">VLOOKUP(dict_zul_Var_Meth[[#This Row],[ignored_rank]],help_zuord_Var_Meth[],2)</f>
        <v>83</v>
      </c>
      <c r="B197">
        <f t="shared" si="4"/>
        <v>144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7">
        <f t="shared" ca="1" si="5"/>
        <v>0.61791911529037802</v>
      </c>
      <c r="E197">
        <f ca="1">RANK(dict_zul_Var_Meth[[#This Row],[ignored_rand]],dict_zul_Var_Meth[ignored_rand])</f>
        <v>293</v>
      </c>
      <c r="F197">
        <f ca="1">ROUNDUP(698/200*help_zuord_Var_Meth[[#This Row],[ignored_help_VarsID]],0)+RANDBETWEEN(0,1)-RANDBETWEEN(0,1)</f>
        <v>682</v>
      </c>
      <c r="G197">
        <v>195</v>
      </c>
    </row>
    <row r="198" spans="1:7" x14ac:dyDescent="0.45">
      <c r="A198">
        <f ca="1">VLOOKUP(dict_zul_Var_Meth[[#This Row],[ignored_rank]],help_zuord_Var_Meth[],2)</f>
        <v>28</v>
      </c>
      <c r="B198">
        <f t="shared" si="4"/>
        <v>145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8">
        <f t="shared" ca="1" si="5"/>
        <v>0.8645419793123641</v>
      </c>
      <c r="E198">
        <f ca="1">RANK(dict_zul_Var_Meth[[#This Row],[ignored_rand]],dict_zul_Var_Meth[ignored_rand])</f>
        <v>99</v>
      </c>
      <c r="F198">
        <f ca="1">ROUNDUP(698/200*help_zuord_Var_Meth[[#This Row],[ignored_help_VarsID]],0)+RANDBETWEEN(0,1)-RANDBETWEEN(0,1)</f>
        <v>686</v>
      </c>
      <c r="G198">
        <v>196</v>
      </c>
    </row>
    <row r="199" spans="1:7" x14ac:dyDescent="0.45">
      <c r="A199">
        <f ca="1">VLOOKUP(dict_zul_Var_Meth[[#This Row],[ignored_rank]],help_zuord_Var_Meth[],2)</f>
        <v>118</v>
      </c>
      <c r="B199">
        <f t="shared" si="4"/>
        <v>146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9">
        <f t="shared" ca="1" si="5"/>
        <v>0.45096707159718363</v>
      </c>
      <c r="E199">
        <f ca="1">RANK(dict_zul_Var_Meth[[#This Row],[ignored_rand]],dict_zul_Var_Meth[ignored_rand])</f>
        <v>413</v>
      </c>
      <c r="F199">
        <f ca="1">ROUNDUP(698/200*help_zuord_Var_Meth[[#This Row],[ignored_help_VarsID]],0)+RANDBETWEEN(0,1)-RANDBETWEEN(0,1)</f>
        <v>688</v>
      </c>
      <c r="G199">
        <v>197</v>
      </c>
    </row>
    <row r="200" spans="1:7" x14ac:dyDescent="0.45">
      <c r="A200">
        <f ca="1">VLOOKUP(dict_zul_Var_Meth[[#This Row],[ignored_rank]],help_zuord_Var_Meth[],2)</f>
        <v>4</v>
      </c>
      <c r="B200">
        <f t="shared" si="4"/>
        <v>147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0">
        <f t="shared" ca="1" si="5"/>
        <v>0.98412280860598178</v>
      </c>
      <c r="E200">
        <f ca="1">RANK(dict_zul_Var_Meth[[#This Row],[ignored_rand]],dict_zul_Var_Meth[ignored_rand])</f>
        <v>15</v>
      </c>
      <c r="F200">
        <f ca="1">ROUNDUP(698/200*help_zuord_Var_Meth[[#This Row],[ignored_help_VarsID]],0)+RANDBETWEEN(0,1)-RANDBETWEEN(0,1)</f>
        <v>692</v>
      </c>
      <c r="G200">
        <v>198</v>
      </c>
    </row>
    <row r="201" spans="1:7" x14ac:dyDescent="0.45">
      <c r="A201">
        <f ca="1">VLOOKUP(dict_zul_Var_Meth[[#This Row],[ignored_rank]],help_zuord_Var_Meth[],2)</f>
        <v>101</v>
      </c>
      <c r="B201">
        <f t="shared" si="4"/>
        <v>148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1">
        <f t="shared" ca="1" si="5"/>
        <v>0.52831594746430866</v>
      </c>
      <c r="E201">
        <f ca="1">RANK(dict_zul_Var_Meth[[#This Row],[ignored_rand]],dict_zul_Var_Meth[ignored_rand])</f>
        <v>353</v>
      </c>
      <c r="F201">
        <f ca="1">ROUNDUP(698/200*help_zuord_Var_Meth[[#This Row],[ignored_help_VarsID]],0)+RANDBETWEEN(0,1)-RANDBETWEEN(0,1)</f>
        <v>694</v>
      </c>
      <c r="G201">
        <v>199</v>
      </c>
    </row>
    <row r="202" spans="1:7" x14ac:dyDescent="0.45">
      <c r="A202">
        <f ca="1">VLOOKUP(dict_zul_Var_Meth[[#This Row],[ignored_rank]],help_zuord_Var_Meth[],2)</f>
        <v>199</v>
      </c>
      <c r="B202">
        <f t="shared" si="4"/>
        <v>149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2">
        <f t="shared" ca="1" si="5"/>
        <v>1.0036528685526847E-2</v>
      </c>
      <c r="E202">
        <f ca="1">RANK(dict_zul_Var_Meth[[#This Row],[ignored_rand]],dict_zul_Var_Meth[ignored_rand])</f>
        <v>740</v>
      </c>
      <c r="F202">
        <f ca="1">ROUNDUP(748/200*help_zuord_Var_Meth[[#This Row],[ignored_help_VarsID]],0)+RANDBETWEEN(0,1)-RANDBETWEEN(0,1)</f>
        <v>749</v>
      </c>
      <c r="G202">
        <v>200</v>
      </c>
    </row>
    <row r="203" spans="1:7" x14ac:dyDescent="0.45">
      <c r="A203">
        <f ca="1">VLOOKUP(dict_zul_Var_Meth[[#This Row],[ignored_rank]],help_zuord_Var_Meth[],2)</f>
        <v>128</v>
      </c>
      <c r="B203">
        <f t="shared" si="4"/>
        <v>150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3">
        <f t="shared" ca="1" si="5"/>
        <v>0.39606254271012886</v>
      </c>
      <c r="E203">
        <f ca="1">RANK(dict_zul_Var_Meth[[#This Row],[ignored_rand]],dict_zul_Var_Meth[ignored_rand])</f>
        <v>448</v>
      </c>
    </row>
    <row r="204" spans="1:7" x14ac:dyDescent="0.45">
      <c r="A204">
        <f ca="1">VLOOKUP(dict_zul_Var_Meth[[#This Row],[ignored_rank]],help_zuord_Var_Meth[],2)</f>
        <v>43</v>
      </c>
      <c r="B204">
        <f t="shared" si="4"/>
        <v>151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4">
        <f t="shared" ca="1" si="5"/>
        <v>0.79200458037768739</v>
      </c>
      <c r="E204">
        <f ca="1">RANK(dict_zul_Var_Meth[[#This Row],[ignored_rand]],dict_zul_Var_Meth[ignored_rand])</f>
        <v>152</v>
      </c>
    </row>
    <row r="205" spans="1:7" x14ac:dyDescent="0.45">
      <c r="A205">
        <f ca="1">VLOOKUP(dict_zul_Var_Meth[[#This Row],[ignored_rank]],help_zuord_Var_Meth[],2)</f>
        <v>34</v>
      </c>
      <c r="B205">
        <f t="shared" si="4"/>
        <v>152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5">
        <f t="shared" ca="1" si="5"/>
        <v>0.84581622728420569</v>
      </c>
      <c r="E205">
        <f ca="1">RANK(dict_zul_Var_Meth[[#This Row],[ignored_rand]],dict_zul_Var_Meth[ignored_rand])</f>
        <v>121</v>
      </c>
    </row>
    <row r="206" spans="1:7" x14ac:dyDescent="0.45">
      <c r="A206">
        <f ca="1">VLOOKUP(dict_zul_Var_Meth[[#This Row],[ignored_rank]],help_zuord_Var_Meth[],2)</f>
        <v>182</v>
      </c>
      <c r="B206">
        <f t="shared" si="4"/>
        <v>153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6">
        <f t="shared" ca="1" si="5"/>
        <v>0.14734039936290932</v>
      </c>
      <c r="E206">
        <f ca="1">RANK(dict_zul_Var_Meth[[#This Row],[ignored_rand]],dict_zul_Var_Meth[ignored_rand])</f>
        <v>638</v>
      </c>
    </row>
    <row r="207" spans="1:7" x14ac:dyDescent="0.45">
      <c r="A207">
        <f ca="1">VLOOKUP(dict_zul_Var_Meth[[#This Row],[ignored_rank]],help_zuord_Var_Meth[],2)</f>
        <v>186</v>
      </c>
      <c r="B207">
        <f t="shared" si="4"/>
        <v>154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7">
        <f t="shared" ca="1" si="5"/>
        <v>0.13051496723400036</v>
      </c>
      <c r="E207">
        <f ca="1">RANK(dict_zul_Var_Meth[[#This Row],[ignored_rand]],dict_zul_Var_Meth[ignored_rand])</f>
        <v>651</v>
      </c>
    </row>
    <row r="208" spans="1:7" x14ac:dyDescent="0.45">
      <c r="A208">
        <f ca="1">VLOOKUP(dict_zul_Var_Meth[[#This Row],[ignored_rank]],help_zuord_Var_Meth[],2)</f>
        <v>181</v>
      </c>
      <c r="B208">
        <f t="shared" si="4"/>
        <v>155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8">
        <f t="shared" ca="1" si="5"/>
        <v>0.14897787448849376</v>
      </c>
      <c r="E208">
        <f ca="1">RANK(dict_zul_Var_Meth[[#This Row],[ignored_rand]],dict_zul_Var_Meth[ignored_rand])</f>
        <v>635</v>
      </c>
    </row>
    <row r="209" spans="1:5" x14ac:dyDescent="0.45">
      <c r="A209">
        <f ca="1">VLOOKUP(dict_zul_Var_Meth[[#This Row],[ignored_rank]],help_zuord_Var_Meth[],2)</f>
        <v>47</v>
      </c>
      <c r="B209">
        <f t="shared" si="4"/>
        <v>156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9">
        <f t="shared" ca="1" si="5"/>
        <v>0.77474638443939159</v>
      </c>
      <c r="E209">
        <f ca="1">RANK(dict_zul_Var_Meth[[#This Row],[ignored_rand]],dict_zul_Var_Meth[ignored_rand])</f>
        <v>168</v>
      </c>
    </row>
    <row r="210" spans="1:5" x14ac:dyDescent="0.45">
      <c r="A210">
        <f ca="1">VLOOKUP(dict_zul_Var_Meth[[#This Row],[ignored_rank]],help_zuord_Var_Meth[],2)</f>
        <v>142</v>
      </c>
      <c r="B210">
        <f t="shared" si="4"/>
        <v>157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0">
        <f t="shared" ca="1" si="5"/>
        <v>0.32884767148366245</v>
      </c>
      <c r="E210">
        <f ca="1">RANK(dict_zul_Var_Meth[[#This Row],[ignored_rand]],dict_zul_Var_Meth[ignored_rand])</f>
        <v>499</v>
      </c>
    </row>
    <row r="211" spans="1:5" x14ac:dyDescent="0.45">
      <c r="A211">
        <f ca="1">VLOOKUP(dict_zul_Var_Meth[[#This Row],[ignored_rank]],help_zuord_Var_Meth[],2)</f>
        <v>156</v>
      </c>
      <c r="B211">
        <f t="shared" si="4"/>
        <v>158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1">
        <f t="shared" ca="1" si="5"/>
        <v>0.27446442954476891</v>
      </c>
      <c r="E211">
        <f ca="1">RANK(dict_zul_Var_Meth[[#This Row],[ignored_rand]],dict_zul_Var_Meth[ignored_rand])</f>
        <v>545</v>
      </c>
    </row>
    <row r="212" spans="1:5" x14ac:dyDescent="0.45">
      <c r="A212">
        <f ca="1">VLOOKUP(dict_zul_Var_Meth[[#This Row],[ignored_rank]],help_zuord_Var_Meth[],2)</f>
        <v>199</v>
      </c>
      <c r="B212">
        <f t="shared" si="4"/>
        <v>159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2">
        <f t="shared" ca="1" si="5"/>
        <v>5.005162306703681E-2</v>
      </c>
      <c r="E212">
        <f ca="1">RANK(dict_zul_Var_Meth[[#This Row],[ignored_rand]],dict_zul_Var_Meth[ignored_rand])</f>
        <v>716</v>
      </c>
    </row>
    <row r="213" spans="1:5" x14ac:dyDescent="0.45">
      <c r="A213">
        <f ca="1">VLOOKUP(dict_zul_Var_Meth[[#This Row],[ignored_rank]],help_zuord_Var_Meth[],2)</f>
        <v>74</v>
      </c>
      <c r="B213">
        <f t="shared" si="4"/>
        <v>160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3">
        <f t="shared" ca="1" si="5"/>
        <v>0.67061920429163879</v>
      </c>
      <c r="E213">
        <f ca="1">RANK(dict_zul_Var_Meth[[#This Row],[ignored_rand]],dict_zul_Var_Meth[ignored_rand])</f>
        <v>258</v>
      </c>
    </row>
    <row r="214" spans="1:5" x14ac:dyDescent="0.45">
      <c r="A214">
        <f ca="1">VLOOKUP(dict_zul_Var_Meth[[#This Row],[ignored_rank]],help_zuord_Var_Meth[],2)</f>
        <v>199</v>
      </c>
      <c r="B214">
        <f t="shared" si="4"/>
        <v>161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4">
        <f t="shared" ca="1" si="5"/>
        <v>2.1647500934065089E-2</v>
      </c>
      <c r="E214">
        <f ca="1">RANK(dict_zul_Var_Meth[[#This Row],[ignored_rand]],dict_zul_Var_Meth[ignored_rand])</f>
        <v>735</v>
      </c>
    </row>
    <row r="215" spans="1:5" x14ac:dyDescent="0.45">
      <c r="A215">
        <f ca="1">VLOOKUP(dict_zul_Var_Meth[[#This Row],[ignored_rank]],help_zuord_Var_Meth[],2)</f>
        <v>101</v>
      </c>
      <c r="B215">
        <f t="shared" si="4"/>
        <v>162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5">
        <f t="shared" ca="1" si="5"/>
        <v>0.53222367719378472</v>
      </c>
      <c r="E215">
        <f ca="1">RANK(dict_zul_Var_Meth[[#This Row],[ignored_rand]],dict_zul_Var_Meth[ignored_rand])</f>
        <v>352</v>
      </c>
    </row>
    <row r="216" spans="1:5" x14ac:dyDescent="0.45">
      <c r="A216">
        <f ca="1">VLOOKUP(dict_zul_Var_Meth[[#This Row],[ignored_rank]],help_zuord_Var_Meth[],2)</f>
        <v>196</v>
      </c>
      <c r="B216">
        <f t="shared" si="4"/>
        <v>163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6">
        <f t="shared" ca="1" si="5"/>
        <v>8.8289827728082693E-2</v>
      </c>
      <c r="E216">
        <f ca="1">RANK(dict_zul_Var_Meth[[#This Row],[ignored_rand]],dict_zul_Var_Meth[ignored_rand])</f>
        <v>687</v>
      </c>
    </row>
    <row r="217" spans="1:5" x14ac:dyDescent="0.45">
      <c r="A217">
        <f ca="1">VLOOKUP(dict_zul_Var_Meth[[#This Row],[ignored_rank]],help_zuord_Var_Meth[],2)</f>
        <v>196</v>
      </c>
      <c r="B217">
        <f t="shared" si="4"/>
        <v>164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7">
        <f t="shared" ca="1" si="5"/>
        <v>9.0837609505936445E-2</v>
      </c>
      <c r="E217">
        <f ca="1">RANK(dict_zul_Var_Meth[[#This Row],[ignored_rand]],dict_zul_Var_Meth[ignored_rand])</f>
        <v>686</v>
      </c>
    </row>
    <row r="218" spans="1:5" x14ac:dyDescent="0.45">
      <c r="A218">
        <f ca="1">VLOOKUP(dict_zul_Var_Meth[[#This Row],[ignored_rank]],help_zuord_Var_Meth[],2)</f>
        <v>91</v>
      </c>
      <c r="B218">
        <f t="shared" si="4"/>
        <v>165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8">
        <f t="shared" ca="1" si="5"/>
        <v>0.5717318081926539</v>
      </c>
      <c r="E218">
        <f ca="1">RANK(dict_zul_Var_Meth[[#This Row],[ignored_rand]],dict_zul_Var_Meth[ignored_rand])</f>
        <v>318</v>
      </c>
    </row>
    <row r="219" spans="1:5" x14ac:dyDescent="0.45">
      <c r="A219">
        <f ca="1">VLOOKUP(dict_zul_Var_Meth[[#This Row],[ignored_rank]],help_zuord_Var_Meth[],2)</f>
        <v>184</v>
      </c>
      <c r="B219">
        <f t="shared" si="4"/>
        <v>166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9">
        <f t="shared" ca="1" si="5"/>
        <v>0.13636750681922671</v>
      </c>
      <c r="E219">
        <f ca="1">RANK(dict_zul_Var_Meth[[#This Row],[ignored_rand]],dict_zul_Var_Meth[ignored_rand])</f>
        <v>645</v>
      </c>
    </row>
    <row r="220" spans="1:5" x14ac:dyDescent="0.45">
      <c r="A220">
        <f ca="1">VLOOKUP(dict_zul_Var_Meth[[#This Row],[ignored_rank]],help_zuord_Var_Meth[],2)</f>
        <v>7</v>
      </c>
      <c r="B220">
        <f t="shared" si="4"/>
        <v>167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0">
        <f t="shared" ca="1" si="5"/>
        <v>0.96670664144935003</v>
      </c>
      <c r="E220">
        <f ca="1">RANK(dict_zul_Var_Meth[[#This Row],[ignored_rand]],dict_zul_Var_Meth[ignored_rand])</f>
        <v>27</v>
      </c>
    </row>
    <row r="221" spans="1:5" x14ac:dyDescent="0.45">
      <c r="A221">
        <f ca="1">VLOOKUP(dict_zul_Var_Meth[[#This Row],[ignored_rank]],help_zuord_Var_Meth[],2)</f>
        <v>194</v>
      </c>
      <c r="B221">
        <f t="shared" si="4"/>
        <v>168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1">
        <f t="shared" ca="1" si="5"/>
        <v>9.9487035097601484E-2</v>
      </c>
      <c r="E221">
        <f ca="1">RANK(dict_zul_Var_Meth[[#This Row],[ignored_rand]],dict_zul_Var_Meth[ignored_rand])</f>
        <v>680</v>
      </c>
    </row>
    <row r="222" spans="1:5" x14ac:dyDescent="0.45">
      <c r="A222">
        <f ca="1">VLOOKUP(dict_zul_Var_Meth[[#This Row],[ignored_rank]],help_zuord_Var_Meth[],2)</f>
        <v>38</v>
      </c>
      <c r="B222">
        <f t="shared" si="4"/>
        <v>169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2">
        <f t="shared" ca="1" si="5"/>
        <v>0.82426079149369025</v>
      </c>
      <c r="E222">
        <f ca="1">RANK(dict_zul_Var_Meth[[#This Row],[ignored_rand]],dict_zul_Var_Meth[ignored_rand])</f>
        <v>135</v>
      </c>
    </row>
    <row r="223" spans="1:5" x14ac:dyDescent="0.45">
      <c r="A223">
        <f ca="1">VLOOKUP(dict_zul_Var_Meth[[#This Row],[ignored_rank]],help_zuord_Var_Meth[],2)</f>
        <v>34</v>
      </c>
      <c r="B223">
        <f t="shared" si="4"/>
        <v>170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3">
        <f t="shared" ca="1" si="5"/>
        <v>0.84513739330975368</v>
      </c>
      <c r="E223">
        <f ca="1">RANK(dict_zul_Var_Meth[[#This Row],[ignored_rand]],dict_zul_Var_Meth[ignored_rand])</f>
        <v>123</v>
      </c>
    </row>
    <row r="224" spans="1:5" x14ac:dyDescent="0.45">
      <c r="A224">
        <f ca="1">VLOOKUP(dict_zul_Var_Meth[[#This Row],[ignored_rank]],help_zuord_Var_Meth[],2)</f>
        <v>89</v>
      </c>
      <c r="B224">
        <f t="shared" si="4"/>
        <v>171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4">
        <f t="shared" ca="1" si="5"/>
        <v>0.58012757533636439</v>
      </c>
      <c r="E224">
        <f ca="1">RANK(dict_zul_Var_Meth[[#This Row],[ignored_rand]],dict_zul_Var_Meth[ignored_rand])</f>
        <v>314</v>
      </c>
    </row>
    <row r="225" spans="1:5" x14ac:dyDescent="0.45">
      <c r="A225">
        <f ca="1">VLOOKUP(dict_zul_Var_Meth[[#This Row],[ignored_rank]],help_zuord_Var_Meth[],2)</f>
        <v>117</v>
      </c>
      <c r="B225">
        <f t="shared" si="4"/>
        <v>172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5">
        <f t="shared" ca="1" si="5"/>
        <v>0.45514675539197624</v>
      </c>
      <c r="E225">
        <f ca="1">RANK(dict_zul_Var_Meth[[#This Row],[ignored_rand]],dict_zul_Var_Meth[ignored_rand])</f>
        <v>410</v>
      </c>
    </row>
    <row r="226" spans="1:5" x14ac:dyDescent="0.45">
      <c r="A226">
        <f ca="1">VLOOKUP(dict_zul_Var_Meth[[#This Row],[ignored_rank]],help_zuord_Var_Meth[],2)</f>
        <v>135</v>
      </c>
      <c r="B226">
        <f t="shared" si="4"/>
        <v>173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6">
        <f t="shared" ca="1" si="5"/>
        <v>0.36265990256182656</v>
      </c>
      <c r="E226">
        <f ca="1">RANK(dict_zul_Var_Meth[[#This Row],[ignored_rand]],dict_zul_Var_Meth[ignored_rand])</f>
        <v>474</v>
      </c>
    </row>
    <row r="227" spans="1:5" x14ac:dyDescent="0.45">
      <c r="A227">
        <f ca="1">VLOOKUP(dict_zul_Var_Meth[[#This Row],[ignored_rank]],help_zuord_Var_Meth[],2)</f>
        <v>39</v>
      </c>
      <c r="B227">
        <f t="shared" si="4"/>
        <v>174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7">
        <f t="shared" ca="1" si="5"/>
        <v>0.8130380363704488</v>
      </c>
      <c r="E227">
        <f ca="1">RANK(dict_zul_Var_Meth[[#This Row],[ignored_rand]],dict_zul_Var_Meth[ignored_rand])</f>
        <v>139</v>
      </c>
    </row>
    <row r="228" spans="1:5" x14ac:dyDescent="0.45">
      <c r="A228">
        <f ca="1">VLOOKUP(dict_zul_Var_Meth[[#This Row],[ignored_rank]],help_zuord_Var_Meth[],2)</f>
        <v>96</v>
      </c>
      <c r="B228">
        <f t="shared" si="4"/>
        <v>175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8">
        <f t="shared" ca="1" si="5"/>
        <v>0.55167814159784778</v>
      </c>
      <c r="E228">
        <f ca="1">RANK(dict_zul_Var_Meth[[#This Row],[ignored_rand]],dict_zul_Var_Meth[ignored_rand])</f>
        <v>336</v>
      </c>
    </row>
    <row r="229" spans="1:5" x14ac:dyDescent="0.45">
      <c r="A229">
        <f ca="1">VLOOKUP(dict_zul_Var_Meth[[#This Row],[ignored_rank]],help_zuord_Var_Meth[],2)</f>
        <v>31</v>
      </c>
      <c r="B229">
        <f t="shared" si="4"/>
        <v>176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9">
        <f t="shared" ca="1" si="5"/>
        <v>0.85199446827694647</v>
      </c>
      <c r="E229">
        <f ca="1">RANK(dict_zul_Var_Meth[[#This Row],[ignored_rand]],dict_zul_Var_Meth[ignored_rand])</f>
        <v>111</v>
      </c>
    </row>
    <row r="230" spans="1:5" x14ac:dyDescent="0.45">
      <c r="A230">
        <f ca="1">VLOOKUP(dict_zul_Var_Meth[[#This Row],[ignored_rank]],help_zuord_Var_Meth[],2)</f>
        <v>113</v>
      </c>
      <c r="B230">
        <f t="shared" si="4"/>
        <v>177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0">
        <f t="shared" ca="1" si="5"/>
        <v>0.47744028739848376</v>
      </c>
      <c r="E230">
        <f ca="1">RANK(dict_zul_Var_Meth[[#This Row],[ignored_rand]],dict_zul_Var_Meth[ignored_rand])</f>
        <v>395</v>
      </c>
    </row>
    <row r="231" spans="1:5" x14ac:dyDescent="0.45">
      <c r="A231">
        <f ca="1">VLOOKUP(dict_zul_Var_Meth[[#This Row],[ignored_rank]],help_zuord_Var_Meth[],2)</f>
        <v>105</v>
      </c>
      <c r="B231">
        <f t="shared" si="4"/>
        <v>178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1">
        <f t="shared" ca="1" si="5"/>
        <v>0.51330991421900019</v>
      </c>
      <c r="E231">
        <f ca="1">RANK(dict_zul_Var_Meth[[#This Row],[ignored_rand]],dict_zul_Var_Meth[ignored_rand])</f>
        <v>369</v>
      </c>
    </row>
    <row r="232" spans="1:5" x14ac:dyDescent="0.45">
      <c r="A232">
        <f ca="1">VLOOKUP(dict_zul_Var_Meth[[#This Row],[ignored_rank]],help_zuord_Var_Meth[],2)</f>
        <v>155</v>
      </c>
      <c r="B232">
        <f t="shared" ref="B232:B295" si="6">B231+1</f>
        <v>179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2">
        <f t="shared" ca="1" si="5"/>
        <v>0.27886042347967699</v>
      </c>
      <c r="E232">
        <f ca="1">RANK(dict_zul_Var_Meth[[#This Row],[ignored_rand]],dict_zul_Var_Meth[ignored_rand])</f>
        <v>543</v>
      </c>
    </row>
    <row r="233" spans="1:5" x14ac:dyDescent="0.45">
      <c r="A233">
        <f ca="1">VLOOKUP(dict_zul_Var_Meth[[#This Row],[ignored_rank]],help_zuord_Var_Meth[],2)</f>
        <v>25</v>
      </c>
      <c r="B233">
        <f t="shared" si="6"/>
        <v>180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3">
        <f t="shared" ca="1" si="5"/>
        <v>0.87619180915571893</v>
      </c>
      <c r="E233">
        <f ca="1">RANK(dict_zul_Var_Meth[[#This Row],[ignored_rand]],dict_zul_Var_Meth[ignored_rand])</f>
        <v>89</v>
      </c>
    </row>
    <row r="234" spans="1:5" x14ac:dyDescent="0.45">
      <c r="A234">
        <f ca="1">VLOOKUP(dict_zul_Var_Meth[[#This Row],[ignored_rank]],help_zuord_Var_Meth[],2)</f>
        <v>8</v>
      </c>
      <c r="B234">
        <f t="shared" si="6"/>
        <v>181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4">
        <f t="shared" ca="1" si="5"/>
        <v>0.96328999721431985</v>
      </c>
      <c r="E234">
        <f ca="1">RANK(dict_zul_Var_Meth[[#This Row],[ignored_rand]],dict_zul_Var_Meth[ignored_rand])</f>
        <v>30</v>
      </c>
    </row>
    <row r="235" spans="1:5" x14ac:dyDescent="0.45">
      <c r="A235">
        <f ca="1">VLOOKUP(dict_zul_Var_Meth[[#This Row],[ignored_rank]],help_zuord_Var_Meth[],2)</f>
        <v>93</v>
      </c>
      <c r="B235">
        <f t="shared" si="6"/>
        <v>182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5">
        <f t="shared" ca="1" si="5"/>
        <v>0.55873235004834509</v>
      </c>
      <c r="E235">
        <f ca="1">RANK(dict_zul_Var_Meth[[#This Row],[ignored_rand]],dict_zul_Var_Meth[ignored_rand])</f>
        <v>327</v>
      </c>
    </row>
    <row r="236" spans="1:5" x14ac:dyDescent="0.45">
      <c r="A236">
        <f ca="1">VLOOKUP(dict_zul_Var_Meth[[#This Row],[ignored_rank]],help_zuord_Var_Meth[],2)</f>
        <v>11</v>
      </c>
      <c r="B236">
        <f t="shared" si="6"/>
        <v>183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6">
        <f t="shared" ca="1" si="5"/>
        <v>0.94817349032975673</v>
      </c>
      <c r="E236">
        <f ca="1">RANK(dict_zul_Var_Meth[[#This Row],[ignored_rand]],dict_zul_Var_Meth[ignored_rand])</f>
        <v>41</v>
      </c>
    </row>
    <row r="237" spans="1:5" x14ac:dyDescent="0.45">
      <c r="A237">
        <f ca="1">VLOOKUP(dict_zul_Var_Meth[[#This Row],[ignored_rank]],help_zuord_Var_Meth[],2)</f>
        <v>61</v>
      </c>
      <c r="B237">
        <f t="shared" si="6"/>
        <v>184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7">
        <f t="shared" ca="1" si="5"/>
        <v>0.71502200333902077</v>
      </c>
      <c r="E237">
        <f ca="1">RANK(dict_zul_Var_Meth[[#This Row],[ignored_rand]],dict_zul_Var_Meth[ignored_rand])</f>
        <v>214</v>
      </c>
    </row>
    <row r="238" spans="1:5" x14ac:dyDescent="0.45">
      <c r="A238">
        <f ca="1">VLOOKUP(dict_zul_Var_Meth[[#This Row],[ignored_rank]],help_zuord_Var_Meth[],2)</f>
        <v>29</v>
      </c>
      <c r="B238">
        <f t="shared" si="6"/>
        <v>185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8">
        <f t="shared" ca="1" si="5"/>
        <v>0.85889061684477941</v>
      </c>
      <c r="E238">
        <f ca="1">RANK(dict_zul_Var_Meth[[#This Row],[ignored_rand]],dict_zul_Var_Meth[ignored_rand])</f>
        <v>105</v>
      </c>
    </row>
    <row r="239" spans="1:5" x14ac:dyDescent="0.45">
      <c r="A239">
        <f ca="1">VLOOKUP(dict_zul_Var_Meth[[#This Row],[ignored_rank]],help_zuord_Var_Meth[],2)</f>
        <v>97</v>
      </c>
      <c r="B239">
        <f t="shared" si="6"/>
        <v>186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9">
        <f t="shared" ca="1" si="5"/>
        <v>0.54687392661005918</v>
      </c>
      <c r="E239">
        <f ca="1">RANK(dict_zul_Var_Meth[[#This Row],[ignored_rand]],dict_zul_Var_Meth[ignored_rand])</f>
        <v>340</v>
      </c>
    </row>
    <row r="240" spans="1:5" x14ac:dyDescent="0.45">
      <c r="A240">
        <f ca="1">VLOOKUP(dict_zul_Var_Meth[[#This Row],[ignored_rank]],help_zuord_Var_Meth[],2)</f>
        <v>118</v>
      </c>
      <c r="B240">
        <f t="shared" si="6"/>
        <v>187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0">
        <f t="shared" ca="1" si="5"/>
        <v>0.44638499015994038</v>
      </c>
      <c r="E240">
        <f ca="1">RANK(dict_zul_Var_Meth[[#This Row],[ignored_rand]],dict_zul_Var_Meth[ignored_rand])</f>
        <v>416</v>
      </c>
    </row>
    <row r="241" spans="1:5" x14ac:dyDescent="0.45">
      <c r="A241">
        <f ca="1">VLOOKUP(dict_zul_Var_Meth[[#This Row],[ignored_rank]],help_zuord_Var_Meth[],2)</f>
        <v>199</v>
      </c>
      <c r="B241">
        <f t="shared" si="6"/>
        <v>188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1">
        <f t="shared" ca="1" si="5"/>
        <v>1.1469770745371255E-2</v>
      </c>
      <c r="E241">
        <f ca="1">RANK(dict_zul_Var_Meth[[#This Row],[ignored_rand]],dict_zul_Var_Meth[ignored_rand])</f>
        <v>739</v>
      </c>
    </row>
    <row r="242" spans="1:5" x14ac:dyDescent="0.45">
      <c r="A242">
        <f ca="1">VLOOKUP(dict_zul_Var_Meth[[#This Row],[ignored_rank]],help_zuord_Var_Meth[],2)</f>
        <v>112</v>
      </c>
      <c r="B242">
        <f t="shared" si="6"/>
        <v>189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2">
        <f t="shared" ca="1" si="5"/>
        <v>0.48579078197685999</v>
      </c>
      <c r="E242">
        <f ca="1">RANK(dict_zul_Var_Meth[[#This Row],[ignored_rand]],dict_zul_Var_Meth[ignored_rand])</f>
        <v>391</v>
      </c>
    </row>
    <row r="243" spans="1:5" x14ac:dyDescent="0.45">
      <c r="A243">
        <f ca="1">VLOOKUP(dict_zul_Var_Meth[[#This Row],[ignored_rank]],help_zuord_Var_Meth[],2)</f>
        <v>104</v>
      </c>
      <c r="B243">
        <f t="shared" si="6"/>
        <v>190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3">
        <f t="shared" ca="1" si="5"/>
        <v>0.51870961383291991</v>
      </c>
      <c r="E243">
        <f ca="1">RANK(dict_zul_Var_Meth[[#This Row],[ignored_rand]],dict_zul_Var_Meth[ignored_rand])</f>
        <v>365</v>
      </c>
    </row>
    <row r="244" spans="1:5" x14ac:dyDescent="0.45">
      <c r="A244">
        <f ca="1">VLOOKUP(dict_zul_Var_Meth[[#This Row],[ignored_rank]],help_zuord_Var_Meth[],2)</f>
        <v>191</v>
      </c>
      <c r="B244">
        <f t="shared" si="6"/>
        <v>191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4">
        <f t="shared" ca="1" si="5"/>
        <v>0.1096922478675354</v>
      </c>
      <c r="E244">
        <f ca="1">RANK(dict_zul_Var_Meth[[#This Row],[ignored_rand]],dict_zul_Var_Meth[ignored_rand])</f>
        <v>668</v>
      </c>
    </row>
    <row r="245" spans="1:5" x14ac:dyDescent="0.45">
      <c r="A245">
        <f ca="1">VLOOKUP(dict_zul_Var_Meth[[#This Row],[ignored_rank]],help_zuord_Var_Meth[],2)</f>
        <v>9</v>
      </c>
      <c r="B245">
        <f t="shared" si="6"/>
        <v>192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5">
        <f t="shared" ca="1" si="5"/>
        <v>0.96006083878293857</v>
      </c>
      <c r="E245">
        <f ca="1">RANK(dict_zul_Var_Meth[[#This Row],[ignored_rand]],dict_zul_Var_Meth[ignored_rand])</f>
        <v>34</v>
      </c>
    </row>
    <row r="246" spans="1:5" x14ac:dyDescent="0.45">
      <c r="A246">
        <f ca="1">VLOOKUP(dict_zul_Var_Meth[[#This Row],[ignored_rank]],help_zuord_Var_Meth[],2)</f>
        <v>44</v>
      </c>
      <c r="B246">
        <f t="shared" si="6"/>
        <v>193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6">
        <f t="shared" ca="1" si="5"/>
        <v>0.78818456908923917</v>
      </c>
      <c r="E246">
        <f ca="1">RANK(dict_zul_Var_Meth[[#This Row],[ignored_rand]],dict_zul_Var_Meth[ignored_rand])</f>
        <v>156</v>
      </c>
    </row>
    <row r="247" spans="1:5" x14ac:dyDescent="0.45">
      <c r="A247">
        <f ca="1">VLOOKUP(dict_zul_Var_Meth[[#This Row],[ignored_rank]],help_zuord_Var_Meth[],2)</f>
        <v>94</v>
      </c>
      <c r="B247">
        <f t="shared" si="6"/>
        <v>194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7">
        <f t="shared" ca="1" si="5"/>
        <v>0.55787596351705837</v>
      </c>
      <c r="E247">
        <f ca="1">RANK(dict_zul_Var_Meth[[#This Row],[ignored_rand]],dict_zul_Var_Meth[ignored_rand])</f>
        <v>329</v>
      </c>
    </row>
    <row r="248" spans="1:5" x14ac:dyDescent="0.45">
      <c r="A248">
        <f ca="1">VLOOKUP(dict_zul_Var_Meth[[#This Row],[ignored_rank]],help_zuord_Var_Meth[],2)</f>
        <v>31</v>
      </c>
      <c r="B248">
        <f t="shared" si="6"/>
        <v>195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8">
        <f t="shared" ca="1" si="5"/>
        <v>0.85259079487626899</v>
      </c>
      <c r="E248">
        <f ca="1">RANK(dict_zul_Var_Meth[[#This Row],[ignored_rand]],dict_zul_Var_Meth[ignored_rand])</f>
        <v>109</v>
      </c>
    </row>
    <row r="249" spans="1:5" x14ac:dyDescent="0.45">
      <c r="A249">
        <f ca="1">VLOOKUP(dict_zul_Var_Meth[[#This Row],[ignored_rank]],help_zuord_Var_Meth[],2)</f>
        <v>199</v>
      </c>
      <c r="B249">
        <f t="shared" si="6"/>
        <v>196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9">
        <f t="shared" ca="1" si="5"/>
        <v>4.9356610501629095E-2</v>
      </c>
      <c r="E249">
        <f ca="1">RANK(dict_zul_Var_Meth[[#This Row],[ignored_rand]],dict_zul_Var_Meth[ignored_rand])</f>
        <v>717</v>
      </c>
    </row>
    <row r="250" spans="1:5" x14ac:dyDescent="0.45">
      <c r="A250">
        <f ca="1">VLOOKUP(dict_zul_Var_Meth[[#This Row],[ignored_rank]],help_zuord_Var_Meth[],2)</f>
        <v>8</v>
      </c>
      <c r="B250">
        <f t="shared" si="6"/>
        <v>197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0">
        <f t="shared" ca="1" si="5"/>
        <v>0.96429195509384202</v>
      </c>
      <c r="E250">
        <f ca="1">RANK(dict_zul_Var_Meth[[#This Row],[ignored_rand]],dict_zul_Var_Meth[ignored_rand])</f>
        <v>28</v>
      </c>
    </row>
    <row r="251" spans="1:5" x14ac:dyDescent="0.45">
      <c r="A251">
        <f ca="1">VLOOKUP(dict_zul_Var_Meth[[#This Row],[ignored_rank]],help_zuord_Var_Meth[],2)</f>
        <v>4</v>
      </c>
      <c r="B251">
        <f t="shared" si="6"/>
        <v>198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1">
        <f t="shared" ca="1" si="5"/>
        <v>0.98158285166081494</v>
      </c>
      <c r="E251">
        <f ca="1">RANK(dict_zul_Var_Meth[[#This Row],[ignored_rand]],dict_zul_Var_Meth[ignored_rand])</f>
        <v>17</v>
      </c>
    </row>
    <row r="252" spans="1:5" x14ac:dyDescent="0.45">
      <c r="A252">
        <f ca="1">VLOOKUP(dict_zul_Var_Meth[[#This Row],[ignored_rank]],help_zuord_Var_Meth[],2)</f>
        <v>31</v>
      </c>
      <c r="B252">
        <f t="shared" si="6"/>
        <v>199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2">
        <f t="shared" ca="1" si="5"/>
        <v>0.85218248671543428</v>
      </c>
      <c r="E252">
        <f ca="1">RANK(dict_zul_Var_Meth[[#This Row],[ignored_rand]],dict_zul_Var_Meth[ignored_rand])</f>
        <v>110</v>
      </c>
    </row>
    <row r="253" spans="1:5" x14ac:dyDescent="0.45">
      <c r="A253">
        <f ca="1">VLOOKUP(dict_zul_Var_Meth[[#This Row],[ignored_rank]],help_zuord_Var_Meth[],2)</f>
        <v>108</v>
      </c>
      <c r="B253">
        <f t="shared" si="6"/>
        <v>200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3">
        <f t="shared" ca="1" si="5"/>
        <v>0.50800126258923317</v>
      </c>
      <c r="E253">
        <f ca="1">RANK(dict_zul_Var_Meth[[#This Row],[ignored_rand]],dict_zul_Var_Meth[ignored_rand])</f>
        <v>376</v>
      </c>
    </row>
    <row r="254" spans="1:5" x14ac:dyDescent="0.45">
      <c r="A254">
        <f ca="1">VLOOKUP(dict_zul_Var_Meth[[#This Row],[ignored_rank]],help_zuord_Var_Meth[],2)</f>
        <v>139</v>
      </c>
      <c r="B254">
        <f t="shared" si="6"/>
        <v>201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4">
        <f t="shared" ca="1" si="5"/>
        <v>0.34645743635631643</v>
      </c>
      <c r="E254">
        <f ca="1">RANK(dict_zul_Var_Meth[[#This Row],[ignored_rand]],dict_zul_Var_Meth[ignored_rand])</f>
        <v>488</v>
      </c>
    </row>
    <row r="255" spans="1:5" x14ac:dyDescent="0.45">
      <c r="A255">
        <f ca="1">VLOOKUP(dict_zul_Var_Meth[[#This Row],[ignored_rank]],help_zuord_Var_Meth[],2)</f>
        <v>144</v>
      </c>
      <c r="B255">
        <f t="shared" si="6"/>
        <v>202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5">
        <f t="shared" ca="1" si="5"/>
        <v>0.32441927959879036</v>
      </c>
      <c r="E255">
        <f ca="1">RANK(dict_zul_Var_Meth[[#This Row],[ignored_rand]],dict_zul_Var_Meth[ignored_rand])</f>
        <v>504</v>
      </c>
    </row>
    <row r="256" spans="1:5" x14ac:dyDescent="0.45">
      <c r="A256">
        <f ca="1">VLOOKUP(dict_zul_Var_Meth[[#This Row],[ignored_rank]],help_zuord_Var_Meth[],2)</f>
        <v>199</v>
      </c>
      <c r="B256">
        <f t="shared" si="6"/>
        <v>203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6">
        <f t="shared" ca="1" si="5"/>
        <v>1.6052036020172911E-2</v>
      </c>
      <c r="E256">
        <f ca="1">RANK(dict_zul_Var_Meth[[#This Row],[ignored_rand]],dict_zul_Var_Meth[ignored_rand])</f>
        <v>738</v>
      </c>
    </row>
    <row r="257" spans="1:5" x14ac:dyDescent="0.45">
      <c r="A257">
        <f ca="1">VLOOKUP(dict_zul_Var_Meth[[#This Row],[ignored_rank]],help_zuord_Var_Meth[],2)</f>
        <v>199</v>
      </c>
      <c r="B257">
        <f t="shared" si="6"/>
        <v>204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7">
        <f t="shared" ca="1" si="5"/>
        <v>8.8174984273715618E-3</v>
      </c>
      <c r="E257">
        <f ca="1">RANK(dict_zul_Var_Meth[[#This Row],[ignored_rand]],dict_zul_Var_Meth[ignored_rand])</f>
        <v>744</v>
      </c>
    </row>
    <row r="258" spans="1:5" x14ac:dyDescent="0.45">
      <c r="A258">
        <f ca="1">VLOOKUP(dict_zul_Var_Meth[[#This Row],[ignored_rank]],help_zuord_Var_Meth[],2)</f>
        <v>79</v>
      </c>
      <c r="B258">
        <f t="shared" si="6"/>
        <v>205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8">
        <f t="shared" ref="D258:D321" ca="1" si="7">RAND()</f>
        <v>0.63302592287202208</v>
      </c>
      <c r="E258">
        <f ca="1">RANK(dict_zul_Var_Meth[[#This Row],[ignored_rand]],dict_zul_Var_Meth[ignored_rand])</f>
        <v>278</v>
      </c>
    </row>
    <row r="259" spans="1:5" x14ac:dyDescent="0.45">
      <c r="A259">
        <f ca="1">VLOOKUP(dict_zul_Var_Meth[[#This Row],[ignored_rank]],help_zuord_Var_Meth[],2)</f>
        <v>128</v>
      </c>
      <c r="B259">
        <f t="shared" si="6"/>
        <v>206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9">
        <f t="shared" ca="1" si="7"/>
        <v>0.3926743784063762</v>
      </c>
      <c r="E259">
        <f ca="1">RANK(dict_zul_Var_Meth[[#This Row],[ignored_rand]],dict_zul_Var_Meth[ignored_rand])</f>
        <v>451</v>
      </c>
    </row>
    <row r="260" spans="1:5" x14ac:dyDescent="0.45">
      <c r="A260">
        <f ca="1">VLOOKUP(dict_zul_Var_Meth[[#This Row],[ignored_rank]],help_zuord_Var_Meth[],2)</f>
        <v>61</v>
      </c>
      <c r="B260">
        <f t="shared" si="6"/>
        <v>207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0">
        <f t="shared" ca="1" si="7"/>
        <v>0.71562960641988105</v>
      </c>
      <c r="E260">
        <f ca="1">RANK(dict_zul_Var_Meth[[#This Row],[ignored_rand]],dict_zul_Var_Meth[ignored_rand])</f>
        <v>213</v>
      </c>
    </row>
    <row r="261" spans="1:5" x14ac:dyDescent="0.45">
      <c r="A261">
        <f ca="1">VLOOKUP(dict_zul_Var_Meth[[#This Row],[ignored_rank]],help_zuord_Var_Meth[],2)</f>
        <v>128</v>
      </c>
      <c r="B261">
        <f t="shared" si="6"/>
        <v>208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1">
        <f t="shared" ca="1" si="7"/>
        <v>0.39561742672868871</v>
      </c>
      <c r="E261">
        <f ca="1">RANK(dict_zul_Var_Meth[[#This Row],[ignored_rand]],dict_zul_Var_Meth[ignored_rand])</f>
        <v>449</v>
      </c>
    </row>
    <row r="262" spans="1:5" x14ac:dyDescent="0.45">
      <c r="A262">
        <f ca="1">VLOOKUP(dict_zul_Var_Meth[[#This Row],[ignored_rank]],help_zuord_Var_Meth[],2)</f>
        <v>33</v>
      </c>
      <c r="B262">
        <f t="shared" si="6"/>
        <v>209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2">
        <f t="shared" ca="1" si="7"/>
        <v>0.84943938700197574</v>
      </c>
      <c r="E262">
        <f ca="1">RANK(dict_zul_Var_Meth[[#This Row],[ignored_rand]],dict_zul_Var_Meth[ignored_rand])</f>
        <v>116</v>
      </c>
    </row>
    <row r="263" spans="1:5" x14ac:dyDescent="0.45">
      <c r="A263">
        <f ca="1">VLOOKUP(dict_zul_Var_Meth[[#This Row],[ignored_rank]],help_zuord_Var_Meth[],2)</f>
        <v>37</v>
      </c>
      <c r="B263">
        <f t="shared" si="6"/>
        <v>210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3">
        <f t="shared" ca="1" si="7"/>
        <v>0.83158448926424589</v>
      </c>
      <c r="E263">
        <f ca="1">RANK(dict_zul_Var_Meth[[#This Row],[ignored_rand]],dict_zul_Var_Meth[ignored_rand])</f>
        <v>130</v>
      </c>
    </row>
    <row r="264" spans="1:5" x14ac:dyDescent="0.45">
      <c r="A264">
        <f ca="1">VLOOKUP(dict_zul_Var_Meth[[#This Row],[ignored_rank]],help_zuord_Var_Meth[],2)</f>
        <v>54</v>
      </c>
      <c r="B264">
        <f t="shared" si="6"/>
        <v>211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4">
        <f t="shared" ca="1" si="7"/>
        <v>0.75409310361006876</v>
      </c>
      <c r="E264">
        <f ca="1">RANK(dict_zul_Var_Meth[[#This Row],[ignored_rand]],dict_zul_Var_Meth[ignored_rand])</f>
        <v>191</v>
      </c>
    </row>
    <row r="265" spans="1:5" x14ac:dyDescent="0.45">
      <c r="A265">
        <f ca="1">VLOOKUP(dict_zul_Var_Meth[[#This Row],[ignored_rank]],help_zuord_Var_Meth[],2)</f>
        <v>87</v>
      </c>
      <c r="B265">
        <f t="shared" si="6"/>
        <v>212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5">
        <f t="shared" ca="1" si="7"/>
        <v>0.58920580929755439</v>
      </c>
      <c r="E265">
        <f ca="1">RANK(dict_zul_Var_Meth[[#This Row],[ignored_rand]],dict_zul_Var_Meth[ignored_rand])</f>
        <v>308</v>
      </c>
    </row>
    <row r="266" spans="1:5" x14ac:dyDescent="0.45">
      <c r="A266">
        <f ca="1">VLOOKUP(dict_zul_Var_Meth[[#This Row],[ignored_rank]],help_zuord_Var_Meth[],2)</f>
        <v>98</v>
      </c>
      <c r="B266">
        <f t="shared" si="6"/>
        <v>213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6">
        <f t="shared" ca="1" si="7"/>
        <v>0.54044159767099142</v>
      </c>
      <c r="E266">
        <f ca="1">RANK(dict_zul_Var_Meth[[#This Row],[ignored_rand]],dict_zul_Var_Meth[ignored_rand])</f>
        <v>344</v>
      </c>
    </row>
    <row r="267" spans="1:5" x14ac:dyDescent="0.45">
      <c r="A267">
        <f ca="1">VLOOKUP(dict_zul_Var_Meth[[#This Row],[ignored_rank]],help_zuord_Var_Meth[],2)</f>
        <v>151</v>
      </c>
      <c r="B267">
        <f t="shared" si="6"/>
        <v>214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7">
        <f t="shared" ca="1" si="7"/>
        <v>0.29130210817441848</v>
      </c>
      <c r="E267">
        <f ca="1">RANK(dict_zul_Var_Meth[[#This Row],[ignored_rand]],dict_zul_Var_Meth[ignored_rand])</f>
        <v>529</v>
      </c>
    </row>
    <row r="268" spans="1:5" x14ac:dyDescent="0.45">
      <c r="A268">
        <f ca="1">VLOOKUP(dict_zul_Var_Meth[[#This Row],[ignored_rank]],help_zuord_Var_Meth[],2)</f>
        <v>124</v>
      </c>
      <c r="B268">
        <f t="shared" si="6"/>
        <v>215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8">
        <f t="shared" ca="1" si="7"/>
        <v>0.4178954091583702</v>
      </c>
      <c r="E268">
        <f ca="1">RANK(dict_zul_Var_Meth[[#This Row],[ignored_rand]],dict_zul_Var_Meth[ignored_rand])</f>
        <v>433</v>
      </c>
    </row>
    <row r="269" spans="1:5" x14ac:dyDescent="0.45">
      <c r="A269">
        <f ca="1">VLOOKUP(dict_zul_Var_Meth[[#This Row],[ignored_rank]],help_zuord_Var_Meth[],2)</f>
        <v>113</v>
      </c>
      <c r="B269">
        <f t="shared" si="6"/>
        <v>216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9">
        <f t="shared" ca="1" si="7"/>
        <v>0.47557280487920961</v>
      </c>
      <c r="E269">
        <f ca="1">RANK(dict_zul_Var_Meth[[#This Row],[ignored_rand]],dict_zul_Var_Meth[ignored_rand])</f>
        <v>397</v>
      </c>
    </row>
    <row r="270" spans="1:5" x14ac:dyDescent="0.45">
      <c r="A270">
        <f ca="1">VLOOKUP(dict_zul_Var_Meth[[#This Row],[ignored_rank]],help_zuord_Var_Meth[],2)</f>
        <v>126</v>
      </c>
      <c r="B270">
        <f t="shared" si="6"/>
        <v>217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0">
        <f t="shared" ca="1" si="7"/>
        <v>0.40294928265233931</v>
      </c>
      <c r="E270">
        <f ca="1">RANK(dict_zul_Var_Meth[[#This Row],[ignored_rand]],dict_zul_Var_Meth[ignored_rand])</f>
        <v>444</v>
      </c>
    </row>
    <row r="271" spans="1:5" x14ac:dyDescent="0.45">
      <c r="A271">
        <f ca="1">VLOOKUP(dict_zul_Var_Meth[[#This Row],[ignored_rank]],help_zuord_Var_Meth[],2)</f>
        <v>177</v>
      </c>
      <c r="B271">
        <f t="shared" si="6"/>
        <v>218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1">
        <f t="shared" ca="1" si="7"/>
        <v>0.17126491661104348</v>
      </c>
      <c r="E271">
        <f ca="1">RANK(dict_zul_Var_Meth[[#This Row],[ignored_rand]],dict_zul_Var_Meth[ignored_rand])</f>
        <v>618</v>
      </c>
    </row>
    <row r="272" spans="1:5" x14ac:dyDescent="0.45">
      <c r="A272">
        <f ca="1">VLOOKUP(dict_zul_Var_Meth[[#This Row],[ignored_rank]],help_zuord_Var_Meth[],2)</f>
        <v>29</v>
      </c>
      <c r="B272">
        <f t="shared" si="6"/>
        <v>219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2">
        <f t="shared" ca="1" si="7"/>
        <v>0.85946522053606067</v>
      </c>
      <c r="E272">
        <f ca="1">RANK(dict_zul_Var_Meth[[#This Row],[ignored_rand]],dict_zul_Var_Meth[ignored_rand])</f>
        <v>104</v>
      </c>
    </row>
    <row r="273" spans="1:5" x14ac:dyDescent="0.45">
      <c r="A273">
        <f ca="1">VLOOKUP(dict_zul_Var_Meth[[#This Row],[ignored_rank]],help_zuord_Var_Meth[],2)</f>
        <v>139</v>
      </c>
      <c r="B273">
        <f t="shared" si="6"/>
        <v>220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3">
        <f t="shared" ca="1" si="7"/>
        <v>0.3469263435315344</v>
      </c>
      <c r="E273">
        <f ca="1">RANK(dict_zul_Var_Meth[[#This Row],[ignored_rand]],dict_zul_Var_Meth[ignored_rand])</f>
        <v>487</v>
      </c>
    </row>
    <row r="274" spans="1:5" x14ac:dyDescent="0.45">
      <c r="A274">
        <f ca="1">VLOOKUP(dict_zul_Var_Meth[[#This Row],[ignored_rank]],help_zuord_Var_Meth[],2)</f>
        <v>104</v>
      </c>
      <c r="B274">
        <f t="shared" si="6"/>
        <v>221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4">
        <f t="shared" ca="1" si="7"/>
        <v>0.51886599802297562</v>
      </c>
      <c r="E274">
        <f ca="1">RANK(dict_zul_Var_Meth[[#This Row],[ignored_rand]],dict_zul_Var_Meth[ignored_rand])</f>
        <v>363</v>
      </c>
    </row>
    <row r="275" spans="1:5" x14ac:dyDescent="0.45">
      <c r="A275">
        <f ca="1">VLOOKUP(dict_zul_Var_Meth[[#This Row],[ignored_rank]],help_zuord_Var_Meth[],2)</f>
        <v>66</v>
      </c>
      <c r="B275">
        <f t="shared" si="6"/>
        <v>222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5">
        <f t="shared" ca="1" si="7"/>
        <v>0.7000663209057304</v>
      </c>
      <c r="E275">
        <f ca="1">RANK(dict_zul_Var_Meth[[#This Row],[ignored_rand]],dict_zul_Var_Meth[ignored_rand])</f>
        <v>233</v>
      </c>
    </row>
    <row r="276" spans="1:5" x14ac:dyDescent="0.45">
      <c r="A276">
        <f ca="1">VLOOKUP(dict_zul_Var_Meth[[#This Row],[ignored_rank]],help_zuord_Var_Meth[],2)</f>
        <v>169</v>
      </c>
      <c r="B276">
        <f t="shared" si="6"/>
        <v>223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6">
        <f t="shared" ca="1" si="7"/>
        <v>0.20270418919222599</v>
      </c>
      <c r="E276">
        <f ca="1">RANK(dict_zul_Var_Meth[[#This Row],[ignored_rand]],dict_zul_Var_Meth[ignored_rand])</f>
        <v>593</v>
      </c>
    </row>
    <row r="277" spans="1:5" x14ac:dyDescent="0.45">
      <c r="A277">
        <f ca="1">VLOOKUP(dict_zul_Var_Meth[[#This Row],[ignored_rank]],help_zuord_Var_Meth[],2)</f>
        <v>10</v>
      </c>
      <c r="B277">
        <f t="shared" si="6"/>
        <v>224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7">
        <f t="shared" ca="1" si="7"/>
        <v>0.95732662732539342</v>
      </c>
      <c r="E277">
        <f ca="1">RANK(dict_zul_Var_Meth[[#This Row],[ignored_rand]],dict_zul_Var_Meth[ignored_rand])</f>
        <v>36</v>
      </c>
    </row>
    <row r="278" spans="1:5" x14ac:dyDescent="0.45">
      <c r="A278">
        <f ca="1">VLOOKUP(dict_zul_Var_Meth[[#This Row],[ignored_rank]],help_zuord_Var_Meth[],2)</f>
        <v>188</v>
      </c>
      <c r="B278">
        <f t="shared" si="6"/>
        <v>225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8">
        <f t="shared" ca="1" si="7"/>
        <v>0.12134266550073158</v>
      </c>
      <c r="E278">
        <f ca="1">RANK(dict_zul_Var_Meth[[#This Row],[ignored_rand]],dict_zul_Var_Meth[ignored_rand])</f>
        <v>658</v>
      </c>
    </row>
    <row r="279" spans="1:5" x14ac:dyDescent="0.45">
      <c r="A279">
        <f ca="1">VLOOKUP(dict_zul_Var_Meth[[#This Row],[ignored_rank]],help_zuord_Var_Meth[],2)</f>
        <v>126</v>
      </c>
      <c r="B279">
        <f t="shared" si="6"/>
        <v>226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9">
        <f t="shared" ca="1" si="7"/>
        <v>0.40500424849629402</v>
      </c>
      <c r="E279">
        <f ca="1">RANK(dict_zul_Var_Meth[[#This Row],[ignored_rand]],dict_zul_Var_Meth[ignored_rand])</f>
        <v>443</v>
      </c>
    </row>
    <row r="280" spans="1:5" x14ac:dyDescent="0.45">
      <c r="A280">
        <f ca="1">VLOOKUP(dict_zul_Var_Meth[[#This Row],[ignored_rank]],help_zuord_Var_Meth[],2)</f>
        <v>111</v>
      </c>
      <c r="B280">
        <f t="shared" si="6"/>
        <v>227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0">
        <f t="shared" ca="1" si="7"/>
        <v>0.48769615792476662</v>
      </c>
      <c r="E280">
        <f ca="1">RANK(dict_zul_Var_Meth[[#This Row],[ignored_rand]],dict_zul_Var_Meth[ignored_rand])</f>
        <v>388</v>
      </c>
    </row>
    <row r="281" spans="1:5" x14ac:dyDescent="0.45">
      <c r="A281">
        <f ca="1">VLOOKUP(dict_zul_Var_Meth[[#This Row],[ignored_rank]],help_zuord_Var_Meth[],2)</f>
        <v>139</v>
      </c>
      <c r="B281">
        <f t="shared" si="6"/>
        <v>228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1">
        <f t="shared" ca="1" si="7"/>
        <v>0.34729083952711204</v>
      </c>
      <c r="E281">
        <f ca="1">RANK(dict_zul_Var_Meth[[#This Row],[ignored_rand]],dict_zul_Var_Meth[ignored_rand])</f>
        <v>486</v>
      </c>
    </row>
    <row r="282" spans="1:5" x14ac:dyDescent="0.45">
      <c r="A282">
        <f ca="1">VLOOKUP(dict_zul_Var_Meth[[#This Row],[ignored_rank]],help_zuord_Var_Meth[],2)</f>
        <v>65</v>
      </c>
      <c r="B282">
        <f t="shared" si="6"/>
        <v>229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2">
        <f t="shared" ca="1" si="7"/>
        <v>0.70266207731878427</v>
      </c>
      <c r="E282">
        <f ca="1">RANK(dict_zul_Var_Meth[[#This Row],[ignored_rand]],dict_zul_Var_Meth[ignored_rand])</f>
        <v>229</v>
      </c>
    </row>
    <row r="283" spans="1:5" x14ac:dyDescent="0.45">
      <c r="A283">
        <f ca="1">VLOOKUP(dict_zul_Var_Meth[[#This Row],[ignored_rank]],help_zuord_Var_Meth[],2)</f>
        <v>199</v>
      </c>
      <c r="B283">
        <f t="shared" si="6"/>
        <v>230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3">
        <f t="shared" ca="1" si="7"/>
        <v>3.3459805440339996E-2</v>
      </c>
      <c r="E283">
        <f ca="1">RANK(dict_zul_Var_Meth[[#This Row],[ignored_rand]],dict_zul_Var_Meth[ignored_rand])</f>
        <v>725</v>
      </c>
    </row>
    <row r="284" spans="1:5" x14ac:dyDescent="0.45">
      <c r="A284">
        <f ca="1">VLOOKUP(dict_zul_Var_Meth[[#This Row],[ignored_rank]],help_zuord_Var_Meth[],2)</f>
        <v>28</v>
      </c>
      <c r="B284">
        <f t="shared" si="6"/>
        <v>231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4">
        <f t="shared" ca="1" si="7"/>
        <v>0.86170888875812512</v>
      </c>
      <c r="E284">
        <f ca="1">RANK(dict_zul_Var_Meth[[#This Row],[ignored_rand]],dict_zul_Var_Meth[ignored_rand])</f>
        <v>102</v>
      </c>
    </row>
    <row r="285" spans="1:5" x14ac:dyDescent="0.45">
      <c r="A285">
        <f ca="1">VLOOKUP(dict_zul_Var_Meth[[#This Row],[ignored_rank]],help_zuord_Var_Meth[],2)</f>
        <v>138</v>
      </c>
      <c r="B285">
        <f t="shared" si="6"/>
        <v>232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5">
        <f t="shared" ca="1" si="7"/>
        <v>0.35129658071554093</v>
      </c>
      <c r="E285">
        <f ca="1">RANK(dict_zul_Var_Meth[[#This Row],[ignored_rand]],dict_zul_Var_Meth[ignored_rand])</f>
        <v>483</v>
      </c>
    </row>
    <row r="286" spans="1:5" x14ac:dyDescent="0.45">
      <c r="A286">
        <f ca="1">VLOOKUP(dict_zul_Var_Meth[[#This Row],[ignored_rank]],help_zuord_Var_Meth[],2)</f>
        <v>195</v>
      </c>
      <c r="B286">
        <f t="shared" si="6"/>
        <v>233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6">
        <f t="shared" ca="1" si="7"/>
        <v>9.7427664029984484E-2</v>
      </c>
      <c r="E286">
        <f ca="1">RANK(dict_zul_Var_Meth[[#This Row],[ignored_rand]],dict_zul_Var_Meth[ignored_rand])</f>
        <v>682</v>
      </c>
    </row>
    <row r="287" spans="1:5" x14ac:dyDescent="0.45">
      <c r="A287">
        <f ca="1">VLOOKUP(dict_zul_Var_Meth[[#This Row],[ignored_rank]],help_zuord_Var_Meth[],2)</f>
        <v>13</v>
      </c>
      <c r="B287">
        <f t="shared" si="6"/>
        <v>234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7">
        <f t="shared" ca="1" si="7"/>
        <v>0.94244764669499226</v>
      </c>
      <c r="E287">
        <f ca="1">RANK(dict_zul_Var_Meth[[#This Row],[ignored_rand]],dict_zul_Var_Meth[ignored_rand])</f>
        <v>46</v>
      </c>
    </row>
    <row r="288" spans="1:5" x14ac:dyDescent="0.45">
      <c r="A288">
        <f ca="1">VLOOKUP(dict_zul_Var_Meth[[#This Row],[ignored_rank]],help_zuord_Var_Meth[],2)</f>
        <v>145</v>
      </c>
      <c r="B288">
        <f t="shared" si="6"/>
        <v>235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8">
        <f t="shared" ca="1" si="7"/>
        <v>0.31740994730517202</v>
      </c>
      <c r="E288">
        <f ca="1">RANK(dict_zul_Var_Meth[[#This Row],[ignored_rand]],dict_zul_Var_Meth[ignored_rand])</f>
        <v>508</v>
      </c>
    </row>
    <row r="289" spans="1:5" x14ac:dyDescent="0.45">
      <c r="A289">
        <f ca="1">VLOOKUP(dict_zul_Var_Meth[[#This Row],[ignored_rank]],help_zuord_Var_Meth[],2)</f>
        <v>197</v>
      </c>
      <c r="B289">
        <f t="shared" si="6"/>
        <v>236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9">
        <f t="shared" ca="1" si="7"/>
        <v>8.4288276587779154E-2</v>
      </c>
      <c r="E289">
        <f ca="1">RANK(dict_zul_Var_Meth[[#This Row],[ignored_rand]],dict_zul_Var_Meth[ignored_rand])</f>
        <v>688</v>
      </c>
    </row>
    <row r="290" spans="1:5" x14ac:dyDescent="0.45">
      <c r="A290">
        <f ca="1">VLOOKUP(dict_zul_Var_Meth[[#This Row],[ignored_rank]],help_zuord_Var_Meth[],2)</f>
        <v>97</v>
      </c>
      <c r="B290">
        <f t="shared" si="6"/>
        <v>237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0">
        <f t="shared" ca="1" si="7"/>
        <v>0.54622055648784729</v>
      </c>
      <c r="E290">
        <f ca="1">RANK(dict_zul_Var_Meth[[#This Row],[ignored_rand]],dict_zul_Var_Meth[ignored_rand])</f>
        <v>341</v>
      </c>
    </row>
    <row r="291" spans="1:5" x14ac:dyDescent="0.45">
      <c r="A291">
        <f ca="1">VLOOKUP(dict_zul_Var_Meth[[#This Row],[ignored_rank]],help_zuord_Var_Meth[],2)</f>
        <v>200</v>
      </c>
      <c r="B291">
        <f t="shared" si="6"/>
        <v>238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1">
        <f t="shared" ca="1" si="7"/>
        <v>2.5305931583229357E-3</v>
      </c>
      <c r="E291">
        <f ca="1">RANK(dict_zul_Var_Meth[[#This Row],[ignored_rand]],dict_zul_Var_Meth[ignored_rand])</f>
        <v>749</v>
      </c>
    </row>
    <row r="292" spans="1:5" x14ac:dyDescent="0.45">
      <c r="A292">
        <f ca="1">VLOOKUP(dict_zul_Var_Meth[[#This Row],[ignored_rank]],help_zuord_Var_Meth[],2)</f>
        <v>53</v>
      </c>
      <c r="B292">
        <f t="shared" si="6"/>
        <v>239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2">
        <f t="shared" ca="1" si="7"/>
        <v>0.75807528014507908</v>
      </c>
      <c r="E292">
        <f ca="1">RANK(dict_zul_Var_Meth[[#This Row],[ignored_rand]],dict_zul_Var_Meth[ignored_rand])</f>
        <v>186</v>
      </c>
    </row>
    <row r="293" spans="1:5" x14ac:dyDescent="0.45">
      <c r="A293">
        <f ca="1">VLOOKUP(dict_zul_Var_Meth[[#This Row],[ignored_rank]],help_zuord_Var_Meth[],2)</f>
        <v>70</v>
      </c>
      <c r="B293">
        <f t="shared" si="6"/>
        <v>240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3">
        <f t="shared" ca="1" si="7"/>
        <v>0.686540792162189</v>
      </c>
      <c r="E293">
        <f ca="1">RANK(dict_zul_Var_Meth[[#This Row],[ignored_rand]],dict_zul_Var_Meth[ignored_rand])</f>
        <v>247</v>
      </c>
    </row>
    <row r="294" spans="1:5" x14ac:dyDescent="0.45">
      <c r="A294">
        <f ca="1">VLOOKUP(dict_zul_Var_Meth[[#This Row],[ignored_rank]],help_zuord_Var_Meth[],2)</f>
        <v>188</v>
      </c>
      <c r="B294">
        <f t="shared" si="6"/>
        <v>241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4">
        <f t="shared" ca="1" si="7"/>
        <v>0.12272699313930702</v>
      </c>
      <c r="E294">
        <f ca="1">RANK(dict_zul_Var_Meth[[#This Row],[ignored_rand]],dict_zul_Var_Meth[ignored_rand])</f>
        <v>657</v>
      </c>
    </row>
    <row r="295" spans="1:5" x14ac:dyDescent="0.45">
      <c r="A295">
        <f ca="1">VLOOKUP(dict_zul_Var_Meth[[#This Row],[ignored_rank]],help_zuord_Var_Meth[],2)</f>
        <v>178</v>
      </c>
      <c r="B295">
        <f t="shared" si="6"/>
        <v>242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5">
        <f t="shared" ca="1" si="7"/>
        <v>0.16344204498091897</v>
      </c>
      <c r="E295">
        <f ca="1">RANK(dict_zul_Var_Meth[[#This Row],[ignored_rand]],dict_zul_Var_Meth[ignored_rand])</f>
        <v>621</v>
      </c>
    </row>
    <row r="296" spans="1:5" x14ac:dyDescent="0.45">
      <c r="A296">
        <f ca="1">VLOOKUP(dict_zul_Var_Meth[[#This Row],[ignored_rank]],help_zuord_Var_Meth[],2)</f>
        <v>162</v>
      </c>
      <c r="B296">
        <f t="shared" ref="B296:B359" si="8">B295+1</f>
        <v>243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6">
        <f t="shared" ca="1" si="7"/>
        <v>0.24532902209538543</v>
      </c>
      <c r="E296">
        <f ca="1">RANK(dict_zul_Var_Meth[[#This Row],[ignored_rand]],dict_zul_Var_Meth[ignored_rand])</f>
        <v>566</v>
      </c>
    </row>
    <row r="297" spans="1:5" x14ac:dyDescent="0.45">
      <c r="A297">
        <f ca="1">VLOOKUP(dict_zul_Var_Meth[[#This Row],[ignored_rank]],help_zuord_Var_Meth[],2)</f>
        <v>78</v>
      </c>
      <c r="B297">
        <f t="shared" si="8"/>
        <v>244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7">
        <f t="shared" ca="1" si="7"/>
        <v>0.63798802743422056</v>
      </c>
      <c r="E297">
        <f ca="1">RANK(dict_zul_Var_Meth[[#This Row],[ignored_rand]],dict_zul_Var_Meth[ignored_rand])</f>
        <v>275</v>
      </c>
    </row>
    <row r="298" spans="1:5" x14ac:dyDescent="0.45">
      <c r="A298">
        <f ca="1">VLOOKUP(dict_zul_Var_Meth[[#This Row],[ignored_rank]],help_zuord_Var_Meth[],2)</f>
        <v>175</v>
      </c>
      <c r="B298">
        <f t="shared" si="8"/>
        <v>245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8">
        <f t="shared" ca="1" si="7"/>
        <v>0.17646438677830178</v>
      </c>
      <c r="E298">
        <f ca="1">RANK(dict_zul_Var_Meth[[#This Row],[ignored_rand]],dict_zul_Var_Meth[ignored_rand])</f>
        <v>613</v>
      </c>
    </row>
    <row r="299" spans="1:5" x14ac:dyDescent="0.45">
      <c r="A299">
        <f ca="1">VLOOKUP(dict_zul_Var_Meth[[#This Row],[ignored_rank]],help_zuord_Var_Meth[],2)</f>
        <v>115</v>
      </c>
      <c r="B299">
        <f t="shared" si="8"/>
        <v>246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9">
        <f t="shared" ca="1" si="7"/>
        <v>0.46903671546845838</v>
      </c>
      <c r="E299">
        <f ca="1">RANK(dict_zul_Var_Meth[[#This Row],[ignored_rand]],dict_zul_Var_Meth[ignored_rand])</f>
        <v>404</v>
      </c>
    </row>
    <row r="300" spans="1:5" x14ac:dyDescent="0.45">
      <c r="A300">
        <f ca="1">VLOOKUP(dict_zul_Var_Meth[[#This Row],[ignored_rank]],help_zuord_Var_Meth[],2)</f>
        <v>41</v>
      </c>
      <c r="B300">
        <f t="shared" si="8"/>
        <v>247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0">
        <f t="shared" ca="1" si="7"/>
        <v>0.80876293052526949</v>
      </c>
      <c r="E300">
        <f ca="1">RANK(dict_zul_Var_Meth[[#This Row],[ignored_rand]],dict_zul_Var_Meth[ignored_rand])</f>
        <v>143</v>
      </c>
    </row>
    <row r="301" spans="1:5" x14ac:dyDescent="0.45">
      <c r="A301">
        <f ca="1">VLOOKUP(dict_zul_Var_Meth[[#This Row],[ignored_rank]],help_zuord_Var_Meth[],2)</f>
        <v>165</v>
      </c>
      <c r="B301">
        <f t="shared" si="8"/>
        <v>248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1">
        <f t="shared" ca="1" si="7"/>
        <v>0.23113352906769502</v>
      </c>
      <c r="E301">
        <f ca="1">RANK(dict_zul_Var_Meth[[#This Row],[ignored_rand]],dict_zul_Var_Meth[ignored_rand])</f>
        <v>576</v>
      </c>
    </row>
    <row r="302" spans="1:5" x14ac:dyDescent="0.45">
      <c r="A302">
        <f ca="1">VLOOKUP(dict_zul_Var_Meth[[#This Row],[ignored_rank]],help_zuord_Var_Meth[],2)</f>
        <v>79</v>
      </c>
      <c r="B302">
        <f t="shared" si="8"/>
        <v>249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2">
        <f t="shared" ca="1" si="7"/>
        <v>0.63249887794748949</v>
      </c>
      <c r="E302">
        <f ca="1">RANK(dict_zul_Var_Meth[[#This Row],[ignored_rand]],dict_zul_Var_Meth[ignored_rand])</f>
        <v>279</v>
      </c>
    </row>
    <row r="303" spans="1:5" x14ac:dyDescent="0.45">
      <c r="A303">
        <f ca="1">VLOOKUP(dict_zul_Var_Meth[[#This Row],[ignored_rank]],help_zuord_Var_Meth[],2)</f>
        <v>42</v>
      </c>
      <c r="B303">
        <f t="shared" si="8"/>
        <v>250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3">
        <f t="shared" ca="1" si="7"/>
        <v>0.80100269404745328</v>
      </c>
      <c r="E303">
        <f ca="1">RANK(dict_zul_Var_Meth[[#This Row],[ignored_rand]],dict_zul_Var_Meth[ignored_rand])</f>
        <v>148</v>
      </c>
    </row>
    <row r="304" spans="1:5" x14ac:dyDescent="0.45">
      <c r="A304">
        <f ca="1">VLOOKUP(dict_zul_Var_Meth[[#This Row],[ignored_rank]],help_zuord_Var_Meth[],2)</f>
        <v>0</v>
      </c>
      <c r="B304">
        <f t="shared" si="8"/>
        <v>251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4">
        <f t="shared" ca="1" si="7"/>
        <v>0.99817754539842951</v>
      </c>
      <c r="E304">
        <f ca="1">RANK(dict_zul_Var_Meth[[#This Row],[ignored_rand]],dict_zul_Var_Meth[ignored_rand])</f>
        <v>1</v>
      </c>
    </row>
    <row r="305" spans="1:5" x14ac:dyDescent="0.45">
      <c r="A305">
        <f ca="1">VLOOKUP(dict_zul_Var_Meth[[#This Row],[ignored_rank]],help_zuord_Var_Meth[],2)</f>
        <v>133</v>
      </c>
      <c r="B305">
        <f t="shared" si="8"/>
        <v>252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5">
        <f t="shared" ca="1" si="7"/>
        <v>0.37376193901403354</v>
      </c>
      <c r="E305">
        <f ca="1">RANK(dict_zul_Var_Meth[[#This Row],[ignored_rand]],dict_zul_Var_Meth[ignored_rand])</f>
        <v>467</v>
      </c>
    </row>
    <row r="306" spans="1:5" x14ac:dyDescent="0.45">
      <c r="A306">
        <f ca="1">VLOOKUP(dict_zul_Var_Meth[[#This Row],[ignored_rank]],help_zuord_Var_Meth[],2)</f>
        <v>199</v>
      </c>
      <c r="B306">
        <f t="shared" si="8"/>
        <v>253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6">
        <f t="shared" ca="1" si="7"/>
        <v>3.7700109501565104E-2</v>
      </c>
      <c r="E306">
        <f ca="1">RANK(dict_zul_Var_Meth[[#This Row],[ignored_rand]],dict_zul_Var_Meth[ignored_rand])</f>
        <v>724</v>
      </c>
    </row>
    <row r="307" spans="1:5" x14ac:dyDescent="0.45">
      <c r="A307">
        <f ca="1">VLOOKUP(dict_zul_Var_Meth[[#This Row],[ignored_rank]],help_zuord_Var_Meth[],2)</f>
        <v>50</v>
      </c>
      <c r="B307">
        <f t="shared" si="8"/>
        <v>254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7">
        <f t="shared" ca="1" si="7"/>
        <v>0.76761068912498187</v>
      </c>
      <c r="E307">
        <f ca="1">RANK(dict_zul_Var_Meth[[#This Row],[ignored_rand]],dict_zul_Var_Meth[ignored_rand])</f>
        <v>178</v>
      </c>
    </row>
    <row r="308" spans="1:5" x14ac:dyDescent="0.45">
      <c r="A308">
        <f ca="1">VLOOKUP(dict_zul_Var_Meth[[#This Row],[ignored_rank]],help_zuord_Var_Meth[],2)</f>
        <v>185</v>
      </c>
      <c r="B308">
        <f t="shared" si="8"/>
        <v>255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8">
        <f t="shared" ca="1" si="7"/>
        <v>0.13084907294765913</v>
      </c>
      <c r="E308">
        <f ca="1">RANK(dict_zul_Var_Meth[[#This Row],[ignored_rand]],dict_zul_Var_Meth[ignored_rand])</f>
        <v>650</v>
      </c>
    </row>
    <row r="309" spans="1:5" x14ac:dyDescent="0.45">
      <c r="A309">
        <f ca="1">VLOOKUP(dict_zul_Var_Meth[[#This Row],[ignored_rank]],help_zuord_Var_Meth[],2)</f>
        <v>124</v>
      </c>
      <c r="B309">
        <f t="shared" si="8"/>
        <v>256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9">
        <f t="shared" ca="1" si="7"/>
        <v>0.41748781251906719</v>
      </c>
      <c r="E309">
        <f ca="1">RANK(dict_zul_Var_Meth[[#This Row],[ignored_rand]],dict_zul_Var_Meth[ignored_rand])</f>
        <v>434</v>
      </c>
    </row>
    <row r="310" spans="1:5" x14ac:dyDescent="0.45">
      <c r="A310">
        <f ca="1">VLOOKUP(dict_zul_Var_Meth[[#This Row],[ignored_rank]],help_zuord_Var_Meth[],2)</f>
        <v>72</v>
      </c>
      <c r="B310">
        <f t="shared" si="8"/>
        <v>257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0">
        <f t="shared" ca="1" si="7"/>
        <v>0.6817533116205331</v>
      </c>
      <c r="E310">
        <f ca="1">RANK(dict_zul_Var_Meth[[#This Row],[ignored_rand]],dict_zul_Var_Meth[ignored_rand])</f>
        <v>251</v>
      </c>
    </row>
    <row r="311" spans="1:5" x14ac:dyDescent="0.45">
      <c r="A311">
        <f ca="1">VLOOKUP(dict_zul_Var_Meth[[#This Row],[ignored_rank]],help_zuord_Var_Meth[],2)</f>
        <v>39</v>
      </c>
      <c r="B311">
        <f t="shared" si="8"/>
        <v>258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1">
        <f t="shared" ca="1" si="7"/>
        <v>0.82409621867598004</v>
      </c>
      <c r="E311">
        <f ca="1">RANK(dict_zul_Var_Meth[[#This Row],[ignored_rand]],dict_zul_Var_Meth[ignored_rand])</f>
        <v>136</v>
      </c>
    </row>
    <row r="312" spans="1:5" x14ac:dyDescent="0.45">
      <c r="A312">
        <f ca="1">VLOOKUP(dict_zul_Var_Meth[[#This Row],[ignored_rank]],help_zuord_Var_Meth[],2)</f>
        <v>43</v>
      </c>
      <c r="B312">
        <f t="shared" si="8"/>
        <v>259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2">
        <f t="shared" ca="1" si="7"/>
        <v>0.7891607910381917</v>
      </c>
      <c r="E312">
        <f ca="1">RANK(dict_zul_Var_Meth[[#This Row],[ignored_rand]],dict_zul_Var_Meth[ignored_rand])</f>
        <v>154</v>
      </c>
    </row>
    <row r="313" spans="1:5" x14ac:dyDescent="0.45">
      <c r="A313">
        <f ca="1">VLOOKUP(dict_zul_Var_Meth[[#This Row],[ignored_rank]],help_zuord_Var_Meth[],2)</f>
        <v>14</v>
      </c>
      <c r="B313">
        <f t="shared" si="8"/>
        <v>260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3">
        <f t="shared" ca="1" si="7"/>
        <v>0.93777801873974553</v>
      </c>
      <c r="E313">
        <f ca="1">RANK(dict_zul_Var_Meth[[#This Row],[ignored_rand]],dict_zul_Var_Meth[ignored_rand])</f>
        <v>48</v>
      </c>
    </row>
    <row r="314" spans="1:5" x14ac:dyDescent="0.45">
      <c r="A314">
        <f ca="1">VLOOKUP(dict_zul_Var_Meth[[#This Row],[ignored_rank]],help_zuord_Var_Meth[],2)</f>
        <v>2</v>
      </c>
      <c r="B314">
        <f t="shared" si="8"/>
        <v>261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4">
        <f t="shared" ca="1" si="7"/>
        <v>0.99020905719132846</v>
      </c>
      <c r="E314">
        <f ca="1">RANK(dict_zul_Var_Meth[[#This Row],[ignored_rand]],dict_zul_Var_Meth[ignored_rand])</f>
        <v>7</v>
      </c>
    </row>
    <row r="315" spans="1:5" x14ac:dyDescent="0.45">
      <c r="A315">
        <f ca="1">VLOOKUP(dict_zul_Var_Meth[[#This Row],[ignored_rank]],help_zuord_Var_Meth[],2)</f>
        <v>69</v>
      </c>
      <c r="B315">
        <f t="shared" si="8"/>
        <v>262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5">
        <f t="shared" ca="1" si="7"/>
        <v>0.69164530782256695</v>
      </c>
      <c r="E315">
        <f ca="1">RANK(dict_zul_Var_Meth[[#This Row],[ignored_rand]],dict_zul_Var_Meth[ignored_rand])</f>
        <v>244</v>
      </c>
    </row>
    <row r="316" spans="1:5" x14ac:dyDescent="0.45">
      <c r="A316">
        <f ca="1">VLOOKUP(dict_zul_Var_Meth[[#This Row],[ignored_rank]],help_zuord_Var_Meth[],2)</f>
        <v>0</v>
      </c>
      <c r="B316">
        <f t="shared" si="8"/>
        <v>263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6">
        <f t="shared" ca="1" si="7"/>
        <v>0.99707249502120343</v>
      </c>
      <c r="E316">
        <f ca="1">RANK(dict_zul_Var_Meth[[#This Row],[ignored_rand]],dict_zul_Var_Meth[ignored_rand])</f>
        <v>3</v>
      </c>
    </row>
    <row r="317" spans="1:5" x14ac:dyDescent="0.45">
      <c r="A317">
        <f ca="1">VLOOKUP(dict_zul_Var_Meth[[#This Row],[ignored_rank]],help_zuord_Var_Meth[],2)</f>
        <v>18</v>
      </c>
      <c r="B317">
        <f t="shared" si="8"/>
        <v>264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7">
        <f t="shared" ca="1" si="7"/>
        <v>0.91761393990209839</v>
      </c>
      <c r="E317">
        <f ca="1">RANK(dict_zul_Var_Meth[[#This Row],[ignored_rand]],dict_zul_Var_Meth[ignored_rand])</f>
        <v>65</v>
      </c>
    </row>
    <row r="318" spans="1:5" x14ac:dyDescent="0.45">
      <c r="A318">
        <f ca="1">VLOOKUP(dict_zul_Var_Meth[[#This Row],[ignored_rank]],help_zuord_Var_Meth[],2)</f>
        <v>17</v>
      </c>
      <c r="B318">
        <f t="shared" si="8"/>
        <v>265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8">
        <f t="shared" ca="1" si="7"/>
        <v>0.91933625543723396</v>
      </c>
      <c r="E318">
        <f ca="1">RANK(dict_zul_Var_Meth[[#This Row],[ignored_rand]],dict_zul_Var_Meth[ignored_rand])</f>
        <v>63</v>
      </c>
    </row>
    <row r="319" spans="1:5" x14ac:dyDescent="0.45">
      <c r="A319">
        <f ca="1">VLOOKUP(dict_zul_Var_Meth[[#This Row],[ignored_rank]],help_zuord_Var_Meth[],2)</f>
        <v>50</v>
      </c>
      <c r="B319">
        <f t="shared" si="8"/>
        <v>266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9">
        <f t="shared" ca="1" si="7"/>
        <v>0.77086194387714424</v>
      </c>
      <c r="E319">
        <f ca="1">RANK(dict_zul_Var_Meth[[#This Row],[ignored_rand]],dict_zul_Var_Meth[ignored_rand])</f>
        <v>177</v>
      </c>
    </row>
    <row r="320" spans="1:5" x14ac:dyDescent="0.45">
      <c r="A320">
        <f ca="1">VLOOKUP(dict_zul_Var_Meth[[#This Row],[ignored_rank]],help_zuord_Var_Meth[],2)</f>
        <v>148</v>
      </c>
      <c r="B320">
        <f t="shared" si="8"/>
        <v>267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0">
        <f t="shared" ca="1" si="7"/>
        <v>0.29942363080558299</v>
      </c>
      <c r="E320">
        <f ca="1">RANK(dict_zul_Var_Meth[[#This Row],[ignored_rand]],dict_zul_Var_Meth[ignored_rand])</f>
        <v>521</v>
      </c>
    </row>
    <row r="321" spans="1:5" x14ac:dyDescent="0.45">
      <c r="A321">
        <f ca="1">VLOOKUP(dict_zul_Var_Meth[[#This Row],[ignored_rank]],help_zuord_Var_Meth[],2)</f>
        <v>150</v>
      </c>
      <c r="B321">
        <f t="shared" si="8"/>
        <v>268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1">
        <f t="shared" ca="1" si="7"/>
        <v>0.29597209595139162</v>
      </c>
      <c r="E321">
        <f ca="1">RANK(dict_zul_Var_Meth[[#This Row],[ignored_rand]],dict_zul_Var_Meth[ignored_rand])</f>
        <v>524</v>
      </c>
    </row>
    <row r="322" spans="1:5" x14ac:dyDescent="0.45">
      <c r="A322">
        <f ca="1">VLOOKUP(dict_zul_Var_Meth[[#This Row],[ignored_rank]],help_zuord_Var_Meth[],2)</f>
        <v>78</v>
      </c>
      <c r="B322">
        <f t="shared" si="8"/>
        <v>269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2">
        <f t="shared" ref="D322:D385" ca="1" si="9">RAND()</f>
        <v>0.63367249116929036</v>
      </c>
      <c r="E322">
        <f ca="1">RANK(dict_zul_Var_Meth[[#This Row],[ignored_rand]],dict_zul_Var_Meth[ignored_rand])</f>
        <v>276</v>
      </c>
    </row>
    <row r="323" spans="1:5" x14ac:dyDescent="0.45">
      <c r="A323">
        <f ca="1">VLOOKUP(dict_zul_Var_Meth[[#This Row],[ignored_rank]],help_zuord_Var_Meth[],2)</f>
        <v>74</v>
      </c>
      <c r="B323">
        <f t="shared" si="8"/>
        <v>270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3">
        <f t="shared" ca="1" si="9"/>
        <v>0.66851919017264871</v>
      </c>
      <c r="E323">
        <f ca="1">RANK(dict_zul_Var_Meth[[#This Row],[ignored_rand]],dict_zul_Var_Meth[ignored_rand])</f>
        <v>260</v>
      </c>
    </row>
    <row r="324" spans="1:5" x14ac:dyDescent="0.45">
      <c r="A324">
        <f ca="1">VLOOKUP(dict_zul_Var_Meth[[#This Row],[ignored_rank]],help_zuord_Var_Meth[],2)</f>
        <v>190</v>
      </c>
      <c r="B324">
        <f t="shared" si="8"/>
        <v>271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4">
        <f t="shared" ca="1" si="9"/>
        <v>0.11315621157870104</v>
      </c>
      <c r="E324">
        <f ca="1">RANK(dict_zul_Var_Meth[[#This Row],[ignored_rand]],dict_zul_Var_Meth[ignored_rand])</f>
        <v>663</v>
      </c>
    </row>
    <row r="325" spans="1:5" x14ac:dyDescent="0.45">
      <c r="A325">
        <f ca="1">VLOOKUP(dict_zul_Var_Meth[[#This Row],[ignored_rank]],help_zuord_Var_Meth[],2)</f>
        <v>17</v>
      </c>
      <c r="B325">
        <f t="shared" si="8"/>
        <v>272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5">
        <f t="shared" ca="1" si="9"/>
        <v>0.92094366182891618</v>
      </c>
      <c r="E325">
        <f ca="1">RANK(dict_zul_Var_Meth[[#This Row],[ignored_rand]],dict_zul_Var_Meth[ignored_rand])</f>
        <v>62</v>
      </c>
    </row>
    <row r="326" spans="1:5" x14ac:dyDescent="0.45">
      <c r="A326">
        <f ca="1">VLOOKUP(dict_zul_Var_Meth[[#This Row],[ignored_rank]],help_zuord_Var_Meth[],2)</f>
        <v>148</v>
      </c>
      <c r="B326">
        <f t="shared" si="8"/>
        <v>273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6">
        <f t="shared" ca="1" si="9"/>
        <v>0.30003764252741982</v>
      </c>
      <c r="E326">
        <f ca="1">RANK(dict_zul_Var_Meth[[#This Row],[ignored_rand]],dict_zul_Var_Meth[ignored_rand])</f>
        <v>520</v>
      </c>
    </row>
    <row r="327" spans="1:5" x14ac:dyDescent="0.45">
      <c r="A327">
        <f ca="1">VLOOKUP(dict_zul_Var_Meth[[#This Row],[ignored_rank]],help_zuord_Var_Meth[],2)</f>
        <v>184</v>
      </c>
      <c r="B327">
        <f t="shared" si="8"/>
        <v>274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7">
        <f t="shared" ca="1" si="9"/>
        <v>0.13973718808976798</v>
      </c>
      <c r="E327">
        <f ca="1">RANK(dict_zul_Var_Meth[[#This Row],[ignored_rand]],dict_zul_Var_Meth[ignored_rand])</f>
        <v>644</v>
      </c>
    </row>
    <row r="328" spans="1:5" x14ac:dyDescent="0.45">
      <c r="A328">
        <f ca="1">VLOOKUP(dict_zul_Var_Meth[[#This Row],[ignored_rank]],help_zuord_Var_Meth[],2)</f>
        <v>128</v>
      </c>
      <c r="B328">
        <f t="shared" si="8"/>
        <v>275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8">
        <f t="shared" ca="1" si="9"/>
        <v>0.39879181018925647</v>
      </c>
      <c r="E328">
        <f ca="1">RANK(dict_zul_Var_Meth[[#This Row],[ignored_rand]],dict_zul_Var_Meth[ignored_rand])</f>
        <v>447</v>
      </c>
    </row>
    <row r="329" spans="1:5" x14ac:dyDescent="0.45">
      <c r="A329">
        <f ca="1">VLOOKUP(dict_zul_Var_Meth[[#This Row],[ignored_rank]],help_zuord_Var_Meth[],2)</f>
        <v>104</v>
      </c>
      <c r="B329">
        <f t="shared" si="8"/>
        <v>276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9">
        <f t="shared" ca="1" si="9"/>
        <v>0.5217183625359868</v>
      </c>
      <c r="E329">
        <f ca="1">RANK(dict_zul_Var_Meth[[#This Row],[ignored_rand]],dict_zul_Var_Meth[ignored_rand])</f>
        <v>362</v>
      </c>
    </row>
    <row r="330" spans="1:5" x14ac:dyDescent="0.45">
      <c r="A330">
        <f ca="1">VLOOKUP(dict_zul_Var_Meth[[#This Row],[ignored_rank]],help_zuord_Var_Meth[],2)</f>
        <v>180</v>
      </c>
      <c r="B330">
        <f t="shared" si="8"/>
        <v>277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0">
        <f t="shared" ca="1" si="9"/>
        <v>0.15470194938693438</v>
      </c>
      <c r="E330">
        <f ca="1">RANK(dict_zul_Var_Meth[[#This Row],[ignored_rand]],dict_zul_Var_Meth[ignored_rand])</f>
        <v>628</v>
      </c>
    </row>
    <row r="331" spans="1:5" x14ac:dyDescent="0.45">
      <c r="A331">
        <f ca="1">VLOOKUP(dict_zul_Var_Meth[[#This Row],[ignored_rank]],help_zuord_Var_Meth[],2)</f>
        <v>169</v>
      </c>
      <c r="B331">
        <f t="shared" si="8"/>
        <v>278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1">
        <f t="shared" ca="1" si="9"/>
        <v>0.20654260227952315</v>
      </c>
      <c r="E331">
        <f ca="1">RANK(dict_zul_Var_Meth[[#This Row],[ignored_rand]],dict_zul_Var_Meth[ignored_rand])</f>
        <v>589</v>
      </c>
    </row>
    <row r="332" spans="1:5" x14ac:dyDescent="0.45">
      <c r="A332">
        <f ca="1">VLOOKUP(dict_zul_Var_Meth[[#This Row],[ignored_rank]],help_zuord_Var_Meth[],2)</f>
        <v>91</v>
      </c>
      <c r="B332">
        <f t="shared" si="8"/>
        <v>279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2">
        <f t="shared" ca="1" si="9"/>
        <v>0.56937899738644571</v>
      </c>
      <c r="E332">
        <f ca="1">RANK(dict_zul_Var_Meth[[#This Row],[ignored_rand]],dict_zul_Var_Meth[ignored_rand])</f>
        <v>320</v>
      </c>
    </row>
    <row r="333" spans="1:5" x14ac:dyDescent="0.45">
      <c r="A333">
        <f ca="1">VLOOKUP(dict_zul_Var_Meth[[#This Row],[ignored_rank]],help_zuord_Var_Meth[],2)</f>
        <v>108</v>
      </c>
      <c r="B333">
        <f t="shared" si="8"/>
        <v>280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3">
        <f t="shared" ca="1" si="9"/>
        <v>0.50479579409481945</v>
      </c>
      <c r="E333">
        <f ca="1">RANK(dict_zul_Var_Meth[[#This Row],[ignored_rand]],dict_zul_Var_Meth[ignored_rand])</f>
        <v>379</v>
      </c>
    </row>
    <row r="334" spans="1:5" x14ac:dyDescent="0.45">
      <c r="A334">
        <f ca="1">VLOOKUP(dict_zul_Var_Meth[[#This Row],[ignored_rank]],help_zuord_Var_Meth[],2)</f>
        <v>85</v>
      </c>
      <c r="B334">
        <f t="shared" si="8"/>
        <v>281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4">
        <f t="shared" ca="1" si="9"/>
        <v>0.6128057896858029</v>
      </c>
      <c r="E334">
        <f ca="1">RANK(dict_zul_Var_Meth[[#This Row],[ignored_rand]],dict_zul_Var_Meth[ignored_rand])</f>
        <v>298</v>
      </c>
    </row>
    <row r="335" spans="1:5" x14ac:dyDescent="0.45">
      <c r="A335">
        <f ca="1">VLOOKUP(dict_zul_Var_Meth[[#This Row],[ignored_rank]],help_zuord_Var_Meth[],2)</f>
        <v>95</v>
      </c>
      <c r="B335">
        <f t="shared" si="8"/>
        <v>282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5">
        <f t="shared" ca="1" si="9"/>
        <v>0.55403758878237064</v>
      </c>
      <c r="E335">
        <f ca="1">RANK(dict_zul_Var_Meth[[#This Row],[ignored_rand]],dict_zul_Var_Meth[ignored_rand])</f>
        <v>332</v>
      </c>
    </row>
    <row r="336" spans="1:5" x14ac:dyDescent="0.45">
      <c r="A336">
        <f ca="1">VLOOKUP(dict_zul_Var_Meth[[#This Row],[ignored_rank]],help_zuord_Var_Meth[],2)</f>
        <v>72</v>
      </c>
      <c r="B336">
        <f t="shared" si="8"/>
        <v>283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6">
        <f t="shared" ca="1" si="9"/>
        <v>0.68040189841838861</v>
      </c>
      <c r="E336">
        <f ca="1">RANK(dict_zul_Var_Meth[[#This Row],[ignored_rand]],dict_zul_Var_Meth[ignored_rand])</f>
        <v>252</v>
      </c>
    </row>
    <row r="337" spans="1:5" x14ac:dyDescent="0.45">
      <c r="A337">
        <f ca="1">VLOOKUP(dict_zul_Var_Meth[[#This Row],[ignored_rank]],help_zuord_Var_Meth[],2)</f>
        <v>43</v>
      </c>
      <c r="B337">
        <f t="shared" si="8"/>
        <v>284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7">
        <f t="shared" ca="1" si="9"/>
        <v>0.79462013905863438</v>
      </c>
      <c r="E337">
        <f ca="1">RANK(dict_zul_Var_Meth[[#This Row],[ignored_rand]],dict_zul_Var_Meth[ignored_rand])</f>
        <v>151</v>
      </c>
    </row>
    <row r="338" spans="1:5" x14ac:dyDescent="0.45">
      <c r="A338">
        <f ca="1">VLOOKUP(dict_zul_Var_Meth[[#This Row],[ignored_rank]],help_zuord_Var_Meth[],2)</f>
        <v>110</v>
      </c>
      <c r="B338">
        <f t="shared" si="8"/>
        <v>285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8">
        <f t="shared" ca="1" si="9"/>
        <v>0.49158413426770164</v>
      </c>
      <c r="E338">
        <f ca="1">RANK(dict_zul_Var_Meth[[#This Row],[ignored_rand]],dict_zul_Var_Meth[ignored_rand])</f>
        <v>386</v>
      </c>
    </row>
    <row r="339" spans="1:5" x14ac:dyDescent="0.45">
      <c r="A339">
        <f ca="1">VLOOKUP(dict_zul_Var_Meth[[#This Row],[ignored_rank]],help_zuord_Var_Meth[],2)</f>
        <v>130</v>
      </c>
      <c r="B339">
        <f t="shared" si="8"/>
        <v>286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9">
        <f t="shared" ca="1" si="9"/>
        <v>0.38643825568576318</v>
      </c>
      <c r="E339">
        <f ca="1">RANK(dict_zul_Var_Meth[[#This Row],[ignored_rand]],dict_zul_Var_Meth[ignored_rand])</f>
        <v>456</v>
      </c>
    </row>
    <row r="340" spans="1:5" x14ac:dyDescent="0.45">
      <c r="A340">
        <f ca="1">VLOOKUP(dict_zul_Var_Meth[[#This Row],[ignored_rank]],help_zuord_Var_Meth[],2)</f>
        <v>110</v>
      </c>
      <c r="B340">
        <f t="shared" si="8"/>
        <v>287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0">
        <f t="shared" ca="1" si="9"/>
        <v>0.49523025450089753</v>
      </c>
      <c r="E340">
        <f ca="1">RANK(dict_zul_Var_Meth[[#This Row],[ignored_rand]],dict_zul_Var_Meth[ignored_rand])</f>
        <v>384</v>
      </c>
    </row>
    <row r="341" spans="1:5" x14ac:dyDescent="0.45">
      <c r="A341">
        <f ca="1">VLOOKUP(dict_zul_Var_Meth[[#This Row],[ignored_rank]],help_zuord_Var_Meth[],2)</f>
        <v>121</v>
      </c>
      <c r="B341">
        <f t="shared" si="8"/>
        <v>288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1">
        <f t="shared" ca="1" si="9"/>
        <v>0.43330581089847453</v>
      </c>
      <c r="E341">
        <f ca="1">RANK(dict_zul_Var_Meth[[#This Row],[ignored_rand]],dict_zul_Var_Meth[ignored_rand])</f>
        <v>426</v>
      </c>
    </row>
    <row r="342" spans="1:5" x14ac:dyDescent="0.45">
      <c r="A342">
        <f ca="1">VLOOKUP(dict_zul_Var_Meth[[#This Row],[ignored_rank]],help_zuord_Var_Meth[],2)</f>
        <v>158</v>
      </c>
      <c r="B342">
        <f t="shared" si="8"/>
        <v>289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2">
        <f t="shared" ca="1" si="9"/>
        <v>0.26086124230530539</v>
      </c>
      <c r="E342">
        <f ca="1">RANK(dict_zul_Var_Meth[[#This Row],[ignored_rand]],dict_zul_Var_Meth[ignored_rand])</f>
        <v>555</v>
      </c>
    </row>
    <row r="343" spans="1:5" x14ac:dyDescent="0.45">
      <c r="A343">
        <f ca="1">VLOOKUP(dict_zul_Var_Meth[[#This Row],[ignored_rank]],help_zuord_Var_Meth[],2)</f>
        <v>93</v>
      </c>
      <c r="B343">
        <f t="shared" si="8"/>
        <v>290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3">
        <f t="shared" ca="1" si="9"/>
        <v>0.56411229146211184</v>
      </c>
      <c r="E343">
        <f ca="1">RANK(dict_zul_Var_Meth[[#This Row],[ignored_rand]],dict_zul_Var_Meth[ignored_rand])</f>
        <v>325</v>
      </c>
    </row>
    <row r="344" spans="1:5" x14ac:dyDescent="0.45">
      <c r="A344">
        <f ca="1">VLOOKUP(dict_zul_Var_Meth[[#This Row],[ignored_rank]],help_zuord_Var_Meth[],2)</f>
        <v>36</v>
      </c>
      <c r="B344">
        <f t="shared" si="8"/>
        <v>291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4">
        <f t="shared" ca="1" si="9"/>
        <v>0.8377988180498519</v>
      </c>
      <c r="E344">
        <f ca="1">RANK(dict_zul_Var_Meth[[#This Row],[ignored_rand]],dict_zul_Var_Meth[ignored_rand])</f>
        <v>126</v>
      </c>
    </row>
    <row r="345" spans="1:5" x14ac:dyDescent="0.45">
      <c r="A345">
        <f ca="1">VLOOKUP(dict_zul_Var_Meth[[#This Row],[ignored_rank]],help_zuord_Var_Meth[],2)</f>
        <v>162</v>
      </c>
      <c r="B345">
        <f t="shared" si="8"/>
        <v>292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5">
        <f t="shared" ca="1" si="9"/>
        <v>0.24273988155178161</v>
      </c>
      <c r="E345">
        <f ca="1">RANK(dict_zul_Var_Meth[[#This Row],[ignored_rand]],dict_zul_Var_Meth[ignored_rand])</f>
        <v>568</v>
      </c>
    </row>
    <row r="346" spans="1:5" x14ac:dyDescent="0.45">
      <c r="A346">
        <f ca="1">VLOOKUP(dict_zul_Var_Meth[[#This Row],[ignored_rank]],help_zuord_Var_Meth[],2)</f>
        <v>129</v>
      </c>
      <c r="B346">
        <f t="shared" si="8"/>
        <v>293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6">
        <f t="shared" ca="1" si="9"/>
        <v>0.39114409679733753</v>
      </c>
      <c r="E346">
        <f ca="1">RANK(dict_zul_Var_Meth[[#This Row],[ignored_rand]],dict_zul_Var_Meth[ignored_rand])</f>
        <v>453</v>
      </c>
    </row>
    <row r="347" spans="1:5" x14ac:dyDescent="0.45">
      <c r="A347">
        <f ca="1">VLOOKUP(dict_zul_Var_Meth[[#This Row],[ignored_rank]],help_zuord_Var_Meth[],2)</f>
        <v>174</v>
      </c>
      <c r="B347">
        <f t="shared" si="8"/>
        <v>294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7">
        <f t="shared" ca="1" si="9"/>
        <v>0.18142614447660332</v>
      </c>
      <c r="E347">
        <f ca="1">RANK(dict_zul_Var_Meth[[#This Row],[ignored_rand]],dict_zul_Var_Meth[ignored_rand])</f>
        <v>609</v>
      </c>
    </row>
    <row r="348" spans="1:5" x14ac:dyDescent="0.45">
      <c r="A348">
        <f ca="1">VLOOKUP(dict_zul_Var_Meth[[#This Row],[ignored_rank]],help_zuord_Var_Meth[],2)</f>
        <v>25</v>
      </c>
      <c r="B348">
        <f t="shared" si="8"/>
        <v>295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8">
        <f t="shared" ca="1" si="9"/>
        <v>0.87564589254295622</v>
      </c>
      <c r="E348">
        <f ca="1">RANK(dict_zul_Var_Meth[[#This Row],[ignored_rand]],dict_zul_Var_Meth[ignored_rand])</f>
        <v>90</v>
      </c>
    </row>
    <row r="349" spans="1:5" x14ac:dyDescent="0.45">
      <c r="A349">
        <f ca="1">VLOOKUP(dict_zul_Var_Meth[[#This Row],[ignored_rank]],help_zuord_Var_Meth[],2)</f>
        <v>136</v>
      </c>
      <c r="B349">
        <f t="shared" si="8"/>
        <v>296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9">
        <f t="shared" ca="1" si="9"/>
        <v>0.35931301610157096</v>
      </c>
      <c r="E349">
        <f ca="1">RANK(dict_zul_Var_Meth[[#This Row],[ignored_rand]],dict_zul_Var_Meth[ignored_rand])</f>
        <v>479</v>
      </c>
    </row>
    <row r="350" spans="1:5" x14ac:dyDescent="0.45">
      <c r="A350">
        <f ca="1">VLOOKUP(dict_zul_Var_Meth[[#This Row],[ignored_rank]],help_zuord_Var_Meth[],2)</f>
        <v>49</v>
      </c>
      <c r="B350">
        <f t="shared" si="8"/>
        <v>297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0">
        <f t="shared" ca="1" si="9"/>
        <v>0.77285640830024005</v>
      </c>
      <c r="E350">
        <f ca="1">RANK(dict_zul_Var_Meth[[#This Row],[ignored_rand]],dict_zul_Var_Meth[ignored_rand])</f>
        <v>174</v>
      </c>
    </row>
    <row r="351" spans="1:5" x14ac:dyDescent="0.45">
      <c r="A351">
        <f ca="1">VLOOKUP(dict_zul_Var_Meth[[#This Row],[ignored_rank]],help_zuord_Var_Meth[],2)</f>
        <v>114</v>
      </c>
      <c r="B351">
        <f t="shared" si="8"/>
        <v>298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1">
        <f t="shared" ca="1" si="9"/>
        <v>0.47411198851303094</v>
      </c>
      <c r="E351">
        <f ca="1">RANK(dict_zul_Var_Meth[[#This Row],[ignored_rand]],dict_zul_Var_Meth[ignored_rand])</f>
        <v>400</v>
      </c>
    </row>
    <row r="352" spans="1:5" x14ac:dyDescent="0.45">
      <c r="A352">
        <f ca="1">VLOOKUP(dict_zul_Var_Meth[[#This Row],[ignored_rank]],help_zuord_Var_Meth[],2)</f>
        <v>153</v>
      </c>
      <c r="B352">
        <f t="shared" si="8"/>
        <v>299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2">
        <f t="shared" ca="1" si="9"/>
        <v>0.2867609961962313</v>
      </c>
      <c r="E352">
        <f ca="1">RANK(dict_zul_Var_Meth[[#This Row],[ignored_rand]],dict_zul_Var_Meth[ignored_rand])</f>
        <v>534</v>
      </c>
    </row>
    <row r="353" spans="1:5" x14ac:dyDescent="0.45">
      <c r="A353">
        <f ca="1">VLOOKUP(dict_zul_Var_Meth[[#This Row],[ignored_rank]],help_zuord_Var_Meth[],2)</f>
        <v>194</v>
      </c>
      <c r="B353">
        <f t="shared" si="8"/>
        <v>300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3">
        <f t="shared" ca="1" si="9"/>
        <v>0.10107863133577411</v>
      </c>
      <c r="E353">
        <f ca="1">RANK(dict_zul_Var_Meth[[#This Row],[ignored_rand]],dict_zul_Var_Meth[ignored_rand])</f>
        <v>678</v>
      </c>
    </row>
    <row r="354" spans="1:5" x14ac:dyDescent="0.45">
      <c r="A354">
        <f ca="1">VLOOKUP(dict_zul_Var_Meth[[#This Row],[ignored_rank]],help_zuord_Var_Meth[],2)</f>
        <v>159</v>
      </c>
      <c r="B354">
        <f t="shared" si="8"/>
        <v>301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4">
        <f t="shared" ca="1" si="9"/>
        <v>0.26015566172392246</v>
      </c>
      <c r="E354">
        <f ca="1">RANK(dict_zul_Var_Meth[[#This Row],[ignored_rand]],dict_zul_Var_Meth[ignored_rand])</f>
        <v>556</v>
      </c>
    </row>
    <row r="355" spans="1:5" x14ac:dyDescent="0.45">
      <c r="A355">
        <f ca="1">VLOOKUP(dict_zul_Var_Meth[[#This Row],[ignored_rank]],help_zuord_Var_Meth[],2)</f>
        <v>115</v>
      </c>
      <c r="B355">
        <f t="shared" si="8"/>
        <v>302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5">
        <f t="shared" ca="1" si="9"/>
        <v>0.46775282066630197</v>
      </c>
      <c r="E355">
        <f ca="1">RANK(dict_zul_Var_Meth[[#This Row],[ignored_rand]],dict_zul_Var_Meth[ignored_rand])</f>
        <v>405</v>
      </c>
    </row>
    <row r="356" spans="1:5" x14ac:dyDescent="0.45">
      <c r="A356">
        <f ca="1">VLOOKUP(dict_zul_Var_Meth[[#This Row],[ignored_rank]],help_zuord_Var_Meth[],2)</f>
        <v>52</v>
      </c>
      <c r="B356">
        <f t="shared" si="8"/>
        <v>303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6">
        <f t="shared" ca="1" si="9"/>
        <v>0.76232067809638537</v>
      </c>
      <c r="E356">
        <f ca="1">RANK(dict_zul_Var_Meth[[#This Row],[ignored_rand]],dict_zul_Var_Meth[ignored_rand])</f>
        <v>183</v>
      </c>
    </row>
    <row r="357" spans="1:5" x14ac:dyDescent="0.45">
      <c r="A357">
        <f ca="1">VLOOKUP(dict_zul_Var_Meth[[#This Row],[ignored_rank]],help_zuord_Var_Meth[],2)</f>
        <v>5</v>
      </c>
      <c r="B357">
        <f t="shared" si="8"/>
        <v>304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7">
        <f t="shared" ca="1" si="9"/>
        <v>0.97752485699811609</v>
      </c>
      <c r="E357">
        <f ca="1">RANK(dict_zul_Var_Meth[[#This Row],[ignored_rand]],dict_zul_Var_Meth[ignored_rand])</f>
        <v>19</v>
      </c>
    </row>
    <row r="358" spans="1:5" x14ac:dyDescent="0.45">
      <c r="A358">
        <f ca="1">VLOOKUP(dict_zul_Var_Meth[[#This Row],[ignored_rank]],help_zuord_Var_Meth[],2)</f>
        <v>71</v>
      </c>
      <c r="B358">
        <f t="shared" si="8"/>
        <v>305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8">
        <f t="shared" ca="1" si="9"/>
        <v>0.68489547834430431</v>
      </c>
      <c r="E358">
        <f ca="1">RANK(dict_zul_Var_Meth[[#This Row],[ignored_rand]],dict_zul_Var_Meth[ignored_rand])</f>
        <v>248</v>
      </c>
    </row>
    <row r="359" spans="1:5" x14ac:dyDescent="0.45">
      <c r="A359">
        <f ca="1">VLOOKUP(dict_zul_Var_Meth[[#This Row],[ignored_rank]],help_zuord_Var_Meth[],2)</f>
        <v>84</v>
      </c>
      <c r="B359">
        <f t="shared" si="8"/>
        <v>306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9">
        <f t="shared" ca="1" si="9"/>
        <v>0.61561459724034973</v>
      </c>
      <c r="E359">
        <f ca="1">RANK(dict_zul_Var_Meth[[#This Row],[ignored_rand]],dict_zul_Var_Meth[ignored_rand])</f>
        <v>295</v>
      </c>
    </row>
    <row r="360" spans="1:5" x14ac:dyDescent="0.45">
      <c r="A360">
        <f ca="1">VLOOKUP(dict_zul_Var_Meth[[#This Row],[ignored_rank]],help_zuord_Var_Meth[],2)</f>
        <v>20</v>
      </c>
      <c r="B360">
        <f t="shared" ref="B360:B423" si="10">B359+1</f>
        <v>307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0">
        <f t="shared" ca="1" si="9"/>
        <v>0.91382812341664865</v>
      </c>
      <c r="E360">
        <f ca="1">RANK(dict_zul_Var_Meth[[#This Row],[ignored_rand]],dict_zul_Var_Meth[ignored_rand])</f>
        <v>70</v>
      </c>
    </row>
    <row r="361" spans="1:5" x14ac:dyDescent="0.45">
      <c r="A361">
        <f ca="1">VLOOKUP(dict_zul_Var_Meth[[#This Row],[ignored_rank]],help_zuord_Var_Meth[],2)</f>
        <v>75</v>
      </c>
      <c r="B361">
        <f t="shared" si="10"/>
        <v>308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1">
        <f t="shared" ca="1" si="9"/>
        <v>0.65080560464019366</v>
      </c>
      <c r="E361">
        <f ca="1">RANK(dict_zul_Var_Meth[[#This Row],[ignored_rand]],dict_zul_Var_Meth[ignored_rand])</f>
        <v>264</v>
      </c>
    </row>
    <row r="362" spans="1:5" x14ac:dyDescent="0.45">
      <c r="A362">
        <f ca="1">VLOOKUP(dict_zul_Var_Meth[[#This Row],[ignored_rank]],help_zuord_Var_Meth[],2)</f>
        <v>156</v>
      </c>
      <c r="B362">
        <f t="shared" si="10"/>
        <v>309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2">
        <f t="shared" ca="1" si="9"/>
        <v>0.26980558617787564</v>
      </c>
      <c r="E362">
        <f ca="1">RANK(dict_zul_Var_Meth[[#This Row],[ignored_rand]],dict_zul_Var_Meth[ignored_rand])</f>
        <v>547</v>
      </c>
    </row>
    <row r="363" spans="1:5" x14ac:dyDescent="0.45">
      <c r="A363">
        <f ca="1">VLOOKUP(dict_zul_Var_Meth[[#This Row],[ignored_rank]],help_zuord_Var_Meth[],2)</f>
        <v>24</v>
      </c>
      <c r="B363">
        <f t="shared" si="10"/>
        <v>310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3">
        <f t="shared" ca="1" si="9"/>
        <v>0.87821989594967342</v>
      </c>
      <c r="E363">
        <f ca="1">RANK(dict_zul_Var_Meth[[#This Row],[ignored_rand]],dict_zul_Var_Meth[ignored_rand])</f>
        <v>86</v>
      </c>
    </row>
    <row r="364" spans="1:5" x14ac:dyDescent="0.45">
      <c r="A364">
        <f ca="1">VLOOKUP(dict_zul_Var_Meth[[#This Row],[ignored_rank]],help_zuord_Var_Meth[],2)</f>
        <v>170</v>
      </c>
      <c r="B364">
        <f t="shared" si="10"/>
        <v>311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4">
        <f t="shared" ca="1" si="9"/>
        <v>0.20124161596522283</v>
      </c>
      <c r="E364">
        <f ca="1">RANK(dict_zul_Var_Meth[[#This Row],[ignored_rand]],dict_zul_Var_Meth[ignored_rand])</f>
        <v>595</v>
      </c>
    </row>
    <row r="365" spans="1:5" x14ac:dyDescent="0.45">
      <c r="A365">
        <f ca="1">VLOOKUP(dict_zul_Var_Meth[[#This Row],[ignored_rank]],help_zuord_Var_Meth[],2)</f>
        <v>55</v>
      </c>
      <c r="B365">
        <f t="shared" si="10"/>
        <v>312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5">
        <f t="shared" ca="1" si="9"/>
        <v>0.74892993025419141</v>
      </c>
      <c r="E365">
        <f ca="1">RANK(dict_zul_Var_Meth[[#This Row],[ignored_rand]],dict_zul_Var_Meth[ignored_rand])</f>
        <v>194</v>
      </c>
    </row>
    <row r="366" spans="1:5" x14ac:dyDescent="0.45">
      <c r="A366">
        <f ca="1">VLOOKUP(dict_zul_Var_Meth[[#This Row],[ignored_rank]],help_zuord_Var_Meth[],2)</f>
        <v>87</v>
      </c>
      <c r="B366">
        <f t="shared" si="10"/>
        <v>313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6">
        <f t="shared" ca="1" si="9"/>
        <v>0.60277442031633388</v>
      </c>
      <c r="E366">
        <f ca="1">RANK(dict_zul_Var_Meth[[#This Row],[ignored_rand]],dict_zul_Var_Meth[ignored_rand])</f>
        <v>305</v>
      </c>
    </row>
    <row r="367" spans="1:5" x14ac:dyDescent="0.45">
      <c r="A367">
        <f ca="1">VLOOKUP(dict_zul_Var_Meth[[#This Row],[ignored_rank]],help_zuord_Var_Meth[],2)</f>
        <v>44</v>
      </c>
      <c r="B367">
        <f t="shared" si="10"/>
        <v>314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7">
        <f t="shared" ca="1" si="9"/>
        <v>0.78877824003745911</v>
      </c>
      <c r="E367">
        <f ca="1">RANK(dict_zul_Var_Meth[[#This Row],[ignored_rand]],dict_zul_Var_Meth[ignored_rand])</f>
        <v>155</v>
      </c>
    </row>
    <row r="368" spans="1:5" x14ac:dyDescent="0.45">
      <c r="A368">
        <f ca="1">VLOOKUP(dict_zul_Var_Meth[[#This Row],[ignored_rank]],help_zuord_Var_Meth[],2)</f>
        <v>151</v>
      </c>
      <c r="B368">
        <f t="shared" si="10"/>
        <v>315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8">
        <f t="shared" ca="1" si="9"/>
        <v>0.29058582022952861</v>
      </c>
      <c r="E368">
        <f ca="1">RANK(dict_zul_Var_Meth[[#This Row],[ignored_rand]],dict_zul_Var_Meth[ignored_rand])</f>
        <v>530</v>
      </c>
    </row>
    <row r="369" spans="1:5" x14ac:dyDescent="0.45">
      <c r="A369">
        <f ca="1">VLOOKUP(dict_zul_Var_Meth[[#This Row],[ignored_rank]],help_zuord_Var_Meth[],2)</f>
        <v>199</v>
      </c>
      <c r="B369">
        <f t="shared" si="10"/>
        <v>316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9">
        <f t="shared" ca="1" si="9"/>
        <v>3.3079601180237561E-2</v>
      </c>
      <c r="E369">
        <f ca="1">RANK(dict_zul_Var_Meth[[#This Row],[ignored_rand]],dict_zul_Var_Meth[ignored_rand])</f>
        <v>726</v>
      </c>
    </row>
    <row r="370" spans="1:5" x14ac:dyDescent="0.45">
      <c r="A370">
        <f ca="1">VLOOKUP(dict_zul_Var_Meth[[#This Row],[ignored_rank]],help_zuord_Var_Meth[],2)</f>
        <v>1</v>
      </c>
      <c r="B370">
        <f t="shared" si="10"/>
        <v>317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0">
        <f t="shared" ca="1" si="9"/>
        <v>0.99082273457654702</v>
      </c>
      <c r="E370">
        <f ca="1">RANK(dict_zul_Var_Meth[[#This Row],[ignored_rand]],dict_zul_Var_Meth[ignored_rand])</f>
        <v>6</v>
      </c>
    </row>
    <row r="371" spans="1:5" x14ac:dyDescent="0.45">
      <c r="A371">
        <f ca="1">VLOOKUP(dict_zul_Var_Meth[[#This Row],[ignored_rank]],help_zuord_Var_Meth[],2)</f>
        <v>144</v>
      </c>
      <c r="B371">
        <f t="shared" si="10"/>
        <v>318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1">
        <f t="shared" ca="1" si="9"/>
        <v>0.32625442619243206</v>
      </c>
      <c r="E371">
        <f ca="1">RANK(dict_zul_Var_Meth[[#This Row],[ignored_rand]],dict_zul_Var_Meth[ignored_rand])</f>
        <v>502</v>
      </c>
    </row>
    <row r="372" spans="1:5" x14ac:dyDescent="0.45">
      <c r="A372">
        <f ca="1">VLOOKUP(dict_zul_Var_Meth[[#This Row],[ignored_rank]],help_zuord_Var_Meth[],2)</f>
        <v>199</v>
      </c>
      <c r="B372">
        <f t="shared" si="10"/>
        <v>319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2">
        <f t="shared" ca="1" si="9"/>
        <v>5.0711528479643442E-2</v>
      </c>
      <c r="E372">
        <f ca="1">RANK(dict_zul_Var_Meth[[#This Row],[ignored_rand]],dict_zul_Var_Meth[ignored_rand])</f>
        <v>714</v>
      </c>
    </row>
    <row r="373" spans="1:5" x14ac:dyDescent="0.45">
      <c r="A373">
        <f ca="1">VLOOKUP(dict_zul_Var_Meth[[#This Row],[ignored_rank]],help_zuord_Var_Meth[],2)</f>
        <v>4</v>
      </c>
      <c r="B373">
        <f t="shared" si="10"/>
        <v>320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3">
        <f t="shared" ca="1" si="9"/>
        <v>0.98579645766291912</v>
      </c>
      <c r="E373">
        <f ca="1">RANK(dict_zul_Var_Meth[[#This Row],[ignored_rand]],dict_zul_Var_Meth[ignored_rand])</f>
        <v>14</v>
      </c>
    </row>
    <row r="374" spans="1:5" x14ac:dyDescent="0.45">
      <c r="A374">
        <f ca="1">VLOOKUP(dict_zul_Var_Meth[[#This Row],[ignored_rank]],help_zuord_Var_Meth[],2)</f>
        <v>14</v>
      </c>
      <c r="B374">
        <f t="shared" si="10"/>
        <v>321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4">
        <f t="shared" ca="1" si="9"/>
        <v>0.93345994818103195</v>
      </c>
      <c r="E374">
        <f ca="1">RANK(dict_zul_Var_Meth[[#This Row],[ignored_rand]],dict_zul_Var_Meth[ignored_rand])</f>
        <v>51</v>
      </c>
    </row>
    <row r="375" spans="1:5" x14ac:dyDescent="0.45">
      <c r="A375">
        <f ca="1">VLOOKUP(dict_zul_Var_Meth[[#This Row],[ignored_rank]],help_zuord_Var_Meth[],2)</f>
        <v>76</v>
      </c>
      <c r="B375">
        <f t="shared" si="10"/>
        <v>322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5">
        <f t="shared" ca="1" si="9"/>
        <v>0.64806671706650443</v>
      </c>
      <c r="E375">
        <f ca="1">RANK(dict_zul_Var_Meth[[#This Row],[ignored_rand]],dict_zul_Var_Meth[ignored_rand])</f>
        <v>267</v>
      </c>
    </row>
    <row r="376" spans="1:5" x14ac:dyDescent="0.45">
      <c r="A376">
        <f ca="1">VLOOKUP(dict_zul_Var_Meth[[#This Row],[ignored_rank]],help_zuord_Var_Meth[],2)</f>
        <v>21</v>
      </c>
      <c r="B376">
        <f t="shared" si="10"/>
        <v>323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6">
        <f t="shared" ca="1" si="9"/>
        <v>0.90517524581615194</v>
      </c>
      <c r="E376">
        <f ca="1">RANK(dict_zul_Var_Meth[[#This Row],[ignored_rand]],dict_zul_Var_Meth[ignored_rand])</f>
        <v>74</v>
      </c>
    </row>
    <row r="377" spans="1:5" x14ac:dyDescent="0.45">
      <c r="A377">
        <f ca="1">VLOOKUP(dict_zul_Var_Meth[[#This Row],[ignored_rank]],help_zuord_Var_Meth[],2)</f>
        <v>77</v>
      </c>
      <c r="B377">
        <f t="shared" si="10"/>
        <v>324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7">
        <f t="shared" ca="1" si="9"/>
        <v>0.64739302629771389</v>
      </c>
      <c r="E377">
        <f ca="1">RANK(dict_zul_Var_Meth[[#This Row],[ignored_rand]],dict_zul_Var_Meth[ignored_rand])</f>
        <v>268</v>
      </c>
    </row>
    <row r="378" spans="1:5" x14ac:dyDescent="0.45">
      <c r="A378">
        <f ca="1">VLOOKUP(dict_zul_Var_Meth[[#This Row],[ignored_rank]],help_zuord_Var_Meth[],2)</f>
        <v>180</v>
      </c>
      <c r="B378">
        <f t="shared" si="10"/>
        <v>325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8">
        <f t="shared" ca="1" si="9"/>
        <v>0.15427623739526786</v>
      </c>
      <c r="E378">
        <f ca="1">RANK(dict_zul_Var_Meth[[#This Row],[ignored_rand]],dict_zul_Var_Meth[ignored_rand])</f>
        <v>629</v>
      </c>
    </row>
    <row r="379" spans="1:5" x14ac:dyDescent="0.45">
      <c r="A379">
        <f ca="1">VLOOKUP(dict_zul_Var_Meth[[#This Row],[ignored_rank]],help_zuord_Var_Meth[],2)</f>
        <v>138</v>
      </c>
      <c r="B379">
        <f t="shared" si="10"/>
        <v>326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9">
        <f t="shared" ca="1" si="9"/>
        <v>0.35362194360335664</v>
      </c>
      <c r="E379">
        <f ca="1">RANK(dict_zul_Var_Meth[[#This Row],[ignored_rand]],dict_zul_Var_Meth[ignored_rand])</f>
        <v>482</v>
      </c>
    </row>
    <row r="380" spans="1:5" x14ac:dyDescent="0.45">
      <c r="A380">
        <f ca="1">VLOOKUP(dict_zul_Var_Meth[[#This Row],[ignored_rank]],help_zuord_Var_Meth[],2)</f>
        <v>28</v>
      </c>
      <c r="B380">
        <f t="shared" si="10"/>
        <v>327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0">
        <f t="shared" ca="1" si="9"/>
        <v>0.865247254074474</v>
      </c>
      <c r="E380">
        <f ca="1">RANK(dict_zul_Var_Meth[[#This Row],[ignored_rand]],dict_zul_Var_Meth[ignored_rand])</f>
        <v>98</v>
      </c>
    </row>
    <row r="381" spans="1:5" x14ac:dyDescent="0.45">
      <c r="A381">
        <f ca="1">VLOOKUP(dict_zul_Var_Meth[[#This Row],[ignored_rank]],help_zuord_Var_Meth[],2)</f>
        <v>154</v>
      </c>
      <c r="B381">
        <f t="shared" si="10"/>
        <v>328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1">
        <f t="shared" ca="1" si="9"/>
        <v>0.28260902874709126</v>
      </c>
      <c r="E381">
        <f ca="1">RANK(dict_zul_Var_Meth[[#This Row],[ignored_rand]],dict_zul_Var_Meth[ignored_rand])</f>
        <v>540</v>
      </c>
    </row>
    <row r="382" spans="1:5" x14ac:dyDescent="0.45">
      <c r="A382">
        <f ca="1">VLOOKUP(dict_zul_Var_Meth[[#This Row],[ignored_rank]],help_zuord_Var_Meth[],2)</f>
        <v>69</v>
      </c>
      <c r="B382">
        <f t="shared" si="10"/>
        <v>329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2">
        <f t="shared" ca="1" si="9"/>
        <v>0.69655326608713453</v>
      </c>
      <c r="E382">
        <f ca="1">RANK(dict_zul_Var_Meth[[#This Row],[ignored_rand]],dict_zul_Var_Meth[ignored_rand])</f>
        <v>242</v>
      </c>
    </row>
    <row r="383" spans="1:5" x14ac:dyDescent="0.45">
      <c r="A383">
        <f ca="1">VLOOKUP(dict_zul_Var_Meth[[#This Row],[ignored_rank]],help_zuord_Var_Meth[],2)</f>
        <v>9</v>
      </c>
      <c r="B383">
        <f t="shared" si="10"/>
        <v>330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3">
        <f t="shared" ca="1" si="9"/>
        <v>0.96293882144844667</v>
      </c>
      <c r="E383">
        <f ca="1">RANK(dict_zul_Var_Meth[[#This Row],[ignored_rand]],dict_zul_Var_Meth[ignored_rand])</f>
        <v>31</v>
      </c>
    </row>
    <row r="384" spans="1:5" x14ac:dyDescent="0.45">
      <c r="A384">
        <f ca="1">VLOOKUP(dict_zul_Var_Meth[[#This Row],[ignored_rank]],help_zuord_Var_Meth[],2)</f>
        <v>179</v>
      </c>
      <c r="B384">
        <f t="shared" si="10"/>
        <v>331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4">
        <f t="shared" ca="1" si="9"/>
        <v>0.15471547054827117</v>
      </c>
      <c r="E384">
        <f ca="1">RANK(dict_zul_Var_Meth[[#This Row],[ignored_rand]],dict_zul_Var_Meth[ignored_rand])</f>
        <v>627</v>
      </c>
    </row>
    <row r="385" spans="1:5" x14ac:dyDescent="0.45">
      <c r="A385">
        <f ca="1">VLOOKUP(dict_zul_Var_Meth[[#This Row],[ignored_rank]],help_zuord_Var_Meth[],2)</f>
        <v>199</v>
      </c>
      <c r="B385">
        <f t="shared" si="10"/>
        <v>332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5">
        <f t="shared" ca="1" si="9"/>
        <v>5.1945883711412844E-3</v>
      </c>
      <c r="E385">
        <f ca="1">RANK(dict_zul_Var_Meth[[#This Row],[ignored_rand]],dict_zul_Var_Meth[ignored_rand])</f>
        <v>747</v>
      </c>
    </row>
    <row r="386" spans="1:5" x14ac:dyDescent="0.45">
      <c r="A386">
        <f ca="1">VLOOKUP(dict_zul_Var_Meth[[#This Row],[ignored_rank]],help_zuord_Var_Meth[],2)</f>
        <v>57</v>
      </c>
      <c r="B386">
        <f t="shared" si="10"/>
        <v>333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6">
        <f t="shared" ref="D386:D449" ca="1" si="11">RAND()</f>
        <v>0.74090358249053223</v>
      </c>
      <c r="E386">
        <f ca="1">RANK(dict_zul_Var_Meth[[#This Row],[ignored_rand]],dict_zul_Var_Meth[ignored_rand])</f>
        <v>201</v>
      </c>
    </row>
    <row r="387" spans="1:5" x14ac:dyDescent="0.45">
      <c r="A387">
        <f ca="1">VLOOKUP(dict_zul_Var_Meth[[#This Row],[ignored_rank]],help_zuord_Var_Meth[],2)</f>
        <v>93</v>
      </c>
      <c r="B387">
        <f t="shared" si="10"/>
        <v>334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7">
        <f t="shared" ca="1" si="11"/>
        <v>0.56157551768784242</v>
      </c>
      <c r="E387">
        <f ca="1">RANK(dict_zul_Var_Meth[[#This Row],[ignored_rand]],dict_zul_Var_Meth[ignored_rand])</f>
        <v>326</v>
      </c>
    </row>
    <row r="388" spans="1:5" x14ac:dyDescent="0.45">
      <c r="A388">
        <f ca="1">VLOOKUP(dict_zul_Var_Meth[[#This Row],[ignored_rank]],help_zuord_Var_Meth[],2)</f>
        <v>133</v>
      </c>
      <c r="B388">
        <f t="shared" si="10"/>
        <v>335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8">
        <f t="shared" ca="1" si="11"/>
        <v>0.37471618480538615</v>
      </c>
      <c r="E388">
        <f ca="1">RANK(dict_zul_Var_Meth[[#This Row],[ignored_rand]],dict_zul_Var_Meth[ignored_rand])</f>
        <v>466</v>
      </c>
    </row>
    <row r="389" spans="1:5" x14ac:dyDescent="0.45">
      <c r="A389">
        <f ca="1">VLOOKUP(dict_zul_Var_Meth[[#This Row],[ignored_rank]],help_zuord_Var_Meth[],2)</f>
        <v>171</v>
      </c>
      <c r="B389">
        <f t="shared" si="10"/>
        <v>336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9">
        <f t="shared" ca="1" si="11"/>
        <v>0.19308943005490442</v>
      </c>
      <c r="E389">
        <f ca="1">RANK(dict_zul_Var_Meth[[#This Row],[ignored_rand]],dict_zul_Var_Meth[ignored_rand])</f>
        <v>599</v>
      </c>
    </row>
    <row r="390" spans="1:5" x14ac:dyDescent="0.45">
      <c r="A390">
        <f ca="1">VLOOKUP(dict_zul_Var_Meth[[#This Row],[ignored_rank]],help_zuord_Var_Meth[],2)</f>
        <v>73</v>
      </c>
      <c r="B390">
        <f t="shared" si="10"/>
        <v>337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0">
        <f t="shared" ca="1" si="11"/>
        <v>0.67307522062249503</v>
      </c>
      <c r="E390">
        <f ca="1">RANK(dict_zul_Var_Meth[[#This Row],[ignored_rand]],dict_zul_Var_Meth[ignored_rand])</f>
        <v>256</v>
      </c>
    </row>
    <row r="391" spans="1:5" x14ac:dyDescent="0.45">
      <c r="A391">
        <f ca="1">VLOOKUP(dict_zul_Var_Meth[[#This Row],[ignored_rank]],help_zuord_Var_Meth[],2)</f>
        <v>18</v>
      </c>
      <c r="B391">
        <f t="shared" si="10"/>
        <v>338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1">
        <f t="shared" ca="1" si="11"/>
        <v>0.91917524060425959</v>
      </c>
      <c r="E391">
        <f ca="1">RANK(dict_zul_Var_Meth[[#This Row],[ignored_rand]],dict_zul_Var_Meth[ignored_rand])</f>
        <v>64</v>
      </c>
    </row>
    <row r="392" spans="1:5" x14ac:dyDescent="0.45">
      <c r="A392">
        <f ca="1">VLOOKUP(dict_zul_Var_Meth[[#This Row],[ignored_rank]],help_zuord_Var_Meth[],2)</f>
        <v>85</v>
      </c>
      <c r="B392">
        <f t="shared" si="10"/>
        <v>339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2">
        <f t="shared" ca="1" si="11"/>
        <v>0.61074488519615611</v>
      </c>
      <c r="E392">
        <f ca="1">RANK(dict_zul_Var_Meth[[#This Row],[ignored_rand]],dict_zul_Var_Meth[ignored_rand])</f>
        <v>300</v>
      </c>
    </row>
    <row r="393" spans="1:5" x14ac:dyDescent="0.45">
      <c r="A393">
        <f ca="1">VLOOKUP(dict_zul_Var_Meth[[#This Row],[ignored_rank]],help_zuord_Var_Meth[],2)</f>
        <v>177</v>
      </c>
      <c r="B393">
        <f t="shared" si="10"/>
        <v>340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3">
        <f t="shared" ca="1" si="11"/>
        <v>0.16443240703960449</v>
      </c>
      <c r="E393">
        <f ca="1">RANK(dict_zul_Var_Meth[[#This Row],[ignored_rand]],dict_zul_Var_Meth[ignored_rand])</f>
        <v>620</v>
      </c>
    </row>
    <row r="394" spans="1:5" x14ac:dyDescent="0.45">
      <c r="A394">
        <f ca="1">VLOOKUP(dict_zul_Var_Meth[[#This Row],[ignored_rank]],help_zuord_Var_Meth[],2)</f>
        <v>149</v>
      </c>
      <c r="B394">
        <f t="shared" si="10"/>
        <v>341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4">
        <f t="shared" ca="1" si="11"/>
        <v>0.29871655961630228</v>
      </c>
      <c r="E394">
        <f ca="1">RANK(dict_zul_Var_Meth[[#This Row],[ignored_rand]],dict_zul_Var_Meth[ignored_rand])</f>
        <v>522</v>
      </c>
    </row>
    <row r="395" spans="1:5" x14ac:dyDescent="0.45">
      <c r="A395">
        <f ca="1">VLOOKUP(dict_zul_Var_Meth[[#This Row],[ignored_rank]],help_zuord_Var_Meth[],2)</f>
        <v>3</v>
      </c>
      <c r="B395">
        <f t="shared" si="10"/>
        <v>342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5">
        <f t="shared" ca="1" si="11"/>
        <v>0.98646187939110641</v>
      </c>
      <c r="E395">
        <f ca="1">RANK(dict_zul_Var_Meth[[#This Row],[ignored_rand]],dict_zul_Var_Meth[ignored_rand])</f>
        <v>11</v>
      </c>
    </row>
    <row r="396" spans="1:5" x14ac:dyDescent="0.45">
      <c r="A396">
        <f ca="1">VLOOKUP(dict_zul_Var_Meth[[#This Row],[ignored_rank]],help_zuord_Var_Meth[],2)</f>
        <v>138</v>
      </c>
      <c r="B396">
        <f t="shared" si="10"/>
        <v>343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6">
        <f t="shared" ca="1" si="11"/>
        <v>0.35662660115806155</v>
      </c>
      <c r="E396">
        <f ca="1">RANK(dict_zul_Var_Meth[[#This Row],[ignored_rand]],dict_zul_Var_Meth[ignored_rand])</f>
        <v>481</v>
      </c>
    </row>
    <row r="397" spans="1:5" x14ac:dyDescent="0.45">
      <c r="A397">
        <f ca="1">VLOOKUP(dict_zul_Var_Meth[[#This Row],[ignored_rank]],help_zuord_Var_Meth[],2)</f>
        <v>142</v>
      </c>
      <c r="B397">
        <f t="shared" si="10"/>
        <v>344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7">
        <f t="shared" ca="1" si="11"/>
        <v>0.3318843651802883</v>
      </c>
      <c r="E397">
        <f ca="1">RANK(dict_zul_Var_Meth[[#This Row],[ignored_rand]],dict_zul_Var_Meth[ignored_rand])</f>
        <v>496</v>
      </c>
    </row>
    <row r="398" spans="1:5" x14ac:dyDescent="0.45">
      <c r="A398">
        <f ca="1">VLOOKUP(dict_zul_Var_Meth[[#This Row],[ignored_rank]],help_zuord_Var_Meth[],2)</f>
        <v>75</v>
      </c>
      <c r="B398">
        <f t="shared" si="10"/>
        <v>345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8">
        <f t="shared" ca="1" si="11"/>
        <v>0.66753765223186345</v>
      </c>
      <c r="E398">
        <f ca="1">RANK(dict_zul_Var_Meth[[#This Row],[ignored_rand]],dict_zul_Var_Meth[ignored_rand])</f>
        <v>262</v>
      </c>
    </row>
    <row r="399" spans="1:5" x14ac:dyDescent="0.45">
      <c r="A399">
        <f ca="1">VLOOKUP(dict_zul_Var_Meth[[#This Row],[ignored_rank]],help_zuord_Var_Meth[],2)</f>
        <v>89</v>
      </c>
      <c r="B399">
        <f t="shared" si="10"/>
        <v>346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9">
        <f t="shared" ca="1" si="11"/>
        <v>0.58280296867125758</v>
      </c>
      <c r="E399">
        <f ca="1">RANK(dict_zul_Var_Meth[[#This Row],[ignored_rand]],dict_zul_Var_Meth[ignored_rand])</f>
        <v>311</v>
      </c>
    </row>
    <row r="400" spans="1:5" x14ac:dyDescent="0.45">
      <c r="A400">
        <f ca="1">VLOOKUP(dict_zul_Var_Meth[[#This Row],[ignored_rank]],help_zuord_Var_Meth[],2)</f>
        <v>68</v>
      </c>
      <c r="B400">
        <f t="shared" si="10"/>
        <v>347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0">
        <f t="shared" ca="1" si="11"/>
        <v>0.69692655803061043</v>
      </c>
      <c r="E400">
        <f ca="1">RANK(dict_zul_Var_Meth[[#This Row],[ignored_rand]],dict_zul_Var_Meth[ignored_rand])</f>
        <v>238</v>
      </c>
    </row>
    <row r="401" spans="1:5" x14ac:dyDescent="0.45">
      <c r="A401">
        <f ca="1">VLOOKUP(dict_zul_Var_Meth[[#This Row],[ignored_rank]],help_zuord_Var_Meth[],2)</f>
        <v>194</v>
      </c>
      <c r="B401">
        <f t="shared" si="10"/>
        <v>348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1">
        <f t="shared" ca="1" si="11"/>
        <v>9.7498139001342965E-2</v>
      </c>
      <c r="E401">
        <f ca="1">RANK(dict_zul_Var_Meth[[#This Row],[ignored_rand]],dict_zul_Var_Meth[ignored_rand])</f>
        <v>681</v>
      </c>
    </row>
    <row r="402" spans="1:5" x14ac:dyDescent="0.45">
      <c r="A402">
        <f ca="1">VLOOKUP(dict_zul_Var_Meth[[#This Row],[ignored_rank]],help_zuord_Var_Meth[],2)</f>
        <v>182</v>
      </c>
      <c r="B402">
        <f t="shared" si="10"/>
        <v>349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2">
        <f t="shared" ca="1" si="11"/>
        <v>0.14627318045018811</v>
      </c>
      <c r="E402">
        <f ca="1">RANK(dict_zul_Var_Meth[[#This Row],[ignored_rand]],dict_zul_Var_Meth[ignored_rand])</f>
        <v>639</v>
      </c>
    </row>
    <row r="403" spans="1:5" x14ac:dyDescent="0.45">
      <c r="A403">
        <f ca="1">VLOOKUP(dict_zul_Var_Meth[[#This Row],[ignored_rank]],help_zuord_Var_Meth[],2)</f>
        <v>148</v>
      </c>
      <c r="B403">
        <f t="shared" si="10"/>
        <v>350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3">
        <f t="shared" ca="1" si="11"/>
        <v>0.30336318342940849</v>
      </c>
      <c r="E403">
        <f ca="1">RANK(dict_zul_Var_Meth[[#This Row],[ignored_rand]],dict_zul_Var_Meth[ignored_rand])</f>
        <v>517</v>
      </c>
    </row>
    <row r="404" spans="1:5" x14ac:dyDescent="0.45">
      <c r="A404">
        <f ca="1">VLOOKUP(dict_zul_Var_Meth[[#This Row],[ignored_rank]],help_zuord_Var_Meth[],2)</f>
        <v>158</v>
      </c>
      <c r="B404">
        <f t="shared" si="10"/>
        <v>351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4">
        <f t="shared" ca="1" si="11"/>
        <v>0.26093184482546428</v>
      </c>
      <c r="E404">
        <f ca="1">RANK(dict_zul_Var_Meth[[#This Row],[ignored_rand]],dict_zul_Var_Meth[ignored_rand])</f>
        <v>554</v>
      </c>
    </row>
    <row r="405" spans="1:5" x14ac:dyDescent="0.45">
      <c r="A405">
        <f ca="1">VLOOKUP(dict_zul_Var_Meth[[#This Row],[ignored_rank]],help_zuord_Var_Meth[],2)</f>
        <v>42</v>
      </c>
      <c r="B405">
        <f t="shared" si="10"/>
        <v>352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5">
        <f t="shared" ca="1" si="11"/>
        <v>0.79635935000549352</v>
      </c>
      <c r="E405">
        <f ca="1">RANK(dict_zul_Var_Meth[[#This Row],[ignored_rand]],dict_zul_Var_Meth[ignored_rand])</f>
        <v>150</v>
      </c>
    </row>
    <row r="406" spans="1:5" x14ac:dyDescent="0.45">
      <c r="A406">
        <f ca="1">VLOOKUP(dict_zul_Var_Meth[[#This Row],[ignored_rank]],help_zuord_Var_Meth[],2)</f>
        <v>195</v>
      </c>
      <c r="B406">
        <f t="shared" si="10"/>
        <v>353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6">
        <f t="shared" ca="1" si="11"/>
        <v>9.6216016602061916E-2</v>
      </c>
      <c r="E406">
        <f ca="1">RANK(dict_zul_Var_Meth[[#This Row],[ignored_rand]],dict_zul_Var_Meth[ignored_rand])</f>
        <v>684</v>
      </c>
    </row>
    <row r="407" spans="1:5" x14ac:dyDescent="0.45">
      <c r="A407">
        <f ca="1">VLOOKUP(dict_zul_Var_Meth[[#This Row],[ignored_rank]],help_zuord_Var_Meth[],2)</f>
        <v>99</v>
      </c>
      <c r="B407">
        <f t="shared" si="10"/>
        <v>354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7">
        <f t="shared" ca="1" si="11"/>
        <v>0.53672910607722191</v>
      </c>
      <c r="E407">
        <f ca="1">RANK(dict_zul_Var_Meth[[#This Row],[ignored_rand]],dict_zul_Var_Meth[ignored_rand])</f>
        <v>346</v>
      </c>
    </row>
    <row r="408" spans="1:5" x14ac:dyDescent="0.45">
      <c r="A408">
        <f ca="1">VLOOKUP(dict_zul_Var_Meth[[#This Row],[ignored_rank]],help_zuord_Var_Meth[],2)</f>
        <v>7</v>
      </c>
      <c r="B408">
        <f t="shared" si="10"/>
        <v>355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8">
        <f t="shared" ca="1" si="11"/>
        <v>0.96735882787979888</v>
      </c>
      <c r="E408">
        <f ca="1">RANK(dict_zul_Var_Meth[[#This Row],[ignored_rand]],dict_zul_Var_Meth[ignored_rand])</f>
        <v>26</v>
      </c>
    </row>
    <row r="409" spans="1:5" x14ac:dyDescent="0.45">
      <c r="A409">
        <f ca="1">VLOOKUP(dict_zul_Var_Meth[[#This Row],[ignored_rank]],help_zuord_Var_Meth[],2)</f>
        <v>104</v>
      </c>
      <c r="B409">
        <f t="shared" si="10"/>
        <v>356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9">
        <f t="shared" ca="1" si="11"/>
        <v>0.51880994086487087</v>
      </c>
      <c r="E409">
        <f ca="1">RANK(dict_zul_Var_Meth[[#This Row],[ignored_rand]],dict_zul_Var_Meth[ignored_rand])</f>
        <v>364</v>
      </c>
    </row>
    <row r="410" spans="1:5" x14ac:dyDescent="0.45">
      <c r="A410">
        <f ca="1">VLOOKUP(dict_zul_Var_Meth[[#This Row],[ignored_rank]],help_zuord_Var_Meth[],2)</f>
        <v>199</v>
      </c>
      <c r="B410">
        <f t="shared" si="10"/>
        <v>357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0">
        <f t="shared" ca="1" si="11"/>
        <v>6.5927933163055674E-2</v>
      </c>
      <c r="E410">
        <f ca="1">RANK(dict_zul_Var_Meth[[#This Row],[ignored_rand]],dict_zul_Var_Meth[ignored_rand])</f>
        <v>695</v>
      </c>
    </row>
    <row r="411" spans="1:5" x14ac:dyDescent="0.45">
      <c r="A411">
        <f ca="1">VLOOKUP(dict_zul_Var_Meth[[#This Row],[ignored_rank]],help_zuord_Var_Meth[],2)</f>
        <v>30</v>
      </c>
      <c r="B411">
        <f t="shared" si="10"/>
        <v>358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1">
        <f t="shared" ca="1" si="11"/>
        <v>0.85709896288264575</v>
      </c>
      <c r="E411">
        <f ca="1">RANK(dict_zul_Var_Meth[[#This Row],[ignored_rand]],dict_zul_Var_Meth[ignored_rand])</f>
        <v>106</v>
      </c>
    </row>
    <row r="412" spans="1:5" x14ac:dyDescent="0.45">
      <c r="A412">
        <f ca="1">VLOOKUP(dict_zul_Var_Meth[[#This Row],[ignored_rank]],help_zuord_Var_Meth[],2)</f>
        <v>85</v>
      </c>
      <c r="B412">
        <f t="shared" si="10"/>
        <v>359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2">
        <f t="shared" ca="1" si="11"/>
        <v>0.61532226000754731</v>
      </c>
      <c r="E412">
        <f ca="1">RANK(dict_zul_Var_Meth[[#This Row],[ignored_rand]],dict_zul_Var_Meth[ignored_rand])</f>
        <v>297</v>
      </c>
    </row>
    <row r="413" spans="1:5" x14ac:dyDescent="0.45">
      <c r="A413">
        <f ca="1">VLOOKUP(dict_zul_Var_Meth[[#This Row],[ignored_rank]],help_zuord_Var_Meth[],2)</f>
        <v>56</v>
      </c>
      <c r="B413">
        <f t="shared" si="10"/>
        <v>360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3">
        <f t="shared" ca="1" si="11"/>
        <v>0.74569023014484426</v>
      </c>
      <c r="E413">
        <f ca="1">RANK(dict_zul_Var_Meth[[#This Row],[ignored_rand]],dict_zul_Var_Meth[ignored_rand])</f>
        <v>196</v>
      </c>
    </row>
    <row r="414" spans="1:5" x14ac:dyDescent="0.45">
      <c r="A414">
        <f ca="1">VLOOKUP(dict_zul_Var_Meth[[#This Row],[ignored_rank]],help_zuord_Var_Meth[],2)</f>
        <v>78</v>
      </c>
      <c r="B414">
        <f t="shared" si="10"/>
        <v>361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4">
        <f t="shared" ca="1" si="11"/>
        <v>0.64045302111411995</v>
      </c>
      <c r="E414">
        <f ca="1">RANK(dict_zul_Var_Meth[[#This Row],[ignored_rand]],dict_zul_Var_Meth[ignored_rand])</f>
        <v>273</v>
      </c>
    </row>
    <row r="415" spans="1:5" x14ac:dyDescent="0.45">
      <c r="A415">
        <f ca="1">VLOOKUP(dict_zul_Var_Meth[[#This Row],[ignored_rank]],help_zuord_Var_Meth[],2)</f>
        <v>155</v>
      </c>
      <c r="B415">
        <f t="shared" si="10"/>
        <v>362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5">
        <f t="shared" ca="1" si="11"/>
        <v>0.27797451558062558</v>
      </c>
      <c r="E415">
        <f ca="1">RANK(dict_zul_Var_Meth[[#This Row],[ignored_rand]],dict_zul_Var_Meth[ignored_rand])</f>
        <v>544</v>
      </c>
    </row>
    <row r="416" spans="1:5" x14ac:dyDescent="0.45">
      <c r="A416">
        <f ca="1">VLOOKUP(dict_zul_Var_Meth[[#This Row],[ignored_rank]],help_zuord_Var_Meth[],2)</f>
        <v>37</v>
      </c>
      <c r="B416">
        <f t="shared" si="10"/>
        <v>363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6">
        <f t="shared" ca="1" si="11"/>
        <v>0.82922662968330108</v>
      </c>
      <c r="E416">
        <f ca="1">RANK(dict_zul_Var_Meth[[#This Row],[ignored_rand]],dict_zul_Var_Meth[ignored_rand])</f>
        <v>132</v>
      </c>
    </row>
    <row r="417" spans="1:5" x14ac:dyDescent="0.45">
      <c r="A417">
        <f ca="1">VLOOKUP(dict_zul_Var_Meth[[#This Row],[ignored_rank]],help_zuord_Var_Meth[],2)</f>
        <v>189</v>
      </c>
      <c r="B417">
        <f t="shared" si="10"/>
        <v>364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7">
        <f t="shared" ca="1" si="11"/>
        <v>0.11944875581023962</v>
      </c>
      <c r="E417">
        <f ca="1">RANK(dict_zul_Var_Meth[[#This Row],[ignored_rand]],dict_zul_Var_Meth[ignored_rand])</f>
        <v>660</v>
      </c>
    </row>
    <row r="418" spans="1:5" x14ac:dyDescent="0.45">
      <c r="A418">
        <f ca="1">VLOOKUP(dict_zul_Var_Meth[[#This Row],[ignored_rank]],help_zuord_Var_Meth[],2)</f>
        <v>192</v>
      </c>
      <c r="B418">
        <f t="shared" si="10"/>
        <v>365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8">
        <f t="shared" ca="1" si="11"/>
        <v>0.10899482631236646</v>
      </c>
      <c r="E418">
        <f ca="1">RANK(dict_zul_Var_Meth[[#This Row],[ignored_rand]],dict_zul_Var_Meth[ignored_rand])</f>
        <v>671</v>
      </c>
    </row>
    <row r="419" spans="1:5" x14ac:dyDescent="0.45">
      <c r="A419">
        <f ca="1">VLOOKUP(dict_zul_Var_Meth[[#This Row],[ignored_rank]],help_zuord_Var_Meth[],2)</f>
        <v>43</v>
      </c>
      <c r="B419">
        <f t="shared" si="10"/>
        <v>366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9">
        <f t="shared" ca="1" si="11"/>
        <v>0.79004133110890751</v>
      </c>
      <c r="E419">
        <f ca="1">RANK(dict_zul_Var_Meth[[#This Row],[ignored_rand]],dict_zul_Var_Meth[ignored_rand])</f>
        <v>153</v>
      </c>
    </row>
    <row r="420" spans="1:5" x14ac:dyDescent="0.45">
      <c r="A420">
        <f ca="1">VLOOKUP(dict_zul_Var_Meth[[#This Row],[ignored_rank]],help_zuord_Var_Meth[],2)</f>
        <v>199</v>
      </c>
      <c r="B420">
        <f t="shared" si="10"/>
        <v>367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0">
        <f t="shared" ca="1" si="11"/>
        <v>3.2278637151724521E-2</v>
      </c>
      <c r="E420">
        <f ca="1">RANK(dict_zul_Var_Meth[[#This Row],[ignored_rand]],dict_zul_Var_Meth[ignored_rand])</f>
        <v>728</v>
      </c>
    </row>
    <row r="421" spans="1:5" x14ac:dyDescent="0.45">
      <c r="A421">
        <f ca="1">VLOOKUP(dict_zul_Var_Meth[[#This Row],[ignored_rank]],help_zuord_Var_Meth[],2)</f>
        <v>17</v>
      </c>
      <c r="B421">
        <f t="shared" si="10"/>
        <v>368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1">
        <f t="shared" ca="1" si="11"/>
        <v>0.92129112851075412</v>
      </c>
      <c r="E421">
        <f ca="1">RANK(dict_zul_Var_Meth[[#This Row],[ignored_rand]],dict_zul_Var_Meth[ignored_rand])</f>
        <v>60</v>
      </c>
    </row>
    <row r="422" spans="1:5" x14ac:dyDescent="0.45">
      <c r="A422">
        <f ca="1">VLOOKUP(dict_zul_Var_Meth[[#This Row],[ignored_rank]],help_zuord_Var_Meth[],2)</f>
        <v>30</v>
      </c>
      <c r="B422">
        <f t="shared" si="10"/>
        <v>369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2">
        <f t="shared" ca="1" si="11"/>
        <v>0.8559453028290317</v>
      </c>
      <c r="E422">
        <f ca="1">RANK(dict_zul_Var_Meth[[#This Row],[ignored_rand]],dict_zul_Var_Meth[ignored_rand])</f>
        <v>107</v>
      </c>
    </row>
    <row r="423" spans="1:5" x14ac:dyDescent="0.45">
      <c r="A423">
        <f ca="1">VLOOKUP(dict_zul_Var_Meth[[#This Row],[ignored_rank]],help_zuord_Var_Meth[],2)</f>
        <v>41</v>
      </c>
      <c r="B423">
        <f t="shared" si="10"/>
        <v>370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3">
        <f t="shared" ca="1" si="11"/>
        <v>0.80849656985897156</v>
      </c>
      <c r="E423">
        <f ca="1">RANK(dict_zul_Var_Meth[[#This Row],[ignored_rand]],dict_zul_Var_Meth[ignored_rand])</f>
        <v>144</v>
      </c>
    </row>
    <row r="424" spans="1:5" x14ac:dyDescent="0.45">
      <c r="A424">
        <f ca="1">VLOOKUP(dict_zul_Var_Meth[[#This Row],[ignored_rank]],help_zuord_Var_Meth[],2)</f>
        <v>99</v>
      </c>
      <c r="B424">
        <f t="shared" ref="B424:B487" si="12">B423+1</f>
        <v>371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4">
        <f t="shared" ca="1" si="11"/>
        <v>0.53582454272566116</v>
      </c>
      <c r="E424">
        <f ca="1">RANK(dict_zul_Var_Meth[[#This Row],[ignored_rand]],dict_zul_Var_Meth[ignored_rand])</f>
        <v>348</v>
      </c>
    </row>
    <row r="425" spans="1:5" x14ac:dyDescent="0.45">
      <c r="A425">
        <f ca="1">VLOOKUP(dict_zul_Var_Meth[[#This Row],[ignored_rank]],help_zuord_Var_Meth[],2)</f>
        <v>167</v>
      </c>
      <c r="B425">
        <f t="shared" si="12"/>
        <v>372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5">
        <f t="shared" ca="1" si="11"/>
        <v>0.21059731221707823</v>
      </c>
      <c r="E425">
        <f ca="1">RANK(dict_zul_Var_Meth[[#This Row],[ignored_rand]],dict_zul_Var_Meth[ignored_rand])</f>
        <v>585</v>
      </c>
    </row>
    <row r="426" spans="1:5" x14ac:dyDescent="0.45">
      <c r="A426">
        <f ca="1">VLOOKUP(dict_zul_Var_Meth[[#This Row],[ignored_rank]],help_zuord_Var_Meth[],2)</f>
        <v>72</v>
      </c>
      <c r="B426">
        <f t="shared" si="12"/>
        <v>373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6">
        <f t="shared" ca="1" si="11"/>
        <v>0.67858095184150924</v>
      </c>
      <c r="E426">
        <f ca="1">RANK(dict_zul_Var_Meth[[#This Row],[ignored_rand]],dict_zul_Var_Meth[ignored_rand])</f>
        <v>254</v>
      </c>
    </row>
    <row r="427" spans="1:5" x14ac:dyDescent="0.45">
      <c r="A427">
        <f ca="1">VLOOKUP(dict_zul_Var_Meth[[#This Row],[ignored_rank]],help_zuord_Var_Meth[],2)</f>
        <v>60</v>
      </c>
      <c r="B427">
        <f t="shared" si="12"/>
        <v>374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7">
        <f t="shared" ca="1" si="11"/>
        <v>0.72894047500649251</v>
      </c>
      <c r="E427">
        <f ca="1">RANK(dict_zul_Var_Meth[[#This Row],[ignored_rand]],dict_zul_Var_Meth[ignored_rand])</f>
        <v>210</v>
      </c>
    </row>
    <row r="428" spans="1:5" x14ac:dyDescent="0.45">
      <c r="A428">
        <f ca="1">VLOOKUP(dict_zul_Var_Meth[[#This Row],[ignored_rank]],help_zuord_Var_Meth[],2)</f>
        <v>0</v>
      </c>
      <c r="B428">
        <f t="shared" si="12"/>
        <v>375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8">
        <f t="shared" ca="1" si="11"/>
        <v>0.99423540387038556</v>
      </c>
      <c r="E428">
        <f ca="1">RANK(dict_zul_Var_Meth[[#This Row],[ignored_rand]],dict_zul_Var_Meth[ignored_rand])</f>
        <v>4</v>
      </c>
    </row>
    <row r="429" spans="1:5" x14ac:dyDescent="0.45">
      <c r="A429">
        <f ca="1">VLOOKUP(dict_zul_Var_Meth[[#This Row],[ignored_rank]],help_zuord_Var_Meth[],2)</f>
        <v>106</v>
      </c>
      <c r="B429">
        <f t="shared" si="12"/>
        <v>376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9">
        <f t="shared" ca="1" si="11"/>
        <v>0.50912964053940135</v>
      </c>
      <c r="E429">
        <f ca="1">RANK(dict_zul_Var_Meth[[#This Row],[ignored_rand]],dict_zul_Var_Meth[ignored_rand])</f>
        <v>373</v>
      </c>
    </row>
    <row r="430" spans="1:5" x14ac:dyDescent="0.45">
      <c r="A430">
        <f ca="1">VLOOKUP(dict_zul_Var_Meth[[#This Row],[ignored_rank]],help_zuord_Var_Meth[],2)</f>
        <v>67</v>
      </c>
      <c r="B430">
        <f t="shared" si="12"/>
        <v>377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0">
        <f t="shared" ca="1" si="11"/>
        <v>0.69826745626173148</v>
      </c>
      <c r="E430">
        <f ca="1">RANK(dict_zul_Var_Meth[[#This Row],[ignored_rand]],dict_zul_Var_Meth[ignored_rand])</f>
        <v>235</v>
      </c>
    </row>
    <row r="431" spans="1:5" x14ac:dyDescent="0.45">
      <c r="A431">
        <f ca="1">VLOOKUP(dict_zul_Var_Meth[[#This Row],[ignored_rank]],help_zuord_Var_Meth[],2)</f>
        <v>21</v>
      </c>
      <c r="B431">
        <f t="shared" si="12"/>
        <v>378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1">
        <f t="shared" ca="1" si="11"/>
        <v>0.89869580111510361</v>
      </c>
      <c r="E431">
        <f ca="1">RANK(dict_zul_Var_Meth[[#This Row],[ignored_rand]],dict_zul_Var_Meth[ignored_rand])</f>
        <v>75</v>
      </c>
    </row>
    <row r="432" spans="1:5" x14ac:dyDescent="0.45">
      <c r="A432">
        <f ca="1">VLOOKUP(dict_zul_Var_Meth[[#This Row],[ignored_rank]],help_zuord_Var_Meth[],2)</f>
        <v>64</v>
      </c>
      <c r="B432">
        <f t="shared" si="12"/>
        <v>379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2">
        <f t="shared" ca="1" si="11"/>
        <v>0.70417757505660339</v>
      </c>
      <c r="E432">
        <f ca="1">RANK(dict_zul_Var_Meth[[#This Row],[ignored_rand]],dict_zul_Var_Meth[ignored_rand])</f>
        <v>225</v>
      </c>
    </row>
    <row r="433" spans="1:5" x14ac:dyDescent="0.45">
      <c r="A433">
        <f ca="1">VLOOKUP(dict_zul_Var_Meth[[#This Row],[ignored_rank]],help_zuord_Var_Meth[],2)</f>
        <v>120</v>
      </c>
      <c r="B433">
        <f t="shared" si="12"/>
        <v>380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3">
        <f t="shared" ca="1" si="11"/>
        <v>0.44250285675493195</v>
      </c>
      <c r="E433">
        <f ca="1">RANK(dict_zul_Var_Meth[[#This Row],[ignored_rand]],dict_zul_Var_Meth[ignored_rand])</f>
        <v>419</v>
      </c>
    </row>
    <row r="434" spans="1:5" x14ac:dyDescent="0.45">
      <c r="A434">
        <f ca="1">VLOOKUP(dict_zul_Var_Meth[[#This Row],[ignored_rank]],help_zuord_Var_Meth[],2)</f>
        <v>45</v>
      </c>
      <c r="B434">
        <f t="shared" si="12"/>
        <v>381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4">
        <f t="shared" ca="1" si="11"/>
        <v>0.78732065357742376</v>
      </c>
      <c r="E434">
        <f ca="1">RANK(dict_zul_Var_Meth[[#This Row],[ignored_rand]],dict_zul_Var_Meth[ignored_rand])</f>
        <v>158</v>
      </c>
    </row>
    <row r="435" spans="1:5" x14ac:dyDescent="0.45">
      <c r="A435">
        <f ca="1">VLOOKUP(dict_zul_Var_Meth[[#This Row],[ignored_rank]],help_zuord_Var_Meth[],2)</f>
        <v>32</v>
      </c>
      <c r="B435">
        <f t="shared" si="12"/>
        <v>382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5">
        <f t="shared" ca="1" si="11"/>
        <v>0.85021546965652572</v>
      </c>
      <c r="E435">
        <f ca="1">RANK(dict_zul_Var_Meth[[#This Row],[ignored_rand]],dict_zul_Var_Meth[ignored_rand])</f>
        <v>114</v>
      </c>
    </row>
    <row r="436" spans="1:5" x14ac:dyDescent="0.45">
      <c r="A436">
        <f ca="1">VLOOKUP(dict_zul_Var_Meth[[#This Row],[ignored_rank]],help_zuord_Var_Meth[],2)</f>
        <v>149</v>
      </c>
      <c r="B436">
        <f t="shared" si="12"/>
        <v>383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6">
        <f t="shared" ca="1" si="11"/>
        <v>0.29598702704002078</v>
      </c>
      <c r="E436">
        <f ca="1">RANK(dict_zul_Var_Meth[[#This Row],[ignored_rand]],dict_zul_Var_Meth[ignored_rand])</f>
        <v>523</v>
      </c>
    </row>
    <row r="437" spans="1:5" x14ac:dyDescent="0.45">
      <c r="A437">
        <f ca="1">VLOOKUP(dict_zul_Var_Meth[[#This Row],[ignored_rank]],help_zuord_Var_Meth[],2)</f>
        <v>176</v>
      </c>
      <c r="B437">
        <f t="shared" si="12"/>
        <v>384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7">
        <f t="shared" ca="1" si="11"/>
        <v>0.17583370900574491</v>
      </c>
      <c r="E437">
        <f ca="1">RANK(dict_zul_Var_Meth[[#This Row],[ignored_rand]],dict_zul_Var_Meth[ignored_rand])</f>
        <v>615</v>
      </c>
    </row>
    <row r="438" spans="1:5" x14ac:dyDescent="0.45">
      <c r="A438">
        <f ca="1">VLOOKUP(dict_zul_Var_Meth[[#This Row],[ignored_rank]],help_zuord_Var_Meth[],2)</f>
        <v>2</v>
      </c>
      <c r="B438">
        <f t="shared" si="12"/>
        <v>385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8">
        <f t="shared" ca="1" si="11"/>
        <v>0.98889204467916014</v>
      </c>
      <c r="E438">
        <f ca="1">RANK(dict_zul_Var_Meth[[#This Row],[ignored_rand]],dict_zul_Var_Meth[ignored_rand])</f>
        <v>9</v>
      </c>
    </row>
    <row r="439" spans="1:5" x14ac:dyDescent="0.45">
      <c r="A439">
        <f ca="1">VLOOKUP(dict_zul_Var_Meth[[#This Row],[ignored_rank]],help_zuord_Var_Meth[],2)</f>
        <v>99</v>
      </c>
      <c r="B439">
        <f t="shared" si="12"/>
        <v>386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9">
        <f t="shared" ca="1" si="11"/>
        <v>0.53594458930638333</v>
      </c>
      <c r="E439">
        <f ca="1">RANK(dict_zul_Var_Meth[[#This Row],[ignored_rand]],dict_zul_Var_Meth[ignored_rand])</f>
        <v>347</v>
      </c>
    </row>
    <row r="440" spans="1:5" x14ac:dyDescent="0.45">
      <c r="A440">
        <f ca="1">VLOOKUP(dict_zul_Var_Meth[[#This Row],[ignored_rank]],help_zuord_Var_Meth[],2)</f>
        <v>160</v>
      </c>
      <c r="B440">
        <f t="shared" si="12"/>
        <v>387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0">
        <f t="shared" ca="1" si="11"/>
        <v>0.2511242657903433</v>
      </c>
      <c r="E440">
        <f ca="1">RANK(dict_zul_Var_Meth[[#This Row],[ignored_rand]],dict_zul_Var_Meth[ignored_rand])</f>
        <v>559</v>
      </c>
    </row>
    <row r="441" spans="1:5" x14ac:dyDescent="0.45">
      <c r="A441">
        <f ca="1">VLOOKUP(dict_zul_Var_Meth[[#This Row],[ignored_rank]],help_zuord_Var_Meth[],2)</f>
        <v>12</v>
      </c>
      <c r="B441">
        <f t="shared" si="12"/>
        <v>388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1">
        <f t="shared" ca="1" si="11"/>
        <v>0.94578935591436863</v>
      </c>
      <c r="E441">
        <f ca="1">RANK(dict_zul_Var_Meth[[#This Row],[ignored_rand]],dict_zul_Var_Meth[ignored_rand])</f>
        <v>43</v>
      </c>
    </row>
    <row r="442" spans="1:5" x14ac:dyDescent="0.45">
      <c r="A442">
        <f ca="1">VLOOKUP(dict_zul_Var_Meth[[#This Row],[ignored_rank]],help_zuord_Var_Meth[],2)</f>
        <v>28</v>
      </c>
      <c r="B442">
        <f t="shared" si="12"/>
        <v>389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2">
        <f t="shared" ca="1" si="11"/>
        <v>0.86306912295415272</v>
      </c>
      <c r="E442">
        <f ca="1">RANK(dict_zul_Var_Meth[[#This Row],[ignored_rand]],dict_zul_Var_Meth[ignored_rand])</f>
        <v>101</v>
      </c>
    </row>
    <row r="443" spans="1:5" x14ac:dyDescent="0.45">
      <c r="A443">
        <f ca="1">VLOOKUP(dict_zul_Var_Meth[[#This Row],[ignored_rank]],help_zuord_Var_Meth[],2)</f>
        <v>33</v>
      </c>
      <c r="B443">
        <f t="shared" si="12"/>
        <v>390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3">
        <f t="shared" ca="1" si="11"/>
        <v>0.848381286007306</v>
      </c>
      <c r="E443">
        <f ca="1">RANK(dict_zul_Var_Meth[[#This Row],[ignored_rand]],dict_zul_Var_Meth[ignored_rand])</f>
        <v>117</v>
      </c>
    </row>
    <row r="444" spans="1:5" x14ac:dyDescent="0.45">
      <c r="A444">
        <f ca="1">VLOOKUP(dict_zul_Var_Meth[[#This Row],[ignored_rank]],help_zuord_Var_Meth[],2)</f>
        <v>199</v>
      </c>
      <c r="B444">
        <f t="shared" si="12"/>
        <v>391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4">
        <f t="shared" ca="1" si="11"/>
        <v>6.4298127118064263E-3</v>
      </c>
      <c r="E444">
        <f ca="1">RANK(dict_zul_Var_Meth[[#This Row],[ignored_rand]],dict_zul_Var_Meth[ignored_rand])</f>
        <v>746</v>
      </c>
    </row>
    <row r="445" spans="1:5" x14ac:dyDescent="0.45">
      <c r="A445">
        <f ca="1">VLOOKUP(dict_zul_Var_Meth[[#This Row],[ignored_rank]],help_zuord_Var_Meth[],2)</f>
        <v>199</v>
      </c>
      <c r="B445">
        <f t="shared" si="12"/>
        <v>392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5">
        <f t="shared" ca="1" si="11"/>
        <v>2.4845790135189505E-2</v>
      </c>
      <c r="E445">
        <f ca="1">RANK(dict_zul_Var_Meth[[#This Row],[ignored_rand]],dict_zul_Var_Meth[ignored_rand])</f>
        <v>732</v>
      </c>
    </row>
    <row r="446" spans="1:5" x14ac:dyDescent="0.45">
      <c r="A446">
        <f ca="1">VLOOKUP(dict_zul_Var_Meth[[#This Row],[ignored_rank]],help_zuord_Var_Meth[],2)</f>
        <v>26</v>
      </c>
      <c r="B446">
        <f t="shared" si="12"/>
        <v>393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6">
        <f t="shared" ca="1" si="11"/>
        <v>0.87323596503231971</v>
      </c>
      <c r="E446">
        <f ca="1">RANK(dict_zul_Var_Meth[[#This Row],[ignored_rand]],dict_zul_Var_Meth[ignored_rand])</f>
        <v>92</v>
      </c>
    </row>
    <row r="447" spans="1:5" x14ac:dyDescent="0.45">
      <c r="A447">
        <f ca="1">VLOOKUP(dict_zul_Var_Meth[[#This Row],[ignored_rank]],help_zuord_Var_Meth[],2)</f>
        <v>64</v>
      </c>
      <c r="B447">
        <f t="shared" si="12"/>
        <v>394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7">
        <f t="shared" ca="1" si="11"/>
        <v>0.70430684295130164</v>
      </c>
      <c r="E447">
        <f ca="1">RANK(dict_zul_Var_Meth[[#This Row],[ignored_rand]],dict_zul_Var_Meth[ignored_rand])</f>
        <v>224</v>
      </c>
    </row>
    <row r="448" spans="1:5" x14ac:dyDescent="0.45">
      <c r="A448">
        <f ca="1">VLOOKUP(dict_zul_Var_Meth[[#This Row],[ignored_rank]],help_zuord_Var_Meth[],2)</f>
        <v>174</v>
      </c>
      <c r="B448">
        <f t="shared" si="12"/>
        <v>395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8">
        <f t="shared" ca="1" si="11"/>
        <v>0.17801054473869637</v>
      </c>
      <c r="E448">
        <f ca="1">RANK(dict_zul_Var_Meth[[#This Row],[ignored_rand]],dict_zul_Var_Meth[ignored_rand])</f>
        <v>611</v>
      </c>
    </row>
    <row r="449" spans="1:5" x14ac:dyDescent="0.45">
      <c r="A449">
        <f ca="1">VLOOKUP(dict_zul_Var_Meth[[#This Row],[ignored_rank]],help_zuord_Var_Meth[],2)</f>
        <v>71</v>
      </c>
      <c r="B449">
        <f t="shared" si="12"/>
        <v>396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9">
        <f t="shared" ca="1" si="11"/>
        <v>0.68379018445247419</v>
      </c>
      <c r="E449">
        <f ca="1">RANK(dict_zul_Var_Meth[[#This Row],[ignored_rand]],dict_zul_Var_Meth[ignored_rand])</f>
        <v>250</v>
      </c>
    </row>
    <row r="450" spans="1:5" x14ac:dyDescent="0.45">
      <c r="A450">
        <f ca="1">VLOOKUP(dict_zul_Var_Meth[[#This Row],[ignored_rank]],help_zuord_Var_Meth[],2)</f>
        <v>41</v>
      </c>
      <c r="B450">
        <f t="shared" si="12"/>
        <v>397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0">
        <f t="shared" ref="D450:D513" ca="1" si="13">RAND()</f>
        <v>0.8010390060180167</v>
      </c>
      <c r="E450">
        <f ca="1">RANK(dict_zul_Var_Meth[[#This Row],[ignored_rand]],dict_zul_Var_Meth[ignored_rand])</f>
        <v>147</v>
      </c>
    </row>
    <row r="451" spans="1:5" x14ac:dyDescent="0.45">
      <c r="A451">
        <f ca="1">VLOOKUP(dict_zul_Var_Meth[[#This Row],[ignored_rank]],help_zuord_Var_Meth[],2)</f>
        <v>146</v>
      </c>
      <c r="B451">
        <f t="shared" si="12"/>
        <v>398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1">
        <f t="shared" ca="1" si="13"/>
        <v>0.30925729417946979</v>
      </c>
      <c r="E451">
        <f ca="1">RANK(dict_zul_Var_Meth[[#This Row],[ignored_rand]],dict_zul_Var_Meth[ignored_rand])</f>
        <v>512</v>
      </c>
    </row>
    <row r="452" spans="1:5" x14ac:dyDescent="0.45">
      <c r="A452">
        <f ca="1">VLOOKUP(dict_zul_Var_Meth[[#This Row],[ignored_rank]],help_zuord_Var_Meth[],2)</f>
        <v>193</v>
      </c>
      <c r="B452">
        <f t="shared" si="12"/>
        <v>399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2">
        <f t="shared" ca="1" si="13"/>
        <v>0.10210091960577328</v>
      </c>
      <c r="E452">
        <f ca="1">RANK(dict_zul_Var_Meth[[#This Row],[ignored_rand]],dict_zul_Var_Meth[ignored_rand])</f>
        <v>676</v>
      </c>
    </row>
    <row r="453" spans="1:5" x14ac:dyDescent="0.45">
      <c r="A453">
        <f ca="1">VLOOKUP(dict_zul_Var_Meth[[#This Row],[ignored_rank]],help_zuord_Var_Meth[],2)</f>
        <v>151</v>
      </c>
      <c r="B453">
        <f t="shared" si="12"/>
        <v>400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3">
        <f t="shared" ca="1" si="13"/>
        <v>0.2923098705582049</v>
      </c>
      <c r="E453">
        <f ca="1">RANK(dict_zul_Var_Meth[[#This Row],[ignored_rand]],dict_zul_Var_Meth[ignored_rand])</f>
        <v>528</v>
      </c>
    </row>
    <row r="454" spans="1:5" x14ac:dyDescent="0.45">
      <c r="A454">
        <f ca="1">VLOOKUP(dict_zul_Var_Meth[[#This Row],[ignored_rank]],help_zuord_Var_Meth[],2)</f>
        <v>41</v>
      </c>
      <c r="B454">
        <f t="shared" si="12"/>
        <v>401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4">
        <f t="shared" ca="1" si="13"/>
        <v>0.80125865750417935</v>
      </c>
      <c r="E454">
        <f ca="1">RANK(dict_zul_Var_Meth[[#This Row],[ignored_rand]],dict_zul_Var_Meth[ignored_rand])</f>
        <v>146</v>
      </c>
    </row>
    <row r="455" spans="1:5" x14ac:dyDescent="0.45">
      <c r="A455">
        <f ca="1">VLOOKUP(dict_zul_Var_Meth[[#This Row],[ignored_rank]],help_zuord_Var_Meth[],2)</f>
        <v>136</v>
      </c>
      <c r="B455">
        <f t="shared" si="12"/>
        <v>402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5">
        <f t="shared" ca="1" si="13"/>
        <v>0.3604837033755306</v>
      </c>
      <c r="E455">
        <f ca="1">RANK(dict_zul_Var_Meth[[#This Row],[ignored_rand]],dict_zul_Var_Meth[ignored_rand])</f>
        <v>478</v>
      </c>
    </row>
    <row r="456" spans="1:5" x14ac:dyDescent="0.45">
      <c r="A456">
        <f ca="1">VLOOKUP(dict_zul_Var_Meth[[#This Row],[ignored_rank]],help_zuord_Var_Meth[],2)</f>
        <v>40</v>
      </c>
      <c r="B456">
        <f t="shared" si="12"/>
        <v>403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6">
        <f t="shared" ca="1" si="13"/>
        <v>0.80923649592716607</v>
      </c>
      <c r="E456">
        <f ca="1">RANK(dict_zul_Var_Meth[[#This Row],[ignored_rand]],dict_zul_Var_Meth[ignored_rand])</f>
        <v>142</v>
      </c>
    </row>
    <row r="457" spans="1:5" x14ac:dyDescent="0.45">
      <c r="A457">
        <f ca="1">VLOOKUP(dict_zul_Var_Meth[[#This Row],[ignored_rank]],help_zuord_Var_Meth[],2)</f>
        <v>45</v>
      </c>
      <c r="B457">
        <f t="shared" si="12"/>
        <v>404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7">
        <f t="shared" ca="1" si="13"/>
        <v>0.788163664713176</v>
      </c>
      <c r="E457">
        <f ca="1">RANK(dict_zul_Var_Meth[[#This Row],[ignored_rand]],dict_zul_Var_Meth[ignored_rand])</f>
        <v>157</v>
      </c>
    </row>
    <row r="458" spans="1:5" x14ac:dyDescent="0.45">
      <c r="A458">
        <f ca="1">VLOOKUP(dict_zul_Var_Meth[[#This Row],[ignored_rank]],help_zuord_Var_Meth[],2)</f>
        <v>161</v>
      </c>
      <c r="B458">
        <f t="shared" si="12"/>
        <v>405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8">
        <f t="shared" ca="1" si="13"/>
        <v>0.24872379060863559</v>
      </c>
      <c r="E458">
        <f ca="1">RANK(dict_zul_Var_Meth[[#This Row],[ignored_rand]],dict_zul_Var_Meth[ignored_rand])</f>
        <v>563</v>
      </c>
    </row>
    <row r="459" spans="1:5" x14ac:dyDescent="0.45">
      <c r="A459">
        <f ca="1">VLOOKUP(dict_zul_Var_Meth[[#This Row],[ignored_rank]],help_zuord_Var_Meth[],2)</f>
        <v>34</v>
      </c>
      <c r="B459">
        <f t="shared" si="12"/>
        <v>406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9">
        <f t="shared" ca="1" si="13"/>
        <v>0.84827009429709022</v>
      </c>
      <c r="E459">
        <f ca="1">RANK(dict_zul_Var_Meth[[#This Row],[ignored_rand]],dict_zul_Var_Meth[ignored_rand])</f>
        <v>118</v>
      </c>
    </row>
    <row r="460" spans="1:5" x14ac:dyDescent="0.45">
      <c r="A460">
        <f ca="1">VLOOKUP(dict_zul_Var_Meth[[#This Row],[ignored_rank]],help_zuord_Var_Meth[],2)</f>
        <v>41</v>
      </c>
      <c r="B460">
        <f t="shared" si="12"/>
        <v>407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0">
        <f t="shared" ca="1" si="13"/>
        <v>0.8061696578733637</v>
      </c>
      <c r="E460">
        <f ca="1">RANK(dict_zul_Var_Meth[[#This Row],[ignored_rand]],dict_zul_Var_Meth[ignored_rand])</f>
        <v>145</v>
      </c>
    </row>
    <row r="461" spans="1:5" x14ac:dyDescent="0.45">
      <c r="A461">
        <f ca="1">VLOOKUP(dict_zul_Var_Meth[[#This Row],[ignored_rank]],help_zuord_Var_Meth[],2)</f>
        <v>146</v>
      </c>
      <c r="B461">
        <f t="shared" si="12"/>
        <v>408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1">
        <f t="shared" ca="1" si="13"/>
        <v>0.31682499019681198</v>
      </c>
      <c r="E461">
        <f ca="1">RANK(dict_zul_Var_Meth[[#This Row],[ignored_rand]],dict_zul_Var_Meth[ignored_rand])</f>
        <v>509</v>
      </c>
    </row>
    <row r="462" spans="1:5" x14ac:dyDescent="0.45">
      <c r="A462">
        <f ca="1">VLOOKUP(dict_zul_Var_Meth[[#This Row],[ignored_rank]],help_zuord_Var_Meth[],2)</f>
        <v>18</v>
      </c>
      <c r="B462">
        <f t="shared" si="12"/>
        <v>409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2">
        <f t="shared" ca="1" si="13"/>
        <v>0.91603901040027258</v>
      </c>
      <c r="E462">
        <f ca="1">RANK(dict_zul_Var_Meth[[#This Row],[ignored_rand]],dict_zul_Var_Meth[ignored_rand])</f>
        <v>67</v>
      </c>
    </row>
    <row r="463" spans="1:5" x14ac:dyDescent="0.45">
      <c r="A463">
        <f ca="1">VLOOKUP(dict_zul_Var_Meth[[#This Row],[ignored_rank]],help_zuord_Var_Meth[],2)</f>
        <v>135</v>
      </c>
      <c r="B463">
        <f t="shared" si="12"/>
        <v>410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3">
        <f t="shared" ca="1" si="13"/>
        <v>0.36319535318278351</v>
      </c>
      <c r="E463">
        <f ca="1">RANK(dict_zul_Var_Meth[[#This Row],[ignored_rand]],dict_zul_Var_Meth[ignored_rand])</f>
        <v>472</v>
      </c>
    </row>
    <row r="464" spans="1:5" x14ac:dyDescent="0.45">
      <c r="A464">
        <f ca="1">VLOOKUP(dict_zul_Var_Meth[[#This Row],[ignored_rank]],help_zuord_Var_Meth[],2)</f>
        <v>181</v>
      </c>
      <c r="B464">
        <f t="shared" si="12"/>
        <v>411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4">
        <f t="shared" ca="1" si="13"/>
        <v>0.14912327861752928</v>
      </c>
      <c r="E464">
        <f ca="1">RANK(dict_zul_Var_Meth[[#This Row],[ignored_rand]],dict_zul_Var_Meth[ignored_rand])</f>
        <v>633</v>
      </c>
    </row>
    <row r="465" spans="1:5" x14ac:dyDescent="0.45">
      <c r="A465">
        <f ca="1">VLOOKUP(dict_zul_Var_Meth[[#This Row],[ignored_rank]],help_zuord_Var_Meth[],2)</f>
        <v>116</v>
      </c>
      <c r="B465">
        <f t="shared" si="12"/>
        <v>412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5">
        <f t="shared" ca="1" si="13"/>
        <v>0.45758710001738823</v>
      </c>
      <c r="E465">
        <f ca="1">RANK(dict_zul_Var_Meth[[#This Row],[ignored_rand]],dict_zul_Var_Meth[ignored_rand])</f>
        <v>409</v>
      </c>
    </row>
    <row r="466" spans="1:5" x14ac:dyDescent="0.45">
      <c r="A466">
        <f ca="1">VLOOKUP(dict_zul_Var_Meth[[#This Row],[ignored_rank]],help_zuord_Var_Meth[],2)</f>
        <v>184</v>
      </c>
      <c r="B466">
        <f t="shared" si="12"/>
        <v>413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6">
        <f t="shared" ca="1" si="13"/>
        <v>0.13986205779195626</v>
      </c>
      <c r="E466">
        <f ca="1">RANK(dict_zul_Var_Meth[[#This Row],[ignored_rand]],dict_zul_Var_Meth[ignored_rand])</f>
        <v>643</v>
      </c>
    </row>
    <row r="467" spans="1:5" x14ac:dyDescent="0.45">
      <c r="A467">
        <f ca="1">VLOOKUP(dict_zul_Var_Meth[[#This Row],[ignored_rank]],help_zuord_Var_Meth[],2)</f>
        <v>66</v>
      </c>
      <c r="B467">
        <f t="shared" si="12"/>
        <v>414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7">
        <f t="shared" ca="1" si="13"/>
        <v>0.70070952032773315</v>
      </c>
      <c r="E467">
        <f ca="1">RANK(dict_zul_Var_Meth[[#This Row],[ignored_rand]],dict_zul_Var_Meth[ignored_rand])</f>
        <v>232</v>
      </c>
    </row>
    <row r="468" spans="1:5" x14ac:dyDescent="0.45">
      <c r="A468">
        <f ca="1">VLOOKUP(dict_zul_Var_Meth[[#This Row],[ignored_rank]],help_zuord_Var_Meth[],2)</f>
        <v>199</v>
      </c>
      <c r="B468">
        <f t="shared" si="12"/>
        <v>415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8">
        <f t="shared" ca="1" si="13"/>
        <v>3.3247433989160857E-3</v>
      </c>
      <c r="E468">
        <f ca="1">RANK(dict_zul_Var_Meth[[#This Row],[ignored_rand]],dict_zul_Var_Meth[ignored_rand])</f>
        <v>748</v>
      </c>
    </row>
    <row r="469" spans="1:5" x14ac:dyDescent="0.45">
      <c r="A469">
        <f ca="1">VLOOKUP(dict_zul_Var_Meth[[#This Row],[ignored_rank]],help_zuord_Var_Meth[],2)</f>
        <v>121</v>
      </c>
      <c r="B469">
        <f t="shared" si="12"/>
        <v>416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9">
        <f t="shared" ca="1" si="13"/>
        <v>0.43687601058873948</v>
      </c>
      <c r="E469">
        <f ca="1">RANK(dict_zul_Var_Meth[[#This Row],[ignored_rand]],dict_zul_Var_Meth[ignored_rand])</f>
        <v>424</v>
      </c>
    </row>
    <row r="470" spans="1:5" x14ac:dyDescent="0.45">
      <c r="A470">
        <f ca="1">VLOOKUP(dict_zul_Var_Meth[[#This Row],[ignored_rank]],help_zuord_Var_Meth[],2)</f>
        <v>67</v>
      </c>
      <c r="B470">
        <f t="shared" si="12"/>
        <v>417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0">
        <f t="shared" ca="1" si="13"/>
        <v>0.69719821743036547</v>
      </c>
      <c r="E470">
        <f ca="1">RANK(dict_zul_Var_Meth[[#This Row],[ignored_rand]],dict_zul_Var_Meth[ignored_rand])</f>
        <v>237</v>
      </c>
    </row>
    <row r="471" spans="1:5" x14ac:dyDescent="0.45">
      <c r="A471">
        <f ca="1">VLOOKUP(dict_zul_Var_Meth[[#This Row],[ignored_rank]],help_zuord_Var_Meth[],2)</f>
        <v>27</v>
      </c>
      <c r="B471">
        <f t="shared" si="12"/>
        <v>418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1">
        <f t="shared" ca="1" si="13"/>
        <v>0.86689358927269289</v>
      </c>
      <c r="E471">
        <f ca="1">RANK(dict_zul_Var_Meth[[#This Row],[ignored_rand]],dict_zul_Var_Meth[ignored_rand])</f>
        <v>97</v>
      </c>
    </row>
    <row r="472" spans="1:5" x14ac:dyDescent="0.45">
      <c r="A472">
        <f ca="1">VLOOKUP(dict_zul_Var_Meth[[#This Row],[ignored_rank]],help_zuord_Var_Meth[],2)</f>
        <v>132</v>
      </c>
      <c r="B472">
        <f t="shared" si="12"/>
        <v>419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2">
        <f t="shared" ca="1" si="13"/>
        <v>0.375805882480719</v>
      </c>
      <c r="E472">
        <f ca="1">RANK(dict_zul_Var_Meth[[#This Row],[ignored_rand]],dict_zul_Var_Meth[ignored_rand])</f>
        <v>463</v>
      </c>
    </row>
    <row r="473" spans="1:5" x14ac:dyDescent="0.45">
      <c r="A473">
        <f ca="1">VLOOKUP(dict_zul_Var_Meth[[#This Row],[ignored_rank]],help_zuord_Var_Meth[],2)</f>
        <v>144</v>
      </c>
      <c r="B473">
        <f t="shared" si="12"/>
        <v>420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3">
        <f t="shared" ca="1" si="13"/>
        <v>0.31975653239987112</v>
      </c>
      <c r="E473">
        <f ca="1">RANK(dict_zul_Var_Meth[[#This Row],[ignored_rand]],dict_zul_Var_Meth[ignored_rand])</f>
        <v>507</v>
      </c>
    </row>
    <row r="474" spans="1:5" x14ac:dyDescent="0.45">
      <c r="A474">
        <f ca="1">VLOOKUP(dict_zul_Var_Meth[[#This Row],[ignored_rank]],help_zuord_Var_Meth[],2)</f>
        <v>6</v>
      </c>
      <c r="B474">
        <f t="shared" si="12"/>
        <v>421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4">
        <f t="shared" ca="1" si="13"/>
        <v>0.96985726719910847</v>
      </c>
      <c r="E474">
        <f ca="1">RANK(dict_zul_Var_Meth[[#This Row],[ignored_rand]],dict_zul_Var_Meth[ignored_rand])</f>
        <v>25</v>
      </c>
    </row>
    <row r="475" spans="1:5" x14ac:dyDescent="0.45">
      <c r="A475">
        <f ca="1">VLOOKUP(dict_zul_Var_Meth[[#This Row],[ignored_rank]],help_zuord_Var_Meth[],2)</f>
        <v>96</v>
      </c>
      <c r="B475">
        <f t="shared" si="12"/>
        <v>422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5">
        <f t="shared" ca="1" si="13"/>
        <v>0.55010408977127345</v>
      </c>
      <c r="E475">
        <f ca="1">RANK(dict_zul_Var_Meth[[#This Row],[ignored_rand]],dict_zul_Var_Meth[ignored_rand])</f>
        <v>338</v>
      </c>
    </row>
    <row r="476" spans="1:5" x14ac:dyDescent="0.45">
      <c r="A476">
        <f ca="1">VLOOKUP(dict_zul_Var_Meth[[#This Row],[ignored_rank]],help_zuord_Var_Meth[],2)</f>
        <v>86</v>
      </c>
      <c r="B476">
        <f t="shared" si="12"/>
        <v>423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6">
        <f t="shared" ca="1" si="13"/>
        <v>0.60295784106666772</v>
      </c>
      <c r="E476">
        <f ca="1">RANK(dict_zul_Var_Meth[[#This Row],[ignored_rand]],dict_zul_Var_Meth[ignored_rand])</f>
        <v>304</v>
      </c>
    </row>
    <row r="477" spans="1:5" x14ac:dyDescent="0.45">
      <c r="A477">
        <f ca="1">VLOOKUP(dict_zul_Var_Meth[[#This Row],[ignored_rank]],help_zuord_Var_Meth[],2)</f>
        <v>51</v>
      </c>
      <c r="B477">
        <f t="shared" si="12"/>
        <v>424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7">
        <f t="shared" ca="1" si="13"/>
        <v>0.76734182495209524</v>
      </c>
      <c r="E477">
        <f ca="1">RANK(dict_zul_Var_Meth[[#This Row],[ignored_rand]],dict_zul_Var_Meth[ignored_rand])</f>
        <v>179</v>
      </c>
    </row>
    <row r="478" spans="1:5" x14ac:dyDescent="0.45">
      <c r="A478">
        <f ca="1">VLOOKUP(dict_zul_Var_Meth[[#This Row],[ignored_rank]],help_zuord_Var_Meth[],2)</f>
        <v>199</v>
      </c>
      <c r="B478">
        <f t="shared" si="12"/>
        <v>425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8">
        <f t="shared" ca="1" si="13"/>
        <v>5.0344973700379492E-2</v>
      </c>
      <c r="E478">
        <f ca="1">RANK(dict_zul_Var_Meth[[#This Row],[ignored_rand]],dict_zul_Var_Meth[ignored_rand])</f>
        <v>715</v>
      </c>
    </row>
    <row r="479" spans="1:5" x14ac:dyDescent="0.45">
      <c r="A479">
        <f ca="1">VLOOKUP(dict_zul_Var_Meth[[#This Row],[ignored_rank]],help_zuord_Var_Meth[],2)</f>
        <v>81</v>
      </c>
      <c r="B479">
        <f t="shared" si="12"/>
        <v>426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9">
        <f t="shared" ca="1" si="13"/>
        <v>0.6246944587661003</v>
      </c>
      <c r="E479">
        <f ca="1">RANK(dict_zul_Var_Meth[[#This Row],[ignored_rand]],dict_zul_Var_Meth[ignored_rand])</f>
        <v>285</v>
      </c>
    </row>
    <row r="480" spans="1:5" x14ac:dyDescent="0.45">
      <c r="A480">
        <f ca="1">VLOOKUP(dict_zul_Var_Meth[[#This Row],[ignored_rank]],help_zuord_Var_Meth[],2)</f>
        <v>74</v>
      </c>
      <c r="B480">
        <f t="shared" si="12"/>
        <v>427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0">
        <f t="shared" ca="1" si="13"/>
        <v>0.66792797876724797</v>
      </c>
      <c r="E480">
        <f ca="1">RANK(dict_zul_Var_Meth[[#This Row],[ignored_rand]],dict_zul_Var_Meth[ignored_rand])</f>
        <v>261</v>
      </c>
    </row>
    <row r="481" spans="1:5" x14ac:dyDescent="0.45">
      <c r="A481">
        <f ca="1">VLOOKUP(dict_zul_Var_Meth[[#This Row],[ignored_rank]],help_zuord_Var_Meth[],2)</f>
        <v>142</v>
      </c>
      <c r="B481">
        <f t="shared" si="12"/>
        <v>428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1">
        <f t="shared" ca="1" si="13"/>
        <v>0.33107187891900514</v>
      </c>
      <c r="E481">
        <f ca="1">RANK(dict_zul_Var_Meth[[#This Row],[ignored_rand]],dict_zul_Var_Meth[ignored_rand])</f>
        <v>497</v>
      </c>
    </row>
    <row r="482" spans="1:5" x14ac:dyDescent="0.45">
      <c r="A482">
        <f ca="1">VLOOKUP(dict_zul_Var_Meth[[#This Row],[ignored_rank]],help_zuord_Var_Meth[],2)</f>
        <v>3</v>
      </c>
      <c r="B482">
        <f t="shared" si="12"/>
        <v>429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2">
        <f t="shared" ca="1" si="13"/>
        <v>0.98592550868898798</v>
      </c>
      <c r="E482">
        <f ca="1">RANK(dict_zul_Var_Meth[[#This Row],[ignored_rand]],dict_zul_Var_Meth[ignored_rand])</f>
        <v>12</v>
      </c>
    </row>
    <row r="483" spans="1:5" x14ac:dyDescent="0.45">
      <c r="A483">
        <f ca="1">VLOOKUP(dict_zul_Var_Meth[[#This Row],[ignored_rank]],help_zuord_Var_Meth[],2)</f>
        <v>59</v>
      </c>
      <c r="B483">
        <f t="shared" si="12"/>
        <v>430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3">
        <f t="shared" ca="1" si="13"/>
        <v>0.73204641325851449</v>
      </c>
      <c r="E483">
        <f ca="1">RANK(dict_zul_Var_Meth[[#This Row],[ignored_rand]],dict_zul_Var_Meth[ignored_rand])</f>
        <v>208</v>
      </c>
    </row>
    <row r="484" spans="1:5" x14ac:dyDescent="0.45">
      <c r="A484">
        <f ca="1">VLOOKUP(dict_zul_Var_Meth[[#This Row],[ignored_rank]],help_zuord_Var_Meth[],2)</f>
        <v>89</v>
      </c>
      <c r="B484">
        <f t="shared" si="12"/>
        <v>431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4">
        <f t="shared" ca="1" si="13"/>
        <v>0.58401228451942611</v>
      </c>
      <c r="E484">
        <f ca="1">RANK(dict_zul_Var_Meth[[#This Row],[ignored_rand]],dict_zul_Var_Meth[ignored_rand])</f>
        <v>310</v>
      </c>
    </row>
    <row r="485" spans="1:5" x14ac:dyDescent="0.45">
      <c r="A485">
        <f ca="1">VLOOKUP(dict_zul_Var_Meth[[#This Row],[ignored_rank]],help_zuord_Var_Meth[],2)</f>
        <v>199</v>
      </c>
      <c r="B485">
        <f t="shared" si="12"/>
        <v>432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5">
        <f t="shared" ca="1" si="13"/>
        <v>4.2485769953034214E-2</v>
      </c>
      <c r="E485">
        <f ca="1">RANK(dict_zul_Var_Meth[[#This Row],[ignored_rand]],dict_zul_Var_Meth[ignored_rand])</f>
        <v>722</v>
      </c>
    </row>
    <row r="486" spans="1:5" x14ac:dyDescent="0.45">
      <c r="A486">
        <f ca="1">VLOOKUP(dict_zul_Var_Meth[[#This Row],[ignored_rank]],help_zuord_Var_Meth[],2)</f>
        <v>81</v>
      </c>
      <c r="B486">
        <f t="shared" si="12"/>
        <v>433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6">
        <f t="shared" ca="1" si="13"/>
        <v>0.62503560510320388</v>
      </c>
      <c r="E486">
        <f ca="1">RANK(dict_zul_Var_Meth[[#This Row],[ignored_rand]],dict_zul_Var_Meth[ignored_rand])</f>
        <v>284</v>
      </c>
    </row>
    <row r="487" spans="1:5" x14ac:dyDescent="0.45">
      <c r="A487">
        <f ca="1">VLOOKUP(dict_zul_Var_Meth[[#This Row],[ignored_rank]],help_zuord_Var_Meth[],2)</f>
        <v>37</v>
      </c>
      <c r="B487">
        <f t="shared" si="12"/>
        <v>434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7">
        <f t="shared" ca="1" si="13"/>
        <v>0.82892605032401834</v>
      </c>
      <c r="E487">
        <f ca="1">RANK(dict_zul_Var_Meth[[#This Row],[ignored_rand]],dict_zul_Var_Meth[ignored_rand])</f>
        <v>133</v>
      </c>
    </row>
    <row r="488" spans="1:5" x14ac:dyDescent="0.45">
      <c r="A488">
        <f ca="1">VLOOKUP(dict_zul_Var_Meth[[#This Row],[ignored_rank]],help_zuord_Var_Meth[],2)</f>
        <v>77</v>
      </c>
      <c r="B488">
        <f t="shared" ref="B488:B551" si="14">B487+1</f>
        <v>435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8">
        <f t="shared" ca="1" si="13"/>
        <v>0.64052387968749136</v>
      </c>
      <c r="E488">
        <f ca="1">RANK(dict_zul_Var_Meth[[#This Row],[ignored_rand]],dict_zul_Var_Meth[ignored_rand])</f>
        <v>272</v>
      </c>
    </row>
    <row r="489" spans="1:5" x14ac:dyDescent="0.45">
      <c r="A489">
        <f ca="1">VLOOKUP(dict_zul_Var_Meth[[#This Row],[ignored_rank]],help_zuord_Var_Meth[],2)</f>
        <v>115</v>
      </c>
      <c r="B489">
        <f t="shared" si="14"/>
        <v>436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9">
        <f t="shared" ca="1" si="13"/>
        <v>0.47026804622395413</v>
      </c>
      <c r="E489">
        <f ca="1">RANK(dict_zul_Var_Meth[[#This Row],[ignored_rand]],dict_zul_Var_Meth[ignored_rand])</f>
        <v>402</v>
      </c>
    </row>
    <row r="490" spans="1:5" x14ac:dyDescent="0.45">
      <c r="A490">
        <f ca="1">VLOOKUP(dict_zul_Var_Meth[[#This Row],[ignored_rank]],help_zuord_Var_Meth[],2)</f>
        <v>198</v>
      </c>
      <c r="B490">
        <f t="shared" si="14"/>
        <v>437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0">
        <f t="shared" ca="1" si="13"/>
        <v>7.1914359917340964E-2</v>
      </c>
      <c r="E490">
        <f ca="1">RANK(dict_zul_Var_Meth[[#This Row],[ignored_rand]],dict_zul_Var_Meth[ignored_rand])</f>
        <v>693</v>
      </c>
    </row>
    <row r="491" spans="1:5" x14ac:dyDescent="0.45">
      <c r="A491">
        <f ca="1">VLOOKUP(dict_zul_Var_Meth[[#This Row],[ignored_rank]],help_zuord_Var_Meth[],2)</f>
        <v>91</v>
      </c>
      <c r="B491">
        <f t="shared" si="14"/>
        <v>438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1">
        <f t="shared" ca="1" si="13"/>
        <v>0.57107976831372709</v>
      </c>
      <c r="E491">
        <f ca="1">RANK(dict_zul_Var_Meth[[#This Row],[ignored_rand]],dict_zul_Var_Meth[ignored_rand])</f>
        <v>319</v>
      </c>
    </row>
    <row r="492" spans="1:5" x14ac:dyDescent="0.45">
      <c r="A492">
        <f ca="1">VLOOKUP(dict_zul_Var_Meth[[#This Row],[ignored_rank]],help_zuord_Var_Meth[],2)</f>
        <v>21</v>
      </c>
      <c r="B492">
        <f t="shared" si="14"/>
        <v>439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2">
        <f t="shared" ca="1" si="13"/>
        <v>0.90810590343348063</v>
      </c>
      <c r="E492">
        <f ca="1">RANK(dict_zul_Var_Meth[[#This Row],[ignored_rand]],dict_zul_Var_Meth[ignored_rand])</f>
        <v>73</v>
      </c>
    </row>
    <row r="493" spans="1:5" x14ac:dyDescent="0.45">
      <c r="A493">
        <f ca="1">VLOOKUP(dict_zul_Var_Meth[[#This Row],[ignored_rank]],help_zuord_Var_Meth[],2)</f>
        <v>144</v>
      </c>
      <c r="B493">
        <f t="shared" si="14"/>
        <v>440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3">
        <f t="shared" ca="1" si="13"/>
        <v>0.32357527763376515</v>
      </c>
      <c r="E493">
        <f ca="1">RANK(dict_zul_Var_Meth[[#This Row],[ignored_rand]],dict_zul_Var_Meth[ignored_rand])</f>
        <v>505</v>
      </c>
    </row>
    <row r="494" spans="1:5" x14ac:dyDescent="0.45">
      <c r="A494">
        <f ca="1">VLOOKUP(dict_zul_Var_Meth[[#This Row],[ignored_rank]],help_zuord_Var_Meth[],2)</f>
        <v>160</v>
      </c>
      <c r="B494">
        <f t="shared" si="14"/>
        <v>441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4">
        <f t="shared" ca="1" si="13"/>
        <v>0.25107681225591527</v>
      </c>
      <c r="E494">
        <f ca="1">RANK(dict_zul_Var_Meth[[#This Row],[ignored_rand]],dict_zul_Var_Meth[ignored_rand])</f>
        <v>560</v>
      </c>
    </row>
    <row r="495" spans="1:5" x14ac:dyDescent="0.45">
      <c r="A495">
        <f ca="1">VLOOKUP(dict_zul_Var_Meth[[#This Row],[ignored_rank]],help_zuord_Var_Meth[],2)</f>
        <v>199</v>
      </c>
      <c r="B495">
        <f t="shared" si="14"/>
        <v>442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5">
        <f t="shared" ca="1" si="13"/>
        <v>3.8285535714024377E-2</v>
      </c>
      <c r="E495">
        <f ca="1">RANK(dict_zul_Var_Meth[[#This Row],[ignored_rand]],dict_zul_Var_Meth[ignored_rand])</f>
        <v>723</v>
      </c>
    </row>
    <row r="496" spans="1:5" x14ac:dyDescent="0.45">
      <c r="A496">
        <f ca="1">VLOOKUP(dict_zul_Var_Meth[[#This Row],[ignored_rank]],help_zuord_Var_Meth[],2)</f>
        <v>153</v>
      </c>
      <c r="B496">
        <f t="shared" si="14"/>
        <v>443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6">
        <f t="shared" ca="1" si="13"/>
        <v>0.28592472295418936</v>
      </c>
      <c r="E496">
        <f ca="1">RANK(dict_zul_Var_Meth[[#This Row],[ignored_rand]],dict_zul_Var_Meth[ignored_rand])</f>
        <v>536</v>
      </c>
    </row>
    <row r="497" spans="1:5" x14ac:dyDescent="0.45">
      <c r="A497">
        <f ca="1">VLOOKUP(dict_zul_Var_Meth[[#This Row],[ignored_rank]],help_zuord_Var_Meth[],2)</f>
        <v>66</v>
      </c>
      <c r="B497">
        <f t="shared" si="14"/>
        <v>444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7">
        <f t="shared" ca="1" si="13"/>
        <v>0.70154299084316007</v>
      </c>
      <c r="E497">
        <f ca="1">RANK(dict_zul_Var_Meth[[#This Row],[ignored_rand]],dict_zul_Var_Meth[ignored_rand])</f>
        <v>230</v>
      </c>
    </row>
    <row r="498" spans="1:5" x14ac:dyDescent="0.45">
      <c r="A498">
        <f ca="1">VLOOKUP(dict_zul_Var_Meth[[#This Row],[ignored_rank]],help_zuord_Var_Meth[],2)</f>
        <v>125</v>
      </c>
      <c r="B498">
        <f t="shared" si="14"/>
        <v>445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8">
        <f t="shared" ca="1" si="13"/>
        <v>0.41055680868914601</v>
      </c>
      <c r="E498">
        <f ca="1">RANK(dict_zul_Var_Meth[[#This Row],[ignored_rand]],dict_zul_Var_Meth[ignored_rand])</f>
        <v>439</v>
      </c>
    </row>
    <row r="499" spans="1:5" x14ac:dyDescent="0.45">
      <c r="A499">
        <f ca="1">VLOOKUP(dict_zul_Var_Meth[[#This Row],[ignored_rank]],help_zuord_Var_Meth[],2)</f>
        <v>176</v>
      </c>
      <c r="B499">
        <f t="shared" si="14"/>
        <v>446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9">
        <f t="shared" ca="1" si="13"/>
        <v>0.17480433805653106</v>
      </c>
      <c r="E499">
        <f ca="1">RANK(dict_zul_Var_Meth[[#This Row],[ignored_rand]],dict_zul_Var_Meth[ignored_rand])</f>
        <v>616</v>
      </c>
    </row>
    <row r="500" spans="1:5" x14ac:dyDescent="0.45">
      <c r="A500">
        <f ca="1">VLOOKUP(dict_zul_Var_Meth[[#This Row],[ignored_rank]],help_zuord_Var_Meth[],2)</f>
        <v>167</v>
      </c>
      <c r="B500">
        <f t="shared" si="14"/>
        <v>447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0">
        <f t="shared" ca="1" si="13"/>
        <v>0.21101411464857989</v>
      </c>
      <c r="E500">
        <f ca="1">RANK(dict_zul_Var_Meth[[#This Row],[ignored_rand]],dict_zul_Var_Meth[ignored_rand])</f>
        <v>584</v>
      </c>
    </row>
    <row r="501" spans="1:5" x14ac:dyDescent="0.45">
      <c r="A501">
        <f ca="1">VLOOKUP(dict_zul_Var_Meth[[#This Row],[ignored_rank]],help_zuord_Var_Meth[],2)</f>
        <v>190</v>
      </c>
      <c r="B501">
        <f t="shared" si="14"/>
        <v>448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1">
        <f t="shared" ca="1" si="13"/>
        <v>0.11158538710832067</v>
      </c>
      <c r="E501">
        <f ca="1">RANK(dict_zul_Var_Meth[[#This Row],[ignored_rand]],dict_zul_Var_Meth[ignored_rand])</f>
        <v>665</v>
      </c>
    </row>
    <row r="502" spans="1:5" x14ac:dyDescent="0.45">
      <c r="A502">
        <f ca="1">VLOOKUP(dict_zul_Var_Meth[[#This Row],[ignored_rank]],help_zuord_Var_Meth[],2)</f>
        <v>130</v>
      </c>
      <c r="B502">
        <f t="shared" si="14"/>
        <v>449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2">
        <f t="shared" ca="1" si="13"/>
        <v>0.38797836108285755</v>
      </c>
      <c r="E502">
        <f ca="1">RANK(dict_zul_Var_Meth[[#This Row],[ignored_rand]],dict_zul_Var_Meth[ignored_rand])</f>
        <v>455</v>
      </c>
    </row>
    <row r="503" spans="1:5" x14ac:dyDescent="0.45">
      <c r="A503">
        <f ca="1">VLOOKUP(dict_zul_Var_Meth[[#This Row],[ignored_rank]],help_zuord_Var_Meth[],2)</f>
        <v>5</v>
      </c>
      <c r="B503">
        <f t="shared" si="14"/>
        <v>450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3">
        <f t="shared" ca="1" si="13"/>
        <v>0.97743833988614459</v>
      </c>
      <c r="E503">
        <f ca="1">RANK(dict_zul_Var_Meth[[#This Row],[ignored_rand]],dict_zul_Var_Meth[ignored_rand])</f>
        <v>20</v>
      </c>
    </row>
    <row r="504" spans="1:5" x14ac:dyDescent="0.45">
      <c r="A504">
        <f ca="1">VLOOKUP(dict_zul_Var_Meth[[#This Row],[ignored_rank]],help_zuord_Var_Meth[],2)</f>
        <v>85</v>
      </c>
      <c r="B504">
        <f t="shared" si="14"/>
        <v>451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4">
        <f t="shared" ca="1" si="13"/>
        <v>0.61075172633213382</v>
      </c>
      <c r="E504">
        <f ca="1">RANK(dict_zul_Var_Meth[[#This Row],[ignored_rand]],dict_zul_Var_Meth[ignored_rand])</f>
        <v>299</v>
      </c>
    </row>
    <row r="505" spans="1:5" x14ac:dyDescent="0.45">
      <c r="A505">
        <f ca="1">VLOOKUP(dict_zul_Var_Meth[[#This Row],[ignored_rank]],help_zuord_Var_Meth[],2)</f>
        <v>126</v>
      </c>
      <c r="B505">
        <f t="shared" si="14"/>
        <v>452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5">
        <f t="shared" ca="1" si="13"/>
        <v>0.40518855233683715</v>
      </c>
      <c r="E505">
        <f ca="1">RANK(dict_zul_Var_Meth[[#This Row],[ignored_rand]],dict_zul_Var_Meth[ignored_rand])</f>
        <v>442</v>
      </c>
    </row>
    <row r="506" spans="1:5" x14ac:dyDescent="0.45">
      <c r="A506">
        <f ca="1">VLOOKUP(dict_zul_Var_Meth[[#This Row],[ignored_rank]],help_zuord_Var_Meth[],2)</f>
        <v>20</v>
      </c>
      <c r="B506">
        <f t="shared" si="14"/>
        <v>453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6">
        <f t="shared" ca="1" si="13"/>
        <v>0.90988851177114161</v>
      </c>
      <c r="E506">
        <f ca="1">RANK(dict_zul_Var_Meth[[#This Row],[ignored_rand]],dict_zul_Var_Meth[ignored_rand])</f>
        <v>72</v>
      </c>
    </row>
    <row r="507" spans="1:5" x14ac:dyDescent="0.45">
      <c r="A507">
        <f ca="1">VLOOKUP(dict_zul_Var_Meth[[#This Row],[ignored_rank]],help_zuord_Var_Meth[],2)</f>
        <v>95</v>
      </c>
      <c r="B507">
        <f t="shared" si="14"/>
        <v>454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7">
        <f t="shared" ca="1" si="13"/>
        <v>0.55311609910411741</v>
      </c>
      <c r="E507">
        <f ca="1">RANK(dict_zul_Var_Meth[[#This Row],[ignored_rand]],dict_zul_Var_Meth[ignored_rand])</f>
        <v>333</v>
      </c>
    </row>
    <row r="508" spans="1:5" x14ac:dyDescent="0.45">
      <c r="A508">
        <f ca="1">VLOOKUP(dict_zul_Var_Meth[[#This Row],[ignored_rank]],help_zuord_Var_Meth[],2)</f>
        <v>60</v>
      </c>
      <c r="B508">
        <f t="shared" si="14"/>
        <v>455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8">
        <f t="shared" ca="1" si="13"/>
        <v>0.72848098282877727</v>
      </c>
      <c r="E508">
        <f ca="1">RANK(dict_zul_Var_Meth[[#This Row],[ignored_rand]],dict_zul_Var_Meth[ignored_rand])</f>
        <v>211</v>
      </c>
    </row>
    <row r="509" spans="1:5" x14ac:dyDescent="0.45">
      <c r="A509">
        <f ca="1">VLOOKUP(dict_zul_Var_Meth[[#This Row],[ignored_rank]],help_zuord_Var_Meth[],2)</f>
        <v>158</v>
      </c>
      <c r="B509">
        <f t="shared" si="14"/>
        <v>456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9">
        <f t="shared" ca="1" si="13"/>
        <v>0.2651172942859199</v>
      </c>
      <c r="E509">
        <f ca="1">RANK(dict_zul_Var_Meth[[#This Row],[ignored_rand]],dict_zul_Var_Meth[ignored_rand])</f>
        <v>553</v>
      </c>
    </row>
    <row r="510" spans="1:5" x14ac:dyDescent="0.45">
      <c r="A510">
        <f ca="1">VLOOKUP(dict_zul_Var_Meth[[#This Row],[ignored_rank]],help_zuord_Var_Meth[],2)</f>
        <v>60</v>
      </c>
      <c r="B510">
        <f t="shared" si="14"/>
        <v>457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0">
        <f t="shared" ca="1" si="13"/>
        <v>0.73057058036660627</v>
      </c>
      <c r="E510">
        <f ca="1">RANK(dict_zul_Var_Meth[[#This Row],[ignored_rand]],dict_zul_Var_Meth[ignored_rand])</f>
        <v>209</v>
      </c>
    </row>
    <row r="511" spans="1:5" x14ac:dyDescent="0.45">
      <c r="A511">
        <f ca="1">VLOOKUP(dict_zul_Var_Meth[[#This Row],[ignored_rank]],help_zuord_Var_Meth[],2)</f>
        <v>65</v>
      </c>
      <c r="B511">
        <f t="shared" si="14"/>
        <v>458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1">
        <f t="shared" ca="1" si="13"/>
        <v>0.70296638986858262</v>
      </c>
      <c r="E511">
        <f ca="1">RANK(dict_zul_Var_Meth[[#This Row],[ignored_rand]],dict_zul_Var_Meth[ignored_rand])</f>
        <v>227</v>
      </c>
    </row>
    <row r="512" spans="1:5" x14ac:dyDescent="0.45">
      <c r="A512">
        <f ca="1">VLOOKUP(dict_zul_Var_Meth[[#This Row],[ignored_rank]],help_zuord_Var_Meth[],2)</f>
        <v>97</v>
      </c>
      <c r="B512">
        <f t="shared" si="14"/>
        <v>459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2">
        <f t="shared" ca="1" si="13"/>
        <v>0.5456164387862027</v>
      </c>
      <c r="E512">
        <f ca="1">RANK(dict_zul_Var_Meth[[#This Row],[ignored_rand]],dict_zul_Var_Meth[ignored_rand])</f>
        <v>342</v>
      </c>
    </row>
    <row r="513" spans="1:5" x14ac:dyDescent="0.45">
      <c r="A513">
        <f ca="1">VLOOKUP(dict_zul_Var_Meth[[#This Row],[ignored_rank]],help_zuord_Var_Meth[],2)</f>
        <v>194</v>
      </c>
      <c r="B513">
        <f t="shared" si="14"/>
        <v>460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3">
        <f t="shared" ca="1" si="13"/>
        <v>0.10025535131989938</v>
      </c>
      <c r="E513">
        <f ca="1">RANK(dict_zul_Var_Meth[[#This Row],[ignored_rand]],dict_zul_Var_Meth[ignored_rand])</f>
        <v>679</v>
      </c>
    </row>
    <row r="514" spans="1:5" x14ac:dyDescent="0.45">
      <c r="A514">
        <f ca="1">VLOOKUP(dict_zul_Var_Meth[[#This Row],[ignored_rank]],help_zuord_Var_Meth[],2)</f>
        <v>163</v>
      </c>
      <c r="B514">
        <f t="shared" si="14"/>
        <v>461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4">
        <f t="shared" ref="D514:D577" ca="1" si="15">RAND()</f>
        <v>0.23655700586755235</v>
      </c>
      <c r="E514">
        <f ca="1">RANK(dict_zul_Var_Meth[[#This Row],[ignored_rand]],dict_zul_Var_Meth[ignored_rand])</f>
        <v>571</v>
      </c>
    </row>
    <row r="515" spans="1:5" x14ac:dyDescent="0.45">
      <c r="A515">
        <f ca="1">VLOOKUP(dict_zul_Var_Meth[[#This Row],[ignored_rank]],help_zuord_Var_Meth[],2)</f>
        <v>154</v>
      </c>
      <c r="B515">
        <f t="shared" si="14"/>
        <v>462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5">
        <f t="shared" ca="1" si="15"/>
        <v>0.28049109642063963</v>
      </c>
      <c r="E515">
        <f ca="1">RANK(dict_zul_Var_Meth[[#This Row],[ignored_rand]],dict_zul_Var_Meth[ignored_rand])</f>
        <v>541</v>
      </c>
    </row>
    <row r="516" spans="1:5" x14ac:dyDescent="0.45">
      <c r="A516">
        <f ca="1">VLOOKUP(dict_zul_Var_Meth[[#This Row],[ignored_rank]],help_zuord_Var_Meth[],2)</f>
        <v>199</v>
      </c>
      <c r="B516">
        <f t="shared" si="14"/>
        <v>463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6">
        <f t="shared" ca="1" si="15"/>
        <v>3.100569177608925E-2</v>
      </c>
      <c r="E516">
        <f ca="1">RANK(dict_zul_Var_Meth[[#This Row],[ignored_rand]],dict_zul_Var_Meth[ignored_rand])</f>
        <v>729</v>
      </c>
    </row>
    <row r="517" spans="1:5" x14ac:dyDescent="0.45">
      <c r="A517">
        <f ca="1">VLOOKUP(dict_zul_Var_Meth[[#This Row],[ignored_rank]],help_zuord_Var_Meth[],2)</f>
        <v>187</v>
      </c>
      <c r="B517">
        <f t="shared" si="14"/>
        <v>464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7">
        <f t="shared" ca="1" si="15"/>
        <v>0.12644972325666681</v>
      </c>
      <c r="E517">
        <f ca="1">RANK(dict_zul_Var_Meth[[#This Row],[ignored_rand]],dict_zul_Var_Meth[ignored_rand])</f>
        <v>654</v>
      </c>
    </row>
    <row r="518" spans="1:5" x14ac:dyDescent="0.45">
      <c r="A518">
        <f ca="1">VLOOKUP(dict_zul_Var_Meth[[#This Row],[ignored_rank]],help_zuord_Var_Meth[],2)</f>
        <v>146</v>
      </c>
      <c r="B518">
        <f t="shared" si="14"/>
        <v>465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8">
        <f t="shared" ca="1" si="15"/>
        <v>0.31314740764954418</v>
      </c>
      <c r="E518">
        <f ca="1">RANK(dict_zul_Var_Meth[[#This Row],[ignored_rand]],dict_zul_Var_Meth[ignored_rand])</f>
        <v>510</v>
      </c>
    </row>
    <row r="519" spans="1:5" x14ac:dyDescent="0.45">
      <c r="A519">
        <f ca="1">VLOOKUP(dict_zul_Var_Meth[[#This Row],[ignored_rank]],help_zuord_Var_Meth[],2)</f>
        <v>92</v>
      </c>
      <c r="B519">
        <f t="shared" si="14"/>
        <v>466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9">
        <f t="shared" ca="1" si="15"/>
        <v>0.56605904029747167</v>
      </c>
      <c r="E519">
        <f ca="1">RANK(dict_zul_Var_Meth[[#This Row],[ignored_rand]],dict_zul_Var_Meth[ignored_rand])</f>
        <v>323</v>
      </c>
    </row>
    <row r="520" spans="1:5" x14ac:dyDescent="0.45">
      <c r="A520">
        <f ca="1">VLOOKUP(dict_zul_Var_Meth[[#This Row],[ignored_rank]],help_zuord_Var_Meth[],2)</f>
        <v>56</v>
      </c>
      <c r="B520">
        <f t="shared" si="14"/>
        <v>467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0">
        <f t="shared" ca="1" si="15"/>
        <v>0.74643509425376831</v>
      </c>
      <c r="E520">
        <f ca="1">RANK(dict_zul_Var_Meth[[#This Row],[ignored_rand]],dict_zul_Var_Meth[ignored_rand])</f>
        <v>195</v>
      </c>
    </row>
    <row r="521" spans="1:5" x14ac:dyDescent="0.45">
      <c r="A521">
        <f ca="1">VLOOKUP(dict_zul_Var_Meth[[#This Row],[ignored_rank]],help_zuord_Var_Meth[],2)</f>
        <v>101</v>
      </c>
      <c r="B521">
        <f t="shared" si="14"/>
        <v>468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1">
        <f t="shared" ca="1" si="15"/>
        <v>0.52810074037029009</v>
      </c>
      <c r="E521">
        <f ca="1">RANK(dict_zul_Var_Meth[[#This Row],[ignored_rand]],dict_zul_Var_Meth[ignored_rand])</f>
        <v>354</v>
      </c>
    </row>
    <row r="522" spans="1:5" x14ac:dyDescent="0.45">
      <c r="A522">
        <f ca="1">VLOOKUP(dict_zul_Var_Meth[[#This Row],[ignored_rank]],help_zuord_Var_Meth[],2)</f>
        <v>100</v>
      </c>
      <c r="B522">
        <f t="shared" si="14"/>
        <v>469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2">
        <f t="shared" ca="1" si="15"/>
        <v>0.53295553210803737</v>
      </c>
      <c r="E522">
        <f ca="1">RANK(dict_zul_Var_Meth[[#This Row],[ignored_rand]],dict_zul_Var_Meth[ignored_rand])</f>
        <v>351</v>
      </c>
    </row>
    <row r="523" spans="1:5" x14ac:dyDescent="0.45">
      <c r="A523">
        <f ca="1">VLOOKUP(dict_zul_Var_Meth[[#This Row],[ignored_rank]],help_zuord_Var_Meth[],2)</f>
        <v>199</v>
      </c>
      <c r="B523">
        <f t="shared" si="14"/>
        <v>470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3">
        <f t="shared" ca="1" si="15"/>
        <v>5.1003002446493362E-2</v>
      </c>
      <c r="E523">
        <f ca="1">RANK(dict_zul_Var_Meth[[#This Row],[ignored_rand]],dict_zul_Var_Meth[ignored_rand])</f>
        <v>712</v>
      </c>
    </row>
    <row r="524" spans="1:5" x14ac:dyDescent="0.45">
      <c r="A524">
        <f ca="1">VLOOKUP(dict_zul_Var_Meth[[#This Row],[ignored_rank]],help_zuord_Var_Meth[],2)</f>
        <v>53</v>
      </c>
      <c r="B524">
        <f t="shared" si="14"/>
        <v>471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4">
        <f t="shared" ca="1" si="15"/>
        <v>0.75726473753009049</v>
      </c>
      <c r="E524">
        <f ca="1">RANK(dict_zul_Var_Meth[[#This Row],[ignored_rand]],dict_zul_Var_Meth[ignored_rand])</f>
        <v>187</v>
      </c>
    </row>
    <row r="525" spans="1:5" x14ac:dyDescent="0.45">
      <c r="A525">
        <f ca="1">VLOOKUP(dict_zul_Var_Meth[[#This Row],[ignored_rank]],help_zuord_Var_Meth[],2)</f>
        <v>191</v>
      </c>
      <c r="B525">
        <f t="shared" si="14"/>
        <v>472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5">
        <f t="shared" ca="1" si="15"/>
        <v>0.10932319964619608</v>
      </c>
      <c r="E525">
        <f ca="1">RANK(dict_zul_Var_Meth[[#This Row],[ignored_rand]],dict_zul_Var_Meth[ignored_rand])</f>
        <v>670</v>
      </c>
    </row>
    <row r="526" spans="1:5" x14ac:dyDescent="0.45">
      <c r="A526">
        <f ca="1">VLOOKUP(dict_zul_Var_Meth[[#This Row],[ignored_rank]],help_zuord_Var_Meth[],2)</f>
        <v>152</v>
      </c>
      <c r="B526">
        <f t="shared" si="14"/>
        <v>473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6">
        <f t="shared" ca="1" si="15"/>
        <v>0.28981999307387518</v>
      </c>
      <c r="E526">
        <f ca="1">RANK(dict_zul_Var_Meth[[#This Row],[ignored_rand]],dict_zul_Var_Meth[ignored_rand])</f>
        <v>532</v>
      </c>
    </row>
    <row r="527" spans="1:5" x14ac:dyDescent="0.45">
      <c r="A527">
        <f ca="1">VLOOKUP(dict_zul_Var_Meth[[#This Row],[ignored_rank]],help_zuord_Var_Meth[],2)</f>
        <v>98</v>
      </c>
      <c r="B527">
        <f t="shared" si="14"/>
        <v>474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7">
        <f t="shared" ca="1" si="15"/>
        <v>0.53831872558068639</v>
      </c>
      <c r="E527">
        <f ca="1">RANK(dict_zul_Var_Meth[[#This Row],[ignored_rand]],dict_zul_Var_Meth[ignored_rand])</f>
        <v>345</v>
      </c>
    </row>
    <row r="528" spans="1:5" x14ac:dyDescent="0.45">
      <c r="A528">
        <f ca="1">VLOOKUP(dict_zul_Var_Meth[[#This Row],[ignored_rank]],help_zuord_Var_Meth[],2)</f>
        <v>73</v>
      </c>
      <c r="B528">
        <f t="shared" si="14"/>
        <v>475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8">
        <f t="shared" ca="1" si="15"/>
        <v>0.67187859519133863</v>
      </c>
      <c r="E528">
        <f ca="1">RANK(dict_zul_Var_Meth[[#This Row],[ignored_rand]],dict_zul_Var_Meth[ignored_rand])</f>
        <v>257</v>
      </c>
    </row>
    <row r="529" spans="1:5" x14ac:dyDescent="0.45">
      <c r="A529">
        <f ca="1">VLOOKUP(dict_zul_Var_Meth[[#This Row],[ignored_rank]],help_zuord_Var_Meth[],2)</f>
        <v>152</v>
      </c>
      <c r="B529">
        <f t="shared" si="14"/>
        <v>476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9">
        <f t="shared" ca="1" si="15"/>
        <v>0.28747510057499726</v>
      </c>
      <c r="E529">
        <f ca="1">RANK(dict_zul_Var_Meth[[#This Row],[ignored_rand]],dict_zul_Var_Meth[ignored_rand])</f>
        <v>533</v>
      </c>
    </row>
    <row r="530" spans="1:5" x14ac:dyDescent="0.45">
      <c r="A530">
        <f ca="1">VLOOKUP(dict_zul_Var_Meth[[#This Row],[ignored_rank]],help_zuord_Var_Meth[],2)</f>
        <v>173</v>
      </c>
      <c r="B530">
        <f t="shared" si="14"/>
        <v>477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0">
        <f t="shared" ca="1" si="15"/>
        <v>0.18500313230928878</v>
      </c>
      <c r="E530">
        <f ca="1">RANK(dict_zul_Var_Meth[[#This Row],[ignored_rand]],dict_zul_Var_Meth[ignored_rand])</f>
        <v>605</v>
      </c>
    </row>
    <row r="531" spans="1:5" x14ac:dyDescent="0.45">
      <c r="A531">
        <f ca="1">VLOOKUP(dict_zul_Var_Meth[[#This Row],[ignored_rank]],help_zuord_Var_Meth[],2)</f>
        <v>69</v>
      </c>
      <c r="B531">
        <f t="shared" si="14"/>
        <v>478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1">
        <f t="shared" ca="1" si="15"/>
        <v>0.696573732798489</v>
      </c>
      <c r="E531">
        <f ca="1">RANK(dict_zul_Var_Meth[[#This Row],[ignored_rand]],dict_zul_Var_Meth[ignored_rand])</f>
        <v>241</v>
      </c>
    </row>
    <row r="532" spans="1:5" x14ac:dyDescent="0.45">
      <c r="A532">
        <f ca="1">VLOOKUP(dict_zul_Var_Meth[[#This Row],[ignored_rank]],help_zuord_Var_Meth[],2)</f>
        <v>83</v>
      </c>
      <c r="B532">
        <f t="shared" si="14"/>
        <v>479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2">
        <f t="shared" ca="1" si="15"/>
        <v>0.61792438591004373</v>
      </c>
      <c r="E532">
        <f ca="1">RANK(dict_zul_Var_Meth[[#This Row],[ignored_rand]],dict_zul_Var_Meth[ignored_rand])</f>
        <v>292</v>
      </c>
    </row>
    <row r="533" spans="1:5" x14ac:dyDescent="0.45">
      <c r="A533">
        <f ca="1">VLOOKUP(dict_zul_Var_Meth[[#This Row],[ignored_rank]],help_zuord_Var_Meth[],2)</f>
        <v>118</v>
      </c>
      <c r="B533">
        <f t="shared" si="14"/>
        <v>480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3">
        <f t="shared" ca="1" si="15"/>
        <v>0.44887231039914999</v>
      </c>
      <c r="E533">
        <f ca="1">RANK(dict_zul_Var_Meth[[#This Row],[ignored_rand]],dict_zul_Var_Meth[ignored_rand])</f>
        <v>415</v>
      </c>
    </row>
    <row r="534" spans="1:5" x14ac:dyDescent="0.45">
      <c r="A534">
        <f ca="1">VLOOKUP(dict_zul_Var_Meth[[#This Row],[ignored_rank]],help_zuord_Var_Meth[],2)</f>
        <v>131</v>
      </c>
      <c r="B534">
        <f t="shared" si="14"/>
        <v>481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4">
        <f t="shared" ca="1" si="15"/>
        <v>0.38478679942743899</v>
      </c>
      <c r="E534">
        <f ca="1">RANK(dict_zul_Var_Meth[[#This Row],[ignored_rand]],dict_zul_Var_Meth[ignored_rand])</f>
        <v>459</v>
      </c>
    </row>
    <row r="535" spans="1:5" x14ac:dyDescent="0.45">
      <c r="A535">
        <f ca="1">VLOOKUP(dict_zul_Var_Meth[[#This Row],[ignored_rank]],help_zuord_Var_Meth[],2)</f>
        <v>12</v>
      </c>
      <c r="B535">
        <f t="shared" si="14"/>
        <v>482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5">
        <f t="shared" ca="1" si="15"/>
        <v>0.94798508384130487</v>
      </c>
      <c r="E535">
        <f ca="1">RANK(dict_zul_Var_Meth[[#This Row],[ignored_rand]],dict_zul_Var_Meth[ignored_rand])</f>
        <v>42</v>
      </c>
    </row>
    <row r="536" spans="1:5" x14ac:dyDescent="0.45">
      <c r="A536">
        <f ca="1">VLOOKUP(dict_zul_Var_Meth[[#This Row],[ignored_rank]],help_zuord_Var_Meth[],2)</f>
        <v>132</v>
      </c>
      <c r="B536">
        <f t="shared" si="14"/>
        <v>483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6">
        <f t="shared" ca="1" si="15"/>
        <v>0.375703587153987</v>
      </c>
      <c r="E536">
        <f ca="1">RANK(dict_zul_Var_Meth[[#This Row],[ignored_rand]],dict_zul_Var_Meth[ignored_rand])</f>
        <v>464</v>
      </c>
    </row>
    <row r="537" spans="1:5" x14ac:dyDescent="0.45">
      <c r="A537">
        <f ca="1">VLOOKUP(dict_zul_Var_Meth[[#This Row],[ignored_rank]],help_zuord_Var_Meth[],2)</f>
        <v>199</v>
      </c>
      <c r="B537">
        <f t="shared" si="14"/>
        <v>484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7">
        <f t="shared" ca="1" si="15"/>
        <v>8.1279631705125643E-3</v>
      </c>
      <c r="E537">
        <f ca="1">RANK(dict_zul_Var_Meth[[#This Row],[ignored_rand]],dict_zul_Var_Meth[ignored_rand])</f>
        <v>745</v>
      </c>
    </row>
    <row r="538" spans="1:5" x14ac:dyDescent="0.45">
      <c r="A538">
        <f ca="1">VLOOKUP(dict_zul_Var_Meth[[#This Row],[ignored_rank]],help_zuord_Var_Meth[],2)</f>
        <v>16</v>
      </c>
      <c r="B538">
        <f t="shared" si="14"/>
        <v>485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8">
        <f t="shared" ca="1" si="15"/>
        <v>0.92491912702605927</v>
      </c>
      <c r="E538">
        <f ca="1">RANK(dict_zul_Var_Meth[[#This Row],[ignored_rand]],dict_zul_Var_Meth[ignored_rand])</f>
        <v>56</v>
      </c>
    </row>
    <row r="539" spans="1:5" x14ac:dyDescent="0.45">
      <c r="A539">
        <f ca="1">VLOOKUP(dict_zul_Var_Meth[[#This Row],[ignored_rank]],help_zuord_Var_Meth[],2)</f>
        <v>120</v>
      </c>
      <c r="B539">
        <f t="shared" si="14"/>
        <v>486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9">
        <f t="shared" ca="1" si="15"/>
        <v>0.44071275442402724</v>
      </c>
      <c r="E539">
        <f ca="1">RANK(dict_zul_Var_Meth[[#This Row],[ignored_rand]],dict_zul_Var_Meth[ignored_rand])</f>
        <v>420</v>
      </c>
    </row>
    <row r="540" spans="1:5" x14ac:dyDescent="0.45">
      <c r="A540">
        <f ca="1">VLOOKUP(dict_zul_Var_Meth[[#This Row],[ignored_rank]],help_zuord_Var_Meth[],2)</f>
        <v>130</v>
      </c>
      <c r="B540">
        <f t="shared" si="14"/>
        <v>487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0">
        <f t="shared" ca="1" si="15"/>
        <v>0.39022928624399245</v>
      </c>
      <c r="E540">
        <f ca="1">RANK(dict_zul_Var_Meth[[#This Row],[ignored_rand]],dict_zul_Var_Meth[ignored_rand])</f>
        <v>454</v>
      </c>
    </row>
    <row r="541" spans="1:5" x14ac:dyDescent="0.45">
      <c r="A541">
        <f ca="1">VLOOKUP(dict_zul_Var_Meth[[#This Row],[ignored_rank]],help_zuord_Var_Meth[],2)</f>
        <v>82</v>
      </c>
      <c r="B541">
        <f t="shared" si="14"/>
        <v>488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1">
        <f t="shared" ca="1" si="15"/>
        <v>0.62197399278763421</v>
      </c>
      <c r="E541">
        <f ca="1">RANK(dict_zul_Var_Meth[[#This Row],[ignored_rand]],dict_zul_Var_Meth[ignored_rand])</f>
        <v>288</v>
      </c>
    </row>
    <row r="542" spans="1:5" x14ac:dyDescent="0.45">
      <c r="A542">
        <f ca="1">VLOOKUP(dict_zul_Var_Meth[[#This Row],[ignored_rank]],help_zuord_Var_Meth[],2)</f>
        <v>89</v>
      </c>
      <c r="B542">
        <f t="shared" si="14"/>
        <v>489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2">
        <f t="shared" ca="1" si="15"/>
        <v>0.58107735822988416</v>
      </c>
      <c r="E542">
        <f ca="1">RANK(dict_zul_Var_Meth[[#This Row],[ignored_rand]],dict_zul_Var_Meth[ignored_rand])</f>
        <v>313</v>
      </c>
    </row>
    <row r="543" spans="1:5" x14ac:dyDescent="0.45">
      <c r="A543">
        <f ca="1">VLOOKUP(dict_zul_Var_Meth[[#This Row],[ignored_rank]],help_zuord_Var_Meth[],2)</f>
        <v>95</v>
      </c>
      <c r="B543">
        <f t="shared" si="14"/>
        <v>490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3">
        <f t="shared" ca="1" si="15"/>
        <v>0.55194993200838738</v>
      </c>
      <c r="E543">
        <f ca="1">RANK(dict_zul_Var_Meth[[#This Row],[ignored_rand]],dict_zul_Var_Meth[ignored_rand])</f>
        <v>335</v>
      </c>
    </row>
    <row r="544" spans="1:5" x14ac:dyDescent="0.45">
      <c r="A544">
        <f ca="1">VLOOKUP(dict_zul_Var_Meth[[#This Row],[ignored_rank]],help_zuord_Var_Meth[],2)</f>
        <v>99</v>
      </c>
      <c r="B544">
        <f t="shared" si="14"/>
        <v>491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4">
        <f t="shared" ca="1" si="15"/>
        <v>0.53362229916343651</v>
      </c>
      <c r="E544">
        <f ca="1">RANK(dict_zul_Var_Meth[[#This Row],[ignored_rand]],dict_zul_Var_Meth[ignored_rand])</f>
        <v>349</v>
      </c>
    </row>
    <row r="545" spans="1:5" x14ac:dyDescent="0.45">
      <c r="A545">
        <f ca="1">VLOOKUP(dict_zul_Var_Meth[[#This Row],[ignored_rank]],help_zuord_Var_Meth[],2)</f>
        <v>140</v>
      </c>
      <c r="B545">
        <f t="shared" si="14"/>
        <v>492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5">
        <f t="shared" ca="1" si="15"/>
        <v>0.34066557574630862</v>
      </c>
      <c r="E545">
        <f ca="1">RANK(dict_zul_Var_Meth[[#This Row],[ignored_rand]],dict_zul_Var_Meth[ignored_rand])</f>
        <v>490</v>
      </c>
    </row>
    <row r="546" spans="1:5" x14ac:dyDescent="0.45">
      <c r="A546">
        <f ca="1">VLOOKUP(dict_zul_Var_Meth[[#This Row],[ignored_rank]],help_zuord_Var_Meth[],2)</f>
        <v>150</v>
      </c>
      <c r="B546">
        <f t="shared" si="14"/>
        <v>493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6">
        <f t="shared" ca="1" si="15"/>
        <v>0.29550580146861105</v>
      </c>
      <c r="E546">
        <f ca="1">RANK(dict_zul_Var_Meth[[#This Row],[ignored_rand]],dict_zul_Var_Meth[ignored_rand])</f>
        <v>526</v>
      </c>
    </row>
    <row r="547" spans="1:5" x14ac:dyDescent="0.45">
      <c r="A547">
        <f ca="1">VLOOKUP(dict_zul_Var_Meth[[#This Row],[ignored_rank]],help_zuord_Var_Meth[],2)</f>
        <v>167</v>
      </c>
      <c r="B547">
        <f t="shared" si="14"/>
        <v>494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7">
        <f t="shared" ca="1" si="15"/>
        <v>0.20920658914950274</v>
      </c>
      <c r="E547">
        <f ca="1">RANK(dict_zul_Var_Meth[[#This Row],[ignored_rand]],dict_zul_Var_Meth[ignored_rand])</f>
        <v>586</v>
      </c>
    </row>
    <row r="548" spans="1:5" x14ac:dyDescent="0.45">
      <c r="A548">
        <f ca="1">VLOOKUP(dict_zul_Var_Meth[[#This Row],[ignored_rank]],help_zuord_Var_Meth[],2)</f>
        <v>139</v>
      </c>
      <c r="B548">
        <f t="shared" si="14"/>
        <v>495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8">
        <f t="shared" ca="1" si="15"/>
        <v>0.34868242253225901</v>
      </c>
      <c r="E548">
        <f ca="1">RANK(dict_zul_Var_Meth[[#This Row],[ignored_rand]],dict_zul_Var_Meth[ignored_rand])</f>
        <v>485</v>
      </c>
    </row>
    <row r="549" spans="1:5" x14ac:dyDescent="0.45">
      <c r="A549">
        <f ca="1">VLOOKUP(dict_zul_Var_Meth[[#This Row],[ignored_rank]],help_zuord_Var_Meth[],2)</f>
        <v>46</v>
      </c>
      <c r="B549">
        <f t="shared" si="14"/>
        <v>496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9">
        <f t="shared" ca="1" si="15"/>
        <v>0.77705267790021648</v>
      </c>
      <c r="E549">
        <f ca="1">RANK(dict_zul_Var_Meth[[#This Row],[ignored_rand]],dict_zul_Var_Meth[ignored_rand])</f>
        <v>165</v>
      </c>
    </row>
    <row r="550" spans="1:5" x14ac:dyDescent="0.45">
      <c r="A550">
        <f ca="1">VLOOKUP(dict_zul_Var_Meth[[#This Row],[ignored_rank]],help_zuord_Var_Meth[],2)</f>
        <v>107</v>
      </c>
      <c r="B550">
        <f t="shared" si="14"/>
        <v>497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0">
        <f t="shared" ca="1" si="15"/>
        <v>0.50806885765040255</v>
      </c>
      <c r="E550">
        <f ca="1">RANK(dict_zul_Var_Meth[[#This Row],[ignored_rand]],dict_zul_Var_Meth[ignored_rand])</f>
        <v>375</v>
      </c>
    </row>
    <row r="551" spans="1:5" x14ac:dyDescent="0.45">
      <c r="A551">
        <f ca="1">VLOOKUP(dict_zul_Var_Meth[[#This Row],[ignored_rank]],help_zuord_Var_Meth[],2)</f>
        <v>51</v>
      </c>
      <c r="B551">
        <f t="shared" si="14"/>
        <v>498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1">
        <f t="shared" ca="1" si="15"/>
        <v>0.76558077609631092</v>
      </c>
      <c r="E551">
        <f ca="1">RANK(dict_zul_Var_Meth[[#This Row],[ignored_rand]],dict_zul_Var_Meth[ignored_rand])</f>
        <v>181</v>
      </c>
    </row>
    <row r="552" spans="1:5" x14ac:dyDescent="0.45">
      <c r="A552">
        <f ca="1">VLOOKUP(dict_zul_Var_Meth[[#This Row],[ignored_rank]],help_zuord_Var_Meth[],2)</f>
        <v>122</v>
      </c>
      <c r="B552">
        <f t="shared" ref="B552:B615" si="16">B551+1</f>
        <v>499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2">
        <f t="shared" ca="1" si="15"/>
        <v>0.42769479677743238</v>
      </c>
      <c r="E552">
        <f ca="1">RANK(dict_zul_Var_Meth[[#This Row],[ignored_rand]],dict_zul_Var_Meth[ignored_rand])</f>
        <v>429</v>
      </c>
    </row>
    <row r="553" spans="1:5" x14ac:dyDescent="0.45">
      <c r="A553">
        <f ca="1">VLOOKUP(dict_zul_Var_Meth[[#This Row],[ignored_rank]],help_zuord_Var_Meth[],2)</f>
        <v>108</v>
      </c>
      <c r="B553">
        <f t="shared" si="16"/>
        <v>500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3">
        <f t="shared" ca="1" si="15"/>
        <v>0.50557080449319602</v>
      </c>
      <c r="E553">
        <f ca="1">RANK(dict_zul_Var_Meth[[#This Row],[ignored_rand]],dict_zul_Var_Meth[ignored_rand])</f>
        <v>378</v>
      </c>
    </row>
    <row r="554" spans="1:5" x14ac:dyDescent="0.45">
      <c r="A554">
        <f ca="1">VLOOKUP(dict_zul_Var_Meth[[#This Row],[ignored_rank]],help_zuord_Var_Meth[],2)</f>
        <v>2</v>
      </c>
      <c r="B554">
        <f t="shared" si="16"/>
        <v>501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4">
        <f t="shared" ca="1" si="15"/>
        <v>0.98777214866409357</v>
      </c>
      <c r="E554">
        <f ca="1">RANK(dict_zul_Var_Meth[[#This Row],[ignored_rand]],dict_zul_Var_Meth[ignored_rand])</f>
        <v>10</v>
      </c>
    </row>
    <row r="555" spans="1:5" x14ac:dyDescent="0.45">
      <c r="A555">
        <f ca="1">VLOOKUP(dict_zul_Var_Meth[[#This Row],[ignored_rank]],help_zuord_Var_Meth[],2)</f>
        <v>166</v>
      </c>
      <c r="B555">
        <f t="shared" si="16"/>
        <v>502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5">
        <f t="shared" ca="1" si="15"/>
        <v>0.22070760249419896</v>
      </c>
      <c r="E555">
        <f ca="1">RANK(dict_zul_Var_Meth[[#This Row],[ignored_rand]],dict_zul_Var_Meth[ignored_rand])</f>
        <v>582</v>
      </c>
    </row>
    <row r="556" spans="1:5" x14ac:dyDescent="0.45">
      <c r="A556">
        <f ca="1">VLOOKUP(dict_zul_Var_Meth[[#This Row],[ignored_rank]],help_zuord_Var_Meth[],2)</f>
        <v>181</v>
      </c>
      <c r="B556">
        <f t="shared" si="16"/>
        <v>503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6">
        <f t="shared" ca="1" si="15"/>
        <v>0.15050820238904539</v>
      </c>
      <c r="E556">
        <f ca="1">RANK(dict_zul_Var_Meth[[#This Row],[ignored_rand]],dict_zul_Var_Meth[ignored_rand])</f>
        <v>631</v>
      </c>
    </row>
    <row r="557" spans="1:5" x14ac:dyDescent="0.45">
      <c r="A557">
        <f ca="1">VLOOKUP(dict_zul_Var_Meth[[#This Row],[ignored_rank]],help_zuord_Var_Meth[],2)</f>
        <v>154</v>
      </c>
      <c r="B557">
        <f t="shared" si="16"/>
        <v>504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7">
        <f t="shared" ca="1" si="15"/>
        <v>0.28432600953003628</v>
      </c>
      <c r="E557">
        <f ca="1">RANK(dict_zul_Var_Meth[[#This Row],[ignored_rand]],dict_zul_Var_Meth[ignored_rand])</f>
        <v>538</v>
      </c>
    </row>
    <row r="558" spans="1:5" x14ac:dyDescent="0.45">
      <c r="A558">
        <f ca="1">VLOOKUP(dict_zul_Var_Meth[[#This Row],[ignored_rank]],help_zuord_Var_Meth[],2)</f>
        <v>135</v>
      </c>
      <c r="B558">
        <f t="shared" si="16"/>
        <v>505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8">
        <f t="shared" ca="1" si="15"/>
        <v>0.36240329780486269</v>
      </c>
      <c r="E558">
        <f ca="1">RANK(dict_zul_Var_Meth[[#This Row],[ignored_rand]],dict_zul_Var_Meth[ignored_rand])</f>
        <v>475</v>
      </c>
    </row>
    <row r="559" spans="1:5" x14ac:dyDescent="0.45">
      <c r="A559">
        <f ca="1">VLOOKUP(dict_zul_Var_Meth[[#This Row],[ignored_rank]],help_zuord_Var_Meth[],2)</f>
        <v>58</v>
      </c>
      <c r="B559">
        <f t="shared" si="16"/>
        <v>506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9">
        <f t="shared" ca="1" si="15"/>
        <v>0.73655184371106253</v>
      </c>
      <c r="E559">
        <f ca="1">RANK(dict_zul_Var_Meth[[#This Row],[ignored_rand]],dict_zul_Var_Meth[ignored_rand])</f>
        <v>204</v>
      </c>
    </row>
    <row r="560" spans="1:5" x14ac:dyDescent="0.45">
      <c r="A560">
        <f ca="1">VLOOKUP(dict_zul_Var_Meth[[#This Row],[ignored_rank]],help_zuord_Var_Meth[],2)</f>
        <v>9</v>
      </c>
      <c r="B560">
        <f t="shared" si="16"/>
        <v>507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0">
        <f t="shared" ca="1" si="15"/>
        <v>0.96107629298838204</v>
      </c>
      <c r="E560">
        <f ca="1">RANK(dict_zul_Var_Meth[[#This Row],[ignored_rand]],dict_zul_Var_Meth[ignored_rand])</f>
        <v>32</v>
      </c>
    </row>
    <row r="561" spans="1:5" x14ac:dyDescent="0.45">
      <c r="A561">
        <f ca="1">VLOOKUP(dict_zul_Var_Meth[[#This Row],[ignored_rank]],help_zuord_Var_Meth[],2)</f>
        <v>75</v>
      </c>
      <c r="B561">
        <f t="shared" si="16"/>
        <v>508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1">
        <f t="shared" ca="1" si="15"/>
        <v>0.66220553021516404</v>
      </c>
      <c r="E561">
        <f ca="1">RANK(dict_zul_Var_Meth[[#This Row],[ignored_rand]],dict_zul_Var_Meth[ignored_rand])</f>
        <v>263</v>
      </c>
    </row>
    <row r="562" spans="1:5" x14ac:dyDescent="0.45">
      <c r="A562">
        <f ca="1">VLOOKUP(dict_zul_Var_Meth[[#This Row],[ignored_rank]],help_zuord_Var_Meth[],2)</f>
        <v>61</v>
      </c>
      <c r="B562">
        <f t="shared" si="16"/>
        <v>509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2">
        <f t="shared" ca="1" si="15"/>
        <v>0.71464601764423508</v>
      </c>
      <c r="E562">
        <f ca="1">RANK(dict_zul_Var_Meth[[#This Row],[ignored_rand]],dict_zul_Var_Meth[ignored_rand])</f>
        <v>215</v>
      </c>
    </row>
    <row r="563" spans="1:5" x14ac:dyDescent="0.45">
      <c r="A563">
        <f ca="1">VLOOKUP(dict_zul_Var_Meth[[#This Row],[ignored_rank]],help_zuord_Var_Meth[],2)</f>
        <v>111</v>
      </c>
      <c r="B563">
        <f t="shared" si="16"/>
        <v>510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3">
        <f t="shared" ca="1" si="15"/>
        <v>0.48675428790056652</v>
      </c>
      <c r="E563">
        <f ca="1">RANK(dict_zul_Var_Meth[[#This Row],[ignored_rand]],dict_zul_Var_Meth[ignored_rand])</f>
        <v>389</v>
      </c>
    </row>
    <row r="564" spans="1:5" x14ac:dyDescent="0.45">
      <c r="A564">
        <f ca="1">VLOOKUP(dict_zul_Var_Meth[[#This Row],[ignored_rank]],help_zuord_Var_Meth[],2)</f>
        <v>77</v>
      </c>
      <c r="B564">
        <f t="shared" si="16"/>
        <v>511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4">
        <f t="shared" ca="1" si="15"/>
        <v>0.64525560441331442</v>
      </c>
      <c r="E564">
        <f ca="1">RANK(dict_zul_Var_Meth[[#This Row],[ignored_rand]],dict_zul_Var_Meth[ignored_rand])</f>
        <v>271</v>
      </c>
    </row>
    <row r="565" spans="1:5" x14ac:dyDescent="0.45">
      <c r="A565">
        <f ca="1">VLOOKUP(dict_zul_Var_Meth[[#This Row],[ignored_rank]],help_zuord_Var_Meth[],2)</f>
        <v>127</v>
      </c>
      <c r="B565">
        <f t="shared" si="16"/>
        <v>512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5">
        <f t="shared" ca="1" si="15"/>
        <v>0.40135425263397606</v>
      </c>
      <c r="E565">
        <f ca="1">RANK(dict_zul_Var_Meth[[#This Row],[ignored_rand]],dict_zul_Var_Meth[ignored_rand])</f>
        <v>445</v>
      </c>
    </row>
    <row r="566" spans="1:5" x14ac:dyDescent="0.45">
      <c r="A566">
        <f ca="1">VLOOKUP(dict_zul_Var_Meth[[#This Row],[ignored_rank]],help_zuord_Var_Meth[],2)</f>
        <v>169</v>
      </c>
      <c r="B566">
        <f t="shared" si="16"/>
        <v>513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6">
        <f t="shared" ca="1" si="15"/>
        <v>0.20417663000670827</v>
      </c>
      <c r="E566">
        <f ca="1">RANK(dict_zul_Var_Meth[[#This Row],[ignored_rand]],dict_zul_Var_Meth[ignored_rand])</f>
        <v>591</v>
      </c>
    </row>
    <row r="567" spans="1:5" x14ac:dyDescent="0.45">
      <c r="A567">
        <f ca="1">VLOOKUP(dict_zul_Var_Meth[[#This Row],[ignored_rank]],help_zuord_Var_Meth[],2)</f>
        <v>105</v>
      </c>
      <c r="B567">
        <f t="shared" si="16"/>
        <v>514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7">
        <f t="shared" ca="1" si="15"/>
        <v>0.51505532178742008</v>
      </c>
      <c r="E567">
        <f ca="1">RANK(dict_zul_Var_Meth[[#This Row],[ignored_rand]],dict_zul_Var_Meth[ignored_rand])</f>
        <v>367</v>
      </c>
    </row>
    <row r="568" spans="1:5" x14ac:dyDescent="0.45">
      <c r="A568">
        <f ca="1">VLOOKUP(dict_zul_Var_Meth[[#This Row],[ignored_rank]],help_zuord_Var_Meth[],2)</f>
        <v>185</v>
      </c>
      <c r="B568">
        <f t="shared" si="16"/>
        <v>515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8">
        <f t="shared" ca="1" si="15"/>
        <v>0.13636312559928609</v>
      </c>
      <c r="E568">
        <f ca="1">RANK(dict_zul_Var_Meth[[#This Row],[ignored_rand]],dict_zul_Var_Meth[ignored_rand])</f>
        <v>646</v>
      </c>
    </row>
    <row r="569" spans="1:5" x14ac:dyDescent="0.45">
      <c r="A569">
        <f ca="1">VLOOKUP(dict_zul_Var_Meth[[#This Row],[ignored_rank]],help_zuord_Var_Meth[],2)</f>
        <v>62</v>
      </c>
      <c r="B569">
        <f t="shared" si="16"/>
        <v>516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9">
        <f t="shared" ca="1" si="15"/>
        <v>0.71258895136810496</v>
      </c>
      <c r="E569">
        <f ca="1">RANK(dict_zul_Var_Meth[[#This Row],[ignored_rand]],dict_zul_Var_Meth[ignored_rand])</f>
        <v>217</v>
      </c>
    </row>
    <row r="570" spans="1:5" x14ac:dyDescent="0.45">
      <c r="A570">
        <f ca="1">VLOOKUP(dict_zul_Var_Meth[[#This Row],[ignored_rank]],help_zuord_Var_Meth[],2)</f>
        <v>191</v>
      </c>
      <c r="B570">
        <f t="shared" si="16"/>
        <v>517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0">
        <f t="shared" ca="1" si="15"/>
        <v>0.1104083082644296</v>
      </c>
      <c r="E570">
        <f ca="1">RANK(dict_zul_Var_Meth[[#This Row],[ignored_rand]],dict_zul_Var_Meth[ignored_rand])</f>
        <v>667</v>
      </c>
    </row>
    <row r="571" spans="1:5" x14ac:dyDescent="0.45">
      <c r="A571">
        <f ca="1">VLOOKUP(dict_zul_Var_Meth[[#This Row],[ignored_rank]],help_zuord_Var_Meth[],2)</f>
        <v>52</v>
      </c>
      <c r="B571">
        <f t="shared" si="16"/>
        <v>518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1">
        <f t="shared" ca="1" si="15"/>
        <v>0.75863920644117122</v>
      </c>
      <c r="E571">
        <f ca="1">RANK(dict_zul_Var_Meth[[#This Row],[ignored_rand]],dict_zul_Var_Meth[ignored_rand])</f>
        <v>184</v>
      </c>
    </row>
    <row r="572" spans="1:5" x14ac:dyDescent="0.45">
      <c r="A572">
        <f ca="1">VLOOKUP(dict_zul_Var_Meth[[#This Row],[ignored_rank]],help_zuord_Var_Meth[],2)</f>
        <v>135</v>
      </c>
      <c r="B572">
        <f t="shared" si="16"/>
        <v>519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2">
        <f t="shared" ca="1" si="15"/>
        <v>0.36286669102804392</v>
      </c>
      <c r="E572">
        <f ca="1">RANK(dict_zul_Var_Meth[[#This Row],[ignored_rand]],dict_zul_Var_Meth[ignored_rand])</f>
        <v>473</v>
      </c>
    </row>
    <row r="573" spans="1:5" x14ac:dyDescent="0.45">
      <c r="A573">
        <f ca="1">VLOOKUP(dict_zul_Var_Meth[[#This Row],[ignored_rank]],help_zuord_Var_Meth[],2)</f>
        <v>171</v>
      </c>
      <c r="B573">
        <f t="shared" si="16"/>
        <v>520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3">
        <f t="shared" ca="1" si="15"/>
        <v>0.19642520925489193</v>
      </c>
      <c r="E573">
        <f ca="1">RANK(dict_zul_Var_Meth[[#This Row],[ignored_rand]],dict_zul_Var_Meth[ignored_rand])</f>
        <v>598</v>
      </c>
    </row>
    <row r="574" spans="1:5" x14ac:dyDescent="0.45">
      <c r="A574">
        <f ca="1">VLOOKUP(dict_zul_Var_Meth[[#This Row],[ignored_rank]],help_zuord_Var_Meth[],2)</f>
        <v>141</v>
      </c>
      <c r="B574">
        <f t="shared" si="16"/>
        <v>521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4">
        <f t="shared" ca="1" si="15"/>
        <v>0.3345687992833124</v>
      </c>
      <c r="E574">
        <f ca="1">RANK(dict_zul_Var_Meth[[#This Row],[ignored_rand]],dict_zul_Var_Meth[ignored_rand])</f>
        <v>494</v>
      </c>
    </row>
    <row r="575" spans="1:5" x14ac:dyDescent="0.45">
      <c r="A575">
        <f ca="1">VLOOKUP(dict_zul_Var_Meth[[#This Row],[ignored_rank]],help_zuord_Var_Meth[],2)</f>
        <v>193</v>
      </c>
      <c r="B575">
        <f t="shared" si="16"/>
        <v>522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5">
        <f t="shared" ca="1" si="15"/>
        <v>0.10447976422211802</v>
      </c>
      <c r="E575">
        <f ca="1">RANK(dict_zul_Var_Meth[[#This Row],[ignored_rand]],dict_zul_Var_Meth[ignored_rand])</f>
        <v>675</v>
      </c>
    </row>
    <row r="576" spans="1:5" x14ac:dyDescent="0.45">
      <c r="A576">
        <f ca="1">VLOOKUP(dict_zul_Var_Meth[[#This Row],[ignored_rank]],help_zuord_Var_Meth[],2)</f>
        <v>80</v>
      </c>
      <c r="B576">
        <f t="shared" si="16"/>
        <v>523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6">
        <f t="shared" ca="1" si="15"/>
        <v>0.62530036999059568</v>
      </c>
      <c r="E576">
        <f ca="1">RANK(dict_zul_Var_Meth[[#This Row],[ignored_rand]],dict_zul_Var_Meth[ignored_rand])</f>
        <v>282</v>
      </c>
    </row>
    <row r="577" spans="1:5" x14ac:dyDescent="0.45">
      <c r="A577">
        <f ca="1">VLOOKUP(dict_zul_Var_Meth[[#This Row],[ignored_rank]],help_zuord_Var_Meth[],2)</f>
        <v>200</v>
      </c>
      <c r="B577">
        <f t="shared" si="16"/>
        <v>524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7">
        <f t="shared" ca="1" si="15"/>
        <v>2.1090418646122489E-3</v>
      </c>
      <c r="E577">
        <f ca="1">RANK(dict_zul_Var_Meth[[#This Row],[ignored_rand]],dict_zul_Var_Meth[ignored_rand])</f>
        <v>750</v>
      </c>
    </row>
    <row r="578" spans="1:5" x14ac:dyDescent="0.45">
      <c r="A578">
        <f ca="1">VLOOKUP(dict_zul_Var_Meth[[#This Row],[ignored_rank]],help_zuord_Var_Meth[],2)</f>
        <v>55</v>
      </c>
      <c r="B578">
        <f t="shared" si="16"/>
        <v>525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8">
        <f t="shared" ref="D578:D641" ca="1" si="17">RAND()</f>
        <v>0.75395204733817511</v>
      </c>
      <c r="E578">
        <f ca="1">RANK(dict_zul_Var_Meth[[#This Row],[ignored_rand]],dict_zul_Var_Meth[ignored_rand])</f>
        <v>192</v>
      </c>
    </row>
    <row r="579" spans="1:5" x14ac:dyDescent="0.45">
      <c r="A579">
        <f ca="1">VLOOKUP(dict_zul_Var_Meth[[#This Row],[ignored_rank]],help_zuord_Var_Meth[],2)</f>
        <v>67</v>
      </c>
      <c r="B579">
        <f t="shared" si="16"/>
        <v>526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9">
        <f t="shared" ca="1" si="17"/>
        <v>0.69808596259563638</v>
      </c>
      <c r="E579">
        <f ca="1">RANK(dict_zul_Var_Meth[[#This Row],[ignored_rand]],dict_zul_Var_Meth[ignored_rand])</f>
        <v>236</v>
      </c>
    </row>
    <row r="580" spans="1:5" x14ac:dyDescent="0.45">
      <c r="A580">
        <f ca="1">VLOOKUP(dict_zul_Var_Meth[[#This Row],[ignored_rank]],help_zuord_Var_Meth[],2)</f>
        <v>123</v>
      </c>
      <c r="B580">
        <f t="shared" si="16"/>
        <v>527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0">
        <f t="shared" ca="1" si="17"/>
        <v>0.42261327752261135</v>
      </c>
      <c r="E580">
        <f ca="1">RANK(dict_zul_Var_Meth[[#This Row],[ignored_rand]],dict_zul_Var_Meth[ignored_rand])</f>
        <v>431</v>
      </c>
    </row>
    <row r="581" spans="1:5" x14ac:dyDescent="0.45">
      <c r="A581">
        <f ca="1">VLOOKUP(dict_zul_Var_Meth[[#This Row],[ignored_rank]],help_zuord_Var_Meth[],2)</f>
        <v>15</v>
      </c>
      <c r="B581">
        <f t="shared" si="16"/>
        <v>528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1">
        <f t="shared" ca="1" si="17"/>
        <v>0.93342066729876083</v>
      </c>
      <c r="E581">
        <f ca="1">RANK(dict_zul_Var_Meth[[#This Row],[ignored_rand]],dict_zul_Var_Meth[ignored_rand])</f>
        <v>52</v>
      </c>
    </row>
    <row r="582" spans="1:5" x14ac:dyDescent="0.45">
      <c r="A582">
        <f ca="1">VLOOKUP(dict_zul_Var_Meth[[#This Row],[ignored_rank]],help_zuord_Var_Meth[],2)</f>
        <v>83</v>
      </c>
      <c r="B582">
        <f t="shared" si="16"/>
        <v>529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2">
        <f t="shared" ca="1" si="17"/>
        <v>0.61846750905358039</v>
      </c>
      <c r="E582">
        <f ca="1">RANK(dict_zul_Var_Meth[[#This Row],[ignored_rand]],dict_zul_Var_Meth[ignored_rand])</f>
        <v>291</v>
      </c>
    </row>
    <row r="583" spans="1:5" x14ac:dyDescent="0.45">
      <c r="A583">
        <f ca="1">VLOOKUP(dict_zul_Var_Meth[[#This Row],[ignored_rank]],help_zuord_Var_Meth[],2)</f>
        <v>59</v>
      </c>
      <c r="B583">
        <f t="shared" si="16"/>
        <v>530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3">
        <f t="shared" ca="1" si="17"/>
        <v>0.73452487738282557</v>
      </c>
      <c r="E583">
        <f ca="1">RANK(dict_zul_Var_Meth[[#This Row],[ignored_rand]],dict_zul_Var_Meth[ignored_rand])</f>
        <v>207</v>
      </c>
    </row>
    <row r="584" spans="1:5" x14ac:dyDescent="0.45">
      <c r="A584">
        <f ca="1">VLOOKUP(dict_zul_Var_Meth[[#This Row],[ignored_rank]],help_zuord_Var_Meth[],2)</f>
        <v>142</v>
      </c>
      <c r="B584">
        <f t="shared" si="16"/>
        <v>531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4">
        <f t="shared" ca="1" si="17"/>
        <v>0.33398060078111713</v>
      </c>
      <c r="E584">
        <f ca="1">RANK(dict_zul_Var_Meth[[#This Row],[ignored_rand]],dict_zul_Var_Meth[ignored_rand])</f>
        <v>495</v>
      </c>
    </row>
    <row r="585" spans="1:5" x14ac:dyDescent="0.45">
      <c r="A585">
        <f ca="1">VLOOKUP(dict_zul_Var_Meth[[#This Row],[ignored_rank]],help_zuord_Var_Meth[],2)</f>
        <v>63</v>
      </c>
      <c r="B585">
        <f t="shared" si="16"/>
        <v>532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5">
        <f t="shared" ca="1" si="17"/>
        <v>0.70889625746428608</v>
      </c>
      <c r="E585">
        <f ca="1">RANK(dict_zul_Var_Meth[[#This Row],[ignored_rand]],dict_zul_Var_Meth[ignored_rand])</f>
        <v>221</v>
      </c>
    </row>
    <row r="586" spans="1:5" x14ac:dyDescent="0.45">
      <c r="A586">
        <f ca="1">VLOOKUP(dict_zul_Var_Meth[[#This Row],[ignored_rank]],help_zuord_Var_Meth[],2)</f>
        <v>22</v>
      </c>
      <c r="B586">
        <f t="shared" si="16"/>
        <v>533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6">
        <f t="shared" ca="1" si="17"/>
        <v>0.89059872525695372</v>
      </c>
      <c r="E586">
        <f ca="1">RANK(dict_zul_Var_Meth[[#This Row],[ignored_rand]],dict_zul_Var_Meth[ignored_rand])</f>
        <v>78</v>
      </c>
    </row>
    <row r="587" spans="1:5" x14ac:dyDescent="0.45">
      <c r="A587">
        <f ca="1">VLOOKUP(dict_zul_Var_Meth[[#This Row],[ignored_rank]],help_zuord_Var_Meth[],2)</f>
        <v>1</v>
      </c>
      <c r="B587">
        <f t="shared" si="16"/>
        <v>534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7">
        <f t="shared" ca="1" si="17"/>
        <v>0.99415172409910801</v>
      </c>
      <c r="E587">
        <f ca="1">RANK(dict_zul_Var_Meth[[#This Row],[ignored_rand]],dict_zul_Var_Meth[ignored_rand])</f>
        <v>5</v>
      </c>
    </row>
    <row r="588" spans="1:5" x14ac:dyDescent="0.45">
      <c r="A588">
        <f ca="1">VLOOKUP(dict_zul_Var_Meth[[#This Row],[ignored_rank]],help_zuord_Var_Meth[],2)</f>
        <v>132</v>
      </c>
      <c r="B588">
        <f t="shared" si="16"/>
        <v>535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8">
        <f t="shared" ca="1" si="17"/>
        <v>0.37738187148277358</v>
      </c>
      <c r="E588">
        <f ca="1">RANK(dict_zul_Var_Meth[[#This Row],[ignored_rand]],dict_zul_Var_Meth[ignored_rand])</f>
        <v>462</v>
      </c>
    </row>
    <row r="589" spans="1:5" x14ac:dyDescent="0.45">
      <c r="A589">
        <f ca="1">VLOOKUP(dict_zul_Var_Meth[[#This Row],[ignored_rank]],help_zuord_Var_Meth[],2)</f>
        <v>56</v>
      </c>
      <c r="B589">
        <f t="shared" si="16"/>
        <v>536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9">
        <f t="shared" ca="1" si="17"/>
        <v>0.74381701215087392</v>
      </c>
      <c r="E589">
        <f ca="1">RANK(dict_zul_Var_Meth[[#This Row],[ignored_rand]],dict_zul_Var_Meth[ignored_rand])</f>
        <v>197</v>
      </c>
    </row>
    <row r="590" spans="1:5" x14ac:dyDescent="0.45">
      <c r="A590">
        <f ca="1">VLOOKUP(dict_zul_Var_Meth[[#This Row],[ignored_rank]],help_zuord_Var_Meth[],2)</f>
        <v>86</v>
      </c>
      <c r="B590">
        <f t="shared" si="16"/>
        <v>537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0">
        <f t="shared" ca="1" si="17"/>
        <v>0.60424059944828179</v>
      </c>
      <c r="E590">
        <f ca="1">RANK(dict_zul_Var_Meth[[#This Row],[ignored_rand]],dict_zul_Var_Meth[ignored_rand])</f>
        <v>303</v>
      </c>
    </row>
    <row r="591" spans="1:5" x14ac:dyDescent="0.45">
      <c r="A591">
        <f ca="1">VLOOKUP(dict_zul_Var_Meth[[#This Row],[ignored_rank]],help_zuord_Var_Meth[],2)</f>
        <v>24</v>
      </c>
      <c r="B591">
        <f t="shared" si="16"/>
        <v>538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1">
        <f t="shared" ca="1" si="17"/>
        <v>0.87724217331589827</v>
      </c>
      <c r="E591">
        <f ca="1">RANK(dict_zul_Var_Meth[[#This Row],[ignored_rand]],dict_zul_Var_Meth[ignored_rand])</f>
        <v>87</v>
      </c>
    </row>
    <row r="592" spans="1:5" x14ac:dyDescent="0.45">
      <c r="A592">
        <f ca="1">VLOOKUP(dict_zul_Var_Meth[[#This Row],[ignored_rank]],help_zuord_Var_Meth[],2)</f>
        <v>50</v>
      </c>
      <c r="B592">
        <f t="shared" si="16"/>
        <v>539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2">
        <f t="shared" ca="1" si="17"/>
        <v>0.77149551478625256</v>
      </c>
      <c r="E592">
        <f ca="1">RANK(dict_zul_Var_Meth[[#This Row],[ignored_rand]],dict_zul_Var_Meth[ignored_rand])</f>
        <v>176</v>
      </c>
    </row>
    <row r="593" spans="1:5" x14ac:dyDescent="0.45">
      <c r="A593">
        <f ca="1">VLOOKUP(dict_zul_Var_Meth[[#This Row],[ignored_rank]],help_zuord_Var_Meth[],2)</f>
        <v>116</v>
      </c>
      <c r="B593">
        <f t="shared" si="16"/>
        <v>540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3">
        <f t="shared" ca="1" si="17"/>
        <v>0.4578135749036194</v>
      </c>
      <c r="E593">
        <f ca="1">RANK(dict_zul_Var_Meth[[#This Row],[ignored_rand]],dict_zul_Var_Meth[ignored_rand])</f>
        <v>408</v>
      </c>
    </row>
    <row r="594" spans="1:5" x14ac:dyDescent="0.45">
      <c r="A594">
        <f ca="1">VLOOKUP(dict_zul_Var_Meth[[#This Row],[ignored_rank]],help_zuord_Var_Meth[],2)</f>
        <v>102</v>
      </c>
      <c r="B594">
        <f t="shared" si="16"/>
        <v>541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4">
        <f t="shared" ca="1" si="17"/>
        <v>0.52618734151177748</v>
      </c>
      <c r="E594">
        <f ca="1">RANK(dict_zul_Var_Meth[[#This Row],[ignored_rand]],dict_zul_Var_Meth[ignored_rand])</f>
        <v>357</v>
      </c>
    </row>
    <row r="595" spans="1:5" x14ac:dyDescent="0.45">
      <c r="A595">
        <f ca="1">VLOOKUP(dict_zul_Var_Meth[[#This Row],[ignored_rank]],help_zuord_Var_Meth[],2)</f>
        <v>167</v>
      </c>
      <c r="B595">
        <f t="shared" si="16"/>
        <v>542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5">
        <f t="shared" ca="1" si="17"/>
        <v>0.21208506993866472</v>
      </c>
      <c r="E595">
        <f ca="1">RANK(dict_zul_Var_Meth[[#This Row],[ignored_rand]],dict_zul_Var_Meth[ignored_rand])</f>
        <v>583</v>
      </c>
    </row>
    <row r="596" spans="1:5" x14ac:dyDescent="0.45">
      <c r="A596">
        <f ca="1">VLOOKUP(dict_zul_Var_Meth[[#This Row],[ignored_rank]],help_zuord_Var_Meth[],2)</f>
        <v>114</v>
      </c>
      <c r="B596">
        <f t="shared" si="16"/>
        <v>543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6">
        <f t="shared" ca="1" si="17"/>
        <v>0.47130973507077212</v>
      </c>
      <c r="E596">
        <f ca="1">RANK(dict_zul_Var_Meth[[#This Row],[ignored_rand]],dict_zul_Var_Meth[ignored_rand])</f>
        <v>401</v>
      </c>
    </row>
    <row r="597" spans="1:5" x14ac:dyDescent="0.45">
      <c r="A597">
        <f ca="1">VLOOKUP(dict_zul_Var_Meth[[#This Row],[ignored_rank]],help_zuord_Var_Meth[],2)</f>
        <v>179</v>
      </c>
      <c r="B597">
        <f t="shared" si="16"/>
        <v>544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7">
        <f t="shared" ca="1" si="17"/>
        <v>0.1602486871347204</v>
      </c>
      <c r="E597">
        <f ca="1">RANK(dict_zul_Var_Meth[[#This Row],[ignored_rand]],dict_zul_Var_Meth[ignored_rand])</f>
        <v>625</v>
      </c>
    </row>
    <row r="598" spans="1:5" x14ac:dyDescent="0.45">
      <c r="A598">
        <f ca="1">VLOOKUP(dict_zul_Var_Meth[[#This Row],[ignored_rank]],help_zuord_Var_Meth[],2)</f>
        <v>172</v>
      </c>
      <c r="B598">
        <f t="shared" si="16"/>
        <v>545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8">
        <f t="shared" ca="1" si="17"/>
        <v>0.18610948318152465</v>
      </c>
      <c r="E598">
        <f ca="1">RANK(dict_zul_Var_Meth[[#This Row],[ignored_rand]],dict_zul_Var_Meth[ignored_rand])</f>
        <v>603</v>
      </c>
    </row>
    <row r="599" spans="1:5" x14ac:dyDescent="0.45">
      <c r="A599">
        <f ca="1">VLOOKUP(dict_zul_Var_Meth[[#This Row],[ignored_rank]],help_zuord_Var_Meth[],2)</f>
        <v>197</v>
      </c>
      <c r="B599">
        <f t="shared" si="16"/>
        <v>546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9">
        <f t="shared" ca="1" si="17"/>
        <v>7.456895118188489E-2</v>
      </c>
      <c r="E599">
        <f ca="1">RANK(dict_zul_Var_Meth[[#This Row],[ignored_rand]],dict_zul_Var_Meth[ignored_rand])</f>
        <v>690</v>
      </c>
    </row>
    <row r="600" spans="1:5" x14ac:dyDescent="0.45">
      <c r="A600">
        <f ca="1">VLOOKUP(dict_zul_Var_Meth[[#This Row],[ignored_rank]],help_zuord_Var_Meth[],2)</f>
        <v>199</v>
      </c>
      <c r="B600">
        <f t="shared" si="16"/>
        <v>547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0">
        <f t="shared" ca="1" si="17"/>
        <v>5.082822064380399E-2</v>
      </c>
      <c r="E600">
        <f ca="1">RANK(dict_zul_Var_Meth[[#This Row],[ignored_rand]],dict_zul_Var_Meth[ignored_rand])</f>
        <v>713</v>
      </c>
    </row>
    <row r="601" spans="1:5" x14ac:dyDescent="0.45">
      <c r="A601">
        <f ca="1">VLOOKUP(dict_zul_Var_Meth[[#This Row],[ignored_rank]],help_zuord_Var_Meth[],2)</f>
        <v>80</v>
      </c>
      <c r="B601">
        <f t="shared" si="16"/>
        <v>548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1">
        <f t="shared" ca="1" si="17"/>
        <v>0.62521458422368337</v>
      </c>
      <c r="E601">
        <f ca="1">RANK(dict_zul_Var_Meth[[#This Row],[ignored_rand]],dict_zul_Var_Meth[ignored_rand])</f>
        <v>283</v>
      </c>
    </row>
    <row r="602" spans="1:5" x14ac:dyDescent="0.45">
      <c r="A602">
        <f ca="1">VLOOKUP(dict_zul_Var_Meth[[#This Row],[ignored_rank]],help_zuord_Var_Meth[],2)</f>
        <v>199</v>
      </c>
      <c r="B602">
        <f t="shared" si="16"/>
        <v>549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2">
        <f t="shared" ca="1" si="17"/>
        <v>4.385927216888319E-2</v>
      </c>
      <c r="E602">
        <f ca="1">RANK(dict_zul_Var_Meth[[#This Row],[ignored_rand]],dict_zul_Var_Meth[ignored_rand])</f>
        <v>721</v>
      </c>
    </row>
    <row r="603" spans="1:5" x14ac:dyDescent="0.45">
      <c r="A603">
        <f ca="1">VLOOKUP(dict_zul_Var_Meth[[#This Row],[ignored_rank]],help_zuord_Var_Meth[],2)</f>
        <v>147</v>
      </c>
      <c r="B603">
        <f t="shared" si="16"/>
        <v>550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3">
        <f t="shared" ca="1" si="17"/>
        <v>0.307512474859716</v>
      </c>
      <c r="E603">
        <f ca="1">RANK(dict_zul_Var_Meth[[#This Row],[ignored_rand]],dict_zul_Var_Meth[ignored_rand])</f>
        <v>516</v>
      </c>
    </row>
    <row r="604" spans="1:5" x14ac:dyDescent="0.45">
      <c r="A604">
        <f ca="1">VLOOKUP(dict_zul_Var_Meth[[#This Row],[ignored_rank]],help_zuord_Var_Meth[],2)</f>
        <v>114</v>
      </c>
      <c r="B604">
        <f t="shared" si="16"/>
        <v>551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4">
        <f t="shared" ca="1" si="17"/>
        <v>0.47533308692427489</v>
      </c>
      <c r="E604">
        <f ca="1">RANK(dict_zul_Var_Meth[[#This Row],[ignored_rand]],dict_zul_Var_Meth[ignored_rand])</f>
        <v>398</v>
      </c>
    </row>
    <row r="605" spans="1:5" x14ac:dyDescent="0.45">
      <c r="A605">
        <f ca="1">VLOOKUP(dict_zul_Var_Meth[[#This Row],[ignored_rank]],help_zuord_Var_Meth[],2)</f>
        <v>181</v>
      </c>
      <c r="B605">
        <f t="shared" si="16"/>
        <v>552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5">
        <f t="shared" ca="1" si="17"/>
        <v>0.14968898945097464</v>
      </c>
      <c r="E605">
        <f ca="1">RANK(dict_zul_Var_Meth[[#This Row],[ignored_rand]],dict_zul_Var_Meth[ignored_rand])</f>
        <v>632</v>
      </c>
    </row>
    <row r="606" spans="1:5" x14ac:dyDescent="0.45">
      <c r="A606">
        <f ca="1">VLOOKUP(dict_zul_Var_Meth[[#This Row],[ignored_rank]],help_zuord_Var_Meth[],2)</f>
        <v>124</v>
      </c>
      <c r="B606">
        <f t="shared" si="16"/>
        <v>553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6">
        <f t="shared" ca="1" si="17"/>
        <v>0.42194702441883614</v>
      </c>
      <c r="E606">
        <f ca="1">RANK(dict_zul_Var_Meth[[#This Row],[ignored_rand]],dict_zul_Var_Meth[ignored_rand])</f>
        <v>432</v>
      </c>
    </row>
    <row r="607" spans="1:5" x14ac:dyDescent="0.45">
      <c r="A607">
        <f ca="1">VLOOKUP(dict_zul_Var_Meth[[#This Row],[ignored_rank]],help_zuord_Var_Meth[],2)</f>
        <v>57</v>
      </c>
      <c r="B607">
        <f t="shared" si="16"/>
        <v>554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7">
        <f t="shared" ca="1" si="17"/>
        <v>0.74352209201069253</v>
      </c>
      <c r="E607">
        <f ca="1">RANK(dict_zul_Var_Meth[[#This Row],[ignored_rand]],dict_zul_Var_Meth[ignored_rand])</f>
        <v>198</v>
      </c>
    </row>
    <row r="608" spans="1:5" x14ac:dyDescent="0.45">
      <c r="A608">
        <f ca="1">VLOOKUP(dict_zul_Var_Meth[[#This Row],[ignored_rank]],help_zuord_Var_Meth[],2)</f>
        <v>61</v>
      </c>
      <c r="B608">
        <f t="shared" si="16"/>
        <v>555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8">
        <f t="shared" ca="1" si="17"/>
        <v>0.7265716015957534</v>
      </c>
      <c r="E608">
        <f ca="1">RANK(dict_zul_Var_Meth[[#This Row],[ignored_rand]],dict_zul_Var_Meth[ignored_rand])</f>
        <v>212</v>
      </c>
    </row>
    <row r="609" spans="1:5" x14ac:dyDescent="0.45">
      <c r="A609">
        <f ca="1">VLOOKUP(dict_zul_Var_Meth[[#This Row],[ignored_rank]],help_zuord_Var_Meth[],2)</f>
        <v>185</v>
      </c>
      <c r="B609">
        <f t="shared" si="16"/>
        <v>556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9">
        <f t="shared" ca="1" si="17"/>
        <v>0.13193680727757273</v>
      </c>
      <c r="E609">
        <f ca="1">RANK(dict_zul_Var_Meth[[#This Row],[ignored_rand]],dict_zul_Var_Meth[ignored_rand])</f>
        <v>649</v>
      </c>
    </row>
    <row r="610" spans="1:5" x14ac:dyDescent="0.45">
      <c r="A610">
        <f ca="1">VLOOKUP(dict_zul_Var_Meth[[#This Row],[ignored_rank]],help_zuord_Var_Meth[],2)</f>
        <v>142</v>
      </c>
      <c r="B610">
        <f t="shared" si="16"/>
        <v>557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0">
        <f t="shared" ca="1" si="17"/>
        <v>0.32884465156110865</v>
      </c>
      <c r="E610">
        <f ca="1">RANK(dict_zul_Var_Meth[[#This Row],[ignored_rand]],dict_zul_Var_Meth[ignored_rand])</f>
        <v>500</v>
      </c>
    </row>
    <row r="611" spans="1:5" x14ac:dyDescent="0.45">
      <c r="A611">
        <f ca="1">VLOOKUP(dict_zul_Var_Meth[[#This Row],[ignored_rank]],help_zuord_Var_Meth[],2)</f>
        <v>101</v>
      </c>
      <c r="B611">
        <f t="shared" si="16"/>
        <v>558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1">
        <f t="shared" ca="1" si="17"/>
        <v>0.52702423976784951</v>
      </c>
      <c r="E611">
        <f ca="1">RANK(dict_zul_Var_Meth[[#This Row],[ignored_rand]],dict_zul_Var_Meth[ignored_rand])</f>
        <v>356</v>
      </c>
    </row>
    <row r="612" spans="1:5" x14ac:dyDescent="0.45">
      <c r="A612">
        <f ca="1">VLOOKUP(dict_zul_Var_Meth[[#This Row],[ignored_rank]],help_zuord_Var_Meth[],2)</f>
        <v>9</v>
      </c>
      <c r="B612">
        <f t="shared" si="16"/>
        <v>559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2">
        <f t="shared" ca="1" si="17"/>
        <v>0.96054944078557725</v>
      </c>
      <c r="E612">
        <f ca="1">RANK(dict_zul_Var_Meth[[#This Row],[ignored_rand]],dict_zul_Var_Meth[ignored_rand])</f>
        <v>33</v>
      </c>
    </row>
    <row r="613" spans="1:5" x14ac:dyDescent="0.45">
      <c r="A613">
        <f ca="1">VLOOKUP(dict_zul_Var_Meth[[#This Row],[ignored_rank]],help_zuord_Var_Meth[],2)</f>
        <v>21</v>
      </c>
      <c r="B613">
        <f t="shared" si="16"/>
        <v>560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3">
        <f t="shared" ca="1" si="17"/>
        <v>0.89362069249641107</v>
      </c>
      <c r="E613">
        <f ca="1">RANK(dict_zul_Var_Meth[[#This Row],[ignored_rand]],dict_zul_Var_Meth[ignored_rand])</f>
        <v>76</v>
      </c>
    </row>
    <row r="614" spans="1:5" x14ac:dyDescent="0.45">
      <c r="A614">
        <f ca="1">VLOOKUP(dict_zul_Var_Meth[[#This Row],[ignored_rank]],help_zuord_Var_Meth[],2)</f>
        <v>200</v>
      </c>
      <c r="B614">
        <f t="shared" si="16"/>
        <v>561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4">
        <f t="shared" ca="1" si="17"/>
        <v>1.4648366049968553E-3</v>
      </c>
      <c r="E614">
        <f ca="1">RANK(dict_zul_Var_Meth[[#This Row],[ignored_rand]],dict_zul_Var_Meth[ignored_rand])</f>
        <v>752</v>
      </c>
    </row>
    <row r="615" spans="1:5" x14ac:dyDescent="0.45">
      <c r="A615">
        <f ca="1">VLOOKUP(dict_zul_Var_Meth[[#This Row],[ignored_rank]],help_zuord_Var_Meth[],2)</f>
        <v>35</v>
      </c>
      <c r="B615">
        <f t="shared" si="16"/>
        <v>562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5">
        <f t="shared" ca="1" si="17"/>
        <v>0.843863558657719</v>
      </c>
      <c r="E615">
        <f ca="1">RANK(dict_zul_Var_Meth[[#This Row],[ignored_rand]],dict_zul_Var_Meth[ignored_rand])</f>
        <v>124</v>
      </c>
    </row>
    <row r="616" spans="1:5" x14ac:dyDescent="0.45">
      <c r="A616">
        <f ca="1">VLOOKUP(dict_zul_Var_Meth[[#This Row],[ignored_rank]],help_zuord_Var_Meth[],2)</f>
        <v>119</v>
      </c>
      <c r="B616">
        <f t="shared" ref="B616:B679" si="18">B615+1</f>
        <v>563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6">
        <f t="shared" ca="1" si="17"/>
        <v>0.44606850806705511</v>
      </c>
      <c r="E616">
        <f ca="1">RANK(dict_zul_Var_Meth[[#This Row],[ignored_rand]],dict_zul_Var_Meth[ignored_rand])</f>
        <v>417</v>
      </c>
    </row>
    <row r="617" spans="1:5" x14ac:dyDescent="0.45">
      <c r="A617">
        <f ca="1">VLOOKUP(dict_zul_Var_Meth[[#This Row],[ignored_rank]],help_zuord_Var_Meth[],2)</f>
        <v>192</v>
      </c>
      <c r="B617">
        <f t="shared" si="18"/>
        <v>564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7">
        <f t="shared" ca="1" si="17"/>
        <v>0.10779838348123194</v>
      </c>
      <c r="E617">
        <f ca="1">RANK(dict_zul_Var_Meth[[#This Row],[ignored_rand]],dict_zul_Var_Meth[ignored_rand])</f>
        <v>673</v>
      </c>
    </row>
    <row r="618" spans="1:5" x14ac:dyDescent="0.45">
      <c r="A618">
        <f ca="1">VLOOKUP(dict_zul_Var_Meth[[#This Row],[ignored_rank]],help_zuord_Var_Meth[],2)</f>
        <v>182</v>
      </c>
      <c r="B618">
        <f t="shared" si="18"/>
        <v>565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8">
        <f t="shared" ca="1" si="17"/>
        <v>0.14831421068523298</v>
      </c>
      <c r="E618">
        <f ca="1">RANK(dict_zul_Var_Meth[[#This Row],[ignored_rand]],dict_zul_Var_Meth[ignored_rand])</f>
        <v>637</v>
      </c>
    </row>
    <row r="619" spans="1:5" x14ac:dyDescent="0.45">
      <c r="A619">
        <f ca="1">VLOOKUP(dict_zul_Var_Meth[[#This Row],[ignored_rank]],help_zuord_Var_Meth[],2)</f>
        <v>108</v>
      </c>
      <c r="B619">
        <f t="shared" si="18"/>
        <v>566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9">
        <f t="shared" ca="1" si="17"/>
        <v>0.50775170828620408</v>
      </c>
      <c r="E619">
        <f ca="1">RANK(dict_zul_Var_Meth[[#This Row],[ignored_rand]],dict_zul_Var_Meth[ignored_rand])</f>
        <v>377</v>
      </c>
    </row>
    <row r="620" spans="1:5" x14ac:dyDescent="0.45">
      <c r="A620">
        <f ca="1">VLOOKUP(dict_zul_Var_Meth[[#This Row],[ignored_rank]],help_zuord_Var_Meth[],2)</f>
        <v>141</v>
      </c>
      <c r="B620">
        <f t="shared" si="18"/>
        <v>567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0">
        <f t="shared" ca="1" si="17"/>
        <v>0.3377961416518882</v>
      </c>
      <c r="E620">
        <f ca="1">RANK(dict_zul_Var_Meth[[#This Row],[ignored_rand]],dict_zul_Var_Meth[ignored_rand])</f>
        <v>493</v>
      </c>
    </row>
    <row r="621" spans="1:5" x14ac:dyDescent="0.45">
      <c r="A621">
        <f ca="1">VLOOKUP(dict_zul_Var_Meth[[#This Row],[ignored_rank]],help_zuord_Var_Meth[],2)</f>
        <v>59</v>
      </c>
      <c r="B621">
        <f t="shared" si="18"/>
        <v>568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1">
        <f t="shared" ca="1" si="17"/>
        <v>0.73515380560351162</v>
      </c>
      <c r="E621">
        <f ca="1">RANK(dict_zul_Var_Meth[[#This Row],[ignored_rand]],dict_zul_Var_Meth[ignored_rand])</f>
        <v>206</v>
      </c>
    </row>
    <row r="622" spans="1:5" x14ac:dyDescent="0.45">
      <c r="A622">
        <f ca="1">VLOOKUP(dict_zul_Var_Meth[[#This Row],[ignored_rank]],help_zuord_Var_Meth[],2)</f>
        <v>36</v>
      </c>
      <c r="B622">
        <f t="shared" si="18"/>
        <v>569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2">
        <f t="shared" ca="1" si="17"/>
        <v>0.83280166298128178</v>
      </c>
      <c r="E622">
        <f ca="1">RANK(dict_zul_Var_Meth[[#This Row],[ignored_rand]],dict_zul_Var_Meth[ignored_rand])</f>
        <v>128</v>
      </c>
    </row>
    <row r="623" spans="1:5" x14ac:dyDescent="0.45">
      <c r="A623">
        <f ca="1">VLOOKUP(dict_zul_Var_Meth[[#This Row],[ignored_rank]],help_zuord_Var_Meth[],2)</f>
        <v>186</v>
      </c>
      <c r="B623">
        <f t="shared" si="18"/>
        <v>570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3">
        <f t="shared" ca="1" si="17"/>
        <v>0.12856197797360036</v>
      </c>
      <c r="E623">
        <f ca="1">RANK(dict_zul_Var_Meth[[#This Row],[ignored_rand]],dict_zul_Var_Meth[ignored_rand])</f>
        <v>652</v>
      </c>
    </row>
    <row r="624" spans="1:5" x14ac:dyDescent="0.45">
      <c r="A624">
        <f ca="1">VLOOKUP(dict_zul_Var_Meth[[#This Row],[ignored_rank]],help_zuord_Var_Meth[],2)</f>
        <v>132</v>
      </c>
      <c r="B624">
        <f t="shared" si="18"/>
        <v>571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4">
        <f t="shared" ca="1" si="17"/>
        <v>0.38236126622527478</v>
      </c>
      <c r="E624">
        <f ca="1">RANK(dict_zul_Var_Meth[[#This Row],[ignored_rand]],dict_zul_Var_Meth[ignored_rand])</f>
        <v>461</v>
      </c>
    </row>
    <row r="625" spans="1:5" x14ac:dyDescent="0.45">
      <c r="A625">
        <f ca="1">VLOOKUP(dict_zul_Var_Meth[[#This Row],[ignored_rank]],help_zuord_Var_Meth[],2)</f>
        <v>160</v>
      </c>
      <c r="B625">
        <f t="shared" si="18"/>
        <v>572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5">
        <f t="shared" ca="1" si="17"/>
        <v>0.25269451628683648</v>
      </c>
      <c r="E625">
        <f ca="1">RANK(dict_zul_Var_Meth[[#This Row],[ignored_rand]],dict_zul_Var_Meth[ignored_rand])</f>
        <v>558</v>
      </c>
    </row>
    <row r="626" spans="1:5" x14ac:dyDescent="0.45">
      <c r="A626">
        <f ca="1">VLOOKUP(dict_zul_Var_Meth[[#This Row],[ignored_rank]],help_zuord_Var_Meth[],2)</f>
        <v>147</v>
      </c>
      <c r="B626">
        <f t="shared" si="18"/>
        <v>573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6">
        <f t="shared" ca="1" si="17"/>
        <v>0.30783926564120834</v>
      </c>
      <c r="E626">
        <f ca="1">RANK(dict_zul_Var_Meth[[#This Row],[ignored_rand]],dict_zul_Var_Meth[ignored_rand])</f>
        <v>515</v>
      </c>
    </row>
    <row r="627" spans="1:5" x14ac:dyDescent="0.45">
      <c r="A627">
        <f ca="1">VLOOKUP(dict_zul_Var_Meth[[#This Row],[ignored_rank]],help_zuord_Var_Meth[],2)</f>
        <v>53</v>
      </c>
      <c r="B627">
        <f t="shared" si="18"/>
        <v>574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7">
        <f t="shared" ca="1" si="17"/>
        <v>0.75699490144950821</v>
      </c>
      <c r="E627">
        <f ca="1">RANK(dict_zul_Var_Meth[[#This Row],[ignored_rand]],dict_zul_Var_Meth[ignored_rand])</f>
        <v>189</v>
      </c>
    </row>
    <row r="628" spans="1:5" x14ac:dyDescent="0.45">
      <c r="A628">
        <f ca="1">VLOOKUP(dict_zul_Var_Meth[[#This Row],[ignored_rank]],help_zuord_Var_Meth[],2)</f>
        <v>195</v>
      </c>
      <c r="B628">
        <f t="shared" si="18"/>
        <v>575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8">
        <f t="shared" ca="1" si="17"/>
        <v>9.6718956003817969E-2</v>
      </c>
      <c r="E628">
        <f ca="1">RANK(dict_zul_Var_Meth[[#This Row],[ignored_rand]],dict_zul_Var_Meth[ignored_rand])</f>
        <v>683</v>
      </c>
    </row>
    <row r="629" spans="1:5" x14ac:dyDescent="0.45">
      <c r="A629">
        <f ca="1">VLOOKUP(dict_zul_Var_Meth[[#This Row],[ignored_rank]],help_zuord_Var_Meth[],2)</f>
        <v>78</v>
      </c>
      <c r="B629">
        <f t="shared" si="18"/>
        <v>576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9">
        <f t="shared" ca="1" si="17"/>
        <v>0.63831678302070261</v>
      </c>
      <c r="E629">
        <f ca="1">RANK(dict_zul_Var_Meth[[#This Row],[ignored_rand]],dict_zul_Var_Meth[ignored_rand])</f>
        <v>274</v>
      </c>
    </row>
    <row r="630" spans="1:5" x14ac:dyDescent="0.45">
      <c r="A630">
        <f ca="1">VLOOKUP(dict_zul_Var_Meth[[#This Row],[ignored_rank]],help_zuord_Var_Meth[],2)</f>
        <v>199</v>
      </c>
      <c r="B630">
        <f t="shared" si="18"/>
        <v>577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0">
        <f t="shared" ca="1" si="17"/>
        <v>2.9292101667393267E-2</v>
      </c>
      <c r="E630">
        <f ca="1">RANK(dict_zul_Var_Meth[[#This Row],[ignored_rand]],dict_zul_Var_Meth[ignored_rand])</f>
        <v>730</v>
      </c>
    </row>
    <row r="631" spans="1:5" x14ac:dyDescent="0.45">
      <c r="A631">
        <f ca="1">VLOOKUP(dict_zul_Var_Meth[[#This Row],[ignored_rank]],help_zuord_Var_Meth[],2)</f>
        <v>199</v>
      </c>
      <c r="B631">
        <f t="shared" si="18"/>
        <v>578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1">
        <f t="shared" ca="1" si="17"/>
        <v>5.2225473784052623E-2</v>
      </c>
      <c r="E631">
        <f ca="1">RANK(dict_zul_Var_Meth[[#This Row],[ignored_rand]],dict_zul_Var_Meth[ignored_rand])</f>
        <v>710</v>
      </c>
    </row>
    <row r="632" spans="1:5" x14ac:dyDescent="0.45">
      <c r="A632">
        <f ca="1">VLOOKUP(dict_zul_Var_Meth[[#This Row],[ignored_rank]],help_zuord_Var_Meth[],2)</f>
        <v>117</v>
      </c>
      <c r="B632">
        <f t="shared" si="18"/>
        <v>579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2">
        <f t="shared" ca="1" si="17"/>
        <v>0.45306545862660619</v>
      </c>
      <c r="E632">
        <f ca="1">RANK(dict_zul_Var_Meth[[#This Row],[ignored_rand]],dict_zul_Var_Meth[ignored_rand])</f>
        <v>412</v>
      </c>
    </row>
    <row r="633" spans="1:5" x14ac:dyDescent="0.45">
      <c r="A633">
        <f ca="1">VLOOKUP(dict_zul_Var_Meth[[#This Row],[ignored_rank]],help_zuord_Var_Meth[],2)</f>
        <v>4</v>
      </c>
      <c r="B633">
        <f t="shared" si="18"/>
        <v>580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3">
        <f t="shared" ca="1" si="17"/>
        <v>0.98281806526178228</v>
      </c>
      <c r="E633">
        <f ca="1">RANK(dict_zul_Var_Meth[[#This Row],[ignored_rand]],dict_zul_Var_Meth[ignored_rand])</f>
        <v>16</v>
      </c>
    </row>
    <row r="634" spans="1:5" x14ac:dyDescent="0.45">
      <c r="A634">
        <f ca="1">VLOOKUP(dict_zul_Var_Meth[[#This Row],[ignored_rank]],help_zuord_Var_Meth[],2)</f>
        <v>92</v>
      </c>
      <c r="B634">
        <f t="shared" si="18"/>
        <v>581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4">
        <f t="shared" ca="1" si="17"/>
        <v>0.56757545865486803</v>
      </c>
      <c r="E634">
        <f ca="1">RANK(dict_zul_Var_Meth[[#This Row],[ignored_rand]],dict_zul_Var_Meth[ignored_rand])</f>
        <v>322</v>
      </c>
    </row>
    <row r="635" spans="1:5" x14ac:dyDescent="0.45">
      <c r="A635">
        <f ca="1">VLOOKUP(dict_zul_Var_Meth[[#This Row],[ignored_rank]],help_zuord_Var_Meth[],2)</f>
        <v>156</v>
      </c>
      <c r="B635">
        <f t="shared" si="18"/>
        <v>582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5">
        <f t="shared" ca="1" si="17"/>
        <v>0.2707582208970486</v>
      </c>
      <c r="E635">
        <f ca="1">RANK(dict_zul_Var_Meth[[#This Row],[ignored_rand]],dict_zul_Var_Meth[ignored_rand])</f>
        <v>546</v>
      </c>
    </row>
    <row r="636" spans="1:5" x14ac:dyDescent="0.45">
      <c r="A636">
        <f ca="1">VLOOKUP(dict_zul_Var_Meth[[#This Row],[ignored_rank]],help_zuord_Var_Meth[],2)</f>
        <v>116</v>
      </c>
      <c r="B636">
        <f t="shared" si="18"/>
        <v>583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6">
        <f t="shared" ca="1" si="17"/>
        <v>0.4632024381475639</v>
      </c>
      <c r="E636">
        <f ca="1">RANK(dict_zul_Var_Meth[[#This Row],[ignored_rand]],dict_zul_Var_Meth[ignored_rand])</f>
        <v>407</v>
      </c>
    </row>
    <row r="637" spans="1:5" x14ac:dyDescent="0.45">
      <c r="A637">
        <f ca="1">VLOOKUP(dict_zul_Var_Meth[[#This Row],[ignored_rank]],help_zuord_Var_Meth[],2)</f>
        <v>165</v>
      </c>
      <c r="B637">
        <f t="shared" si="18"/>
        <v>584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7">
        <f t="shared" ca="1" si="17"/>
        <v>0.22672273300399737</v>
      </c>
      <c r="E637">
        <f ca="1">RANK(dict_zul_Var_Meth[[#This Row],[ignored_rand]],dict_zul_Var_Meth[ignored_rand])</f>
        <v>579</v>
      </c>
    </row>
    <row r="638" spans="1:5" x14ac:dyDescent="0.45">
      <c r="A638">
        <f ca="1">VLOOKUP(dict_zul_Var_Meth[[#This Row],[ignored_rank]],help_zuord_Var_Meth[],2)</f>
        <v>121</v>
      </c>
      <c r="B638">
        <f t="shared" si="18"/>
        <v>585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8">
        <f t="shared" ca="1" si="17"/>
        <v>0.43589635379217295</v>
      </c>
      <c r="E638">
        <f ca="1">RANK(dict_zul_Var_Meth[[#This Row],[ignored_rand]],dict_zul_Var_Meth[ignored_rand])</f>
        <v>425</v>
      </c>
    </row>
    <row r="639" spans="1:5" x14ac:dyDescent="0.45">
      <c r="A639">
        <f ca="1">VLOOKUP(dict_zul_Var_Meth[[#This Row],[ignored_rank]],help_zuord_Var_Meth[],2)</f>
        <v>53</v>
      </c>
      <c r="B639">
        <f t="shared" si="18"/>
        <v>586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9">
        <f t="shared" ca="1" si="17"/>
        <v>0.75707928369767541</v>
      </c>
      <c r="E639">
        <f ca="1">RANK(dict_zul_Var_Meth[[#This Row],[ignored_rand]],dict_zul_Var_Meth[ignored_rand])</f>
        <v>188</v>
      </c>
    </row>
    <row r="640" spans="1:5" x14ac:dyDescent="0.45">
      <c r="A640">
        <f ca="1">VLOOKUP(dict_zul_Var_Meth[[#This Row],[ignored_rank]],help_zuord_Var_Meth[],2)</f>
        <v>25</v>
      </c>
      <c r="B640">
        <f t="shared" si="18"/>
        <v>587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0">
        <f t="shared" ca="1" si="17"/>
        <v>0.87365026546366897</v>
      </c>
      <c r="E640">
        <f ca="1">RANK(dict_zul_Var_Meth[[#This Row],[ignored_rand]],dict_zul_Var_Meth[ignored_rand])</f>
        <v>91</v>
      </c>
    </row>
    <row r="641" spans="1:5" x14ac:dyDescent="0.45">
      <c r="A641">
        <f ca="1">VLOOKUP(dict_zul_Var_Meth[[#This Row],[ignored_rank]],help_zuord_Var_Meth[],2)</f>
        <v>65</v>
      </c>
      <c r="B641">
        <f t="shared" si="18"/>
        <v>588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1">
        <f t="shared" ca="1" si="17"/>
        <v>0.7029443182244689</v>
      </c>
      <c r="E641">
        <f ca="1">RANK(dict_zul_Var_Meth[[#This Row],[ignored_rand]],dict_zul_Var_Meth[ignored_rand])</f>
        <v>228</v>
      </c>
    </row>
    <row r="642" spans="1:5" x14ac:dyDescent="0.45">
      <c r="A642">
        <f ca="1">VLOOKUP(dict_zul_Var_Meth[[#This Row],[ignored_rank]],help_zuord_Var_Meth[],2)</f>
        <v>177</v>
      </c>
      <c r="B642">
        <f t="shared" si="18"/>
        <v>589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2">
        <f t="shared" ref="D642:D705" ca="1" si="19">RAND()</f>
        <v>0.16472333938176098</v>
      </c>
      <c r="E642">
        <f ca="1">RANK(dict_zul_Var_Meth[[#This Row],[ignored_rand]],dict_zul_Var_Meth[ignored_rand])</f>
        <v>619</v>
      </c>
    </row>
    <row r="643" spans="1:5" x14ac:dyDescent="0.45">
      <c r="A643">
        <f ca="1">VLOOKUP(dict_zul_Var_Meth[[#This Row],[ignored_rank]],help_zuord_Var_Meth[],2)</f>
        <v>189</v>
      </c>
      <c r="B643">
        <f t="shared" si="18"/>
        <v>590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3">
        <f t="shared" ca="1" si="19"/>
        <v>0.11667191815040312</v>
      </c>
      <c r="E643">
        <f ca="1">RANK(dict_zul_Var_Meth[[#This Row],[ignored_rand]],dict_zul_Var_Meth[ignored_rand])</f>
        <v>661</v>
      </c>
    </row>
    <row r="644" spans="1:5" x14ac:dyDescent="0.45">
      <c r="A644">
        <f ca="1">VLOOKUP(dict_zul_Var_Meth[[#This Row],[ignored_rank]],help_zuord_Var_Meth[],2)</f>
        <v>165</v>
      </c>
      <c r="B644">
        <f t="shared" si="18"/>
        <v>591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4">
        <f t="shared" ca="1" si="19"/>
        <v>0.23107273475545387</v>
      </c>
      <c r="E644">
        <f ca="1">RANK(dict_zul_Var_Meth[[#This Row],[ignored_rand]],dict_zul_Var_Meth[ignored_rand])</f>
        <v>577</v>
      </c>
    </row>
    <row r="645" spans="1:5" x14ac:dyDescent="0.45">
      <c r="A645">
        <f ca="1">VLOOKUP(dict_zul_Var_Meth[[#This Row],[ignored_rank]],help_zuord_Var_Meth[],2)</f>
        <v>118</v>
      </c>
      <c r="B645">
        <f t="shared" si="18"/>
        <v>592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5">
        <f t="shared" ca="1" si="19"/>
        <v>0.45012750777089483</v>
      </c>
      <c r="E645">
        <f ca="1">RANK(dict_zul_Var_Meth[[#This Row],[ignored_rand]],dict_zul_Var_Meth[ignored_rand])</f>
        <v>414</v>
      </c>
    </row>
    <row r="646" spans="1:5" x14ac:dyDescent="0.45">
      <c r="A646">
        <f ca="1">VLOOKUP(dict_zul_Var_Meth[[#This Row],[ignored_rank]],help_zuord_Var_Meth[],2)</f>
        <v>131</v>
      </c>
      <c r="B646">
        <f t="shared" si="18"/>
        <v>593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6">
        <f t="shared" ca="1" si="19"/>
        <v>0.38383511519593305</v>
      </c>
      <c r="E646">
        <f ca="1">RANK(dict_zul_Var_Meth[[#This Row],[ignored_rand]],dict_zul_Var_Meth[ignored_rand])</f>
        <v>460</v>
      </c>
    </row>
    <row r="647" spans="1:5" x14ac:dyDescent="0.45">
      <c r="A647">
        <f ca="1">VLOOKUP(dict_zul_Var_Meth[[#This Row],[ignored_rank]],help_zuord_Var_Meth[],2)</f>
        <v>143</v>
      </c>
      <c r="B647">
        <f t="shared" si="18"/>
        <v>594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7">
        <f t="shared" ca="1" si="19"/>
        <v>0.32794982383673454</v>
      </c>
      <c r="E647">
        <f ca="1">RANK(dict_zul_Var_Meth[[#This Row],[ignored_rand]],dict_zul_Var_Meth[ignored_rand])</f>
        <v>501</v>
      </c>
    </row>
    <row r="648" spans="1:5" x14ac:dyDescent="0.45">
      <c r="A648">
        <f ca="1">VLOOKUP(dict_zul_Var_Meth[[#This Row],[ignored_rank]],help_zuord_Var_Meth[],2)</f>
        <v>15</v>
      </c>
      <c r="B648">
        <f t="shared" si="18"/>
        <v>595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8">
        <f t="shared" ca="1" si="19"/>
        <v>0.92573482543578289</v>
      </c>
      <c r="E648">
        <f ca="1">RANK(dict_zul_Var_Meth[[#This Row],[ignored_rand]],dict_zul_Var_Meth[ignored_rand])</f>
        <v>55</v>
      </c>
    </row>
    <row r="649" spans="1:5" x14ac:dyDescent="0.45">
      <c r="A649">
        <f ca="1">VLOOKUP(dict_zul_Var_Meth[[#This Row],[ignored_rank]],help_zuord_Var_Meth[],2)</f>
        <v>57</v>
      </c>
      <c r="B649">
        <f t="shared" si="18"/>
        <v>596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9">
        <f t="shared" ca="1" si="19"/>
        <v>0.74004164976541453</v>
      </c>
      <c r="E649">
        <f ca="1">RANK(dict_zul_Var_Meth[[#This Row],[ignored_rand]],dict_zul_Var_Meth[ignored_rand])</f>
        <v>202</v>
      </c>
    </row>
    <row r="650" spans="1:5" x14ac:dyDescent="0.45">
      <c r="A650">
        <f ca="1">VLOOKUP(dict_zul_Var_Meth[[#This Row],[ignored_rank]],help_zuord_Var_Meth[],2)</f>
        <v>15</v>
      </c>
      <c r="B650">
        <f t="shared" si="18"/>
        <v>597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0">
        <f t="shared" ca="1" si="19"/>
        <v>0.92866588025163421</v>
      </c>
      <c r="E650">
        <f ca="1">RANK(dict_zul_Var_Meth[[#This Row],[ignored_rand]],dict_zul_Var_Meth[ignored_rand])</f>
        <v>54</v>
      </c>
    </row>
    <row r="651" spans="1:5" x14ac:dyDescent="0.45">
      <c r="A651">
        <f ca="1">VLOOKUP(dict_zul_Var_Meth[[#This Row],[ignored_rank]],help_zuord_Var_Meth[],2)</f>
        <v>169</v>
      </c>
      <c r="B651">
        <f t="shared" si="18"/>
        <v>598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1">
        <f t="shared" ca="1" si="19"/>
        <v>0.20402144301487146</v>
      </c>
      <c r="E651">
        <f ca="1">RANK(dict_zul_Var_Meth[[#This Row],[ignored_rand]],dict_zul_Var_Meth[ignored_rand])</f>
        <v>592</v>
      </c>
    </row>
    <row r="652" spans="1:5" x14ac:dyDescent="0.45">
      <c r="A652">
        <f ca="1">VLOOKUP(dict_zul_Var_Meth[[#This Row],[ignored_rank]],help_zuord_Var_Meth[],2)</f>
        <v>94</v>
      </c>
      <c r="B652">
        <f t="shared" si="18"/>
        <v>599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2">
        <f t="shared" ca="1" si="19"/>
        <v>0.55534776286911691</v>
      </c>
      <c r="E652">
        <f ca="1">RANK(dict_zul_Var_Meth[[#This Row],[ignored_rand]],dict_zul_Var_Meth[ignored_rand])</f>
        <v>330</v>
      </c>
    </row>
    <row r="653" spans="1:5" x14ac:dyDescent="0.45">
      <c r="A653">
        <f ca="1">VLOOKUP(dict_zul_Var_Meth[[#This Row],[ignored_rank]],help_zuord_Var_Meth[],2)</f>
        <v>20</v>
      </c>
      <c r="B653">
        <f t="shared" si="18"/>
        <v>600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3">
        <f t="shared" ca="1" si="19"/>
        <v>0.91434023972120282</v>
      </c>
      <c r="E653">
        <f ca="1">RANK(dict_zul_Var_Meth[[#This Row],[ignored_rand]],dict_zul_Var_Meth[ignored_rand])</f>
        <v>69</v>
      </c>
    </row>
    <row r="654" spans="1:5" x14ac:dyDescent="0.45">
      <c r="A654">
        <f ca="1">VLOOKUP(dict_zul_Var_Meth[[#This Row],[ignored_rank]],help_zuord_Var_Meth[],2)</f>
        <v>112</v>
      </c>
      <c r="B654">
        <f t="shared" si="18"/>
        <v>601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4">
        <f t="shared" ca="1" si="19"/>
        <v>0.48557445832842971</v>
      </c>
      <c r="E654">
        <f ca="1">RANK(dict_zul_Var_Meth[[#This Row],[ignored_rand]],dict_zul_Var_Meth[ignored_rand])</f>
        <v>392</v>
      </c>
    </row>
    <row r="655" spans="1:5" x14ac:dyDescent="0.45">
      <c r="A655">
        <f ca="1">VLOOKUP(dict_zul_Var_Meth[[#This Row],[ignored_rank]],help_zuord_Var_Meth[],2)</f>
        <v>122</v>
      </c>
      <c r="B655">
        <f t="shared" si="18"/>
        <v>602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5">
        <f t="shared" ca="1" si="19"/>
        <v>0.42865941602724256</v>
      </c>
      <c r="E655">
        <f ca="1">RANK(dict_zul_Var_Meth[[#This Row],[ignored_rand]],dict_zul_Var_Meth[ignored_rand])</f>
        <v>428</v>
      </c>
    </row>
    <row r="656" spans="1:5" x14ac:dyDescent="0.45">
      <c r="A656">
        <f ca="1">VLOOKUP(dict_zul_Var_Meth[[#This Row],[ignored_rank]],help_zuord_Var_Meth[],2)</f>
        <v>162</v>
      </c>
      <c r="B656">
        <f t="shared" si="18"/>
        <v>603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6">
        <f t="shared" ca="1" si="19"/>
        <v>0.24683576170282973</v>
      </c>
      <c r="E656">
        <f ca="1">RANK(dict_zul_Var_Meth[[#This Row],[ignored_rand]],dict_zul_Var_Meth[ignored_rand])</f>
        <v>565</v>
      </c>
    </row>
    <row r="657" spans="1:5" x14ac:dyDescent="0.45">
      <c r="A657">
        <f ca="1">VLOOKUP(dict_zul_Var_Meth[[#This Row],[ignored_rank]],help_zuord_Var_Meth[],2)</f>
        <v>58</v>
      </c>
      <c r="B657">
        <f t="shared" si="18"/>
        <v>604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7">
        <f t="shared" ca="1" si="19"/>
        <v>0.73679421103438103</v>
      </c>
      <c r="E657">
        <f ca="1">RANK(dict_zul_Var_Meth[[#This Row],[ignored_rand]],dict_zul_Var_Meth[ignored_rand])</f>
        <v>203</v>
      </c>
    </row>
    <row r="658" spans="1:5" x14ac:dyDescent="0.45">
      <c r="A658">
        <f ca="1">VLOOKUP(dict_zul_Var_Meth[[#This Row],[ignored_rank]],help_zuord_Var_Meth[],2)</f>
        <v>5</v>
      </c>
      <c r="B658">
        <f t="shared" si="18"/>
        <v>605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8">
        <f t="shared" ca="1" si="19"/>
        <v>0.97894179929592418</v>
      </c>
      <c r="E658">
        <f ca="1">RANK(dict_zul_Var_Meth[[#This Row],[ignored_rand]],dict_zul_Var_Meth[ignored_rand])</f>
        <v>18</v>
      </c>
    </row>
    <row r="659" spans="1:5" x14ac:dyDescent="0.45">
      <c r="A659">
        <f ca="1">VLOOKUP(dict_zul_Var_Meth[[#This Row],[ignored_rank]],help_zuord_Var_Meth[],2)</f>
        <v>199</v>
      </c>
      <c r="B659">
        <f t="shared" si="18"/>
        <v>606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9">
        <f t="shared" ca="1" si="19"/>
        <v>2.8554971570046828E-2</v>
      </c>
      <c r="E659">
        <f ca="1">RANK(dict_zul_Var_Meth[[#This Row],[ignored_rand]],dict_zul_Var_Meth[ignored_rand])</f>
        <v>731</v>
      </c>
    </row>
    <row r="660" spans="1:5" x14ac:dyDescent="0.45">
      <c r="A660">
        <f ca="1">VLOOKUP(dict_zul_Var_Meth[[#This Row],[ignored_rank]],help_zuord_Var_Meth[],2)</f>
        <v>175</v>
      </c>
      <c r="B660">
        <f t="shared" si="18"/>
        <v>607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0">
        <f t="shared" ca="1" si="19"/>
        <v>0.17605342707541061</v>
      </c>
      <c r="E660">
        <f ca="1">RANK(dict_zul_Var_Meth[[#This Row],[ignored_rand]],dict_zul_Var_Meth[ignored_rand])</f>
        <v>614</v>
      </c>
    </row>
    <row r="661" spans="1:5" x14ac:dyDescent="0.45">
      <c r="A661">
        <f ca="1">VLOOKUP(dict_zul_Var_Meth[[#This Row],[ignored_rank]],help_zuord_Var_Meth[],2)</f>
        <v>74</v>
      </c>
      <c r="B661">
        <f t="shared" si="18"/>
        <v>608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1">
        <f t="shared" ca="1" si="19"/>
        <v>0.67005530732822038</v>
      </c>
      <c r="E661">
        <f ca="1">RANK(dict_zul_Var_Meth[[#This Row],[ignored_rand]],dict_zul_Var_Meth[ignored_rand])</f>
        <v>259</v>
      </c>
    </row>
    <row r="662" spans="1:5" x14ac:dyDescent="0.45">
      <c r="A662">
        <f ca="1">VLOOKUP(dict_zul_Var_Meth[[#This Row],[ignored_rank]],help_zuord_Var_Meth[],2)</f>
        <v>144</v>
      </c>
      <c r="B662">
        <f t="shared" si="18"/>
        <v>609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2">
        <f t="shared" ca="1" si="19"/>
        <v>0.32584572535205247</v>
      </c>
      <c r="E662">
        <f ca="1">RANK(dict_zul_Var_Meth[[#This Row],[ignored_rand]],dict_zul_Var_Meth[ignored_rand])</f>
        <v>503</v>
      </c>
    </row>
    <row r="663" spans="1:5" x14ac:dyDescent="0.45">
      <c r="A663">
        <f ca="1">VLOOKUP(dict_zul_Var_Meth[[#This Row],[ignored_rank]],help_zuord_Var_Meth[],2)</f>
        <v>97</v>
      </c>
      <c r="B663">
        <f t="shared" si="18"/>
        <v>610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3">
        <f t="shared" ca="1" si="19"/>
        <v>0.54212125821426238</v>
      </c>
      <c r="E663">
        <f ca="1">RANK(dict_zul_Var_Meth[[#This Row],[ignored_rand]],dict_zul_Var_Meth[ignored_rand])</f>
        <v>343</v>
      </c>
    </row>
    <row r="664" spans="1:5" x14ac:dyDescent="0.45">
      <c r="A664">
        <f ca="1">VLOOKUP(dict_zul_Var_Meth[[#This Row],[ignored_rank]],help_zuord_Var_Meth[],2)</f>
        <v>67</v>
      </c>
      <c r="B664">
        <f t="shared" si="18"/>
        <v>611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4">
        <f t="shared" ca="1" si="19"/>
        <v>0.69942505478201111</v>
      </c>
      <c r="E664">
        <f ca="1">RANK(dict_zul_Var_Meth[[#This Row],[ignored_rand]],dict_zul_Var_Meth[ignored_rand])</f>
        <v>234</v>
      </c>
    </row>
    <row r="665" spans="1:5" x14ac:dyDescent="0.45">
      <c r="A665">
        <f ca="1">VLOOKUP(dict_zul_Var_Meth[[#This Row],[ignored_rank]],help_zuord_Var_Meth[],2)</f>
        <v>171</v>
      </c>
      <c r="B665">
        <f t="shared" si="18"/>
        <v>612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5">
        <f t="shared" ca="1" si="19"/>
        <v>0.19268744706657415</v>
      </c>
      <c r="E665">
        <f ca="1">RANK(dict_zul_Var_Meth[[#This Row],[ignored_rand]],dict_zul_Var_Meth[ignored_rand])</f>
        <v>600</v>
      </c>
    </row>
    <row r="666" spans="1:5" x14ac:dyDescent="0.45">
      <c r="A666">
        <f ca="1">VLOOKUP(dict_zul_Var_Meth[[#This Row],[ignored_rank]],help_zuord_Var_Meth[],2)</f>
        <v>120</v>
      </c>
      <c r="B666">
        <f t="shared" si="18"/>
        <v>613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6">
        <f t="shared" ca="1" si="19"/>
        <v>0.43858319556846492</v>
      </c>
      <c r="E666">
        <f ca="1">RANK(dict_zul_Var_Meth[[#This Row],[ignored_rand]],dict_zul_Var_Meth[ignored_rand])</f>
        <v>422</v>
      </c>
    </row>
    <row r="667" spans="1:5" x14ac:dyDescent="0.45">
      <c r="A667">
        <f ca="1">VLOOKUP(dict_zul_Var_Meth[[#This Row],[ignored_rank]],help_zuord_Var_Meth[],2)</f>
        <v>79</v>
      </c>
      <c r="B667">
        <f t="shared" si="18"/>
        <v>614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7">
        <f t="shared" ca="1" si="19"/>
        <v>0.62827455204870997</v>
      </c>
      <c r="E667">
        <f ca="1">RANK(dict_zul_Var_Meth[[#This Row],[ignored_rand]],dict_zul_Var_Meth[ignored_rand])</f>
        <v>280</v>
      </c>
    </row>
    <row r="668" spans="1:5" x14ac:dyDescent="0.45">
      <c r="A668">
        <f ca="1">VLOOKUP(dict_zul_Var_Meth[[#This Row],[ignored_rank]],help_zuord_Var_Meth[],2)</f>
        <v>165</v>
      </c>
      <c r="B668">
        <f t="shared" si="18"/>
        <v>615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8">
        <f t="shared" ca="1" si="19"/>
        <v>0.23047442304670562</v>
      </c>
      <c r="E668">
        <f ca="1">RANK(dict_zul_Var_Meth[[#This Row],[ignored_rand]],dict_zul_Var_Meth[ignored_rand])</f>
        <v>578</v>
      </c>
    </row>
    <row r="669" spans="1:5" x14ac:dyDescent="0.45">
      <c r="A669">
        <f ca="1">VLOOKUP(dict_zul_Var_Meth[[#This Row],[ignored_rank]],help_zuord_Var_Meth[],2)</f>
        <v>163</v>
      </c>
      <c r="B669">
        <f t="shared" si="18"/>
        <v>616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9">
        <f t="shared" ca="1" si="19"/>
        <v>0.23272992217442012</v>
      </c>
      <c r="E669">
        <f ca="1">RANK(dict_zul_Var_Meth[[#This Row],[ignored_rand]],dict_zul_Var_Meth[ignored_rand])</f>
        <v>573</v>
      </c>
    </row>
    <row r="670" spans="1:5" x14ac:dyDescent="0.45">
      <c r="A670">
        <f ca="1">VLOOKUP(dict_zul_Var_Meth[[#This Row],[ignored_rank]],help_zuord_Var_Meth[],2)</f>
        <v>177</v>
      </c>
      <c r="B670">
        <f t="shared" si="18"/>
        <v>617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0">
        <f t="shared" ca="1" si="19"/>
        <v>0.17284510858665147</v>
      </c>
      <c r="E670">
        <f ca="1">RANK(dict_zul_Var_Meth[[#This Row],[ignored_rand]],dict_zul_Var_Meth[ignored_rand])</f>
        <v>617</v>
      </c>
    </row>
    <row r="671" spans="1:5" x14ac:dyDescent="0.45">
      <c r="A671">
        <f ca="1">VLOOKUP(dict_zul_Var_Meth[[#This Row],[ignored_rank]],help_zuord_Var_Meth[],2)</f>
        <v>68</v>
      </c>
      <c r="B671">
        <f t="shared" si="18"/>
        <v>618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1">
        <f t="shared" ca="1" si="19"/>
        <v>0.6966758314645175</v>
      </c>
      <c r="E671">
        <f ca="1">RANK(dict_zul_Var_Meth[[#This Row],[ignored_rand]],dict_zul_Var_Meth[ignored_rand])</f>
        <v>240</v>
      </c>
    </row>
    <row r="672" spans="1:5" x14ac:dyDescent="0.45">
      <c r="A672">
        <f ca="1">VLOOKUP(dict_zul_Var_Meth[[#This Row],[ignored_rank]],help_zuord_Var_Meth[],2)</f>
        <v>108</v>
      </c>
      <c r="B672">
        <f t="shared" si="18"/>
        <v>619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2">
        <f t="shared" ca="1" si="19"/>
        <v>0.50252915558663946</v>
      </c>
      <c r="E672">
        <f ca="1">RANK(dict_zul_Var_Meth[[#This Row],[ignored_rand]],dict_zul_Var_Meth[ignored_rand])</f>
        <v>380</v>
      </c>
    </row>
    <row r="673" spans="1:5" x14ac:dyDescent="0.45">
      <c r="A673">
        <f ca="1">VLOOKUP(dict_zul_Var_Meth[[#This Row],[ignored_rank]],help_zuord_Var_Meth[],2)</f>
        <v>94</v>
      </c>
      <c r="B673">
        <f t="shared" si="18"/>
        <v>620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3">
        <f t="shared" ca="1" si="19"/>
        <v>0.55808530140433443</v>
      </c>
      <c r="E673">
        <f ca="1">RANK(dict_zul_Var_Meth[[#This Row],[ignored_rand]],dict_zul_Var_Meth[ignored_rand])</f>
        <v>328</v>
      </c>
    </row>
    <row r="674" spans="1:5" x14ac:dyDescent="0.45">
      <c r="A674">
        <f ca="1">VLOOKUP(dict_zul_Var_Meth[[#This Row],[ignored_rank]],help_zuord_Var_Meth[],2)</f>
        <v>137</v>
      </c>
      <c r="B674">
        <f t="shared" si="18"/>
        <v>621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4">
        <f t="shared" ca="1" si="19"/>
        <v>0.35876325088059857</v>
      </c>
      <c r="E674">
        <f ca="1">RANK(dict_zul_Var_Meth[[#This Row],[ignored_rand]],dict_zul_Var_Meth[ignored_rand])</f>
        <v>480</v>
      </c>
    </row>
    <row r="675" spans="1:5" x14ac:dyDescent="0.45">
      <c r="A675">
        <f ca="1">VLOOKUP(dict_zul_Var_Meth[[#This Row],[ignored_rank]],help_zuord_Var_Meth[],2)</f>
        <v>89</v>
      </c>
      <c r="B675">
        <f t="shared" si="18"/>
        <v>622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5">
        <f t="shared" ca="1" si="19"/>
        <v>0.58145086357812237</v>
      </c>
      <c r="E675">
        <f ca="1">RANK(dict_zul_Var_Meth[[#This Row],[ignored_rand]],dict_zul_Var_Meth[ignored_rand])</f>
        <v>312</v>
      </c>
    </row>
    <row r="676" spans="1:5" x14ac:dyDescent="0.45">
      <c r="A676">
        <f ca="1">VLOOKUP(dict_zul_Var_Meth[[#This Row],[ignored_rank]],help_zuord_Var_Meth[],2)</f>
        <v>46</v>
      </c>
      <c r="B676">
        <f t="shared" si="18"/>
        <v>623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6">
        <f t="shared" ca="1" si="19"/>
        <v>0.77845572131717233</v>
      </c>
      <c r="E676">
        <f ca="1">RANK(dict_zul_Var_Meth[[#This Row],[ignored_rand]],dict_zul_Var_Meth[ignored_rand])</f>
        <v>164</v>
      </c>
    </row>
    <row r="677" spans="1:5" x14ac:dyDescent="0.45">
      <c r="A677">
        <f ca="1">VLOOKUP(dict_zul_Var_Meth[[#This Row],[ignored_rank]],help_zuord_Var_Meth[],2)</f>
        <v>163</v>
      </c>
      <c r="B677">
        <f t="shared" si="18"/>
        <v>624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7">
        <f t="shared" ca="1" si="19"/>
        <v>0.23653720103325937</v>
      </c>
      <c r="E677">
        <f ca="1">RANK(dict_zul_Var_Meth[[#This Row],[ignored_rand]],dict_zul_Var_Meth[ignored_rand])</f>
        <v>572</v>
      </c>
    </row>
    <row r="678" spans="1:5" x14ac:dyDescent="0.45">
      <c r="A678">
        <f ca="1">VLOOKUP(dict_zul_Var_Meth[[#This Row],[ignored_rank]],help_zuord_Var_Meth[],2)</f>
        <v>154</v>
      </c>
      <c r="B678">
        <f t="shared" si="18"/>
        <v>625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8">
        <f t="shared" ca="1" si="19"/>
        <v>0.28303559342658613</v>
      </c>
      <c r="E678">
        <f ca="1">RANK(dict_zul_Var_Meth[[#This Row],[ignored_rand]],dict_zul_Var_Meth[ignored_rand])</f>
        <v>539</v>
      </c>
    </row>
    <row r="679" spans="1:5" x14ac:dyDescent="0.45">
      <c r="A679">
        <f ca="1">VLOOKUP(dict_zul_Var_Meth[[#This Row],[ignored_rank]],help_zuord_Var_Meth[],2)</f>
        <v>199</v>
      </c>
      <c r="B679">
        <f t="shared" si="18"/>
        <v>626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9">
        <f t="shared" ca="1" si="19"/>
        <v>6.3669818071995676E-2</v>
      </c>
      <c r="E679">
        <f ca="1">RANK(dict_zul_Var_Meth[[#This Row],[ignored_rand]],dict_zul_Var_Meth[ignored_rand])</f>
        <v>697</v>
      </c>
    </row>
    <row r="680" spans="1:5" x14ac:dyDescent="0.45">
      <c r="A680">
        <f ca="1">VLOOKUP(dict_zul_Var_Meth[[#This Row],[ignored_rank]],help_zuord_Var_Meth[],2)</f>
        <v>168</v>
      </c>
      <c r="B680">
        <f t="shared" ref="B680:B743" si="20">B679+1</f>
        <v>627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0">
        <f t="shared" ca="1" si="19"/>
        <v>0.20712111352432527</v>
      </c>
      <c r="E680">
        <f ca="1">RANK(dict_zul_Var_Meth[[#This Row],[ignored_rand]],dict_zul_Var_Meth[ignored_rand])</f>
        <v>588</v>
      </c>
    </row>
    <row r="681" spans="1:5" x14ac:dyDescent="0.45">
      <c r="A681">
        <f ca="1">VLOOKUP(dict_zul_Var_Meth[[#This Row],[ignored_rank]],help_zuord_Var_Meth[],2)</f>
        <v>9</v>
      </c>
      <c r="B681">
        <f t="shared" si="20"/>
        <v>628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1">
        <f t="shared" ca="1" si="19"/>
        <v>0.9592745157472401</v>
      </c>
      <c r="E681">
        <f ca="1">RANK(dict_zul_Var_Meth[[#This Row],[ignored_rand]],dict_zul_Var_Meth[ignored_rand])</f>
        <v>35</v>
      </c>
    </row>
    <row r="682" spans="1:5" x14ac:dyDescent="0.45">
      <c r="A682">
        <f ca="1">VLOOKUP(dict_zul_Var_Meth[[#This Row],[ignored_rank]],help_zuord_Var_Meth[],2)</f>
        <v>183</v>
      </c>
      <c r="B682">
        <f t="shared" si="20"/>
        <v>629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2">
        <f t="shared" ca="1" si="19"/>
        <v>0.14568742198532392</v>
      </c>
      <c r="E682">
        <f ca="1">RANK(dict_zul_Var_Meth[[#This Row],[ignored_rand]],dict_zul_Var_Meth[ignored_rand])</f>
        <v>640</v>
      </c>
    </row>
    <row r="683" spans="1:5" x14ac:dyDescent="0.45">
      <c r="A683">
        <f ca="1">VLOOKUP(dict_zul_Var_Meth[[#This Row],[ignored_rank]],help_zuord_Var_Meth[],2)</f>
        <v>140</v>
      </c>
      <c r="B683">
        <f t="shared" si="20"/>
        <v>630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3">
        <f t="shared" ca="1" si="19"/>
        <v>0.33949268403875965</v>
      </c>
      <c r="E683">
        <f ca="1">RANK(dict_zul_Var_Meth[[#This Row],[ignored_rand]],dict_zul_Var_Meth[ignored_rand])</f>
        <v>492</v>
      </c>
    </row>
    <row r="684" spans="1:5" x14ac:dyDescent="0.45">
      <c r="A684">
        <f ca="1">VLOOKUP(dict_zul_Var_Meth[[#This Row],[ignored_rank]],help_zuord_Var_Meth[],2)</f>
        <v>88</v>
      </c>
      <c r="B684">
        <f t="shared" si="20"/>
        <v>631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4">
        <f t="shared" ca="1" si="19"/>
        <v>0.58536192367417395</v>
      </c>
      <c r="E684">
        <f ca="1">RANK(dict_zul_Var_Meth[[#This Row],[ignored_rand]],dict_zul_Var_Meth[ignored_rand])</f>
        <v>309</v>
      </c>
    </row>
    <row r="685" spans="1:5" x14ac:dyDescent="0.45">
      <c r="A685">
        <f ca="1">VLOOKUP(dict_zul_Var_Meth[[#This Row],[ignored_rank]],help_zuord_Var_Meth[],2)</f>
        <v>47</v>
      </c>
      <c r="B685">
        <f t="shared" si="20"/>
        <v>632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5">
        <f t="shared" ca="1" si="19"/>
        <v>0.77682102448559487</v>
      </c>
      <c r="E685">
        <f ca="1">RANK(dict_zul_Var_Meth[[#This Row],[ignored_rand]],dict_zul_Var_Meth[ignored_rand])</f>
        <v>166</v>
      </c>
    </row>
    <row r="686" spans="1:5" x14ac:dyDescent="0.45">
      <c r="A686">
        <f ca="1">VLOOKUP(dict_zul_Var_Meth[[#This Row],[ignored_rank]],help_zuord_Var_Meth[],2)</f>
        <v>197</v>
      </c>
      <c r="B686">
        <f t="shared" si="20"/>
        <v>633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6">
        <f t="shared" ca="1" si="19"/>
        <v>8.1696991354773374E-2</v>
      </c>
      <c r="E686">
        <f ca="1">RANK(dict_zul_Var_Meth[[#This Row],[ignored_rand]],dict_zul_Var_Meth[ignored_rand])</f>
        <v>689</v>
      </c>
    </row>
    <row r="687" spans="1:5" x14ac:dyDescent="0.45">
      <c r="A687">
        <f ca="1">VLOOKUP(dict_zul_Var_Meth[[#This Row],[ignored_rank]],help_zuord_Var_Meth[],2)</f>
        <v>87</v>
      </c>
      <c r="B687">
        <f t="shared" si="20"/>
        <v>634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7">
        <f t="shared" ca="1" si="19"/>
        <v>0.59343819579922441</v>
      </c>
      <c r="E687">
        <f ca="1">RANK(dict_zul_Var_Meth[[#This Row],[ignored_rand]],dict_zul_Var_Meth[ignored_rand])</f>
        <v>307</v>
      </c>
    </row>
    <row r="688" spans="1:5" x14ac:dyDescent="0.45">
      <c r="A688">
        <f ca="1">VLOOKUP(dict_zul_Var_Meth[[#This Row],[ignored_rank]],help_zuord_Var_Meth[],2)</f>
        <v>174</v>
      </c>
      <c r="B688">
        <f t="shared" si="20"/>
        <v>635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8">
        <f t="shared" ca="1" si="19"/>
        <v>0.18175259485213413</v>
      </c>
      <c r="E688">
        <f ca="1">RANK(dict_zul_Var_Meth[[#This Row],[ignored_rand]],dict_zul_Var_Meth[ignored_rand])</f>
        <v>608</v>
      </c>
    </row>
    <row r="689" spans="1:5" x14ac:dyDescent="0.45">
      <c r="A689">
        <f ca="1">VLOOKUP(dict_zul_Var_Meth[[#This Row],[ignored_rank]],help_zuord_Var_Meth[],2)</f>
        <v>199</v>
      </c>
      <c r="B689">
        <f t="shared" si="20"/>
        <v>636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9">
        <f t="shared" ca="1" si="19"/>
        <v>6.8567357128357376E-2</v>
      </c>
      <c r="E689">
        <f ca="1">RANK(dict_zul_Var_Meth[[#This Row],[ignored_rand]],dict_zul_Var_Meth[ignored_rand])</f>
        <v>694</v>
      </c>
    </row>
    <row r="690" spans="1:5" x14ac:dyDescent="0.45">
      <c r="A690">
        <f ca="1">VLOOKUP(dict_zul_Var_Meth[[#This Row],[ignored_rank]],help_zuord_Var_Meth[],2)</f>
        <v>37</v>
      </c>
      <c r="B690">
        <f t="shared" si="20"/>
        <v>637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0">
        <f t="shared" ca="1" si="19"/>
        <v>0.83179434126117502</v>
      </c>
      <c r="E690">
        <f ca="1">RANK(dict_zul_Var_Meth[[#This Row],[ignored_rand]],dict_zul_Var_Meth[ignored_rand])</f>
        <v>129</v>
      </c>
    </row>
    <row r="691" spans="1:5" x14ac:dyDescent="0.45">
      <c r="A691">
        <f ca="1">VLOOKUP(dict_zul_Var_Meth[[#This Row],[ignored_rank]],help_zuord_Var_Meth[],2)</f>
        <v>69</v>
      </c>
      <c r="B691">
        <f t="shared" si="20"/>
        <v>638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1">
        <f t="shared" ca="1" si="19"/>
        <v>0.69412061429878091</v>
      </c>
      <c r="E691">
        <f ca="1">RANK(dict_zul_Var_Meth[[#This Row],[ignored_rand]],dict_zul_Var_Meth[ignored_rand])</f>
        <v>243</v>
      </c>
    </row>
    <row r="692" spans="1:5" x14ac:dyDescent="0.45">
      <c r="A692">
        <f ca="1">VLOOKUP(dict_zul_Var_Meth[[#This Row],[ignored_rank]],help_zuord_Var_Meth[],2)</f>
        <v>101</v>
      </c>
      <c r="B692">
        <f t="shared" si="20"/>
        <v>639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2">
        <f t="shared" ca="1" si="19"/>
        <v>0.52804392245331366</v>
      </c>
      <c r="E692">
        <f ca="1">RANK(dict_zul_Var_Meth[[#This Row],[ignored_rand]],dict_zul_Var_Meth[ignored_rand])</f>
        <v>355</v>
      </c>
    </row>
    <row r="693" spans="1:5" x14ac:dyDescent="0.45">
      <c r="A693">
        <f ca="1">VLOOKUP(dict_zul_Var_Meth[[#This Row],[ignored_rank]],help_zuord_Var_Meth[],2)</f>
        <v>23</v>
      </c>
      <c r="B693">
        <f t="shared" si="20"/>
        <v>640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3">
        <f t="shared" ca="1" si="19"/>
        <v>0.88703901666998708</v>
      </c>
      <c r="E693">
        <f ca="1">RANK(dict_zul_Var_Meth[[#This Row],[ignored_rand]],dict_zul_Var_Meth[ignored_rand])</f>
        <v>81</v>
      </c>
    </row>
    <row r="694" spans="1:5" x14ac:dyDescent="0.45">
      <c r="A694">
        <f ca="1">VLOOKUP(dict_zul_Var_Meth[[#This Row],[ignored_rank]],help_zuord_Var_Meth[],2)</f>
        <v>77</v>
      </c>
      <c r="B694">
        <f t="shared" si="20"/>
        <v>641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4">
        <f t="shared" ca="1" si="19"/>
        <v>0.64679563051369238</v>
      </c>
      <c r="E694">
        <f ca="1">RANK(dict_zul_Var_Meth[[#This Row],[ignored_rand]],dict_zul_Var_Meth[ignored_rand])</f>
        <v>269</v>
      </c>
    </row>
    <row r="695" spans="1:5" x14ac:dyDescent="0.45">
      <c r="A695">
        <f ca="1">VLOOKUP(dict_zul_Var_Meth[[#This Row],[ignored_rank]],help_zuord_Var_Meth[],2)</f>
        <v>77</v>
      </c>
      <c r="B695">
        <f t="shared" si="20"/>
        <v>642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5">
        <f t="shared" ca="1" si="19"/>
        <v>0.64558090020474679</v>
      </c>
      <c r="E695">
        <f ca="1">RANK(dict_zul_Var_Meth[[#This Row],[ignored_rand]],dict_zul_Var_Meth[ignored_rand])</f>
        <v>270</v>
      </c>
    </row>
    <row r="696" spans="1:5" x14ac:dyDescent="0.45">
      <c r="A696">
        <f ca="1">VLOOKUP(dict_zul_Var_Meth[[#This Row],[ignored_rank]],help_zuord_Var_Meth[],2)</f>
        <v>112</v>
      </c>
      <c r="B696">
        <f t="shared" si="20"/>
        <v>643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6">
        <f t="shared" ca="1" si="19"/>
        <v>0.48665673650840147</v>
      </c>
      <c r="E696">
        <f ca="1">RANK(dict_zul_Var_Meth[[#This Row],[ignored_rand]],dict_zul_Var_Meth[ignored_rand])</f>
        <v>390</v>
      </c>
    </row>
    <row r="697" spans="1:5" x14ac:dyDescent="0.45">
      <c r="A697">
        <f ca="1">VLOOKUP(dict_zul_Var_Meth[[#This Row],[ignored_rank]],help_zuord_Var_Meth[],2)</f>
        <v>49</v>
      </c>
      <c r="B697">
        <f t="shared" si="20"/>
        <v>644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7">
        <f t="shared" ca="1" si="19"/>
        <v>0.77310689822627421</v>
      </c>
      <c r="E697">
        <f ca="1">RANK(dict_zul_Var_Meth[[#This Row],[ignored_rand]],dict_zul_Var_Meth[ignored_rand])</f>
        <v>173</v>
      </c>
    </row>
    <row r="698" spans="1:5" x14ac:dyDescent="0.45">
      <c r="A698">
        <f ca="1">VLOOKUP(dict_zul_Var_Meth[[#This Row],[ignored_rank]],help_zuord_Var_Meth[],2)</f>
        <v>10</v>
      </c>
      <c r="B698">
        <f t="shared" si="20"/>
        <v>645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8">
        <f t="shared" ca="1" si="19"/>
        <v>0.9572422823306731</v>
      </c>
      <c r="E698">
        <f ca="1">RANK(dict_zul_Var_Meth[[#This Row],[ignored_rand]],dict_zul_Var_Meth[ignored_rand])</f>
        <v>37</v>
      </c>
    </row>
    <row r="699" spans="1:5" x14ac:dyDescent="0.45">
      <c r="A699">
        <f ca="1">VLOOKUP(dict_zul_Var_Meth[[#This Row],[ignored_rank]],help_zuord_Var_Meth[],2)</f>
        <v>20</v>
      </c>
      <c r="B699">
        <f t="shared" si="20"/>
        <v>646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9">
        <f t="shared" ca="1" si="19"/>
        <v>0.91118547137891337</v>
      </c>
      <c r="E699">
        <f ca="1">RANK(dict_zul_Var_Meth[[#This Row],[ignored_rand]],dict_zul_Var_Meth[ignored_rand])</f>
        <v>71</v>
      </c>
    </row>
    <row r="700" spans="1:5" x14ac:dyDescent="0.45">
      <c r="A700">
        <f ca="1">VLOOKUP(dict_zul_Var_Meth[[#This Row],[ignored_rank]],help_zuord_Var_Meth[],2)</f>
        <v>173</v>
      </c>
      <c r="B700">
        <f t="shared" si="20"/>
        <v>647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0">
        <f t="shared" ca="1" si="19"/>
        <v>0.1841778720599202</v>
      </c>
      <c r="E700">
        <f ca="1">RANK(dict_zul_Var_Meth[[#This Row],[ignored_rand]],dict_zul_Var_Meth[ignored_rand])</f>
        <v>606</v>
      </c>
    </row>
    <row r="701" spans="1:5" x14ac:dyDescent="0.45">
      <c r="A701">
        <f ca="1">VLOOKUP(dict_zul_Var_Meth[[#This Row],[ignored_rank]],help_zuord_Var_Meth[],2)</f>
        <v>39</v>
      </c>
      <c r="B701">
        <f t="shared" si="20"/>
        <v>648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1">
        <f t="shared" ca="1" si="19"/>
        <v>0.81382246138069481</v>
      </c>
      <c r="E701">
        <f ca="1">RANK(dict_zul_Var_Meth[[#This Row],[ignored_rand]],dict_zul_Var_Meth[ignored_rand])</f>
        <v>138</v>
      </c>
    </row>
    <row r="702" spans="1:5" x14ac:dyDescent="0.45">
      <c r="A702">
        <f ca="1">VLOOKUP(dict_zul_Var_Meth[[#This Row],[ignored_rank]],help_zuord_Var_Meth[],2)</f>
        <v>110</v>
      </c>
      <c r="B702">
        <f t="shared" si="20"/>
        <v>649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2">
        <f t="shared" ca="1" si="19"/>
        <v>0.48865759433691802</v>
      </c>
      <c r="E702">
        <f ca="1">RANK(dict_zul_Var_Meth[[#This Row],[ignored_rand]],dict_zul_Var_Meth[ignored_rand])</f>
        <v>387</v>
      </c>
    </row>
    <row r="703" spans="1:5" x14ac:dyDescent="0.45">
      <c r="A703">
        <f ca="1">VLOOKUP(dict_zul_Var_Meth[[#This Row],[ignored_rank]],help_zuord_Var_Meth[],2)</f>
        <v>172</v>
      </c>
      <c r="B703">
        <f t="shared" si="20"/>
        <v>650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3">
        <f t="shared" ca="1" si="19"/>
        <v>0.18739233852718928</v>
      </c>
      <c r="E703">
        <f ca="1">RANK(dict_zul_Var_Meth[[#This Row],[ignored_rand]],dict_zul_Var_Meth[ignored_rand])</f>
        <v>602</v>
      </c>
    </row>
    <row r="704" spans="1:5" x14ac:dyDescent="0.45">
      <c r="A704">
        <f ca="1">VLOOKUP(dict_zul_Var_Meth[[#This Row],[ignored_rank]],help_zuord_Var_Meth[],2)</f>
        <v>46</v>
      </c>
      <c r="B704">
        <f t="shared" si="20"/>
        <v>651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4">
        <f t="shared" ca="1" si="19"/>
        <v>0.77981593386618742</v>
      </c>
      <c r="E704">
        <f ca="1">RANK(dict_zul_Var_Meth[[#This Row],[ignored_rand]],dict_zul_Var_Meth[ignored_rand])</f>
        <v>163</v>
      </c>
    </row>
    <row r="705" spans="1:5" x14ac:dyDescent="0.45">
      <c r="A705">
        <f ca="1">VLOOKUP(dict_zul_Var_Meth[[#This Row],[ignored_rank]],help_zuord_Var_Meth[],2)</f>
        <v>160</v>
      </c>
      <c r="B705">
        <f t="shared" si="20"/>
        <v>652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5">
        <f t="shared" ca="1" si="19"/>
        <v>0.25053600082257765</v>
      </c>
      <c r="E705">
        <f ca="1">RANK(dict_zul_Var_Meth[[#This Row],[ignored_rand]],dict_zul_Var_Meth[ignored_rand])</f>
        <v>562</v>
      </c>
    </row>
    <row r="706" spans="1:5" x14ac:dyDescent="0.45">
      <c r="A706">
        <f ca="1">VLOOKUP(dict_zul_Var_Meth[[#This Row],[ignored_rank]],help_zuord_Var_Meth[],2)</f>
        <v>199</v>
      </c>
      <c r="B706">
        <f t="shared" si="20"/>
        <v>653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6">
        <f t="shared" ref="D706:D753" ca="1" si="21">RAND()</f>
        <v>5.9127164143490174E-2</v>
      </c>
      <c r="E706">
        <f ca="1">RANK(dict_zul_Var_Meth[[#This Row],[ignored_rand]],dict_zul_Var_Meth[ignored_rand])</f>
        <v>702</v>
      </c>
    </row>
    <row r="707" spans="1:5" x14ac:dyDescent="0.45">
      <c r="A707">
        <f ca="1">VLOOKUP(dict_zul_Var_Meth[[#This Row],[ignored_rank]],help_zuord_Var_Meth[],2)</f>
        <v>17</v>
      </c>
      <c r="B707">
        <f t="shared" si="20"/>
        <v>654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7">
        <f t="shared" ca="1" si="21"/>
        <v>0.92186665077227847</v>
      </c>
      <c r="E707">
        <f ca="1">RANK(dict_zul_Var_Meth[[#This Row],[ignored_rand]],dict_zul_Var_Meth[ignored_rand])</f>
        <v>59</v>
      </c>
    </row>
    <row r="708" spans="1:5" x14ac:dyDescent="0.45">
      <c r="A708">
        <f ca="1">VLOOKUP(dict_zul_Var_Meth[[#This Row],[ignored_rank]],help_zuord_Var_Meth[],2)</f>
        <v>187</v>
      </c>
      <c r="B708">
        <f t="shared" si="20"/>
        <v>655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8">
        <f t="shared" ca="1" si="21"/>
        <v>0.12819991935680564</v>
      </c>
      <c r="E708">
        <f ca="1">RANK(dict_zul_Var_Meth[[#This Row],[ignored_rand]],dict_zul_Var_Meth[ignored_rand])</f>
        <v>653</v>
      </c>
    </row>
    <row r="709" spans="1:5" x14ac:dyDescent="0.45">
      <c r="A709">
        <f ca="1">VLOOKUP(dict_zul_Var_Meth[[#This Row],[ignored_rank]],help_zuord_Var_Meth[],2)</f>
        <v>96</v>
      </c>
      <c r="B709">
        <f t="shared" si="20"/>
        <v>656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9">
        <f t="shared" ca="1" si="21"/>
        <v>0.54689612730326032</v>
      </c>
      <c r="E709">
        <f ca="1">RANK(dict_zul_Var_Meth[[#This Row],[ignored_rand]],dict_zul_Var_Meth[ignored_rand])</f>
        <v>339</v>
      </c>
    </row>
    <row r="710" spans="1:5" x14ac:dyDescent="0.45">
      <c r="A710">
        <f ca="1">VLOOKUP(dict_zul_Var_Meth[[#This Row],[ignored_rank]],help_zuord_Var_Meth[],2)</f>
        <v>151</v>
      </c>
      <c r="B710">
        <f t="shared" si="20"/>
        <v>657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0">
        <f t="shared" ca="1" si="21"/>
        <v>0.29052947344905122</v>
      </c>
      <c r="E710">
        <f ca="1">RANK(dict_zul_Var_Meth[[#This Row],[ignored_rand]],dict_zul_Var_Meth[ignored_rand])</f>
        <v>531</v>
      </c>
    </row>
    <row r="711" spans="1:5" x14ac:dyDescent="0.45">
      <c r="A711">
        <f ca="1">VLOOKUP(dict_zul_Var_Meth[[#This Row],[ignored_rank]],help_zuord_Var_Meth[],2)</f>
        <v>200</v>
      </c>
      <c r="B711">
        <f t="shared" si="20"/>
        <v>658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1">
        <f t="shared" ca="1" si="21"/>
        <v>1.6153808196373021E-3</v>
      </c>
      <c r="E711">
        <f ca="1">RANK(dict_zul_Var_Meth[[#This Row],[ignored_rand]],dict_zul_Var_Meth[ignored_rand])</f>
        <v>751</v>
      </c>
    </row>
    <row r="712" spans="1:5" x14ac:dyDescent="0.45">
      <c r="A712">
        <f ca="1">VLOOKUP(dict_zul_Var_Meth[[#This Row],[ignored_rank]],help_zuord_Var_Meth[],2)</f>
        <v>57</v>
      </c>
      <c r="B712">
        <f t="shared" si="20"/>
        <v>659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2">
        <f t="shared" ca="1" si="21"/>
        <v>0.74209942920593852</v>
      </c>
      <c r="E712">
        <f ca="1">RANK(dict_zul_Var_Meth[[#This Row],[ignored_rand]],dict_zul_Var_Meth[ignored_rand])</f>
        <v>200</v>
      </c>
    </row>
    <row r="713" spans="1:5" x14ac:dyDescent="0.45">
      <c r="A713">
        <f ca="1">VLOOKUP(dict_zul_Var_Meth[[#This Row],[ignored_rank]],help_zuord_Var_Meth[],2)</f>
        <v>199</v>
      </c>
      <c r="B713">
        <f t="shared" si="20"/>
        <v>660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3">
        <f t="shared" ca="1" si="21"/>
        <v>2.4317323315095951E-2</v>
      </c>
      <c r="E713">
        <f ca="1">RANK(dict_zul_Var_Meth[[#This Row],[ignored_rand]],dict_zul_Var_Meth[ignored_rand])</f>
        <v>733</v>
      </c>
    </row>
    <row r="714" spans="1:5" x14ac:dyDescent="0.45">
      <c r="A714">
        <f ca="1">VLOOKUP(dict_zul_Var_Meth[[#This Row],[ignored_rank]],help_zuord_Var_Meth[],2)</f>
        <v>150</v>
      </c>
      <c r="B714">
        <f t="shared" si="20"/>
        <v>661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4">
        <f t="shared" ca="1" si="21"/>
        <v>0.29495412039189794</v>
      </c>
      <c r="E714">
        <f ca="1">RANK(dict_zul_Var_Meth[[#This Row],[ignored_rand]],dict_zul_Var_Meth[ignored_rand])</f>
        <v>527</v>
      </c>
    </row>
    <row r="715" spans="1:5" x14ac:dyDescent="0.45">
      <c r="A715">
        <f ca="1">VLOOKUP(dict_zul_Var_Meth[[#This Row],[ignored_rank]],help_zuord_Var_Meth[],2)</f>
        <v>158</v>
      </c>
      <c r="B715">
        <f t="shared" si="20"/>
        <v>662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5">
        <f t="shared" ca="1" si="21"/>
        <v>0.26631209602415207</v>
      </c>
      <c r="E715">
        <f ca="1">RANK(dict_zul_Var_Meth[[#This Row],[ignored_rand]],dict_zul_Var_Meth[ignored_rand])</f>
        <v>552</v>
      </c>
    </row>
    <row r="716" spans="1:5" x14ac:dyDescent="0.45">
      <c r="A716">
        <f ca="1">VLOOKUP(dict_zul_Var_Meth[[#This Row],[ignored_rank]],help_zuord_Var_Meth[],2)</f>
        <v>102</v>
      </c>
      <c r="B716">
        <f t="shared" si="20"/>
        <v>663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6">
        <f t="shared" ca="1" si="21"/>
        <v>0.52500552250161459</v>
      </c>
      <c r="E716">
        <f ca="1">RANK(dict_zul_Var_Meth[[#This Row],[ignored_rand]],dict_zul_Var_Meth[ignored_rand])</f>
        <v>360</v>
      </c>
    </row>
    <row r="717" spans="1:5" x14ac:dyDescent="0.45">
      <c r="A717">
        <f ca="1">VLOOKUP(dict_zul_Var_Meth[[#This Row],[ignored_rank]],help_zuord_Var_Meth[],2)</f>
        <v>183</v>
      </c>
      <c r="B717">
        <f t="shared" si="20"/>
        <v>664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7">
        <f t="shared" ca="1" si="21"/>
        <v>0.14336473033833763</v>
      </c>
      <c r="E717">
        <f ca="1">RANK(dict_zul_Var_Meth[[#This Row],[ignored_rand]],dict_zul_Var_Meth[ignored_rand])</f>
        <v>642</v>
      </c>
    </row>
    <row r="718" spans="1:5" x14ac:dyDescent="0.45">
      <c r="A718">
        <f ca="1">VLOOKUP(dict_zul_Var_Meth[[#This Row],[ignored_rank]],help_zuord_Var_Meth[],2)</f>
        <v>90</v>
      </c>
      <c r="B718">
        <f t="shared" si="20"/>
        <v>665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8">
        <f t="shared" ca="1" si="21"/>
        <v>0.5726282186248719</v>
      </c>
      <c r="E718">
        <f ca="1">RANK(dict_zul_Var_Meth[[#This Row],[ignored_rand]],dict_zul_Var_Meth[ignored_rand])</f>
        <v>317</v>
      </c>
    </row>
    <row r="719" spans="1:5" x14ac:dyDescent="0.45">
      <c r="A719">
        <f ca="1">VLOOKUP(dict_zul_Var_Meth[[#This Row],[ignored_rank]],help_zuord_Var_Meth[],2)</f>
        <v>63</v>
      </c>
      <c r="B719">
        <f t="shared" si="20"/>
        <v>666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9">
        <f t="shared" ca="1" si="21"/>
        <v>0.70609639620913645</v>
      </c>
      <c r="E719">
        <f ca="1">RANK(dict_zul_Var_Meth[[#This Row],[ignored_rand]],dict_zul_Var_Meth[ignored_rand])</f>
        <v>223</v>
      </c>
    </row>
    <row r="720" spans="1:5" x14ac:dyDescent="0.45">
      <c r="A720">
        <f ca="1">VLOOKUP(dict_zul_Var_Meth[[#This Row],[ignored_rank]],help_zuord_Var_Meth[],2)</f>
        <v>85</v>
      </c>
      <c r="B720">
        <f t="shared" si="20"/>
        <v>667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0">
        <f t="shared" ca="1" si="21"/>
        <v>0.60897611470957447</v>
      </c>
      <c r="E720">
        <f ca="1">RANK(dict_zul_Var_Meth[[#This Row],[ignored_rand]],dict_zul_Var_Meth[ignored_rand])</f>
        <v>301</v>
      </c>
    </row>
    <row r="721" spans="1:5" x14ac:dyDescent="0.45">
      <c r="A721">
        <f ca="1">VLOOKUP(dict_zul_Var_Meth[[#This Row],[ignored_rank]],help_zuord_Var_Meth[],2)</f>
        <v>134</v>
      </c>
      <c r="B721">
        <f t="shared" si="20"/>
        <v>668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1">
        <f t="shared" ca="1" si="21"/>
        <v>0.37249274904553187</v>
      </c>
      <c r="E721">
        <f ca="1">RANK(dict_zul_Var_Meth[[#This Row],[ignored_rand]],dict_zul_Var_Meth[ignored_rand])</f>
        <v>469</v>
      </c>
    </row>
    <row r="722" spans="1:5" x14ac:dyDescent="0.45">
      <c r="A722">
        <f ca="1">VLOOKUP(dict_zul_Var_Meth[[#This Row],[ignored_rank]],help_zuord_Var_Meth[],2)</f>
        <v>63</v>
      </c>
      <c r="B722">
        <f t="shared" si="20"/>
        <v>669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2">
        <f t="shared" ca="1" si="21"/>
        <v>0.70895632225737881</v>
      </c>
      <c r="E722">
        <f ca="1">RANK(dict_zul_Var_Meth[[#This Row],[ignored_rand]],dict_zul_Var_Meth[ignored_rand])</f>
        <v>220</v>
      </c>
    </row>
    <row r="723" spans="1:5" x14ac:dyDescent="0.45">
      <c r="A723">
        <f ca="1">VLOOKUP(dict_zul_Var_Meth[[#This Row],[ignored_rank]],help_zuord_Var_Meth[],2)</f>
        <v>138</v>
      </c>
      <c r="B723">
        <f t="shared" si="20"/>
        <v>670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3">
        <f t="shared" ca="1" si="21"/>
        <v>0.3494437203950651</v>
      </c>
      <c r="E723">
        <f ca="1">RANK(dict_zul_Var_Meth[[#This Row],[ignored_rand]],dict_zul_Var_Meth[ignored_rand])</f>
        <v>484</v>
      </c>
    </row>
    <row r="724" spans="1:5" x14ac:dyDescent="0.45">
      <c r="A724">
        <f ca="1">VLOOKUP(dict_zul_Var_Meth[[#This Row],[ignored_rank]],help_zuord_Var_Meth[],2)</f>
        <v>106</v>
      </c>
      <c r="B724">
        <f t="shared" si="20"/>
        <v>671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4">
        <f t="shared" ca="1" si="21"/>
        <v>0.5111758376342791</v>
      </c>
      <c r="E724">
        <f ca="1">RANK(dict_zul_Var_Meth[[#This Row],[ignored_rand]],dict_zul_Var_Meth[ignored_rand])</f>
        <v>372</v>
      </c>
    </row>
    <row r="725" spans="1:5" x14ac:dyDescent="0.45">
      <c r="A725">
        <f ca="1">VLOOKUP(dict_zul_Var_Meth[[#This Row],[ignored_rank]],help_zuord_Var_Meth[],2)</f>
        <v>90</v>
      </c>
      <c r="B725">
        <f t="shared" si="20"/>
        <v>672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5">
        <f t="shared" ca="1" si="21"/>
        <v>0.57274993303736021</v>
      </c>
      <c r="E725">
        <f ca="1">RANK(dict_zul_Var_Meth[[#This Row],[ignored_rand]],dict_zul_Var_Meth[ignored_rand])</f>
        <v>316</v>
      </c>
    </row>
    <row r="726" spans="1:5" x14ac:dyDescent="0.45">
      <c r="A726">
        <f ca="1">VLOOKUP(dict_zul_Var_Meth[[#This Row],[ignored_rank]],help_zuord_Var_Meth[],2)</f>
        <v>63</v>
      </c>
      <c r="B726">
        <f t="shared" si="20"/>
        <v>673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6">
        <f t="shared" ca="1" si="21"/>
        <v>0.70855796076072297</v>
      </c>
      <c r="E726">
        <f ca="1">RANK(dict_zul_Var_Meth[[#This Row],[ignored_rand]],dict_zul_Var_Meth[ignored_rand])</f>
        <v>222</v>
      </c>
    </row>
    <row r="727" spans="1:5" x14ac:dyDescent="0.45">
      <c r="A727">
        <f ca="1">VLOOKUP(dict_zul_Var_Meth[[#This Row],[ignored_rank]],help_zuord_Var_Meth[],2)</f>
        <v>112</v>
      </c>
      <c r="B727">
        <f t="shared" si="20"/>
        <v>674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7">
        <f t="shared" ca="1" si="21"/>
        <v>0.48097247880862981</v>
      </c>
      <c r="E727">
        <f ca="1">RANK(dict_zul_Var_Meth[[#This Row],[ignored_rand]],dict_zul_Var_Meth[ignored_rand])</f>
        <v>394</v>
      </c>
    </row>
    <row r="728" spans="1:5" x14ac:dyDescent="0.45">
      <c r="A728">
        <f ca="1">VLOOKUP(dict_zul_Var_Meth[[#This Row],[ignored_rank]],help_zuord_Var_Meth[],2)</f>
        <v>24</v>
      </c>
      <c r="B728">
        <f t="shared" si="20"/>
        <v>675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8">
        <f t="shared" ca="1" si="21"/>
        <v>0.88255244609899863</v>
      </c>
      <c r="E728">
        <f ca="1">RANK(dict_zul_Var_Meth[[#This Row],[ignored_rand]],dict_zul_Var_Meth[ignored_rand])</f>
        <v>84</v>
      </c>
    </row>
    <row r="729" spans="1:5" x14ac:dyDescent="0.45">
      <c r="A729">
        <f ca="1">VLOOKUP(dict_zul_Var_Meth[[#This Row],[ignored_rank]],help_zuord_Var_Meth[],2)</f>
        <v>199</v>
      </c>
      <c r="B729">
        <f t="shared" si="20"/>
        <v>676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9">
        <f t="shared" ca="1" si="21"/>
        <v>6.3159624185830876E-2</v>
      </c>
      <c r="E729">
        <f ca="1">RANK(dict_zul_Var_Meth[[#This Row],[ignored_rand]],dict_zul_Var_Meth[ignored_rand])</f>
        <v>698</v>
      </c>
    </row>
    <row r="730" spans="1:5" x14ac:dyDescent="0.45">
      <c r="A730">
        <f ca="1">VLOOKUP(dict_zul_Var_Meth[[#This Row],[ignored_rank]],help_zuord_Var_Meth[],2)</f>
        <v>140</v>
      </c>
      <c r="B730">
        <f t="shared" si="20"/>
        <v>677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0">
        <f t="shared" ca="1" si="21"/>
        <v>0.34396762872831843</v>
      </c>
      <c r="E730">
        <f ca="1">RANK(dict_zul_Var_Meth[[#This Row],[ignored_rand]],dict_zul_Var_Meth[ignored_rand])</f>
        <v>489</v>
      </c>
    </row>
    <row r="731" spans="1:5" x14ac:dyDescent="0.45">
      <c r="A731">
        <f ca="1">VLOOKUP(dict_zul_Var_Meth[[#This Row],[ignored_rank]],help_zuord_Var_Meth[],2)</f>
        <v>170</v>
      </c>
      <c r="B731">
        <f t="shared" si="20"/>
        <v>678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1">
        <f t="shared" ca="1" si="21"/>
        <v>0.20197880401878177</v>
      </c>
      <c r="E731">
        <f ca="1">RANK(dict_zul_Var_Meth[[#This Row],[ignored_rand]],dict_zul_Var_Meth[ignored_rand])</f>
        <v>594</v>
      </c>
    </row>
    <row r="732" spans="1:5" x14ac:dyDescent="0.45">
      <c r="A732">
        <f ca="1">VLOOKUP(dict_zul_Var_Meth[[#This Row],[ignored_rank]],help_zuord_Var_Meth[],2)</f>
        <v>189</v>
      </c>
      <c r="B732">
        <f t="shared" si="20"/>
        <v>679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2">
        <f t="shared" ca="1" si="21"/>
        <v>0.11356476348308109</v>
      </c>
      <c r="E732">
        <f ca="1">RANK(dict_zul_Var_Meth[[#This Row],[ignored_rand]],dict_zul_Var_Meth[ignored_rand])</f>
        <v>662</v>
      </c>
    </row>
    <row r="733" spans="1:5" x14ac:dyDescent="0.45">
      <c r="A733">
        <f ca="1">VLOOKUP(dict_zul_Var_Meth[[#This Row],[ignored_rank]],help_zuord_Var_Meth[],2)</f>
        <v>142</v>
      </c>
      <c r="B733">
        <f t="shared" si="20"/>
        <v>680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3">
        <f t="shared" ca="1" si="21"/>
        <v>0.32975519379666507</v>
      </c>
      <c r="E733">
        <f ca="1">RANK(dict_zul_Var_Meth[[#This Row],[ignored_rand]],dict_zul_Var_Meth[ignored_rand])</f>
        <v>498</v>
      </c>
    </row>
    <row r="734" spans="1:5" x14ac:dyDescent="0.45">
      <c r="A734">
        <f ca="1">VLOOKUP(dict_zul_Var_Meth[[#This Row],[ignored_rank]],help_zuord_Var_Meth[],2)</f>
        <v>120</v>
      </c>
      <c r="B734">
        <f t="shared" si="20"/>
        <v>681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4">
        <f t="shared" ca="1" si="21"/>
        <v>0.43854307058897157</v>
      </c>
      <c r="E734">
        <f ca="1">RANK(dict_zul_Var_Meth[[#This Row],[ignored_rand]],dict_zul_Var_Meth[ignored_rand])</f>
        <v>423</v>
      </c>
    </row>
    <row r="735" spans="1:5" x14ac:dyDescent="0.45">
      <c r="A735">
        <f ca="1">VLOOKUP(dict_zul_Var_Meth[[#This Row],[ignored_rank]],help_zuord_Var_Meth[],2)</f>
        <v>163</v>
      </c>
      <c r="B735">
        <f t="shared" si="20"/>
        <v>682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5">
        <f t="shared" ca="1" si="21"/>
        <v>0.23713183246942926</v>
      </c>
      <c r="E735">
        <f ca="1">RANK(dict_zul_Var_Meth[[#This Row],[ignored_rand]],dict_zul_Var_Meth[ignored_rand])</f>
        <v>570</v>
      </c>
    </row>
    <row r="736" spans="1:5" x14ac:dyDescent="0.45">
      <c r="A736">
        <f ca="1">VLOOKUP(dict_zul_Var_Meth[[#This Row],[ignored_rank]],help_zuord_Var_Meth[],2)</f>
        <v>187</v>
      </c>
      <c r="B736">
        <f t="shared" si="20"/>
        <v>683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6">
        <f t="shared" ca="1" si="21"/>
        <v>0.12304862327888244</v>
      </c>
      <c r="E736">
        <f ca="1">RANK(dict_zul_Var_Meth[[#This Row],[ignored_rand]],dict_zul_Var_Meth[ignored_rand])</f>
        <v>656</v>
      </c>
    </row>
    <row r="737" spans="1:5" x14ac:dyDescent="0.45">
      <c r="A737">
        <f ca="1">VLOOKUP(dict_zul_Var_Meth[[#This Row],[ignored_rank]],help_zuord_Var_Meth[],2)</f>
        <v>136</v>
      </c>
      <c r="B737">
        <f t="shared" si="20"/>
        <v>684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7">
        <f t="shared" ca="1" si="21"/>
        <v>0.36051721962837469</v>
      </c>
      <c r="E737">
        <f ca="1">RANK(dict_zul_Var_Meth[[#This Row],[ignored_rand]],dict_zul_Var_Meth[ignored_rand])</f>
        <v>477</v>
      </c>
    </row>
    <row r="738" spans="1:5" x14ac:dyDescent="0.45">
      <c r="A738">
        <f ca="1">VLOOKUP(dict_zul_Var_Meth[[#This Row],[ignored_rank]],help_zuord_Var_Meth[],2)</f>
        <v>34</v>
      </c>
      <c r="B738">
        <f t="shared" si="20"/>
        <v>685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8">
        <f t="shared" ca="1" si="21"/>
        <v>0.84811760339580489</v>
      </c>
      <c r="E738">
        <f ca="1">RANK(dict_zul_Var_Meth[[#This Row],[ignored_rand]],dict_zul_Var_Meth[ignored_rand])</f>
        <v>119</v>
      </c>
    </row>
    <row r="739" spans="1:5" x14ac:dyDescent="0.45">
      <c r="A739">
        <f ca="1">VLOOKUP(dict_zul_Var_Meth[[#This Row],[ignored_rank]],help_zuord_Var_Meth[],2)</f>
        <v>32</v>
      </c>
      <c r="B739">
        <f t="shared" si="20"/>
        <v>686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9">
        <f t="shared" ca="1" si="21"/>
        <v>0.85177587857532633</v>
      </c>
      <c r="E739">
        <f ca="1">RANK(dict_zul_Var_Meth[[#This Row],[ignored_rand]],dict_zul_Var_Meth[ignored_rand])</f>
        <v>112</v>
      </c>
    </row>
    <row r="740" spans="1:5" x14ac:dyDescent="0.45">
      <c r="A740">
        <f ca="1">VLOOKUP(dict_zul_Var_Meth[[#This Row],[ignored_rank]],help_zuord_Var_Meth[],2)</f>
        <v>133</v>
      </c>
      <c r="B740">
        <f t="shared" si="20"/>
        <v>687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0">
        <f t="shared" ca="1" si="21"/>
        <v>0.37332713024790887</v>
      </c>
      <c r="E740">
        <f ca="1">RANK(dict_zul_Var_Meth[[#This Row],[ignored_rand]],dict_zul_Var_Meth[ignored_rand])</f>
        <v>468</v>
      </c>
    </row>
    <row r="741" spans="1:5" x14ac:dyDescent="0.45">
      <c r="A741">
        <f ca="1">VLOOKUP(dict_zul_Var_Meth[[#This Row],[ignored_rank]],help_zuord_Var_Meth[],2)</f>
        <v>83</v>
      </c>
      <c r="B741">
        <f t="shared" si="20"/>
        <v>688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1">
        <f t="shared" ca="1" si="21"/>
        <v>0.61689680844448935</v>
      </c>
      <c r="E741">
        <f ca="1">RANK(dict_zul_Var_Meth[[#This Row],[ignored_rand]],dict_zul_Var_Meth[ignored_rand])</f>
        <v>294</v>
      </c>
    </row>
    <row r="742" spans="1:5" x14ac:dyDescent="0.45">
      <c r="A742">
        <f ca="1">VLOOKUP(dict_zul_Var_Meth[[#This Row],[ignored_rank]],help_zuord_Var_Meth[],2)</f>
        <v>2</v>
      </c>
      <c r="B742">
        <f t="shared" si="20"/>
        <v>689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2">
        <f t="shared" ca="1" si="21"/>
        <v>0.9897138360854304</v>
      </c>
      <c r="E742">
        <f ca="1">RANK(dict_zul_Var_Meth[[#This Row],[ignored_rand]],dict_zul_Var_Meth[ignored_rand])</f>
        <v>8</v>
      </c>
    </row>
    <row r="743" spans="1:5" x14ac:dyDescent="0.45">
      <c r="A743">
        <f ca="1">VLOOKUP(dict_zul_Var_Meth[[#This Row],[ignored_rank]],help_zuord_Var_Meth[],2)</f>
        <v>108</v>
      </c>
      <c r="B743">
        <f t="shared" si="20"/>
        <v>690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3">
        <f t="shared" ca="1" si="21"/>
        <v>0.49878351078228012</v>
      </c>
      <c r="E743">
        <f ca="1">RANK(dict_zul_Var_Meth[[#This Row],[ignored_rand]],dict_zul_Var_Meth[ignored_rand])</f>
        <v>381</v>
      </c>
    </row>
    <row r="744" spans="1:5" x14ac:dyDescent="0.45">
      <c r="A744">
        <f ca="1">VLOOKUP(dict_zul_Var_Meth[[#This Row],[ignored_rank]],help_zuord_Var_Meth[],2)</f>
        <v>116</v>
      </c>
      <c r="B744">
        <f t="shared" ref="B744:B753" si="22">B743+1</f>
        <v>691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4">
        <f t="shared" ca="1" si="21"/>
        <v>0.46690526997142134</v>
      </c>
      <c r="E744">
        <f ca="1">RANK(dict_zul_Var_Meth[[#This Row],[ignored_rand]],dict_zul_Var_Meth[ignored_rand])</f>
        <v>406</v>
      </c>
    </row>
    <row r="745" spans="1:5" x14ac:dyDescent="0.45">
      <c r="A745">
        <f ca="1">VLOOKUP(dict_zul_Var_Meth[[#This Row],[ignored_rank]],help_zuord_Var_Meth[],2)</f>
        <v>199</v>
      </c>
      <c r="B745">
        <f t="shared" si="22"/>
        <v>692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5">
        <f t="shared" ca="1" si="21"/>
        <v>5.8903658959935323E-2</v>
      </c>
      <c r="E745">
        <f ca="1">RANK(dict_zul_Var_Meth[[#This Row],[ignored_rand]],dict_zul_Var_Meth[ignored_rand])</f>
        <v>703</v>
      </c>
    </row>
    <row r="746" spans="1:5" x14ac:dyDescent="0.45">
      <c r="A746">
        <f ca="1">VLOOKUP(dict_zul_Var_Meth[[#This Row],[ignored_rank]],help_zuord_Var_Meth[],2)</f>
        <v>140</v>
      </c>
      <c r="B746">
        <f t="shared" si="22"/>
        <v>693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6">
        <f t="shared" ca="1" si="21"/>
        <v>0.34038888680053891</v>
      </c>
      <c r="E746">
        <f ca="1">RANK(dict_zul_Var_Meth[[#This Row],[ignored_rand]],dict_zul_Var_Meth[ignored_rand])</f>
        <v>491</v>
      </c>
    </row>
    <row r="747" spans="1:5" x14ac:dyDescent="0.45">
      <c r="A747">
        <f ca="1">VLOOKUP(dict_zul_Var_Meth[[#This Row],[ignored_rank]],help_zuord_Var_Meth[],2)</f>
        <v>53</v>
      </c>
      <c r="B747">
        <f t="shared" si="22"/>
        <v>694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7">
        <f t="shared" ca="1" si="21"/>
        <v>0.75861811781050326</v>
      </c>
      <c r="E747">
        <f ca="1">RANK(dict_zul_Var_Meth[[#This Row],[ignored_rand]],dict_zul_Var_Meth[ignored_rand])</f>
        <v>185</v>
      </c>
    </row>
    <row r="748" spans="1:5" x14ac:dyDescent="0.45">
      <c r="A748">
        <f ca="1">VLOOKUP(dict_zul_Var_Meth[[#This Row],[ignored_rank]],help_zuord_Var_Meth[],2)</f>
        <v>48</v>
      </c>
      <c r="B748">
        <f t="shared" si="22"/>
        <v>695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8">
        <f t="shared" ca="1" si="21"/>
        <v>0.77400443305490896</v>
      </c>
      <c r="E748">
        <f ca="1">RANK(dict_zul_Var_Meth[[#This Row],[ignored_rand]],dict_zul_Var_Meth[ignored_rand])</f>
        <v>172</v>
      </c>
    </row>
    <row r="749" spans="1:5" x14ac:dyDescent="0.45">
      <c r="A749">
        <f ca="1">VLOOKUP(dict_zul_Var_Meth[[#This Row],[ignored_rank]],help_zuord_Var_Meth[],2)</f>
        <v>90</v>
      </c>
      <c r="B749">
        <f t="shared" si="22"/>
        <v>696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9">
        <f t="shared" ca="1" si="21"/>
        <v>0.57445236913437825</v>
      </c>
      <c r="E749">
        <f ca="1">RANK(dict_zul_Var_Meth[[#This Row],[ignored_rand]],dict_zul_Var_Meth[ignored_rand])</f>
        <v>315</v>
      </c>
    </row>
    <row r="750" spans="1:5" x14ac:dyDescent="0.45">
      <c r="A750">
        <f ca="1">VLOOKUP(dict_zul_Var_Meth[[#This Row],[ignored_rank]],help_zuord_Var_Meth[],2)</f>
        <v>199</v>
      </c>
      <c r="B750">
        <f t="shared" si="22"/>
        <v>697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0">
        <f t="shared" ca="1" si="21"/>
        <v>1.8774553838208141E-2</v>
      </c>
      <c r="E750">
        <f ca="1">RANK(dict_zul_Var_Meth[[#This Row],[ignored_rand]],dict_zul_Var_Meth[ignored_rand])</f>
        <v>737</v>
      </c>
    </row>
    <row r="751" spans="1:5" x14ac:dyDescent="0.45">
      <c r="A751">
        <f ca="1">VLOOKUP(dict_zul_Var_Meth[[#This Row],[ignored_rank]],help_zuord_Var_Meth[],2)</f>
        <v>153</v>
      </c>
      <c r="B751">
        <f t="shared" si="22"/>
        <v>698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1">
        <f t="shared" ca="1" si="21"/>
        <v>0.28663984049729074</v>
      </c>
      <c r="E751">
        <f ca="1">RANK(dict_zul_Var_Meth[[#This Row],[ignored_rand]],dict_zul_Var_Meth[ignored_rand])</f>
        <v>535</v>
      </c>
    </row>
    <row r="752" spans="1:5" x14ac:dyDescent="0.45">
      <c r="A752">
        <f ca="1">VLOOKUP(dict_zul_Var_Meth[[#This Row],[ignored_rank]],help_zuord_Var_Meth[],2)</f>
        <v>48</v>
      </c>
      <c r="B752">
        <f t="shared" si="22"/>
        <v>699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2">
        <f t="shared" ca="1" si="21"/>
        <v>0.77432335928837703</v>
      </c>
      <c r="E752">
        <f ca="1">RANK(dict_zul_Var_Meth[[#This Row],[ignored_rand]],dict_zul_Var_Meth[ignored_rand])</f>
        <v>169</v>
      </c>
    </row>
    <row r="753" spans="1:5" x14ac:dyDescent="0.45">
      <c r="A753">
        <f ca="1">VLOOKUP(dict_zul_Var_Meth[[#This Row],[ignored_rank]],help_zuord_Var_Meth[],2)</f>
        <v>156</v>
      </c>
      <c r="B753">
        <f t="shared" si="22"/>
        <v>700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3">
        <f t="shared" ca="1" si="21"/>
        <v>0.26801064794041474</v>
      </c>
      <c r="E753">
        <f ca="1">RANK(dict_zul_Var_Meth[[#This Row],[ignored_rand]],dict_zul_Var_Meth[ignored_rand])</f>
        <v>548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03"/>
  <sheetViews>
    <sheetView topLeftCell="A153" workbookViewId="0">
      <selection activeCell="A397" sqref="A397"/>
    </sheetView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29</v>
      </c>
      <c r="B1" t="s">
        <v>31</v>
      </c>
      <c r="C1" t="s">
        <v>69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"/>
  <sheetViews>
    <sheetView workbookViewId="0">
      <selection activeCell="C22" sqref="C22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4" x14ac:dyDescent="0.45">
      <c r="A1" t="s">
        <v>30</v>
      </c>
      <c r="B1" t="s">
        <v>32</v>
      </c>
      <c r="C1" t="s">
        <v>69</v>
      </c>
      <c r="D1" t="s">
        <v>66</v>
      </c>
    </row>
    <row r="2" spans="1:4" x14ac:dyDescent="0.45">
      <c r="A2">
        <v>1</v>
      </c>
      <c r="B2">
        <v>0</v>
      </c>
      <c r="C2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2">
        <v>30</v>
      </c>
    </row>
    <row r="3" spans="1:4" x14ac:dyDescent="0.45">
      <c r="A3">
        <v>22</v>
      </c>
      <c r="B3">
        <v>1</v>
      </c>
      <c r="C3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3">
        <v>20</v>
      </c>
    </row>
    <row r="4" spans="1:4" x14ac:dyDescent="0.45">
      <c r="A4">
        <v>23</v>
      </c>
      <c r="B4">
        <v>0</v>
      </c>
      <c r="C4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4">
        <v>13</v>
      </c>
    </row>
    <row r="5" spans="1:4" x14ac:dyDescent="0.45">
      <c r="A5">
        <v>26</v>
      </c>
      <c r="B5">
        <v>0</v>
      </c>
      <c r="C5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5">
        <v>45</v>
      </c>
    </row>
    <row r="6" spans="1:4" x14ac:dyDescent="0.45">
      <c r="A6">
        <v>22</v>
      </c>
      <c r="B6">
        <v>0</v>
      </c>
      <c r="C6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6">
        <v>18</v>
      </c>
    </row>
    <row r="7" spans="1:4" x14ac:dyDescent="0.45">
      <c r="A7">
        <v>23</v>
      </c>
      <c r="B7">
        <v>1</v>
      </c>
      <c r="C7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7">
        <v>11</v>
      </c>
    </row>
    <row r="8" spans="1:4" x14ac:dyDescent="0.45">
      <c r="A8">
        <v>26</v>
      </c>
      <c r="B8">
        <v>1</v>
      </c>
      <c r="C8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8">
        <v>40</v>
      </c>
    </row>
    <row r="9" spans="1:4" x14ac:dyDescent="0.45">
      <c r="A9">
        <v>22</v>
      </c>
      <c r="B9">
        <v>2</v>
      </c>
      <c r="C9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9">
        <v>16</v>
      </c>
    </row>
    <row r="10" spans="1:4" x14ac:dyDescent="0.45">
      <c r="A10">
        <v>23</v>
      </c>
      <c r="B10">
        <v>2</v>
      </c>
      <c r="C10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0">
        <v>11</v>
      </c>
    </row>
    <row r="11" spans="1:4" x14ac:dyDescent="0.45">
      <c r="A11">
        <v>26</v>
      </c>
      <c r="B11">
        <v>2</v>
      </c>
      <c r="C11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1">
        <v>35</v>
      </c>
    </row>
    <row r="12" spans="1:4" x14ac:dyDescent="0.45">
      <c r="A12">
        <v>22</v>
      </c>
      <c r="B12">
        <v>3</v>
      </c>
      <c r="C12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2">
        <v>12</v>
      </c>
    </row>
    <row r="13" spans="1:4" x14ac:dyDescent="0.45">
      <c r="A13">
        <v>23</v>
      </c>
      <c r="B13">
        <v>3</v>
      </c>
      <c r="C13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3">
        <v>10</v>
      </c>
    </row>
    <row r="14" spans="1:4" x14ac:dyDescent="0.45">
      <c r="A14">
        <v>26</v>
      </c>
      <c r="B14">
        <v>3</v>
      </c>
      <c r="C14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4">
        <v>30</v>
      </c>
    </row>
    <row r="15" spans="1:4" x14ac:dyDescent="0.45">
      <c r="A15">
        <v>29</v>
      </c>
      <c r="B15">
        <v>6</v>
      </c>
      <c r="C15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5">
        <v>25</v>
      </c>
    </row>
    <row r="16" spans="1:4" x14ac:dyDescent="0.45">
      <c r="A16">
        <v>30</v>
      </c>
      <c r="B16">
        <v>6</v>
      </c>
      <c r="C16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6">
        <v>20</v>
      </c>
    </row>
    <row r="17" spans="1:4" x14ac:dyDescent="0.45">
      <c r="A17">
        <v>31</v>
      </c>
      <c r="B17">
        <v>2</v>
      </c>
      <c r="C17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7">
        <v>12</v>
      </c>
    </row>
    <row r="18" spans="1:4" x14ac:dyDescent="0.45">
      <c r="A18">
        <v>32</v>
      </c>
      <c r="B18">
        <v>2</v>
      </c>
      <c r="C18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8">
        <v>11</v>
      </c>
    </row>
    <row r="19" spans="1:4" x14ac:dyDescent="0.45">
      <c r="A19">
        <v>31</v>
      </c>
      <c r="B19">
        <v>3</v>
      </c>
      <c r="C19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19">
        <v>10</v>
      </c>
    </row>
    <row r="20" spans="1:4" x14ac:dyDescent="0.45">
      <c r="A20">
        <v>32</v>
      </c>
      <c r="B20">
        <v>3</v>
      </c>
      <c r="C20" t="b">
        <f ca="1">IF(MIN(SUMPRODUCT(SUBTOTAL(103,OFFSET(table_Persons[ID],ROW(table_Persons[ID])-MIN(ROW(table_Persons[ID])),,1))*(table_Persons[ID]=table_zuord_Meth_Pers[[#This Row],[ID_Persons]])),SUMPRODUCT(SUBTOTAL(103,OFFSET(table_Methods[ID],ROW(table_Methods[ID])-MIN(ROW(table_Methods[ID])),,1))*(table_Methods[ID]=table_zuord_Meth_Pers[[#This Row],[ID_Methods]])))&gt;0,TRUE,FALSE)</f>
        <v>1</v>
      </c>
      <c r="D20">
        <v>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E9" sqref="E9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3" x14ac:dyDescent="0.45">
      <c r="A1" t="s">
        <v>30</v>
      </c>
      <c r="B1" t="s">
        <v>64</v>
      </c>
      <c r="C1" t="s">
        <v>69</v>
      </c>
    </row>
    <row r="2" spans="1:3" x14ac:dyDescent="0.45">
      <c r="A2">
        <v>22</v>
      </c>
      <c r="B2">
        <v>1</v>
      </c>
      <c r="C2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3" spans="1:3" x14ac:dyDescent="0.45">
      <c r="A3">
        <v>23</v>
      </c>
      <c r="B3">
        <v>3</v>
      </c>
      <c r="C3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4" spans="1:3" x14ac:dyDescent="0.45">
      <c r="A4">
        <v>24</v>
      </c>
      <c r="B4">
        <v>4</v>
      </c>
      <c r="C4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5" spans="1:3" x14ac:dyDescent="0.45">
      <c r="A5">
        <v>25</v>
      </c>
      <c r="B5">
        <v>5</v>
      </c>
      <c r="C5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6" spans="1:3" x14ac:dyDescent="0.45">
      <c r="A6">
        <v>26</v>
      </c>
      <c r="B6">
        <v>6</v>
      </c>
      <c r="C6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7" spans="1:3" x14ac:dyDescent="0.45">
      <c r="A7">
        <v>26</v>
      </c>
      <c r="B7">
        <v>7</v>
      </c>
      <c r="C7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8" spans="1:3" x14ac:dyDescent="0.45">
      <c r="A8">
        <v>27</v>
      </c>
      <c r="B8">
        <v>8</v>
      </c>
      <c r="C8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9" spans="1:3" x14ac:dyDescent="0.45">
      <c r="A9">
        <v>28</v>
      </c>
      <c r="B9">
        <v>8</v>
      </c>
      <c r="C9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0" spans="1:3" x14ac:dyDescent="0.45">
      <c r="A10">
        <v>29</v>
      </c>
      <c r="B10">
        <v>9</v>
      </c>
      <c r="C10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1" spans="1:3" x14ac:dyDescent="0.45">
      <c r="A11">
        <v>30</v>
      </c>
      <c r="B11">
        <v>9</v>
      </c>
      <c r="C11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2" spans="1:3" x14ac:dyDescent="0.45">
      <c r="A12">
        <v>31</v>
      </c>
      <c r="B12">
        <v>2</v>
      </c>
      <c r="C12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  <row r="13" spans="1:3" x14ac:dyDescent="0.45">
      <c r="A13">
        <v>32</v>
      </c>
      <c r="B13">
        <v>2</v>
      </c>
      <c r="C13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Row],[ID_Positions]])),SUMPRODUCT(SUBTOTAL(103,OFFSET(table_Methods[ID],ROW(table_Methods[ID])-MIN(ROW(table_Methods[ID])),,1))*(table_Methods[ID]=dict_zuord_Meth_Pos[[#This Row],[ID_Methods]])))&gt;0,TRUE,FALSE)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4"/>
  <sheetViews>
    <sheetView topLeftCell="A19" workbookViewId="0">
      <selection activeCell="A2" sqref="A2:XFD4"/>
    </sheetView>
  </sheetViews>
  <sheetFormatPr baseColWidth="10" defaultRowHeight="14.25" x14ac:dyDescent="0.45"/>
  <cols>
    <col min="2" max="2" width="14.265625" bestFit="1" customWidth="1"/>
  </cols>
  <sheetData>
    <row r="1" spans="1:3" x14ac:dyDescent="0.45">
      <c r="A1" t="s">
        <v>30</v>
      </c>
      <c r="B1" t="s">
        <v>63</v>
      </c>
      <c r="C1" t="s">
        <v>69</v>
      </c>
    </row>
    <row r="2" spans="1:3" x14ac:dyDescent="0.45">
      <c r="A2">
        <v>22</v>
      </c>
      <c r="B2">
        <v>0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" spans="1:3" x14ac:dyDescent="0.45">
      <c r="A3">
        <v>23</v>
      </c>
      <c r="B3">
        <v>0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4" spans="1:3" x14ac:dyDescent="0.45">
      <c r="A4">
        <v>24</v>
      </c>
      <c r="B4">
        <v>1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5" spans="1:3" x14ac:dyDescent="0.45">
      <c r="A5">
        <v>25</v>
      </c>
      <c r="B5">
        <v>1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6" spans="1:3" x14ac:dyDescent="0.45">
      <c r="A6">
        <v>26</v>
      </c>
      <c r="B6">
        <v>0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7" spans="1:3" x14ac:dyDescent="0.45">
      <c r="A7">
        <v>26</v>
      </c>
      <c r="B7">
        <v>1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8" spans="1:3" x14ac:dyDescent="0.45">
      <c r="A8">
        <v>27</v>
      </c>
      <c r="B8">
        <v>0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9" spans="1:3" x14ac:dyDescent="0.45">
      <c r="A9">
        <v>28</v>
      </c>
      <c r="B9">
        <v>0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0" spans="1:3" x14ac:dyDescent="0.45">
      <c r="A10">
        <v>29</v>
      </c>
      <c r="B10">
        <v>0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1" spans="1:3" x14ac:dyDescent="0.45">
      <c r="A11">
        <v>30</v>
      </c>
      <c r="B11">
        <v>0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2" spans="1:3" x14ac:dyDescent="0.45">
      <c r="A12">
        <v>27</v>
      </c>
      <c r="B12">
        <v>1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3" spans="1:3" x14ac:dyDescent="0.45">
      <c r="A13">
        <v>28</v>
      </c>
      <c r="B13">
        <v>1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4" spans="1:3" x14ac:dyDescent="0.45">
      <c r="A14">
        <v>29</v>
      </c>
      <c r="B14">
        <v>1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5" spans="1:3" x14ac:dyDescent="0.45">
      <c r="A15">
        <v>30</v>
      </c>
      <c r="B15">
        <v>1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6" spans="1:3" x14ac:dyDescent="0.45">
      <c r="A16">
        <v>27</v>
      </c>
      <c r="B16">
        <v>2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7" spans="1:3" x14ac:dyDescent="0.45">
      <c r="A17">
        <v>28</v>
      </c>
      <c r="B17">
        <v>2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8" spans="1:3" x14ac:dyDescent="0.45">
      <c r="A18">
        <v>29</v>
      </c>
      <c r="B18">
        <v>2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19" spans="1:3" x14ac:dyDescent="0.45">
      <c r="A19">
        <v>30</v>
      </c>
      <c r="B19">
        <v>2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0" spans="1:3" x14ac:dyDescent="0.45">
      <c r="A20">
        <v>31</v>
      </c>
      <c r="B20">
        <v>0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1" spans="1:3" x14ac:dyDescent="0.45">
      <c r="A21">
        <v>32</v>
      </c>
      <c r="B21">
        <v>0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2" spans="1:3" x14ac:dyDescent="0.45">
      <c r="A22">
        <v>31</v>
      </c>
      <c r="B22">
        <v>2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3" spans="1:3" x14ac:dyDescent="0.45">
      <c r="A23">
        <v>32</v>
      </c>
      <c r="B23">
        <v>2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4" spans="1:3" x14ac:dyDescent="0.45">
      <c r="A24">
        <v>22</v>
      </c>
      <c r="B24">
        <v>3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5" spans="1:3" x14ac:dyDescent="0.45">
      <c r="A25">
        <v>23</v>
      </c>
      <c r="B25">
        <v>3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6" spans="1:3" x14ac:dyDescent="0.45">
      <c r="A26">
        <v>24</v>
      </c>
      <c r="B26">
        <v>3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7" spans="1:3" x14ac:dyDescent="0.45">
      <c r="A27">
        <v>25</v>
      </c>
      <c r="B27">
        <v>3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8" spans="1:3" x14ac:dyDescent="0.45">
      <c r="A28">
        <v>26</v>
      </c>
      <c r="B28">
        <v>3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29" spans="1:3" x14ac:dyDescent="0.45">
      <c r="A29">
        <v>27</v>
      </c>
      <c r="B29">
        <v>3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0" spans="1:3" x14ac:dyDescent="0.45">
      <c r="A30">
        <v>28</v>
      </c>
      <c r="B30">
        <v>3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1" spans="1:3" x14ac:dyDescent="0.45">
      <c r="A31">
        <v>29</v>
      </c>
      <c r="B31">
        <v>3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2" spans="1:3" x14ac:dyDescent="0.45">
      <c r="A32">
        <v>30</v>
      </c>
      <c r="B32">
        <v>3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3" spans="1:3" x14ac:dyDescent="0.45">
      <c r="A33">
        <v>31</v>
      </c>
      <c r="B33">
        <v>3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  <row r="34" spans="1:3" x14ac:dyDescent="0.45">
      <c r="A34">
        <v>32</v>
      </c>
      <c r="B34">
        <v>3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Row],[ID_Transfers]])),SUMPRODUCT(SUBTOTAL(103,OFFSET(table_Methods[ID],ROW(table_Methods[ID])-MIN(ROW(table_Methods[ID])),,1))*(table_Methods[ID]=dict_zuord_Meth_Transfers[[#This Row],[ID_Methods]])))&gt;0,TRUE,FALSE)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C13" sqref="C13"/>
    </sheetView>
  </sheetViews>
  <sheetFormatPr baseColWidth="10" defaultRowHeight="14.25" x14ac:dyDescent="0.45"/>
  <cols>
    <col min="2" max="2" width="13.73046875" bestFit="1" customWidth="1"/>
  </cols>
  <sheetData>
    <row r="1" spans="1:3" x14ac:dyDescent="0.45">
      <c r="A1" t="s">
        <v>63</v>
      </c>
      <c r="B1" t="s">
        <v>65</v>
      </c>
      <c r="C1" t="s">
        <v>69</v>
      </c>
    </row>
    <row r="2" spans="1:3" x14ac:dyDescent="0.45">
      <c r="A2">
        <v>0</v>
      </c>
      <c r="B2">
        <v>0</v>
      </c>
      <c r="C2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3" spans="1:3" x14ac:dyDescent="0.45">
      <c r="A3">
        <v>0</v>
      </c>
      <c r="B3">
        <v>1</v>
      </c>
      <c r="C3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4" spans="1:3" x14ac:dyDescent="0.45">
      <c r="A4">
        <v>0</v>
      </c>
      <c r="B4">
        <v>2</v>
      </c>
      <c r="C4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5" spans="1:3" x14ac:dyDescent="0.45">
      <c r="A5">
        <v>0</v>
      </c>
      <c r="B5">
        <v>3</v>
      </c>
      <c r="C5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6" spans="1:3" x14ac:dyDescent="0.45">
      <c r="A6">
        <v>1</v>
      </c>
      <c r="B6">
        <v>0</v>
      </c>
      <c r="C6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7" spans="1:3" x14ac:dyDescent="0.45">
      <c r="A7">
        <v>1</v>
      </c>
      <c r="B7">
        <v>1</v>
      </c>
      <c r="C7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8" spans="1:3" x14ac:dyDescent="0.45">
      <c r="A8">
        <v>1</v>
      </c>
      <c r="B8">
        <v>2</v>
      </c>
      <c r="C8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9" spans="1:3" x14ac:dyDescent="0.45">
      <c r="A9">
        <v>1</v>
      </c>
      <c r="B9">
        <v>3</v>
      </c>
      <c r="C9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0" spans="1:3" x14ac:dyDescent="0.45">
      <c r="A10">
        <v>2</v>
      </c>
      <c r="B10">
        <v>2</v>
      </c>
      <c r="C10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1" spans="1:3" x14ac:dyDescent="0.45">
      <c r="A11">
        <v>3</v>
      </c>
      <c r="B11">
        <v>3</v>
      </c>
      <c r="C11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2" spans="1:3" x14ac:dyDescent="0.45">
      <c r="A12">
        <v>3</v>
      </c>
      <c r="B12">
        <v>2</v>
      </c>
      <c r="C12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  <row r="13" spans="1:3" x14ac:dyDescent="0.45">
      <c r="A13">
        <v>2</v>
      </c>
      <c r="B13">
        <v>3</v>
      </c>
      <c r="C13" s="3" t="b">
        <f ca="1">IF(MIN(SUMPRODUCT(SUBTOTAL(103,OFFSET(table_Storages[ID],ROW(table_Storages[ID])-MIN(ROW(table_Storages[ID])),,1))*(table_Storages[ID]=dict_zuord_Meth_Storages[[#This Row],[ID_Storages]])),SUMPRODUCT(SUBTOTAL(103,OFFSET(table_Transfers[ID],ROW(table_Transfers[ID])-MIN(ROW(table_Transfers[ID])),,1))*(table_Transfers[ID]=dict_zuord_Meth_Storages[[#This Row],[ID_Transfers]])))&gt;0,TRUE,FALSE)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workbookViewId="0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31</v>
      </c>
      <c r="B1" t="s">
        <v>130</v>
      </c>
      <c r="C1" t="s">
        <v>69</v>
      </c>
    </row>
    <row r="2" spans="1:3" x14ac:dyDescent="0.45">
      <c r="A2">
        <f>IFERROR(table_DataQualities[ID],"")</f>
        <v>0</v>
      </c>
      <c r="B2">
        <f>IFERROR(table_DataQualities[unit_ID],"")</f>
        <v>500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>IFERROR(table_DataQualities[unit_ID],"")</f>
        <v>100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>IFERROR(table_DataQualities[unit_ID],"")</f>
        <v>1000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900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>IFERROR(table_DataQualities[unit_ID],"")</f>
        <v>100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400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>IFERROR(table_DataQualities[unit_ID],"")</f>
        <v>100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>IFERROR(table_DataQualities[unit_ID],"")</f>
        <v>100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12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13</v>
      </c>
      <c r="B13">
        <f ca="1">IFERROR(table_DataQualities[unit_ID],"")</f>
        <v>1000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14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" spans="1:3" x14ac:dyDescent="0.45">
      <c r="A15">
        <f>IFERROR(table_DataQualities[ID],"")</f>
        <v>15</v>
      </c>
      <c r="B15">
        <f ca="1">IFERROR(table_DataQualities[unit_ID],"")</f>
        <v>1000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" spans="1:3" x14ac:dyDescent="0.45">
      <c r="A16">
        <f>IFERROR(table_DataQualities[ID],"")</f>
        <v>16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" spans="1:3" x14ac:dyDescent="0.45">
      <c r="A17">
        <f>IFERROR(table_DataQualities[ID],"")</f>
        <v>17</v>
      </c>
      <c r="B17">
        <f ca="1">IFERROR(table_DataQualities[unit_ID],"")</f>
        <v>800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" spans="1:3" x14ac:dyDescent="0.45">
      <c r="A18">
        <f>IFERROR(table_DataQualities[ID],"")</f>
        <v>18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" spans="1:3" x14ac:dyDescent="0.45">
      <c r="A19">
        <f>IFERROR(table_DataQualities[ID],"")</f>
        <v>19</v>
      </c>
      <c r="B19">
        <f ca="1">IFERROR(table_DataQualities[unit_ID],"")</f>
        <v>1000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" spans="1:3" x14ac:dyDescent="0.45">
      <c r="A20">
        <f>IFERROR(table_DataQualities[ID],"")</f>
        <v>20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" spans="1:3" x14ac:dyDescent="0.45">
      <c r="A21">
        <f>IFERROR(table_DataQualities[ID],"")</f>
        <v>21</v>
      </c>
      <c r="B21">
        <f ca="1">IFERROR(table_DataQualities[unit_ID],"")</f>
        <v>1000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" spans="1:3" x14ac:dyDescent="0.45">
      <c r="A22">
        <f>IFERROR(table_DataQualities[ID],"")</f>
        <v>22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" spans="1:3" x14ac:dyDescent="0.45">
      <c r="A23">
        <f>IFERROR(table_DataQualities[ID],"")</f>
        <v>23</v>
      </c>
      <c r="B23">
        <f ca="1">IFERROR(table_DataQualities[unit_ID],"")</f>
        <v>1000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" spans="1:3" x14ac:dyDescent="0.45">
      <c r="A24">
        <f>IFERROR(table_DataQualities[ID],"")</f>
        <v>24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" spans="1:3" x14ac:dyDescent="0.45">
      <c r="A25">
        <f>IFERROR(table_DataQualities[ID],"")</f>
        <v>25</v>
      </c>
      <c r="B25">
        <f ca="1">IFERROR(table_DataQualities[unit_ID],"")</f>
        <v>1000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" spans="1:3" x14ac:dyDescent="0.45">
      <c r="A26">
        <f>IFERROR(table_DataQualities[ID],"")</f>
        <v>26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" spans="1:3" x14ac:dyDescent="0.45">
      <c r="A27">
        <f>IFERROR(table_DataQualities[ID],"")</f>
        <v>27</v>
      </c>
      <c r="B27">
        <f ca="1">IFERROR(table_DataQualities[unit_ID],"")</f>
        <v>1000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" spans="1:3" x14ac:dyDescent="0.45">
      <c r="A28">
        <f>IFERROR(table_DataQualities[ID],"")</f>
        <v>28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" spans="1:3" x14ac:dyDescent="0.45">
      <c r="A29">
        <f>IFERROR(table_DataQualities[ID],"")</f>
        <v>29</v>
      </c>
      <c r="B29">
        <f ca="1">IFERROR(table_DataQualities[unit_ID],"")</f>
        <v>700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" spans="1:3" x14ac:dyDescent="0.45">
      <c r="A30">
        <f>IFERROR(table_DataQualities[ID],"")</f>
        <v>30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" spans="1:3" x14ac:dyDescent="0.45">
      <c r="A31">
        <f>IFERROR(table_DataQualities[ID],"")</f>
        <v>31</v>
      </c>
      <c r="B31">
        <f ca="1">IFERROR(table_DataQualities[unit_ID],"")</f>
        <v>900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" spans="1:3" x14ac:dyDescent="0.45">
      <c r="A32" s="3">
        <f>IFERROR(table_DataQualities[ID],"")</f>
        <v>32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" spans="1:3" x14ac:dyDescent="0.45">
      <c r="A33" s="3">
        <f>IFERROR(table_DataQualities[ID],"")</f>
        <v>33</v>
      </c>
      <c r="B33" s="3">
        <f ca="1">IFERROR(table_DataQualities[unit_ID],"")</f>
        <v>700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" spans="1:3" x14ac:dyDescent="0.45">
      <c r="A34" s="3">
        <f>IFERROR(table_DataQualities[ID],"")</f>
        <v>34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" spans="1:3" x14ac:dyDescent="0.45">
      <c r="A35" s="3">
        <f>IFERROR(table_DataQualities[ID],"")</f>
        <v>35</v>
      </c>
      <c r="B35" s="3">
        <f ca="1">IFERROR(table_DataQualities[unit_ID],"")</f>
        <v>800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" spans="1:3" x14ac:dyDescent="0.45">
      <c r="A36" s="3">
        <f>IFERROR(table_DataQualities[ID],"")</f>
        <v>36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" spans="1:3" x14ac:dyDescent="0.45">
      <c r="A37" s="3">
        <f>IFERROR(table_DataQualities[ID],"")</f>
        <v>37</v>
      </c>
      <c r="B37" s="3">
        <f ca="1">IFERROR(table_DataQualities[unit_ID],"")</f>
        <v>1000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" spans="1:3" x14ac:dyDescent="0.45">
      <c r="A38" s="3">
        <f>IFERROR(table_DataQualities[ID],"")</f>
        <v>38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" spans="1:3" x14ac:dyDescent="0.45">
      <c r="A39" s="3">
        <f>IFERROR(table_DataQualities[ID],"")</f>
        <v>39</v>
      </c>
      <c r="B39" s="3">
        <f ca="1">IFERROR(table_DataQualities[unit_ID],"")</f>
        <v>1000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" spans="1:3" x14ac:dyDescent="0.45">
      <c r="A40" s="3">
        <f>IFERROR(table_DataQualities[ID],"")</f>
        <v>40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1" spans="1:3" x14ac:dyDescent="0.45">
      <c r="A41" s="3">
        <f>IFERROR(table_DataQualities[ID],"")</f>
        <v>41</v>
      </c>
      <c r="B41" s="3">
        <f ca="1">IFERROR(table_DataQualities[unit_ID],"")</f>
        <v>800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2" spans="1:3" x14ac:dyDescent="0.45">
      <c r="A42" s="3">
        <f>IFERROR(table_DataQualities[ID],"")</f>
        <v>42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3" spans="1:3" x14ac:dyDescent="0.45">
      <c r="A43" s="3">
        <f>IFERROR(table_DataQualities[ID],"")</f>
        <v>43</v>
      </c>
      <c r="B43" s="3">
        <f ca="1">IFERROR(table_DataQualities[unit_ID],"")</f>
        <v>700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4" spans="1:3" x14ac:dyDescent="0.45">
      <c r="A44" s="3">
        <f>IFERROR(table_DataQualities[ID],"")</f>
        <v>44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5" spans="1:3" x14ac:dyDescent="0.45">
      <c r="A45" s="3">
        <f>IFERROR(table_DataQualities[ID],"")</f>
        <v>45</v>
      </c>
      <c r="B45" s="3">
        <f ca="1">IFERROR(table_DataQualities[unit_ID],"")</f>
        <v>700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6" spans="1:3" x14ac:dyDescent="0.45">
      <c r="A46" s="3">
        <f>IFERROR(table_DataQualities[ID],"")</f>
        <v>46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7" spans="1:3" x14ac:dyDescent="0.45">
      <c r="A47" s="3">
        <f>IFERROR(table_DataQualities[ID],"")</f>
        <v>47</v>
      </c>
      <c r="B47" s="3">
        <f ca="1">IFERROR(table_DataQualities[unit_ID],"")</f>
        <v>1000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8" spans="1:3" x14ac:dyDescent="0.45">
      <c r="A48" s="3">
        <f>IFERROR(table_DataQualities[ID],"")</f>
        <v>48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9" spans="1:3" x14ac:dyDescent="0.45">
      <c r="A49" s="3">
        <f>IFERROR(table_DataQualities[ID],"")</f>
        <v>49</v>
      </c>
      <c r="B49" s="3">
        <f ca="1">IFERROR(table_DataQualities[unit_ID],"")</f>
        <v>700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0" spans="1:3" x14ac:dyDescent="0.45">
      <c r="A50" s="3">
        <f>IFERROR(table_DataQualities[ID],"")</f>
        <v>50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1" spans="1:3" x14ac:dyDescent="0.45">
      <c r="A51" s="3">
        <f>IFERROR(table_DataQualities[ID],"")</f>
        <v>51</v>
      </c>
      <c r="B51" s="3">
        <f ca="1">IFERROR(table_DataQualities[unit_ID],"")</f>
        <v>800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2" spans="1:3" x14ac:dyDescent="0.45">
      <c r="A52" s="3">
        <f>IFERROR(table_DataQualities[ID],"")</f>
        <v>52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3" spans="1:3" x14ac:dyDescent="0.45">
      <c r="A53" s="3">
        <f>IFERROR(table_DataQualities[ID],"")</f>
        <v>53</v>
      </c>
      <c r="B53" s="3">
        <f ca="1">IFERROR(table_DataQualities[unit_ID],"")</f>
        <v>600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4" spans="1:3" x14ac:dyDescent="0.45">
      <c r="A54" s="3">
        <f>IFERROR(table_DataQualities[ID],"")</f>
        <v>54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5" spans="1:3" x14ac:dyDescent="0.45">
      <c r="A55" s="3">
        <f>IFERROR(table_DataQualities[ID],"")</f>
        <v>55</v>
      </c>
      <c r="B55" s="3">
        <f ca="1">IFERROR(table_DataQualities[unit_ID],"")</f>
        <v>600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6" spans="1:3" x14ac:dyDescent="0.45">
      <c r="A56" s="3">
        <f>IFERROR(table_DataQualities[ID],"")</f>
        <v>56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7" spans="1:3" x14ac:dyDescent="0.45">
      <c r="A57" s="3">
        <f>IFERROR(table_DataQualities[ID],"")</f>
        <v>57</v>
      </c>
      <c r="B57" s="3">
        <f ca="1">IFERROR(table_DataQualities[unit_ID],"")</f>
        <v>900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8" spans="1:3" x14ac:dyDescent="0.45">
      <c r="A58" s="3">
        <f>IFERROR(table_DataQualities[ID],"")</f>
        <v>58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9" spans="1:3" x14ac:dyDescent="0.45">
      <c r="A59" s="3">
        <f>IFERROR(table_DataQualities[ID],"")</f>
        <v>59</v>
      </c>
      <c r="B59" s="3">
        <f ca="1">IFERROR(table_DataQualities[unit_ID],"")</f>
        <v>500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0" spans="1:3" x14ac:dyDescent="0.45">
      <c r="A60" s="3">
        <f>IFERROR(table_DataQualities[ID],"")</f>
        <v>60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1" spans="1:3" x14ac:dyDescent="0.45">
      <c r="A61" s="3">
        <f>IFERROR(table_DataQualities[ID],"")</f>
        <v>61</v>
      </c>
      <c r="B61" s="3">
        <f ca="1">IFERROR(table_DataQualities[unit_ID],"")</f>
        <v>500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2" spans="1:3" x14ac:dyDescent="0.45">
      <c r="A62" s="3">
        <f>IFERROR(table_DataQualities[ID],"")</f>
        <v>62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3" spans="1:3" x14ac:dyDescent="0.45">
      <c r="A63" s="3">
        <f>IFERROR(table_DataQualities[ID],"")</f>
        <v>63</v>
      </c>
      <c r="B63" s="3">
        <f ca="1">IFERROR(table_DataQualities[unit_ID],"")</f>
        <v>1000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4" spans="1:3" x14ac:dyDescent="0.45">
      <c r="A64" s="3">
        <f>IFERROR(table_DataQualities[ID],"")</f>
        <v>64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5" spans="1:3" x14ac:dyDescent="0.45">
      <c r="A65" s="3">
        <f>IFERROR(table_DataQualities[ID],"")</f>
        <v>65</v>
      </c>
      <c r="B65" s="3">
        <f ca="1">IFERROR(table_DataQualities[unit_ID],"")</f>
        <v>1000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6" spans="1:3" x14ac:dyDescent="0.45">
      <c r="A66" s="3">
        <f>IFERROR(table_DataQualities[ID],"")</f>
        <v>66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7" spans="1:3" x14ac:dyDescent="0.45">
      <c r="A67" s="3">
        <f>IFERROR(table_DataQualities[ID],"")</f>
        <v>67</v>
      </c>
      <c r="B67" s="3">
        <f ca="1">IFERROR(table_DataQualities[unit_ID],"")</f>
        <v>700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8" spans="1:3" x14ac:dyDescent="0.45">
      <c r="A68" s="3">
        <f>IFERROR(table_DataQualities[ID],"")</f>
        <v>68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9" spans="1:3" x14ac:dyDescent="0.45">
      <c r="A69" s="3">
        <f>IFERROR(table_DataQualities[ID],"")</f>
        <v>69</v>
      </c>
      <c r="B69" s="3">
        <f ca="1">IFERROR(table_DataQualities[unit_ID],"")</f>
        <v>500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0" spans="1:3" x14ac:dyDescent="0.45">
      <c r="A70" s="3">
        <f>IFERROR(table_DataQualities[ID],"")</f>
        <v>70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1" spans="1:3" x14ac:dyDescent="0.45">
      <c r="A71" s="3">
        <f>IFERROR(table_DataQualities[ID],"")</f>
        <v>71</v>
      </c>
      <c r="B71" s="3">
        <f ca="1">IFERROR(table_DataQualities[unit_ID],"")</f>
        <v>500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2" spans="1:3" x14ac:dyDescent="0.45">
      <c r="A72" s="3">
        <f>IFERROR(table_DataQualities[ID],"")</f>
        <v>72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3" spans="1:3" x14ac:dyDescent="0.45">
      <c r="A73" s="3">
        <f>IFERROR(table_DataQualities[ID],"")</f>
        <v>73</v>
      </c>
      <c r="B73" s="3">
        <f ca="1">IFERROR(table_DataQualities[unit_ID],"")</f>
        <v>700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4" spans="1:3" x14ac:dyDescent="0.45">
      <c r="A74" s="3">
        <f>IFERROR(table_DataQualities[ID],"")</f>
        <v>74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5" spans="1:3" x14ac:dyDescent="0.45">
      <c r="A75" s="3">
        <f>IFERROR(table_DataQualities[ID],"")</f>
        <v>75</v>
      </c>
      <c r="B75" s="3">
        <f ca="1">IFERROR(table_DataQualities[unit_ID],"")</f>
        <v>700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6" spans="1:3" x14ac:dyDescent="0.45">
      <c r="A76" s="3">
        <f>IFERROR(table_DataQualities[ID],"")</f>
        <v>76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7" spans="1:3" x14ac:dyDescent="0.45">
      <c r="A77" s="3">
        <f>IFERROR(table_DataQualities[ID],"")</f>
        <v>77</v>
      </c>
      <c r="B77" s="3">
        <f ca="1">IFERROR(table_DataQualities[unit_ID],"")</f>
        <v>700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8" spans="1:3" x14ac:dyDescent="0.45">
      <c r="A78" s="3">
        <f>IFERROR(table_DataQualities[ID],"")</f>
        <v>78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9" spans="1:3" x14ac:dyDescent="0.45">
      <c r="A79" s="3">
        <f>IFERROR(table_DataQualities[ID],"")</f>
        <v>79</v>
      </c>
      <c r="B79" s="3">
        <f ca="1">IFERROR(table_DataQualities[unit_ID],"")</f>
        <v>600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0" spans="1:3" x14ac:dyDescent="0.45">
      <c r="A80" s="3">
        <f>IFERROR(table_DataQualities[ID],"")</f>
        <v>80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1" spans="1:3" x14ac:dyDescent="0.45">
      <c r="A81" s="3">
        <f>IFERROR(table_DataQualities[ID],"")</f>
        <v>81</v>
      </c>
      <c r="B81" s="3">
        <f ca="1">IFERROR(table_DataQualities[unit_ID],"")</f>
        <v>600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2" spans="1:3" x14ac:dyDescent="0.45">
      <c r="A82" s="3">
        <f>IFERROR(table_DataQualities[ID],"")</f>
        <v>82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3" spans="1:3" x14ac:dyDescent="0.45">
      <c r="A83" s="3">
        <f>IFERROR(table_DataQualities[ID],"")</f>
        <v>83</v>
      </c>
      <c r="B83" s="3">
        <f ca="1">IFERROR(table_DataQualities[unit_ID],"")</f>
        <v>800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4" spans="1:3" x14ac:dyDescent="0.45">
      <c r="A84" s="3">
        <f>IFERROR(table_DataQualities[ID],"")</f>
        <v>84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5" spans="1:3" x14ac:dyDescent="0.45">
      <c r="A85" s="3">
        <f>IFERROR(table_DataQualities[ID],"")</f>
        <v>85</v>
      </c>
      <c r="B85" s="3">
        <f ca="1">IFERROR(table_DataQualities[unit_ID],"")</f>
        <v>600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6" spans="1:3" x14ac:dyDescent="0.45">
      <c r="A86" s="3">
        <f>IFERROR(table_DataQualities[ID],"")</f>
        <v>86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7" spans="1:3" x14ac:dyDescent="0.45">
      <c r="A87" s="3">
        <f>IFERROR(table_DataQualities[ID],"")</f>
        <v>87</v>
      </c>
      <c r="B87" s="3">
        <f ca="1">IFERROR(table_DataQualities[unit_ID],"")</f>
        <v>900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8" spans="1:3" x14ac:dyDescent="0.45">
      <c r="A88" s="3">
        <f>IFERROR(table_DataQualities[ID],"")</f>
        <v>88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9" spans="1:3" x14ac:dyDescent="0.45">
      <c r="A89" s="3">
        <f>IFERROR(table_DataQualities[ID],"")</f>
        <v>89</v>
      </c>
      <c r="B89" s="3">
        <f ca="1">IFERROR(table_DataQualities[unit_ID],"")</f>
        <v>500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0" spans="1:3" x14ac:dyDescent="0.45">
      <c r="A90" s="3">
        <f>IFERROR(table_DataQualities[ID],"")</f>
        <v>90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1" spans="1:3" x14ac:dyDescent="0.45">
      <c r="A91" s="3">
        <f>IFERROR(table_DataQualities[ID],"")</f>
        <v>91</v>
      </c>
      <c r="B91" s="3">
        <f ca="1">IFERROR(table_DataQualities[unit_ID],"")</f>
        <v>600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2" spans="1:3" x14ac:dyDescent="0.45">
      <c r="A92" s="3">
        <f>IFERROR(table_DataQualities[ID],"")</f>
        <v>92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3" spans="1:3" x14ac:dyDescent="0.45">
      <c r="A93" s="3">
        <f>IFERROR(table_DataQualities[ID],"")</f>
        <v>93</v>
      </c>
      <c r="B93" s="3">
        <f ca="1">IFERROR(table_DataQualities[unit_ID],"")</f>
        <v>800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4" spans="1:3" x14ac:dyDescent="0.45">
      <c r="A94" s="3">
        <f>IFERROR(table_DataQualities[ID],"")</f>
        <v>94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5" spans="1:3" x14ac:dyDescent="0.45">
      <c r="A95" s="3">
        <f>IFERROR(table_DataQualities[ID],"")</f>
        <v>95</v>
      </c>
      <c r="B95" s="3">
        <f ca="1">IFERROR(table_DataQualities[unit_ID],"")</f>
        <v>600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6" spans="1:3" x14ac:dyDescent="0.45">
      <c r="A96" s="3">
        <f>IFERROR(table_DataQualities[ID],"")</f>
        <v>96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7" spans="1:3" x14ac:dyDescent="0.45">
      <c r="A97" s="3">
        <f>IFERROR(table_DataQualities[ID],"")</f>
        <v>97</v>
      </c>
      <c r="B97" s="3">
        <f ca="1">IFERROR(table_DataQualities[unit_ID],"")</f>
        <v>1000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8" spans="1:3" x14ac:dyDescent="0.45">
      <c r="A98" s="3">
        <f>IFERROR(table_DataQualities[ID],"")</f>
        <v>98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9" spans="1:3" x14ac:dyDescent="0.45">
      <c r="A99" s="3">
        <f>IFERROR(table_DataQualities[ID],"")</f>
        <v>99</v>
      </c>
      <c r="B99" s="3">
        <f ca="1">IFERROR(table_DataQualities[unit_ID],"")</f>
        <v>600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0" spans="1:3" x14ac:dyDescent="0.45">
      <c r="A100" s="3">
        <f>IFERROR(table_DataQualities[ID],"")</f>
        <v>100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1" spans="1:3" x14ac:dyDescent="0.45">
      <c r="A101" s="3">
        <f>IFERROR(table_DataQualities[ID],"")</f>
        <v>101</v>
      </c>
      <c r="B101" s="3">
        <f ca="1">IFERROR(table_DataQualities[unit_ID],"")</f>
        <v>1000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2" spans="1:3" x14ac:dyDescent="0.45">
      <c r="A102" s="3">
        <f>IFERROR(table_DataQualities[ID],"")</f>
        <v>102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3" spans="1:3" x14ac:dyDescent="0.45">
      <c r="A103" s="3">
        <f>IFERROR(table_DataQualities[ID],"")</f>
        <v>103</v>
      </c>
      <c r="B103" s="3">
        <f ca="1">IFERROR(table_DataQualities[unit_ID],"")</f>
        <v>500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4" spans="1:3" x14ac:dyDescent="0.45">
      <c r="A104" s="3">
        <f>IFERROR(table_DataQualities[ID],"")</f>
        <v>104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5" spans="1:3" x14ac:dyDescent="0.45">
      <c r="A105" s="3">
        <f>IFERROR(table_DataQualities[ID],"")</f>
        <v>105</v>
      </c>
      <c r="B105" s="3">
        <f ca="1">IFERROR(table_DataQualities[unit_ID],"")</f>
        <v>600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6" spans="1:3" x14ac:dyDescent="0.45">
      <c r="A106" s="3">
        <f>IFERROR(table_DataQualities[ID],"")</f>
        <v>106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7" spans="1:3" x14ac:dyDescent="0.45">
      <c r="A107" s="3">
        <f>IFERROR(table_DataQualities[ID],"")</f>
        <v>107</v>
      </c>
      <c r="B107" s="3">
        <f ca="1">IFERROR(table_DataQualities[unit_ID],"")</f>
        <v>500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8" spans="1:3" x14ac:dyDescent="0.45">
      <c r="A108" s="3">
        <f>IFERROR(table_DataQualities[ID],"")</f>
        <v>108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9" spans="1:3" x14ac:dyDescent="0.45">
      <c r="A109" s="3">
        <f>IFERROR(table_DataQualities[ID],"")</f>
        <v>109</v>
      </c>
      <c r="B109" s="3">
        <f ca="1">IFERROR(table_DataQualities[unit_ID],"")</f>
        <v>900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0" spans="1:3" x14ac:dyDescent="0.45">
      <c r="A110" s="3">
        <f>IFERROR(table_DataQualities[ID],"")</f>
        <v>110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1" spans="1:3" x14ac:dyDescent="0.45">
      <c r="A111" s="3">
        <f>IFERROR(table_DataQualities[ID],"")</f>
        <v>111</v>
      </c>
      <c r="B111" s="3">
        <f ca="1">IFERROR(table_DataQualities[unit_ID],"")</f>
        <v>900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2" spans="1:3" x14ac:dyDescent="0.45">
      <c r="A112" s="3">
        <f>IFERROR(table_DataQualities[ID],"")</f>
        <v>112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3" spans="1:3" x14ac:dyDescent="0.45">
      <c r="A113" s="3">
        <f>IFERROR(table_DataQualities[ID],"")</f>
        <v>113</v>
      </c>
      <c r="B113" s="3">
        <f ca="1">IFERROR(table_DataQualities[unit_ID],"")</f>
        <v>600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4" spans="1:3" x14ac:dyDescent="0.45">
      <c r="A114" s="3">
        <f>IFERROR(table_DataQualities[ID],"")</f>
        <v>114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5" spans="1:3" x14ac:dyDescent="0.45">
      <c r="A115" s="3">
        <f>IFERROR(table_DataQualities[ID],"")</f>
        <v>115</v>
      </c>
      <c r="B115" s="3">
        <f ca="1">IFERROR(table_DataQualities[unit_ID],"")</f>
        <v>500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6" spans="1:3" x14ac:dyDescent="0.45">
      <c r="A116" s="3">
        <f>IFERROR(table_DataQualities[ID],"")</f>
        <v>116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7" spans="1:3" x14ac:dyDescent="0.45">
      <c r="A117" s="3">
        <f>IFERROR(table_DataQualities[ID],"")</f>
        <v>117</v>
      </c>
      <c r="B117" s="3">
        <f ca="1">IFERROR(table_DataQualities[unit_ID],"")</f>
        <v>700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8" spans="1:3" x14ac:dyDescent="0.45">
      <c r="A118" s="3">
        <f>IFERROR(table_DataQualities[ID],"")</f>
        <v>118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9" spans="1:3" x14ac:dyDescent="0.45">
      <c r="A119" s="3">
        <f>IFERROR(table_DataQualities[ID],"")</f>
        <v>119</v>
      </c>
      <c r="B119" s="3">
        <f ca="1">IFERROR(table_DataQualities[unit_ID],"")</f>
        <v>1000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0" spans="1:3" x14ac:dyDescent="0.45">
      <c r="A120" s="3">
        <f>IFERROR(table_DataQualities[ID],"")</f>
        <v>120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1" spans="1:3" x14ac:dyDescent="0.45">
      <c r="A121" s="3">
        <f>IFERROR(table_DataQualities[ID],"")</f>
        <v>121</v>
      </c>
      <c r="B121" s="3">
        <f ca="1">IFERROR(table_DataQualities[unit_ID],"")</f>
        <v>900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2" spans="1:3" x14ac:dyDescent="0.45">
      <c r="A122" s="3">
        <f>IFERROR(table_DataQualities[ID],"")</f>
        <v>122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3" spans="1:3" x14ac:dyDescent="0.45">
      <c r="A123" s="3">
        <f>IFERROR(table_DataQualities[ID],"")</f>
        <v>123</v>
      </c>
      <c r="B123" s="3">
        <f ca="1">IFERROR(table_DataQualities[unit_ID],"")</f>
        <v>800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4" spans="1:3" x14ac:dyDescent="0.45">
      <c r="A124" s="3">
        <f>IFERROR(table_DataQualities[ID],"")</f>
        <v>124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5" spans="1:3" x14ac:dyDescent="0.45">
      <c r="A125" s="3">
        <f>IFERROR(table_DataQualities[ID],"")</f>
        <v>125</v>
      </c>
      <c r="B125" s="3">
        <f ca="1">IFERROR(table_DataQualities[unit_ID],"")</f>
        <v>1000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6" spans="1:3" x14ac:dyDescent="0.45">
      <c r="A126" s="3">
        <f>IFERROR(table_DataQualities[ID],"")</f>
        <v>126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7" spans="1:3" x14ac:dyDescent="0.45">
      <c r="A127" s="3">
        <f>IFERROR(table_DataQualities[ID],"")</f>
        <v>127</v>
      </c>
      <c r="B127" s="3">
        <f ca="1">IFERROR(table_DataQualities[unit_ID],"")</f>
        <v>600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8" spans="1:3" x14ac:dyDescent="0.45">
      <c r="A128" s="3">
        <f>IFERROR(table_DataQualities[ID],"")</f>
        <v>128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9" spans="1:3" x14ac:dyDescent="0.45">
      <c r="A129" s="3">
        <f>IFERROR(table_DataQualities[ID],"")</f>
        <v>129</v>
      </c>
      <c r="B129" s="3">
        <f ca="1">IFERROR(table_DataQualities[unit_ID],"")</f>
        <v>500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0" spans="1:3" x14ac:dyDescent="0.45">
      <c r="A130" s="3">
        <f>IFERROR(table_DataQualities[ID],"")</f>
        <v>130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1" spans="1:3" x14ac:dyDescent="0.45">
      <c r="A131" s="3">
        <f>IFERROR(table_DataQualities[ID],"")</f>
        <v>131</v>
      </c>
      <c r="B131" s="3">
        <f ca="1">IFERROR(table_DataQualities[unit_ID],"")</f>
        <v>600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2" spans="1:3" x14ac:dyDescent="0.45">
      <c r="A132" s="3">
        <f>IFERROR(table_DataQualities[ID],"")</f>
        <v>132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3" spans="1:3" x14ac:dyDescent="0.45">
      <c r="A133" s="3">
        <f>IFERROR(table_DataQualities[ID],"")</f>
        <v>133</v>
      </c>
      <c r="B133" s="3">
        <f ca="1">IFERROR(table_DataQualities[unit_ID],"")</f>
        <v>900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4" spans="1:3" x14ac:dyDescent="0.45">
      <c r="A134" s="3">
        <f>IFERROR(table_DataQualities[ID],"")</f>
        <v>134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5" spans="1:3" x14ac:dyDescent="0.45">
      <c r="A135" s="3">
        <f>IFERROR(table_DataQualities[ID],"")</f>
        <v>135</v>
      </c>
      <c r="B135" s="3">
        <f ca="1">IFERROR(table_DataQualities[unit_ID],"")</f>
        <v>700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6" spans="1:3" x14ac:dyDescent="0.45">
      <c r="A136" s="3">
        <f>IFERROR(table_DataQualities[ID],"")</f>
        <v>136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7" spans="1:3" x14ac:dyDescent="0.45">
      <c r="A137" s="3">
        <f>IFERROR(table_DataQualities[ID],"")</f>
        <v>137</v>
      </c>
      <c r="B137" s="3">
        <f ca="1">IFERROR(table_DataQualities[unit_ID],"")</f>
        <v>500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8" spans="1:3" x14ac:dyDescent="0.45">
      <c r="A138" s="3">
        <f>IFERROR(table_DataQualities[ID],"")</f>
        <v>138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9" spans="1:3" x14ac:dyDescent="0.45">
      <c r="A139" s="3">
        <f>IFERROR(table_DataQualities[ID],"")</f>
        <v>139</v>
      </c>
      <c r="B139" s="3">
        <f ca="1">IFERROR(table_DataQualities[unit_ID],"")</f>
        <v>800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0" spans="1:3" x14ac:dyDescent="0.45">
      <c r="A140" s="3">
        <f>IFERROR(table_DataQualities[ID],"")</f>
        <v>140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1" spans="1:3" x14ac:dyDescent="0.45">
      <c r="A141" s="3">
        <f>IFERROR(table_DataQualities[ID],"")</f>
        <v>141</v>
      </c>
      <c r="B141" s="3">
        <f ca="1">IFERROR(table_DataQualities[unit_ID],"")</f>
        <v>900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2" spans="1:3" x14ac:dyDescent="0.45">
      <c r="A142" s="3">
        <f>IFERROR(table_DataQualities[ID],"")</f>
        <v>142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3" spans="1:3" x14ac:dyDescent="0.45">
      <c r="A143" s="3">
        <f>IFERROR(table_DataQualities[ID],"")</f>
        <v>143</v>
      </c>
      <c r="B143" s="3">
        <f ca="1">IFERROR(table_DataQualities[unit_ID],"")</f>
        <v>600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4" spans="1:3" x14ac:dyDescent="0.45">
      <c r="A144" s="3">
        <f>IFERROR(table_DataQualities[ID],"")</f>
        <v>144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5" spans="1:3" x14ac:dyDescent="0.45">
      <c r="A145" s="3">
        <f>IFERROR(table_DataQualities[ID],"")</f>
        <v>145</v>
      </c>
      <c r="B145" s="3">
        <f ca="1">IFERROR(table_DataQualities[unit_ID],"")</f>
        <v>500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6" spans="1:3" x14ac:dyDescent="0.45">
      <c r="A146" s="3">
        <f>IFERROR(table_DataQualities[ID],"")</f>
        <v>146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7" spans="1:3" x14ac:dyDescent="0.45">
      <c r="A147" s="3">
        <f>IFERROR(table_DataQualities[ID],"")</f>
        <v>147</v>
      </c>
      <c r="B147" s="3">
        <f ca="1">IFERROR(table_DataQualities[unit_ID],"")</f>
        <v>900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8" spans="1:3" x14ac:dyDescent="0.45">
      <c r="A148" s="3">
        <f>IFERROR(table_DataQualities[ID],"")</f>
        <v>148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9" spans="1:3" x14ac:dyDescent="0.45">
      <c r="A149" s="3">
        <f>IFERROR(table_DataQualities[ID],"")</f>
        <v>149</v>
      </c>
      <c r="B149" s="3">
        <f ca="1">IFERROR(table_DataQualities[unit_ID],"")</f>
        <v>700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0" spans="1:3" x14ac:dyDescent="0.45">
      <c r="A150" s="3">
        <f>IFERROR(table_DataQualities[ID],"")</f>
        <v>150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1" spans="1:3" x14ac:dyDescent="0.45">
      <c r="A151" s="3">
        <f>IFERROR(table_DataQualities[ID],"")</f>
        <v>151</v>
      </c>
      <c r="B151" s="3">
        <f ca="1">IFERROR(table_DataQualities[unit_ID],"")</f>
        <v>700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2" spans="1:3" x14ac:dyDescent="0.45">
      <c r="A152" s="3">
        <f>IFERROR(table_DataQualities[ID],"")</f>
        <v>152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3" spans="1:3" x14ac:dyDescent="0.45">
      <c r="A153" s="3">
        <f>IFERROR(table_DataQualities[ID],"")</f>
        <v>153</v>
      </c>
      <c r="B153" s="3">
        <f ca="1">IFERROR(table_DataQualities[unit_ID],"")</f>
        <v>600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4" spans="1:3" x14ac:dyDescent="0.45">
      <c r="A154" s="3">
        <f>IFERROR(table_DataQualities[ID],"")</f>
        <v>154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5" spans="1:3" x14ac:dyDescent="0.45">
      <c r="A155" s="3">
        <f>IFERROR(table_DataQualities[ID],"")</f>
        <v>155</v>
      </c>
      <c r="B155" s="3">
        <f ca="1">IFERROR(table_DataQualities[unit_ID],"")</f>
        <v>1000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6" spans="1:3" x14ac:dyDescent="0.45">
      <c r="A156" s="3">
        <f>IFERROR(table_DataQualities[ID],"")</f>
        <v>156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7" spans="1:3" x14ac:dyDescent="0.45">
      <c r="A157" s="3">
        <f>IFERROR(table_DataQualities[ID],"")</f>
        <v>157</v>
      </c>
      <c r="B157" s="3">
        <f ca="1">IFERROR(table_DataQualities[unit_ID],"")</f>
        <v>1000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8" spans="1:3" x14ac:dyDescent="0.45">
      <c r="A158" s="3">
        <f>IFERROR(table_DataQualities[ID],"")</f>
        <v>158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9" spans="1:3" x14ac:dyDescent="0.45">
      <c r="A159" s="3">
        <f>IFERROR(table_DataQualities[ID],"")</f>
        <v>159</v>
      </c>
      <c r="B159" s="3">
        <f ca="1">IFERROR(table_DataQualities[unit_ID],"")</f>
        <v>500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0" spans="1:3" x14ac:dyDescent="0.45">
      <c r="A160" s="3">
        <f>IFERROR(table_DataQualities[ID],"")</f>
        <v>160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1" spans="1:3" x14ac:dyDescent="0.45">
      <c r="A161" s="3">
        <f>IFERROR(table_DataQualities[ID],"")</f>
        <v>161</v>
      </c>
      <c r="B161" s="3">
        <f ca="1">IFERROR(table_DataQualities[unit_ID],"")</f>
        <v>700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2" spans="1:3" x14ac:dyDescent="0.45">
      <c r="A162" s="3">
        <f>IFERROR(table_DataQualities[ID],"")</f>
        <v>162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3" spans="1:3" x14ac:dyDescent="0.45">
      <c r="A163" s="3">
        <f>IFERROR(table_DataQualities[ID],"")</f>
        <v>163</v>
      </c>
      <c r="B163" s="3">
        <f ca="1">IFERROR(table_DataQualities[unit_ID],"")</f>
        <v>800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4" spans="1:3" x14ac:dyDescent="0.45">
      <c r="A164" s="3">
        <f>IFERROR(table_DataQualities[ID],"")</f>
        <v>164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5" spans="1:3" x14ac:dyDescent="0.45">
      <c r="A165" s="3">
        <f>IFERROR(table_DataQualities[ID],"")</f>
        <v>165</v>
      </c>
      <c r="B165" s="3">
        <f ca="1">IFERROR(table_DataQualities[unit_ID],"")</f>
        <v>800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6" spans="1:3" x14ac:dyDescent="0.45">
      <c r="A166" s="3">
        <f>IFERROR(table_DataQualities[ID],"")</f>
        <v>166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7" spans="1:3" x14ac:dyDescent="0.45">
      <c r="A167" s="3">
        <f>IFERROR(table_DataQualities[ID],"")</f>
        <v>167</v>
      </c>
      <c r="B167" s="3">
        <f ca="1">IFERROR(table_DataQualities[unit_ID],"")</f>
        <v>500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8" spans="1:3" x14ac:dyDescent="0.45">
      <c r="A168" s="3">
        <f>IFERROR(table_DataQualities[ID],"")</f>
        <v>168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9" spans="1:3" x14ac:dyDescent="0.45">
      <c r="A169" s="3">
        <f>IFERROR(table_DataQualities[ID],"")</f>
        <v>169</v>
      </c>
      <c r="B169" s="3">
        <f ca="1">IFERROR(table_DataQualities[unit_ID],"")</f>
        <v>800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0" spans="1:3" x14ac:dyDescent="0.45">
      <c r="A170" s="3">
        <f>IFERROR(table_DataQualities[ID],"")</f>
        <v>170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1" spans="1:3" x14ac:dyDescent="0.45">
      <c r="A171" s="3">
        <f>IFERROR(table_DataQualities[ID],"")</f>
        <v>171</v>
      </c>
      <c r="B171" s="3">
        <f ca="1">IFERROR(table_DataQualities[unit_ID],"")</f>
        <v>900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2" spans="1:3" x14ac:dyDescent="0.45">
      <c r="A172" s="3">
        <f>IFERROR(table_DataQualities[ID],"")</f>
        <v>172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3" spans="1:3" x14ac:dyDescent="0.45">
      <c r="A173" s="3">
        <f>IFERROR(table_DataQualities[ID],"")</f>
        <v>173</v>
      </c>
      <c r="B173" s="3">
        <f ca="1">IFERROR(table_DataQualities[unit_ID],"")</f>
        <v>900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4" spans="1:3" x14ac:dyDescent="0.45">
      <c r="A174" s="3">
        <f>IFERROR(table_DataQualities[ID],"")</f>
        <v>174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5" spans="1:3" x14ac:dyDescent="0.45">
      <c r="A175" s="3">
        <f>IFERROR(table_DataQualities[ID],"")</f>
        <v>175</v>
      </c>
      <c r="B175" s="3">
        <f ca="1">IFERROR(table_DataQualities[unit_ID],"")</f>
        <v>1000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6" spans="1:3" x14ac:dyDescent="0.45">
      <c r="A176" s="3">
        <f>IFERROR(table_DataQualities[ID],"")</f>
        <v>176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7" spans="1:3" x14ac:dyDescent="0.45">
      <c r="A177" s="3">
        <f>IFERROR(table_DataQualities[ID],"")</f>
        <v>177</v>
      </c>
      <c r="B177" s="3">
        <f ca="1">IFERROR(table_DataQualities[unit_ID],"")</f>
        <v>800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8" spans="1:3" x14ac:dyDescent="0.45">
      <c r="A178" s="3">
        <f>IFERROR(table_DataQualities[ID],"")</f>
        <v>178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9" spans="1:3" x14ac:dyDescent="0.45">
      <c r="A179" s="3">
        <f>IFERROR(table_DataQualities[ID],"")</f>
        <v>179</v>
      </c>
      <c r="B179" s="3">
        <f ca="1">IFERROR(table_DataQualities[unit_ID],"")</f>
        <v>500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0" spans="1:3" x14ac:dyDescent="0.45">
      <c r="A180" s="3">
        <f>IFERROR(table_DataQualities[ID],"")</f>
        <v>180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1" spans="1:3" x14ac:dyDescent="0.45">
      <c r="A181" s="3">
        <f>IFERROR(table_DataQualities[ID],"")</f>
        <v>181</v>
      </c>
      <c r="B181" s="3">
        <f ca="1">IFERROR(table_DataQualities[unit_ID],"")</f>
        <v>800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2" spans="1:3" x14ac:dyDescent="0.45">
      <c r="A182" s="3">
        <f>IFERROR(table_DataQualities[ID],"")</f>
        <v>182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3" spans="1:3" x14ac:dyDescent="0.45">
      <c r="A183" s="3">
        <f>IFERROR(table_DataQualities[ID],"")</f>
        <v>183</v>
      </c>
      <c r="B183" s="3">
        <f ca="1">IFERROR(table_DataQualities[unit_ID],"")</f>
        <v>600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4" spans="1:3" x14ac:dyDescent="0.45">
      <c r="A184" s="3">
        <f>IFERROR(table_DataQualities[ID],"")</f>
        <v>184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5" spans="1:3" x14ac:dyDescent="0.45">
      <c r="A185" s="3">
        <f>IFERROR(table_DataQualities[ID],"")</f>
        <v>185</v>
      </c>
      <c r="B185" s="3">
        <f ca="1">IFERROR(table_DataQualities[unit_ID],"")</f>
        <v>700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6" spans="1:3" x14ac:dyDescent="0.45">
      <c r="A186" s="3">
        <f>IFERROR(table_DataQualities[ID],"")</f>
        <v>186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7" spans="1:3" x14ac:dyDescent="0.45">
      <c r="A187" s="3">
        <f>IFERROR(table_DataQualities[ID],"")</f>
        <v>187</v>
      </c>
      <c r="B187" s="3">
        <f ca="1">IFERROR(table_DataQualities[unit_ID],"")</f>
        <v>800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8" spans="1:3" x14ac:dyDescent="0.45">
      <c r="A188" s="3">
        <f>IFERROR(table_DataQualities[ID],"")</f>
        <v>188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9" spans="1:3" x14ac:dyDescent="0.45">
      <c r="A189" s="3">
        <f>IFERROR(table_DataQualities[ID],"")</f>
        <v>189</v>
      </c>
      <c r="B189" s="3">
        <f ca="1">IFERROR(table_DataQualities[unit_ID],"")</f>
        <v>700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0" spans="1:3" x14ac:dyDescent="0.45">
      <c r="A190" s="3">
        <f>IFERROR(table_DataQualities[ID],"")</f>
        <v>190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1" spans="1:3" x14ac:dyDescent="0.45">
      <c r="A191" s="3">
        <f>IFERROR(table_DataQualities[ID],"")</f>
        <v>191</v>
      </c>
      <c r="B191" s="3">
        <f ca="1">IFERROR(table_DataQualities[unit_ID],"")</f>
        <v>800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2" spans="1:3" x14ac:dyDescent="0.45">
      <c r="A192" s="3">
        <f>IFERROR(table_DataQualities[ID],"")</f>
        <v>192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3" spans="1:3" x14ac:dyDescent="0.45">
      <c r="A193" s="3">
        <f>IFERROR(table_DataQualities[ID],"")</f>
        <v>193</v>
      </c>
      <c r="B193" s="3">
        <f ca="1">IFERROR(table_DataQualities[unit_ID],"")</f>
        <v>600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4" spans="1:3" x14ac:dyDescent="0.45">
      <c r="A194" s="3">
        <f>IFERROR(table_DataQualities[ID],"")</f>
        <v>194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5" spans="1:3" x14ac:dyDescent="0.45">
      <c r="A195" s="3">
        <f>IFERROR(table_DataQualities[ID],"")</f>
        <v>195</v>
      </c>
      <c r="B195" s="3">
        <f ca="1">IFERROR(table_DataQualities[unit_ID],"")</f>
        <v>800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6" spans="1:3" x14ac:dyDescent="0.45">
      <c r="A196" s="3">
        <f>IFERROR(table_DataQualities[ID],"")</f>
        <v>196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7" spans="1:3" x14ac:dyDescent="0.45">
      <c r="A197" s="3">
        <f>IFERROR(table_DataQualities[ID],"")</f>
        <v>197</v>
      </c>
      <c r="B197" s="3">
        <f ca="1">IFERROR(table_DataQualities[unit_ID],"")</f>
        <v>600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8" spans="1:3" x14ac:dyDescent="0.45">
      <c r="A198" s="3">
        <f>IFERROR(table_DataQualities[ID],"")</f>
        <v>198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9" spans="1:3" x14ac:dyDescent="0.45">
      <c r="A199" s="3">
        <f>IFERROR(table_DataQualities[ID],"")</f>
        <v>199</v>
      </c>
      <c r="B199" s="3">
        <f ca="1">IFERROR(table_DataQualities[unit_ID],"")</f>
        <v>900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0" spans="1:3" x14ac:dyDescent="0.45">
      <c r="A200" s="3">
        <f>IFERROR(table_DataQualities[ID],"")</f>
        <v>200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1" spans="1:3" x14ac:dyDescent="0.45">
      <c r="A201" s="3">
        <f>IFERROR(table_DataQualities[ID],"")</f>
        <v>201</v>
      </c>
      <c r="B201" s="3">
        <f ca="1">IFERROR(table_DataQualities[unit_ID],"")</f>
        <v>500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2" spans="1:3" x14ac:dyDescent="0.45">
      <c r="A202" s="3">
        <f>IFERROR(table_DataQualities[ID],"")</f>
        <v>202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3" spans="1:3" x14ac:dyDescent="0.45">
      <c r="A203" s="3">
        <f>IFERROR(table_DataQualities[ID],"")</f>
        <v>203</v>
      </c>
      <c r="B203" s="3">
        <f ca="1">IFERROR(table_DataQualities[unit_ID],"")</f>
        <v>500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4" spans="1:3" x14ac:dyDescent="0.45">
      <c r="A204" s="3">
        <f>IFERROR(table_DataQualities[ID],"")</f>
        <v>204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5" spans="1:3" x14ac:dyDescent="0.45">
      <c r="A205" s="3">
        <f>IFERROR(table_DataQualities[ID],"")</f>
        <v>205</v>
      </c>
      <c r="B205" s="3">
        <f ca="1">IFERROR(table_DataQualities[unit_ID],"")</f>
        <v>1000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6" spans="1:3" x14ac:dyDescent="0.45">
      <c r="A206" s="3">
        <f>IFERROR(table_DataQualities[ID],"")</f>
        <v>206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7" spans="1:3" x14ac:dyDescent="0.45">
      <c r="A207" s="3">
        <f>IFERROR(table_DataQualities[ID],"")</f>
        <v>207</v>
      </c>
      <c r="B207" s="3">
        <f ca="1">IFERROR(table_DataQualities[unit_ID],"")</f>
        <v>500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8" spans="1:3" x14ac:dyDescent="0.45">
      <c r="A208" s="3">
        <f>IFERROR(table_DataQualities[ID],"")</f>
        <v>208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9" spans="1:3" x14ac:dyDescent="0.45">
      <c r="A209" s="3">
        <f>IFERROR(table_DataQualities[ID],"")</f>
        <v>209</v>
      </c>
      <c r="B209" s="3">
        <f ca="1">IFERROR(table_DataQualities[unit_ID],"")</f>
        <v>800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0" spans="1:3" x14ac:dyDescent="0.45">
      <c r="A210" s="3">
        <f>IFERROR(table_DataQualities[ID],"")</f>
        <v>210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1" spans="1:3" x14ac:dyDescent="0.45">
      <c r="A211" s="3">
        <f>IFERROR(table_DataQualities[ID],"")</f>
        <v>211</v>
      </c>
      <c r="B211" s="3">
        <f ca="1">IFERROR(table_DataQualities[unit_ID],"")</f>
        <v>700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2" spans="1:3" x14ac:dyDescent="0.45">
      <c r="A212" s="3">
        <f>IFERROR(table_DataQualities[ID],"")</f>
        <v>212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3" spans="1:3" x14ac:dyDescent="0.45">
      <c r="A213" s="3">
        <f>IFERROR(table_DataQualities[ID],"")</f>
        <v>213</v>
      </c>
      <c r="B213" s="3">
        <f ca="1">IFERROR(table_DataQualities[unit_ID],"")</f>
        <v>600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4" spans="1:3" x14ac:dyDescent="0.45">
      <c r="A214" s="3">
        <f>IFERROR(table_DataQualities[ID],"")</f>
        <v>214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5" spans="1:3" x14ac:dyDescent="0.45">
      <c r="A215" s="3">
        <f>IFERROR(table_DataQualities[ID],"")</f>
        <v>215</v>
      </c>
      <c r="B215" s="3">
        <f ca="1">IFERROR(table_DataQualities[unit_ID],"")</f>
        <v>500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6" spans="1:3" x14ac:dyDescent="0.45">
      <c r="A216" s="3">
        <f>IFERROR(table_DataQualities[ID],"")</f>
        <v>216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7" spans="1:3" x14ac:dyDescent="0.45">
      <c r="A217" s="3">
        <f>IFERROR(table_DataQualities[ID],"")</f>
        <v>217</v>
      </c>
      <c r="B217" s="3">
        <f ca="1">IFERROR(table_DataQualities[unit_ID],"")</f>
        <v>1000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8" spans="1:3" x14ac:dyDescent="0.45">
      <c r="A218" s="3">
        <f>IFERROR(table_DataQualities[ID],"")</f>
        <v>218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9" spans="1:3" x14ac:dyDescent="0.45">
      <c r="A219" s="3">
        <f>IFERROR(table_DataQualities[ID],"")</f>
        <v>219</v>
      </c>
      <c r="B219" s="3">
        <f ca="1">IFERROR(table_DataQualities[unit_ID],"")</f>
        <v>900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0" spans="1:3" x14ac:dyDescent="0.45">
      <c r="A220" s="3">
        <f>IFERROR(table_DataQualities[ID],"")</f>
        <v>220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1" spans="1:3" x14ac:dyDescent="0.45">
      <c r="A221" s="3">
        <f>IFERROR(table_DataQualities[ID],"")</f>
        <v>221</v>
      </c>
      <c r="B221" s="3">
        <f ca="1">IFERROR(table_DataQualities[unit_ID],"")</f>
        <v>1000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2" spans="1:3" x14ac:dyDescent="0.45">
      <c r="A222" s="3">
        <f>IFERROR(table_DataQualities[ID],"")</f>
        <v>222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3" spans="1:3" x14ac:dyDescent="0.45">
      <c r="A223" s="3">
        <f>IFERROR(table_DataQualities[ID],"")</f>
        <v>223</v>
      </c>
      <c r="B223" s="3">
        <f ca="1">IFERROR(table_DataQualities[unit_ID],"")</f>
        <v>900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4" spans="1:3" x14ac:dyDescent="0.45">
      <c r="A224" s="3">
        <f>IFERROR(table_DataQualities[ID],"")</f>
        <v>224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5" spans="1:3" x14ac:dyDescent="0.45">
      <c r="A225" s="3">
        <f>IFERROR(table_DataQualities[ID],"")</f>
        <v>225</v>
      </c>
      <c r="B225" s="3">
        <f ca="1">IFERROR(table_DataQualities[unit_ID],"")</f>
        <v>1000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6" spans="1:3" x14ac:dyDescent="0.45">
      <c r="A226" s="3">
        <f>IFERROR(table_DataQualities[ID],"")</f>
        <v>226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7" spans="1:3" x14ac:dyDescent="0.45">
      <c r="A227" s="3">
        <f>IFERROR(table_DataQualities[ID],"")</f>
        <v>227</v>
      </c>
      <c r="B227" s="3">
        <f ca="1">IFERROR(table_DataQualities[unit_ID],"")</f>
        <v>1000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8" spans="1:3" x14ac:dyDescent="0.45">
      <c r="A228" s="3">
        <f>IFERROR(table_DataQualities[ID],"")</f>
        <v>228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9" spans="1:3" x14ac:dyDescent="0.45">
      <c r="A229" s="3">
        <f>IFERROR(table_DataQualities[ID],"")</f>
        <v>229</v>
      </c>
      <c r="B229" s="3">
        <f ca="1">IFERROR(table_DataQualities[unit_ID],"")</f>
        <v>500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0" spans="1:3" x14ac:dyDescent="0.45">
      <c r="A230" s="3">
        <f>IFERROR(table_DataQualities[ID],"")</f>
        <v>230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1" spans="1:3" x14ac:dyDescent="0.45">
      <c r="A231" s="3">
        <f>IFERROR(table_DataQualities[ID],"")</f>
        <v>231</v>
      </c>
      <c r="B231" s="3">
        <f ca="1">IFERROR(table_DataQualities[unit_ID],"")</f>
        <v>500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2" spans="1:3" x14ac:dyDescent="0.45">
      <c r="A232" s="3">
        <f>IFERROR(table_DataQualities[ID],"")</f>
        <v>232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3" spans="1:3" x14ac:dyDescent="0.45">
      <c r="A233" s="3">
        <f>IFERROR(table_DataQualities[ID],"")</f>
        <v>233</v>
      </c>
      <c r="B233" s="3">
        <f ca="1">IFERROR(table_DataQualities[unit_ID],"")</f>
        <v>500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4" spans="1:3" x14ac:dyDescent="0.45">
      <c r="A234" s="3">
        <f>IFERROR(table_DataQualities[ID],"")</f>
        <v>234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5" spans="1:3" x14ac:dyDescent="0.45">
      <c r="A235" s="3">
        <f>IFERROR(table_DataQualities[ID],"")</f>
        <v>235</v>
      </c>
      <c r="B235" s="3">
        <f ca="1">IFERROR(table_DataQualities[unit_ID],"")</f>
        <v>1000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6" spans="1:3" x14ac:dyDescent="0.45">
      <c r="A236" s="3">
        <f>IFERROR(table_DataQualities[ID],"")</f>
        <v>236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7" spans="1:3" x14ac:dyDescent="0.45">
      <c r="A237" s="3">
        <f>IFERROR(table_DataQualities[ID],"")</f>
        <v>237</v>
      </c>
      <c r="B237" s="3">
        <f ca="1">IFERROR(table_DataQualities[unit_ID],"")</f>
        <v>900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8" spans="1:3" x14ac:dyDescent="0.45">
      <c r="A238" s="3">
        <f>IFERROR(table_DataQualities[ID],"")</f>
        <v>238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9" spans="1:3" x14ac:dyDescent="0.45">
      <c r="A239" s="3">
        <f>IFERROR(table_DataQualities[ID],"")</f>
        <v>239</v>
      </c>
      <c r="B239" s="3">
        <f ca="1">IFERROR(table_DataQualities[unit_ID],"")</f>
        <v>600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0" spans="1:3" x14ac:dyDescent="0.45">
      <c r="A240" s="3">
        <f>IFERROR(table_DataQualities[ID],"")</f>
        <v>240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1" spans="1:3" x14ac:dyDescent="0.45">
      <c r="A241" s="3">
        <f>IFERROR(table_DataQualities[ID],"")</f>
        <v>241</v>
      </c>
      <c r="B241" s="3">
        <f ca="1">IFERROR(table_DataQualities[unit_ID],"")</f>
        <v>600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2" spans="1:3" x14ac:dyDescent="0.45">
      <c r="A242" s="3">
        <f>IFERROR(table_DataQualities[ID],"")</f>
        <v>242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3" spans="1:3" x14ac:dyDescent="0.45">
      <c r="A243" s="3">
        <f>IFERROR(table_DataQualities[ID],"")</f>
        <v>243</v>
      </c>
      <c r="B243" s="3">
        <f ca="1">IFERROR(table_DataQualities[unit_ID],"")</f>
        <v>800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4" spans="1:3" x14ac:dyDescent="0.45">
      <c r="A244" s="3">
        <f>IFERROR(table_DataQualities[ID],"")</f>
        <v>244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5" spans="1:3" x14ac:dyDescent="0.45">
      <c r="A245" s="3">
        <f>IFERROR(table_DataQualities[ID],"")</f>
        <v>245</v>
      </c>
      <c r="B245" s="3">
        <f ca="1">IFERROR(table_DataQualities[unit_ID],"")</f>
        <v>900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6" spans="1:3" x14ac:dyDescent="0.45">
      <c r="A246" s="3">
        <f>IFERROR(table_DataQualities[ID],"")</f>
        <v>246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7" spans="1:3" x14ac:dyDescent="0.45">
      <c r="A247" s="3">
        <f>IFERROR(table_DataQualities[ID],"")</f>
        <v>247</v>
      </c>
      <c r="B247" s="3">
        <f ca="1">IFERROR(table_DataQualities[unit_ID],"")</f>
        <v>600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8" spans="1:3" x14ac:dyDescent="0.45">
      <c r="A248" s="3">
        <f>IFERROR(table_DataQualities[ID],"")</f>
        <v>248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9" spans="1:3" x14ac:dyDescent="0.45">
      <c r="A249" s="3">
        <f>IFERROR(table_DataQualities[ID],"")</f>
        <v>249</v>
      </c>
      <c r="B249" s="3">
        <f ca="1">IFERROR(table_DataQualities[unit_ID],"")</f>
        <v>800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0" spans="1:3" x14ac:dyDescent="0.45">
      <c r="A250" s="3">
        <f>IFERROR(table_DataQualities[ID],"")</f>
        <v>250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1" spans="1:3" x14ac:dyDescent="0.45">
      <c r="A251" s="3">
        <f>IFERROR(table_DataQualities[ID],"")</f>
        <v>251</v>
      </c>
      <c r="B251" s="3">
        <f ca="1">IFERROR(table_DataQualities[unit_ID],"")</f>
        <v>700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2" spans="1:3" x14ac:dyDescent="0.45">
      <c r="A252" s="3">
        <f>IFERROR(table_DataQualities[ID],"")</f>
        <v>252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3" spans="1:3" x14ac:dyDescent="0.45">
      <c r="A253" s="3">
        <f>IFERROR(table_DataQualities[ID],"")</f>
        <v>253</v>
      </c>
      <c r="B253" s="3">
        <f ca="1">IFERROR(table_DataQualities[unit_ID],"")</f>
        <v>700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4" spans="1:3" x14ac:dyDescent="0.45">
      <c r="A254" s="3">
        <f>IFERROR(table_DataQualities[ID],"")</f>
        <v>254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5" spans="1:3" x14ac:dyDescent="0.45">
      <c r="A255" s="3">
        <f>IFERROR(table_DataQualities[ID],"")</f>
        <v>255</v>
      </c>
      <c r="B255" s="3">
        <f ca="1">IFERROR(table_DataQualities[unit_ID],"")</f>
        <v>900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6" spans="1:3" x14ac:dyDescent="0.45">
      <c r="A256" s="3">
        <f>IFERROR(table_DataQualities[ID],"")</f>
        <v>256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7" spans="1:3" x14ac:dyDescent="0.45">
      <c r="A257" s="3">
        <f>IFERROR(table_DataQualities[ID],"")</f>
        <v>257</v>
      </c>
      <c r="B257" s="3">
        <f ca="1">IFERROR(table_DataQualities[unit_ID],"")</f>
        <v>800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8" spans="1:3" x14ac:dyDescent="0.45">
      <c r="A258" s="3">
        <f>IFERROR(table_DataQualities[ID],"")</f>
        <v>258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9" spans="1:3" x14ac:dyDescent="0.45">
      <c r="A259" s="3">
        <f>IFERROR(table_DataQualities[ID],"")</f>
        <v>259</v>
      </c>
      <c r="B259" s="3">
        <f ca="1">IFERROR(table_DataQualities[unit_ID],"")</f>
        <v>500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0" spans="1:3" x14ac:dyDescent="0.45">
      <c r="A260" s="3">
        <f>IFERROR(table_DataQualities[ID],"")</f>
        <v>260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1" spans="1:3" x14ac:dyDescent="0.45">
      <c r="A261" s="3">
        <f>IFERROR(table_DataQualities[ID],"")</f>
        <v>261</v>
      </c>
      <c r="B261" s="3">
        <f ca="1">IFERROR(table_DataQualities[unit_ID],"")</f>
        <v>800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2" spans="1:3" x14ac:dyDescent="0.45">
      <c r="A262" s="3">
        <f>IFERROR(table_DataQualities[ID],"")</f>
        <v>262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3" spans="1:3" x14ac:dyDescent="0.45">
      <c r="A263" s="3">
        <f>IFERROR(table_DataQualities[ID],"")</f>
        <v>263</v>
      </c>
      <c r="B263" s="3">
        <f ca="1">IFERROR(table_DataQualities[unit_ID],"")</f>
        <v>600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4" spans="1:3" x14ac:dyDescent="0.45">
      <c r="A264" s="3">
        <f>IFERROR(table_DataQualities[ID],"")</f>
        <v>264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5" spans="1:3" x14ac:dyDescent="0.45">
      <c r="A265" s="3">
        <f>IFERROR(table_DataQualities[ID],"")</f>
        <v>265</v>
      </c>
      <c r="B265" s="3">
        <f ca="1">IFERROR(table_DataQualities[unit_ID],"")</f>
        <v>500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6" spans="1:3" x14ac:dyDescent="0.45">
      <c r="A266" s="3">
        <f>IFERROR(table_DataQualities[ID],"")</f>
        <v>266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7" spans="1:3" x14ac:dyDescent="0.45">
      <c r="A267" s="3">
        <f>IFERROR(table_DataQualities[ID],"")</f>
        <v>267</v>
      </c>
      <c r="B267" s="3">
        <f ca="1">IFERROR(table_DataQualities[unit_ID],"")</f>
        <v>1000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8" spans="1:3" x14ac:dyDescent="0.45">
      <c r="A268" s="3">
        <f>IFERROR(table_DataQualities[ID],"")</f>
        <v>268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9" spans="1:3" x14ac:dyDescent="0.45">
      <c r="A269" s="3">
        <f>IFERROR(table_DataQualities[ID],"")</f>
        <v>269</v>
      </c>
      <c r="B269" s="3">
        <f ca="1">IFERROR(table_DataQualities[unit_ID],"")</f>
        <v>600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0" spans="1:3" x14ac:dyDescent="0.45">
      <c r="A270" s="3">
        <f>IFERROR(table_DataQualities[ID],"")</f>
        <v>270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1" spans="1:3" x14ac:dyDescent="0.45">
      <c r="A271" s="3">
        <f>IFERROR(table_DataQualities[ID],"")</f>
        <v>271</v>
      </c>
      <c r="B271" s="3">
        <f ca="1">IFERROR(table_DataQualities[unit_ID],"")</f>
        <v>900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2" spans="1:3" x14ac:dyDescent="0.45">
      <c r="A272" s="3">
        <f>IFERROR(table_DataQualities[ID],"")</f>
        <v>272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3" spans="1:3" x14ac:dyDescent="0.45">
      <c r="A273" s="3">
        <f>IFERROR(table_DataQualities[ID],"")</f>
        <v>273</v>
      </c>
      <c r="B273" s="3">
        <f ca="1">IFERROR(table_DataQualities[unit_ID],"")</f>
        <v>1000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4" spans="1:3" x14ac:dyDescent="0.45">
      <c r="A274" s="3">
        <f>IFERROR(table_DataQualities[ID],"")</f>
        <v>274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5" spans="1:3" x14ac:dyDescent="0.45">
      <c r="A275" s="3">
        <f>IFERROR(table_DataQualities[ID],"")</f>
        <v>275</v>
      </c>
      <c r="B275" s="3">
        <f ca="1">IFERROR(table_DataQualities[unit_ID],"")</f>
        <v>1000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6" spans="1:3" x14ac:dyDescent="0.45">
      <c r="A276" s="3">
        <f>IFERROR(table_DataQualities[ID],"")</f>
        <v>276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7" spans="1:3" x14ac:dyDescent="0.45">
      <c r="A277" s="3">
        <f>IFERROR(table_DataQualities[ID],"")</f>
        <v>277</v>
      </c>
      <c r="B277" s="3">
        <f ca="1">IFERROR(table_DataQualities[unit_ID],"")</f>
        <v>600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8" spans="1:3" x14ac:dyDescent="0.45">
      <c r="A278" s="3">
        <f>IFERROR(table_DataQualities[ID],"")</f>
        <v>278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9" spans="1:3" x14ac:dyDescent="0.45">
      <c r="A279" s="3">
        <f>IFERROR(table_DataQualities[ID],"")</f>
        <v>279</v>
      </c>
      <c r="B279" s="3">
        <f ca="1">IFERROR(table_DataQualities[unit_ID],"")</f>
        <v>1000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0" spans="1:3" x14ac:dyDescent="0.45">
      <c r="A280" s="3">
        <f>IFERROR(table_DataQualities[ID],"")</f>
        <v>280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1" spans="1:3" x14ac:dyDescent="0.45">
      <c r="A281" s="3">
        <f>IFERROR(table_DataQualities[ID],"")</f>
        <v>281</v>
      </c>
      <c r="B281" s="3">
        <f ca="1">IFERROR(table_DataQualities[unit_ID],"")</f>
        <v>600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2" spans="1:3" x14ac:dyDescent="0.45">
      <c r="A282" s="3">
        <f>IFERROR(table_DataQualities[ID],"")</f>
        <v>282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3" spans="1:3" x14ac:dyDescent="0.45">
      <c r="A283" s="3">
        <f>IFERROR(table_DataQualities[ID],"")</f>
        <v>283</v>
      </c>
      <c r="B283" s="3">
        <f ca="1">IFERROR(table_DataQualities[unit_ID],"")</f>
        <v>500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4" spans="1:3" x14ac:dyDescent="0.45">
      <c r="A284" s="3">
        <f>IFERROR(table_DataQualities[ID],"")</f>
        <v>284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5" spans="1:3" x14ac:dyDescent="0.45">
      <c r="A285" s="3">
        <f>IFERROR(table_DataQualities[ID],"")</f>
        <v>285</v>
      </c>
      <c r="B285" s="3">
        <f ca="1">IFERROR(table_DataQualities[unit_ID],"")</f>
        <v>1000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6" spans="1:3" x14ac:dyDescent="0.45">
      <c r="A286" s="3">
        <f>IFERROR(table_DataQualities[ID],"")</f>
        <v>286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7" spans="1:3" x14ac:dyDescent="0.45">
      <c r="A287" s="3">
        <f>IFERROR(table_DataQualities[ID],"")</f>
        <v>287</v>
      </c>
      <c r="B287" s="3">
        <f ca="1">IFERROR(table_DataQualities[unit_ID],"")</f>
        <v>800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8" spans="1:3" x14ac:dyDescent="0.45">
      <c r="A288" s="3">
        <f>IFERROR(table_DataQualities[ID],"")</f>
        <v>288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9" spans="1:3" x14ac:dyDescent="0.45">
      <c r="A289" s="3">
        <f>IFERROR(table_DataQualities[ID],"")</f>
        <v>289</v>
      </c>
      <c r="B289" s="3">
        <f ca="1">IFERROR(table_DataQualities[unit_ID],"")</f>
        <v>1000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0" spans="1:3" x14ac:dyDescent="0.45">
      <c r="A290" s="3">
        <f>IFERROR(table_DataQualities[ID],"")</f>
        <v>290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1" spans="1:3" x14ac:dyDescent="0.45">
      <c r="A291" s="3">
        <f>IFERROR(table_DataQualities[ID],"")</f>
        <v>291</v>
      </c>
      <c r="B291" s="3">
        <f ca="1">IFERROR(table_DataQualities[unit_ID],"")</f>
        <v>1000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2" spans="1:3" x14ac:dyDescent="0.45">
      <c r="A292" s="3">
        <f>IFERROR(table_DataQualities[ID],"")</f>
        <v>292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3" spans="1:3" x14ac:dyDescent="0.45">
      <c r="A293" s="3">
        <f>IFERROR(table_DataQualities[ID],"")</f>
        <v>293</v>
      </c>
      <c r="B293" s="3">
        <f ca="1">IFERROR(table_DataQualities[unit_ID],"")</f>
        <v>600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4" spans="1:3" x14ac:dyDescent="0.45">
      <c r="A294" s="3">
        <f>IFERROR(table_DataQualities[ID],"")</f>
        <v>294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5" spans="1:3" x14ac:dyDescent="0.45">
      <c r="A295" s="3">
        <f>IFERROR(table_DataQualities[ID],"")</f>
        <v>295</v>
      </c>
      <c r="B295" s="3">
        <f ca="1">IFERROR(table_DataQualities[unit_ID],"")</f>
        <v>1000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6" spans="1:3" x14ac:dyDescent="0.45">
      <c r="A296" s="3">
        <f>IFERROR(table_DataQualities[ID],"")</f>
        <v>296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7" spans="1:3" x14ac:dyDescent="0.45">
      <c r="A297" s="3">
        <f>IFERROR(table_DataQualities[ID],"")</f>
        <v>297</v>
      </c>
      <c r="B297" s="3">
        <f ca="1">IFERROR(table_DataQualities[unit_ID],"")</f>
        <v>600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8" spans="1:3" x14ac:dyDescent="0.45">
      <c r="A298" s="3">
        <f>IFERROR(table_DataQualities[ID],"")</f>
        <v>298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9" spans="1:3" x14ac:dyDescent="0.45">
      <c r="A299" s="3">
        <f>IFERROR(table_DataQualities[ID],"")</f>
        <v>299</v>
      </c>
      <c r="B299" s="3">
        <f ca="1">IFERROR(table_DataQualities[unit_ID],"")</f>
        <v>700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0" spans="1:3" x14ac:dyDescent="0.45">
      <c r="A300" s="3">
        <f>IFERROR(table_DataQualities[ID],"")</f>
        <v>300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1" spans="1:3" x14ac:dyDescent="0.45">
      <c r="A301" s="3">
        <f>IFERROR(table_DataQualities[ID],"")</f>
        <v>301</v>
      </c>
      <c r="B301" s="3">
        <f ca="1">IFERROR(table_DataQualities[unit_ID],"")</f>
        <v>600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2" spans="1:3" x14ac:dyDescent="0.45">
      <c r="A302" s="3">
        <f>IFERROR(table_DataQualities[ID],"")</f>
        <v>302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3" spans="1:3" x14ac:dyDescent="0.45">
      <c r="A303" s="3">
        <f>IFERROR(table_DataQualities[ID],"")</f>
        <v>303</v>
      </c>
      <c r="B303" s="3">
        <f ca="1">IFERROR(table_DataQualities[unit_ID],"")</f>
        <v>700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4" spans="1:3" x14ac:dyDescent="0.45">
      <c r="A304" s="3">
        <f>IFERROR(table_DataQualities[ID],"")</f>
        <v>304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5" spans="1:3" x14ac:dyDescent="0.45">
      <c r="A305" s="3">
        <f>IFERROR(table_DataQualities[ID],"")</f>
        <v>305</v>
      </c>
      <c r="B305" s="3">
        <f ca="1">IFERROR(table_DataQualities[unit_ID],"")</f>
        <v>500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6" spans="1:3" x14ac:dyDescent="0.45">
      <c r="A306" s="3">
        <f>IFERROR(table_DataQualities[ID],"")</f>
        <v>306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7" spans="1:3" x14ac:dyDescent="0.45">
      <c r="A307" s="3">
        <f>IFERROR(table_DataQualities[ID],"")</f>
        <v>307</v>
      </c>
      <c r="B307" s="3">
        <f ca="1">IFERROR(table_DataQualities[unit_ID],"")</f>
        <v>800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8" spans="1:3" x14ac:dyDescent="0.45">
      <c r="A308" s="3">
        <f>IFERROR(table_DataQualities[ID],"")</f>
        <v>308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9" spans="1:3" x14ac:dyDescent="0.45">
      <c r="A309" s="3">
        <f>IFERROR(table_DataQualities[ID],"")</f>
        <v>309</v>
      </c>
      <c r="B309" s="3">
        <f ca="1">IFERROR(table_DataQualities[unit_ID],"")</f>
        <v>1000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0" spans="1:3" x14ac:dyDescent="0.45">
      <c r="A310" s="3">
        <f>IFERROR(table_DataQualities[ID],"")</f>
        <v>310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1" spans="1:3" x14ac:dyDescent="0.45">
      <c r="A311" s="3">
        <f>IFERROR(table_DataQualities[ID],"")</f>
        <v>311</v>
      </c>
      <c r="B311" s="3">
        <f ca="1">IFERROR(table_DataQualities[unit_ID],"")</f>
        <v>600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2" spans="1:3" x14ac:dyDescent="0.45">
      <c r="A312" s="3">
        <f>IFERROR(table_DataQualities[ID],"")</f>
        <v>312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3" spans="1:3" x14ac:dyDescent="0.45">
      <c r="A313" s="3">
        <f>IFERROR(table_DataQualities[ID],"")</f>
        <v>313</v>
      </c>
      <c r="B313" s="3">
        <f ca="1">IFERROR(table_DataQualities[unit_ID],"")</f>
        <v>900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4" spans="1:3" x14ac:dyDescent="0.45">
      <c r="A314" s="3">
        <f>IFERROR(table_DataQualities[ID],"")</f>
        <v>314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5" spans="1:3" x14ac:dyDescent="0.45">
      <c r="A315" s="3">
        <f>IFERROR(table_DataQualities[ID],"")</f>
        <v>315</v>
      </c>
      <c r="B315" s="3">
        <f ca="1">IFERROR(table_DataQualities[unit_ID],"")</f>
        <v>600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6" spans="1:3" x14ac:dyDescent="0.45">
      <c r="A316" s="3">
        <f>IFERROR(table_DataQualities[ID],"")</f>
        <v>316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7" spans="1:3" x14ac:dyDescent="0.45">
      <c r="A317" s="3">
        <f>IFERROR(table_DataQualities[ID],"")</f>
        <v>317</v>
      </c>
      <c r="B317" s="3">
        <f ca="1">IFERROR(table_DataQualities[unit_ID],"")</f>
        <v>500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8" spans="1:3" x14ac:dyDescent="0.45">
      <c r="A318" s="3">
        <f>IFERROR(table_DataQualities[ID],"")</f>
        <v>318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9" spans="1:3" x14ac:dyDescent="0.45">
      <c r="A319" s="3">
        <f>IFERROR(table_DataQualities[ID],"")</f>
        <v>319</v>
      </c>
      <c r="B319" s="3">
        <f ca="1">IFERROR(table_DataQualities[unit_ID],"")</f>
        <v>800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0" spans="1:3" x14ac:dyDescent="0.45">
      <c r="A320" s="3">
        <f>IFERROR(table_DataQualities[ID],"")</f>
        <v>320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1" spans="1:3" x14ac:dyDescent="0.45">
      <c r="A321" s="3">
        <f>IFERROR(table_DataQualities[ID],"")</f>
        <v>321</v>
      </c>
      <c r="B321" s="3">
        <f ca="1">IFERROR(table_DataQualities[unit_ID],"")</f>
        <v>1000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2" spans="1:3" x14ac:dyDescent="0.45">
      <c r="A322" s="3">
        <f>IFERROR(table_DataQualities[ID],"")</f>
        <v>322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3" spans="1:3" x14ac:dyDescent="0.45">
      <c r="A323" s="3">
        <f>IFERROR(table_DataQualities[ID],"")</f>
        <v>323</v>
      </c>
      <c r="B323" s="3">
        <f ca="1">IFERROR(table_DataQualities[unit_ID],"")</f>
        <v>700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4" spans="1:3" x14ac:dyDescent="0.45">
      <c r="A324" s="3">
        <f>IFERROR(table_DataQualities[ID],"")</f>
        <v>324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5" spans="1:3" x14ac:dyDescent="0.45">
      <c r="A325" s="3">
        <f>IFERROR(table_DataQualities[ID],"")</f>
        <v>325</v>
      </c>
      <c r="B325" s="3">
        <f ca="1">IFERROR(table_DataQualities[unit_ID],"")</f>
        <v>900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6" spans="1:3" x14ac:dyDescent="0.45">
      <c r="A326" s="3">
        <f>IFERROR(table_DataQualities[ID],"")</f>
        <v>326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7" spans="1:3" x14ac:dyDescent="0.45">
      <c r="A327" s="3">
        <f>IFERROR(table_DataQualities[ID],"")</f>
        <v>327</v>
      </c>
      <c r="B327" s="3">
        <f ca="1">IFERROR(table_DataQualities[unit_ID],"")</f>
        <v>900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8" spans="1:3" x14ac:dyDescent="0.45">
      <c r="A328" s="3">
        <f>IFERROR(table_DataQualities[ID],"")</f>
        <v>328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9" spans="1:3" x14ac:dyDescent="0.45">
      <c r="A329" s="3">
        <f>IFERROR(table_DataQualities[ID],"")</f>
        <v>329</v>
      </c>
      <c r="B329" s="3">
        <f ca="1">IFERROR(table_DataQualities[unit_ID],"")</f>
        <v>500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0" spans="1:3" x14ac:dyDescent="0.45">
      <c r="A330" s="3">
        <f>IFERROR(table_DataQualities[ID],"")</f>
        <v>330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1" spans="1:3" x14ac:dyDescent="0.45">
      <c r="A331" s="3">
        <f>IFERROR(table_DataQualities[ID],"")</f>
        <v>331</v>
      </c>
      <c r="B331" s="3">
        <f ca="1">IFERROR(table_DataQualities[unit_ID],"")</f>
        <v>700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2" spans="1:3" x14ac:dyDescent="0.45">
      <c r="A332" s="3">
        <f>IFERROR(table_DataQualities[ID],"")</f>
        <v>332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3" spans="1:3" x14ac:dyDescent="0.45">
      <c r="A333" s="3">
        <f>IFERROR(table_DataQualities[ID],"")</f>
        <v>333</v>
      </c>
      <c r="B333" s="3">
        <f ca="1">IFERROR(table_DataQualities[unit_ID],"")</f>
        <v>600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4" spans="1:3" x14ac:dyDescent="0.45">
      <c r="A334" s="3">
        <f>IFERROR(table_DataQualities[ID],"")</f>
        <v>334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5" spans="1:3" x14ac:dyDescent="0.45">
      <c r="A335" s="3">
        <f>IFERROR(table_DataQualities[ID],"")</f>
        <v>335</v>
      </c>
      <c r="B335" s="3">
        <f ca="1">IFERROR(table_DataQualities[unit_ID],"")</f>
        <v>1000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6" spans="1:3" x14ac:dyDescent="0.45">
      <c r="A336" s="3">
        <f>IFERROR(table_DataQualities[ID],"")</f>
        <v>336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7" spans="1:3" x14ac:dyDescent="0.45">
      <c r="A337" s="3">
        <f>IFERROR(table_DataQualities[ID],"")</f>
        <v>337</v>
      </c>
      <c r="B337" s="3">
        <f ca="1">IFERROR(table_DataQualities[unit_ID],"")</f>
        <v>700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8" spans="1:3" x14ac:dyDescent="0.45">
      <c r="A338" s="3">
        <f>IFERROR(table_DataQualities[ID],"")</f>
        <v>338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9" spans="1:3" x14ac:dyDescent="0.45">
      <c r="A339" s="3">
        <f>IFERROR(table_DataQualities[ID],"")</f>
        <v>339</v>
      </c>
      <c r="B339" s="3">
        <f ca="1">IFERROR(table_DataQualities[unit_ID],"")</f>
        <v>600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0" spans="1:3" x14ac:dyDescent="0.45">
      <c r="A340" s="3">
        <f>IFERROR(table_DataQualities[ID],"")</f>
        <v>340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1" spans="1:3" x14ac:dyDescent="0.45">
      <c r="A341" s="3">
        <f>IFERROR(table_DataQualities[ID],"")</f>
        <v>341</v>
      </c>
      <c r="B341" s="3">
        <f ca="1">IFERROR(table_DataQualities[unit_ID],"")</f>
        <v>600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2" spans="1:3" x14ac:dyDescent="0.45">
      <c r="A342" s="3">
        <f>IFERROR(table_DataQualities[ID],"")</f>
        <v>342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3" spans="1:3" x14ac:dyDescent="0.45">
      <c r="A343" s="3">
        <f>IFERROR(table_DataQualities[ID],"")</f>
        <v>343</v>
      </c>
      <c r="B343" s="3">
        <f ca="1">IFERROR(table_DataQualities[unit_ID],"")</f>
        <v>800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4" spans="1:3" x14ac:dyDescent="0.45">
      <c r="A344" s="3">
        <f>IFERROR(table_DataQualities[ID],"")</f>
        <v>344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5" spans="1:3" x14ac:dyDescent="0.45">
      <c r="A345" s="3">
        <f>IFERROR(table_DataQualities[ID],"")</f>
        <v>345</v>
      </c>
      <c r="B345" s="3">
        <f ca="1">IFERROR(table_DataQualities[unit_ID],"")</f>
        <v>600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6" spans="1:3" x14ac:dyDescent="0.45">
      <c r="A346" s="3">
        <f>IFERROR(table_DataQualities[ID],"")</f>
        <v>346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7" spans="1:3" x14ac:dyDescent="0.45">
      <c r="A347" s="3">
        <f>IFERROR(table_DataQualities[ID],"")</f>
        <v>347</v>
      </c>
      <c r="B347" s="3">
        <f ca="1">IFERROR(table_DataQualities[unit_ID],"")</f>
        <v>500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8" spans="1:3" x14ac:dyDescent="0.45">
      <c r="A348" s="3">
        <f>IFERROR(table_DataQualities[ID],"")</f>
        <v>348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9" spans="1:3" x14ac:dyDescent="0.45">
      <c r="A349" s="3">
        <f>IFERROR(table_DataQualities[ID],"")</f>
        <v>349</v>
      </c>
      <c r="B349" s="3">
        <f ca="1">IFERROR(table_DataQualities[unit_ID],"")</f>
        <v>700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0" spans="1:3" x14ac:dyDescent="0.45">
      <c r="A350" s="3">
        <f>IFERROR(table_DataQualities[ID],"")</f>
        <v>350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1" spans="1:3" x14ac:dyDescent="0.45">
      <c r="A351" s="3">
        <f>IFERROR(table_DataQualities[ID],"")</f>
        <v>351</v>
      </c>
      <c r="B351" s="3">
        <f ca="1">IFERROR(table_DataQualities[unit_ID],"")</f>
        <v>900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2" spans="1:3" x14ac:dyDescent="0.45">
      <c r="A352" s="3">
        <f>IFERROR(table_DataQualities[ID],"")</f>
        <v>352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3" spans="1:3" x14ac:dyDescent="0.45">
      <c r="A353" s="3">
        <f>IFERROR(table_DataQualities[ID],"")</f>
        <v>353</v>
      </c>
      <c r="B353" s="3">
        <f ca="1">IFERROR(table_DataQualities[unit_ID],"")</f>
        <v>500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4" spans="1:3" x14ac:dyDescent="0.45">
      <c r="A354" s="3">
        <f>IFERROR(table_DataQualities[ID],"")</f>
        <v>354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5" spans="1:3" x14ac:dyDescent="0.45">
      <c r="A355" s="3">
        <f>IFERROR(table_DataQualities[ID],"")</f>
        <v>355</v>
      </c>
      <c r="B355" s="3">
        <f ca="1">IFERROR(table_DataQualities[unit_ID],"")</f>
        <v>1000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6" spans="1:3" x14ac:dyDescent="0.45">
      <c r="A356" s="3">
        <f>IFERROR(table_DataQualities[ID],"")</f>
        <v>356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7" spans="1:3" x14ac:dyDescent="0.45">
      <c r="A357" s="3">
        <f>IFERROR(table_DataQualities[ID],"")</f>
        <v>357</v>
      </c>
      <c r="B357" s="3">
        <f ca="1">IFERROR(table_DataQualities[unit_ID],"")</f>
        <v>600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8" spans="1:3" x14ac:dyDescent="0.45">
      <c r="A358" s="3">
        <f>IFERROR(table_DataQualities[ID],"")</f>
        <v>358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9" spans="1:3" x14ac:dyDescent="0.45">
      <c r="A359" s="3">
        <f>IFERROR(table_DataQualities[ID],"")</f>
        <v>359</v>
      </c>
      <c r="B359" s="3">
        <f ca="1">IFERROR(table_DataQualities[unit_ID],"")</f>
        <v>500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0" spans="1:3" x14ac:dyDescent="0.45">
      <c r="A360" s="3">
        <f>IFERROR(table_DataQualities[ID],"")</f>
        <v>360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1" spans="1:3" x14ac:dyDescent="0.45">
      <c r="A361" s="3">
        <f>IFERROR(table_DataQualities[ID],"")</f>
        <v>361</v>
      </c>
      <c r="B361" s="3">
        <f ca="1">IFERROR(table_DataQualities[unit_ID],"")</f>
        <v>900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2" spans="1:3" x14ac:dyDescent="0.45">
      <c r="A362" s="3">
        <f>IFERROR(table_DataQualities[ID],"")</f>
        <v>362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3" spans="1:3" x14ac:dyDescent="0.45">
      <c r="A363" s="3">
        <f>IFERROR(table_DataQualities[ID],"")</f>
        <v>363</v>
      </c>
      <c r="B363" s="3">
        <f ca="1">IFERROR(table_DataQualities[unit_ID],"")</f>
        <v>800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4" spans="1:3" x14ac:dyDescent="0.45">
      <c r="A364" s="3">
        <f>IFERROR(table_DataQualities[ID],"")</f>
        <v>364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5" spans="1:3" x14ac:dyDescent="0.45">
      <c r="A365" s="3">
        <f>IFERROR(table_DataQualities[ID],"")</f>
        <v>365</v>
      </c>
      <c r="B365" s="3">
        <f ca="1">IFERROR(table_DataQualities[unit_ID],"")</f>
        <v>700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6" spans="1:3" x14ac:dyDescent="0.45">
      <c r="A366" s="3">
        <f>IFERROR(table_DataQualities[ID],"")</f>
        <v>366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7" spans="1:3" x14ac:dyDescent="0.45">
      <c r="A367" s="3">
        <f>IFERROR(table_DataQualities[ID],"")</f>
        <v>367</v>
      </c>
      <c r="B367" s="3">
        <f ca="1">IFERROR(table_DataQualities[unit_ID],"")</f>
        <v>700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8" spans="1:3" x14ac:dyDescent="0.45">
      <c r="A368" s="3">
        <f>IFERROR(table_DataQualities[ID],"")</f>
        <v>368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9" spans="1:3" x14ac:dyDescent="0.45">
      <c r="A369" s="3">
        <f>IFERROR(table_DataQualities[ID],"")</f>
        <v>369</v>
      </c>
      <c r="B369" s="3">
        <f ca="1">IFERROR(table_DataQualities[unit_ID],"")</f>
        <v>1000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0" spans="1:3" x14ac:dyDescent="0.45">
      <c r="A370" s="3">
        <f>IFERROR(table_DataQualities[ID],"")</f>
        <v>370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1" spans="1:3" x14ac:dyDescent="0.45">
      <c r="A371" s="3">
        <f>IFERROR(table_DataQualities[ID],"")</f>
        <v>371</v>
      </c>
      <c r="B371" s="3">
        <f ca="1">IFERROR(table_DataQualities[unit_ID],"")</f>
        <v>600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2" spans="1:3" x14ac:dyDescent="0.45">
      <c r="A372" s="3">
        <f>IFERROR(table_DataQualities[ID],"")</f>
        <v>372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3" spans="1:3" x14ac:dyDescent="0.45">
      <c r="A373" s="3">
        <f>IFERROR(table_DataQualities[ID],"")</f>
        <v>373</v>
      </c>
      <c r="B373" s="3">
        <f ca="1">IFERROR(table_DataQualities[unit_ID],"")</f>
        <v>900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4" spans="1:3" x14ac:dyDescent="0.45">
      <c r="A374" s="3">
        <f>IFERROR(table_DataQualities[ID],"")</f>
        <v>374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5" spans="1:3" x14ac:dyDescent="0.45">
      <c r="A375" s="3">
        <f>IFERROR(table_DataQualities[ID],"")</f>
        <v>375</v>
      </c>
      <c r="B375" s="3">
        <f ca="1">IFERROR(table_DataQualities[unit_ID],"")</f>
        <v>1000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6" spans="1:3" x14ac:dyDescent="0.45">
      <c r="A376" s="3">
        <f>IFERROR(table_DataQualities[ID],"")</f>
        <v>376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7" spans="1:3" x14ac:dyDescent="0.45">
      <c r="A377" s="3">
        <f>IFERROR(table_DataQualities[ID],"")</f>
        <v>377</v>
      </c>
      <c r="B377" s="3">
        <f ca="1">IFERROR(table_DataQualities[unit_ID],"")</f>
        <v>500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8" spans="1:3" x14ac:dyDescent="0.45">
      <c r="A378" s="3">
        <f>IFERROR(table_DataQualities[ID],"")</f>
        <v>378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9" spans="1:3" x14ac:dyDescent="0.45">
      <c r="A379" s="3">
        <f>IFERROR(table_DataQualities[ID],"")</f>
        <v>379</v>
      </c>
      <c r="B379" s="3">
        <f ca="1">IFERROR(table_DataQualities[unit_ID],"")</f>
        <v>700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0" spans="1:3" x14ac:dyDescent="0.45">
      <c r="A380" s="3">
        <f>IFERROR(table_DataQualities[ID],"")</f>
        <v>380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1" spans="1:3" x14ac:dyDescent="0.45">
      <c r="A381" s="3">
        <f>IFERROR(table_DataQualities[ID],"")</f>
        <v>381</v>
      </c>
      <c r="B381" s="3">
        <f ca="1">IFERROR(table_DataQualities[unit_ID],"")</f>
        <v>600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2" spans="1:3" x14ac:dyDescent="0.45">
      <c r="A382" s="3">
        <f>IFERROR(table_DataQualities[ID],"")</f>
        <v>382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3" spans="1:3" x14ac:dyDescent="0.45">
      <c r="A383" s="3">
        <f>IFERROR(table_DataQualities[ID],"")</f>
        <v>383</v>
      </c>
      <c r="B383" s="3">
        <f ca="1">IFERROR(table_DataQualities[unit_ID],"")</f>
        <v>700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4" spans="1:3" x14ac:dyDescent="0.45">
      <c r="A384" s="3">
        <f>IFERROR(table_DataQualities[ID],"")</f>
        <v>384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5" spans="1:3" x14ac:dyDescent="0.45">
      <c r="A385" s="3">
        <f>IFERROR(table_DataQualities[ID],"")</f>
        <v>385</v>
      </c>
      <c r="B385" s="3">
        <f ca="1">IFERROR(table_DataQualities[unit_ID],"")</f>
        <v>1000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6" spans="1:3" x14ac:dyDescent="0.45">
      <c r="A386" s="3">
        <f>IFERROR(table_DataQualities[ID],"")</f>
        <v>386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7" spans="1:3" x14ac:dyDescent="0.45">
      <c r="A387" s="3">
        <f>IFERROR(table_DataQualities[ID],"")</f>
        <v>387</v>
      </c>
      <c r="B387" s="3">
        <f ca="1">IFERROR(table_DataQualities[unit_ID],"")</f>
        <v>700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8" spans="1:3" x14ac:dyDescent="0.45">
      <c r="A388" s="3">
        <f>IFERROR(table_DataQualities[ID],"")</f>
        <v>388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9" spans="1:3" x14ac:dyDescent="0.45">
      <c r="A389" s="3">
        <f>IFERROR(table_DataQualities[ID],"")</f>
        <v>389</v>
      </c>
      <c r="B389" s="3">
        <f ca="1">IFERROR(table_DataQualities[unit_ID],"")</f>
        <v>900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0" spans="1:3" x14ac:dyDescent="0.45">
      <c r="A390" s="3">
        <f>IFERROR(table_DataQualities[ID],"")</f>
        <v>390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1" spans="1:3" x14ac:dyDescent="0.45">
      <c r="A391" s="3">
        <f>IFERROR(table_DataQualities[ID],"")</f>
        <v>391</v>
      </c>
      <c r="B391" s="3">
        <f ca="1">IFERROR(table_DataQualities[unit_ID],"")</f>
        <v>800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2" spans="1:3" x14ac:dyDescent="0.45">
      <c r="A392" s="3">
        <f>IFERROR(table_DataQualities[ID],"")</f>
        <v>392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3" spans="1:3" x14ac:dyDescent="0.45">
      <c r="A393" s="3">
        <f>IFERROR(table_DataQualities[ID],"")</f>
        <v>393</v>
      </c>
      <c r="B393" s="3">
        <f ca="1">IFERROR(table_DataQualities[unit_ID],"")</f>
        <v>800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4" spans="1:3" x14ac:dyDescent="0.45">
      <c r="A394" s="3">
        <f>IFERROR(table_DataQualities[ID],"")</f>
        <v>394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5" spans="1:3" x14ac:dyDescent="0.45">
      <c r="A395" s="3">
        <f>IFERROR(table_DataQualities[ID],"")</f>
        <v>395</v>
      </c>
      <c r="B395" s="3">
        <f ca="1">IFERROR(table_DataQualities[unit_ID],"")</f>
        <v>900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6" spans="1:3" x14ac:dyDescent="0.45">
      <c r="A396" s="3">
        <f>IFERROR(table_DataQualities[ID],"")</f>
        <v>396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7" spans="1:3" x14ac:dyDescent="0.45">
      <c r="A397" s="3">
        <f>IFERROR(table_DataQualities[ID],"")</f>
        <v>397</v>
      </c>
      <c r="B397" s="3">
        <f ca="1">IFERROR(table_DataQualities[unit_ID],"")</f>
        <v>700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8" spans="1:3" x14ac:dyDescent="0.45">
      <c r="A398" s="3">
        <f>IFERROR(table_DataQualities[ID],"")</f>
        <v>398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9" spans="1:3" x14ac:dyDescent="0.45">
      <c r="A399" s="3">
        <f>IFERROR(table_DataQualities[ID],"")</f>
        <v>399</v>
      </c>
      <c r="B399" s="3">
        <f ca="1">IFERROR(table_DataQualities[unit_ID],"")</f>
        <v>900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0" spans="1:3" x14ac:dyDescent="0.45">
      <c r="A400" s="3">
        <f>IFERROR(table_DataQualities[ID],"")</f>
        <v>400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1" spans="1:3" x14ac:dyDescent="0.45">
      <c r="A401" s="3">
        <f>IFERROR(table_DataQualities[ID],"")</f>
        <v>401</v>
      </c>
      <c r="B401" s="3">
        <f ca="1">IFERROR(table_DataQualities[unit_ID],"")</f>
        <v>500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2" spans="1:3" x14ac:dyDescent="0.45">
      <c r="A402" s="3" t="str">
        <f>IFERROR(table_DataQualities[ID],"")</f>
        <v/>
      </c>
      <c r="B402" s="3" t="str">
        <f>IFERROR(table_DataQualities[unit_ID],"")</f>
        <v/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 t="str">
        <f>IFERROR(table_DataQualities[ID],"")</f>
        <v/>
      </c>
      <c r="B403" s="3" t="str">
        <f>IFERROR(table_DataQualities[unit_ID],"")</f>
        <v/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05"/>
  <sheetViews>
    <sheetView workbookViewId="0">
      <selection activeCell="G3" sqref="G3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4" width="13.86328125" customWidth="1"/>
    <col min="6" max="7" width="10.664062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</cols>
  <sheetData>
    <row r="1" spans="1:11" x14ac:dyDescent="0.45">
      <c r="A1" s="10" t="s">
        <v>31</v>
      </c>
      <c r="B1" s="10" t="s">
        <v>30</v>
      </c>
      <c r="C1" s="10" t="s">
        <v>69</v>
      </c>
      <c r="D1" s="10" t="s">
        <v>148</v>
      </c>
      <c r="E1" s="10" t="s">
        <v>149</v>
      </c>
      <c r="F1" s="12" t="s">
        <v>150</v>
      </c>
      <c r="G1" s="12" t="s">
        <v>151</v>
      </c>
      <c r="H1" s="12" t="s">
        <v>33</v>
      </c>
      <c r="I1" s="10" t="s">
        <v>27</v>
      </c>
      <c r="J1" s="10" t="s">
        <v>95</v>
      </c>
      <c r="K1" s="10" t="s">
        <v>96</v>
      </c>
    </row>
    <row r="2" spans="1:11" x14ac:dyDescent="0.45">
      <c r="A2" s="10">
        <f ca="1">dict_zuord_DQ_Meth[[#This Row],[ID_DataQualities]]</f>
        <v>0</v>
      </c>
      <c r="B2" s="10">
        <v>366</v>
      </c>
      <c r="C2" s="10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0</v>
      </c>
      <c r="D2" s="10">
        <v>50</v>
      </c>
      <c r="E2" s="10">
        <v>0.01</v>
      </c>
      <c r="F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" s="11" t="str">
        <f>VLOOKUP(VLOOKUP(dict_DQ_Meth_max[[#This Row],[ID_DataQualities]],table_DataQualities[],3),table_Units[],2)</f>
        <v>+/- °C</v>
      </c>
      <c r="I2" s="10">
        <v>0</v>
      </c>
      <c r="J2" s="10">
        <v>10</v>
      </c>
      <c r="K2" s="10">
        <v>0.02</v>
      </c>
    </row>
    <row r="3" spans="1:11" x14ac:dyDescent="0.45">
      <c r="A3" s="10">
        <v>1</v>
      </c>
      <c r="B3" s="10">
        <v>366</v>
      </c>
      <c r="C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" s="10">
        <v>0</v>
      </c>
      <c r="E3" s="10">
        <v>2</v>
      </c>
      <c r="F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2</v>
      </c>
      <c r="H3" s="11" t="str">
        <f>VLOOKUP(VLOOKUP(dict_DQ_Meth_max[[#This Row],[ID_DataQualities]],table_DataQualities[],3),table_Units[],2)</f>
        <v>Hz</v>
      </c>
      <c r="I3" s="10">
        <v>0</v>
      </c>
      <c r="J3" s="10">
        <v>300</v>
      </c>
      <c r="K3" s="10">
        <v>0.02</v>
      </c>
    </row>
    <row r="4" spans="1:11" x14ac:dyDescent="0.45">
      <c r="A4" s="10">
        <v>0</v>
      </c>
      <c r="B4" s="10">
        <v>330</v>
      </c>
      <c r="C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" s="10">
        <v>50</v>
      </c>
      <c r="E4" s="10">
        <v>10</v>
      </c>
      <c r="F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10</v>
      </c>
      <c r="G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50</v>
      </c>
      <c r="H4" s="11" t="str">
        <f>VLOOKUP(VLOOKUP(dict_DQ_Meth_max[[#This Row],[ID_DataQualities]],table_DataQualities[],3),table_Units[],2)</f>
        <v>+/- °C</v>
      </c>
      <c r="I4" s="10">
        <v>0</v>
      </c>
      <c r="J4" s="10">
        <v>20</v>
      </c>
      <c r="K4" s="10">
        <v>0.02</v>
      </c>
    </row>
    <row r="5" spans="1:11" x14ac:dyDescent="0.45">
      <c r="A5" s="10">
        <v>1</v>
      </c>
      <c r="B5" s="10">
        <v>330</v>
      </c>
      <c r="C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" s="10">
        <v>0.01</v>
      </c>
      <c r="E5" s="10">
        <v>1000</v>
      </c>
      <c r="F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0.01</v>
      </c>
      <c r="G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1000</v>
      </c>
      <c r="H5" s="11" t="str">
        <f>VLOOKUP(VLOOKUP(dict_DQ_Meth_max[[#This Row],[ID_DataQualities]],table_DataQualities[],3),table_Units[],2)</f>
        <v>Hz</v>
      </c>
      <c r="I5" s="10">
        <v>0</v>
      </c>
      <c r="J5" s="10">
        <v>300</v>
      </c>
      <c r="K5" s="10">
        <v>0.02</v>
      </c>
    </row>
    <row r="6" spans="1:11" x14ac:dyDescent="0.45">
      <c r="A6" s="10">
        <v>2</v>
      </c>
      <c r="B6" s="10">
        <v>459</v>
      </c>
      <c r="C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" s="10">
        <v>0.1</v>
      </c>
      <c r="E6" s="10">
        <v>2000</v>
      </c>
      <c r="F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0.1</v>
      </c>
      <c r="G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2000</v>
      </c>
      <c r="H6" s="11" t="str">
        <f>VLOOKUP(VLOOKUP(dict_DQ_Meth_max[[#This Row],[ID_DataQualities]],table_DataQualities[],3),table_Units[],2)</f>
        <v>Hz</v>
      </c>
      <c r="I6" s="10">
        <v>0</v>
      </c>
      <c r="J6" s="10">
        <v>10</v>
      </c>
      <c r="K6" s="10">
        <v>1</v>
      </c>
    </row>
    <row r="7" spans="1:11" x14ac:dyDescent="0.45">
      <c r="A7" s="10">
        <v>2</v>
      </c>
      <c r="B7" s="10">
        <v>375</v>
      </c>
      <c r="C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" s="10">
        <v>200</v>
      </c>
      <c r="E7" s="10">
        <v>200</v>
      </c>
      <c r="F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200</v>
      </c>
      <c r="G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200</v>
      </c>
      <c r="H7" s="11" t="str">
        <f>VLOOKUP(VLOOKUP(dict_DQ_Meth_max[[#This Row],[ID_DataQualities]],table_DataQualities[],3),table_Units[],2)</f>
        <v>bit</v>
      </c>
      <c r="I7" s="10">
        <v>0</v>
      </c>
      <c r="J7" s="10">
        <v>300</v>
      </c>
      <c r="K7" s="10">
        <v>1</v>
      </c>
    </row>
    <row r="8" spans="1:11" x14ac:dyDescent="0.45">
      <c r="A8" s="10">
        <v>3</v>
      </c>
      <c r="B8" s="10">
        <v>459</v>
      </c>
      <c r="C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" s="10">
        <v>8</v>
      </c>
      <c r="E8" s="10">
        <v>8</v>
      </c>
      <c r="F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8</v>
      </c>
      <c r="G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8</v>
      </c>
      <c r="H8" s="11" t="str">
        <f>VLOOKUP(VLOOKUP(dict_DQ_Meth_max[[#This Row],[ID_DataQualities]],table_DataQualities[],3),table_Units[],2)</f>
        <v>Hz</v>
      </c>
      <c r="I8" s="10">
        <v>0</v>
      </c>
      <c r="J8" s="10"/>
      <c r="K8" s="10">
        <v>1</v>
      </c>
    </row>
    <row r="9" spans="1:11" x14ac:dyDescent="0.45">
      <c r="A9" s="10">
        <v>3</v>
      </c>
      <c r="B9" s="10">
        <v>375</v>
      </c>
      <c r="C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" s="10">
        <v>10</v>
      </c>
      <c r="E9" s="10">
        <v>10</v>
      </c>
      <c r="F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10</v>
      </c>
      <c r="G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10</v>
      </c>
      <c r="H9" s="11" t="str">
        <f>VLOOKUP(VLOOKUP(dict_DQ_Meth_max[[#This Row],[ID_DataQualities]],table_DataQualities[],3),table_Units[],2)</f>
        <v>Hz</v>
      </c>
      <c r="I9" s="10"/>
      <c r="J9" s="10"/>
      <c r="K9" s="10"/>
    </row>
    <row r="10" spans="1:11" x14ac:dyDescent="0.45">
      <c r="A10" s="10">
        <v>3</v>
      </c>
      <c r="B10" s="10">
        <v>561</v>
      </c>
      <c r="C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" s="10">
        <v>1</v>
      </c>
      <c r="E10" s="10">
        <v>10</v>
      </c>
      <c r="F1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</v>
      </c>
      <c r="G1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10</v>
      </c>
      <c r="H10" s="11" t="str">
        <f>VLOOKUP(VLOOKUP(dict_DQ_Meth_max[[#This Row],[ID_DataQualities]],table_DataQualities[],3),table_Units[],2)</f>
        <v>Hz</v>
      </c>
      <c r="I10" s="10">
        <v>0</v>
      </c>
      <c r="J10" s="10">
        <v>10</v>
      </c>
      <c r="K10" s="10">
        <v>1</v>
      </c>
    </row>
    <row r="11" spans="1:11" x14ac:dyDescent="0.45">
      <c r="A11" s="10">
        <v>2</v>
      </c>
      <c r="B11" s="10">
        <v>561</v>
      </c>
      <c r="C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" s="10">
        <v>125</v>
      </c>
      <c r="E11" s="10">
        <v>125</v>
      </c>
      <c r="F1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125</v>
      </c>
      <c r="G1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125</v>
      </c>
      <c r="H11" s="11" t="str">
        <f>VLOOKUP(VLOOKUP(dict_DQ_Meth_max[[#This Row],[ID_DataQualities]],table_DataQualities[],3),table_Units[],2)</f>
        <v>bit</v>
      </c>
      <c r="I11" s="10">
        <v>0</v>
      </c>
      <c r="J11" s="10">
        <v>5000</v>
      </c>
      <c r="K11" s="10">
        <v>1</v>
      </c>
    </row>
    <row r="12" spans="1:11" x14ac:dyDescent="0.45">
      <c r="A12" s="10">
        <v>4</v>
      </c>
      <c r="B12" s="10">
        <v>378</v>
      </c>
      <c r="C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" s="10">
        <v>24</v>
      </c>
      <c r="E12" s="10">
        <v>24</v>
      </c>
      <c r="F1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24</v>
      </c>
      <c r="G1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24</v>
      </c>
      <c r="H12" s="11" t="str">
        <f>VLOOKUP(VLOOKUP(dict_DQ_Meth_max[[#This Row],[ID_DataQualities]],table_DataQualities[],3),table_Units[],2)</f>
        <v>Hz</v>
      </c>
      <c r="I12" s="10">
        <v>0</v>
      </c>
      <c r="J12" s="10"/>
      <c r="K12" s="10">
        <v>1</v>
      </c>
    </row>
    <row r="13" spans="1:11" x14ac:dyDescent="0.45">
      <c r="A13" s="10">
        <v>5</v>
      </c>
      <c r="B13" s="10">
        <v>378</v>
      </c>
      <c r="C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" s="10">
        <v>40</v>
      </c>
      <c r="E13" s="10">
        <v>40</v>
      </c>
      <c r="F1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40</v>
      </c>
      <c r="G1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40</v>
      </c>
      <c r="H13" s="11" t="str">
        <f>VLOOKUP(VLOOKUP(dict_DQ_Meth_max[[#This Row],[ID_DataQualities]],table_DataQualities[],3),table_Units[],2)</f>
        <v>Hz</v>
      </c>
      <c r="I13" s="10"/>
      <c r="J13" s="10"/>
      <c r="K13" s="10"/>
    </row>
    <row r="14" spans="1:11" x14ac:dyDescent="0.45">
      <c r="A14" s="10">
        <v>5</v>
      </c>
      <c r="B14" s="10">
        <v>160</v>
      </c>
      <c r="C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" s="10">
        <v>50</v>
      </c>
      <c r="E14" s="10">
        <v>1</v>
      </c>
      <c r="F1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50</v>
      </c>
      <c r="G1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</v>
      </c>
      <c r="H14" s="11" t="str">
        <f>VLOOKUP(VLOOKUP(dict_DQ_Meth_max[[#This Row],[ID_DataQualities]],table_DataQualities[],3),table_Units[],2)</f>
        <v>+/- °C</v>
      </c>
      <c r="I14" s="10">
        <v>0</v>
      </c>
      <c r="J14" s="10">
        <v>10</v>
      </c>
      <c r="K14" s="10">
        <v>0.02</v>
      </c>
    </row>
    <row r="15" spans="1:11" x14ac:dyDescent="0.45">
      <c r="A15" s="10">
        <v>5</v>
      </c>
      <c r="B15" s="10">
        <v>175</v>
      </c>
      <c r="C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" s="10">
        <v>0.01</v>
      </c>
      <c r="E15" s="10">
        <v>1</v>
      </c>
      <c r="F1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0.01</v>
      </c>
      <c r="G1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</v>
      </c>
      <c r="H15" s="11" t="str">
        <f>VLOOKUP(VLOOKUP(dict_DQ_Meth_max[[#This Row],[ID_DataQualities]],table_DataQualities[],3),table_Units[],2)</f>
        <v>Hz</v>
      </c>
      <c r="I15" s="10">
        <v>0</v>
      </c>
      <c r="J15" s="10">
        <v>300</v>
      </c>
      <c r="K15" s="10">
        <v>0.02</v>
      </c>
    </row>
    <row r="16" spans="1:11" x14ac:dyDescent="0.45">
      <c r="A16" s="10">
        <v>4</v>
      </c>
      <c r="B16" s="10">
        <v>160</v>
      </c>
      <c r="C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" s="10">
        <v>0.5</v>
      </c>
      <c r="E16" s="10">
        <v>150</v>
      </c>
      <c r="F1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150</v>
      </c>
      <c r="G1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0.5</v>
      </c>
      <c r="H16" s="11" t="str">
        <f>VLOOKUP(VLOOKUP(dict_DQ_Meth_max[[#This Row],[ID_DataQualities]],table_DataQualities[],3),table_Units[],2)</f>
        <v>Hz</v>
      </c>
      <c r="I16" s="10">
        <v>0</v>
      </c>
      <c r="J16" s="10">
        <v>10</v>
      </c>
      <c r="K16" s="10">
        <v>1</v>
      </c>
    </row>
    <row r="17" spans="1:11" x14ac:dyDescent="0.45">
      <c r="A17" s="10">
        <v>4</v>
      </c>
      <c r="B17" s="10">
        <v>175</v>
      </c>
      <c r="C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" s="10">
        <v>130</v>
      </c>
      <c r="E17" s="10">
        <v>130</v>
      </c>
      <c r="F1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130</v>
      </c>
      <c r="G1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130</v>
      </c>
      <c r="H17" s="11" t="str">
        <f>VLOOKUP(VLOOKUP(dict_DQ_Meth_max[[#This Row],[ID_DataQualities]],table_DataQualities[],3),table_Units[],2)</f>
        <v>bit</v>
      </c>
      <c r="I17" s="10">
        <v>0</v>
      </c>
      <c r="J17" s="10">
        <v>300</v>
      </c>
      <c r="K17" s="10">
        <v>1</v>
      </c>
    </row>
    <row r="18" spans="1:11" x14ac:dyDescent="0.45">
      <c r="A18" s="10">
        <v>4</v>
      </c>
      <c r="B18" s="10">
        <v>695</v>
      </c>
      <c r="C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" s="10">
        <v>8</v>
      </c>
      <c r="E18" s="10">
        <v>8</v>
      </c>
      <c r="F1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8</v>
      </c>
      <c r="G1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8</v>
      </c>
      <c r="H18" s="11" t="str">
        <f>VLOOKUP(VLOOKUP(dict_DQ_Meth_max[[#This Row],[ID_DataQualities]],table_DataQualities[],3),table_Units[],2)</f>
        <v>Hz</v>
      </c>
      <c r="I18" s="10">
        <v>0</v>
      </c>
      <c r="J18" s="10"/>
      <c r="K18" s="10">
        <v>1</v>
      </c>
    </row>
    <row r="19" spans="1:11" x14ac:dyDescent="0.45">
      <c r="A19" s="10">
        <v>5</v>
      </c>
      <c r="B19" s="10">
        <v>695</v>
      </c>
      <c r="C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" s="10">
        <v>30</v>
      </c>
      <c r="E19" s="10">
        <v>30</v>
      </c>
      <c r="F1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30</v>
      </c>
      <c r="G1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30</v>
      </c>
      <c r="H19" s="11" t="str">
        <f>VLOOKUP(VLOOKUP(dict_DQ_Meth_max[[#This Row],[ID_DataQualities]],table_DataQualities[],3),table_Units[],2)</f>
        <v>Hz</v>
      </c>
      <c r="I19" s="10"/>
      <c r="J19" s="10"/>
      <c r="K19" s="10"/>
    </row>
    <row r="20" spans="1:11" x14ac:dyDescent="0.45">
      <c r="A20" s="10">
        <v>4</v>
      </c>
      <c r="B20" s="10">
        <v>358</v>
      </c>
      <c r="C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" s="10">
        <v>0.5</v>
      </c>
      <c r="E20" s="10">
        <v>0.4</v>
      </c>
      <c r="F2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0.4</v>
      </c>
      <c r="G2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0.5</v>
      </c>
      <c r="H20" s="11" t="str">
        <f>VLOOKUP(VLOOKUP(dict_DQ_Meth_max[[#This Row],[ID_DataQualities]],table_DataQualities[],3),table_Units[],2)</f>
        <v>+/- mm</v>
      </c>
      <c r="I20" s="10"/>
      <c r="J20" s="10"/>
      <c r="K20" s="10"/>
    </row>
    <row r="21" spans="1:11" x14ac:dyDescent="0.45">
      <c r="A21" s="10">
        <v>5</v>
      </c>
      <c r="B21" s="10">
        <v>358</v>
      </c>
      <c r="C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" s="10">
        <v>10</v>
      </c>
      <c r="E21" s="10">
        <v>200</v>
      </c>
      <c r="F2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10</v>
      </c>
      <c r="G2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200</v>
      </c>
      <c r="H21" s="11" t="str">
        <f>VLOOKUP(VLOOKUP(dict_DQ_Meth_max[[#This Row],[ID_DataQualities]],table_DataQualities[],3),table_Units[],2)</f>
        <v>Hz</v>
      </c>
      <c r="I21" s="10"/>
      <c r="J21" s="10"/>
      <c r="K21" s="10"/>
    </row>
    <row r="22" spans="1:11" x14ac:dyDescent="0.45">
      <c r="A22" s="10">
        <v>6</v>
      </c>
      <c r="B22" s="10">
        <v>219</v>
      </c>
      <c r="C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" s="10">
        <v>0.35</v>
      </c>
      <c r="E22" s="10">
        <v>0.3</v>
      </c>
      <c r="F2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0.35</v>
      </c>
      <c r="G2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0.3</v>
      </c>
      <c r="H22" s="11" t="str">
        <f>VLOOKUP(VLOOKUP(dict_DQ_Meth_max[[#This Row],[ID_DataQualities]],table_DataQualities[],3),table_Units[],2)</f>
        <v>+/- mm</v>
      </c>
      <c r="I22" s="10"/>
      <c r="J22" s="10"/>
      <c r="K22" s="10"/>
    </row>
    <row r="23" spans="1:11" x14ac:dyDescent="0.45">
      <c r="A23" s="10">
        <v>6</v>
      </c>
      <c r="B23" s="10">
        <v>647</v>
      </c>
      <c r="C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" s="10">
        <v>20</v>
      </c>
      <c r="E23" s="10">
        <v>400</v>
      </c>
      <c r="F2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20</v>
      </c>
      <c r="G2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400</v>
      </c>
      <c r="H23" s="11" t="str">
        <f>VLOOKUP(VLOOKUP(dict_DQ_Meth_max[[#This Row],[ID_DataQualities]],table_DataQualities[],3),table_Units[],2)</f>
        <v>Hz</v>
      </c>
      <c r="I23" s="10"/>
      <c r="J23" s="10"/>
      <c r="K23" s="10"/>
    </row>
    <row r="24" spans="1:11" x14ac:dyDescent="0.45">
      <c r="A24" s="10">
        <v>6</v>
      </c>
      <c r="B24" s="10">
        <v>485</v>
      </c>
      <c r="C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" s="10">
        <v>5000</v>
      </c>
      <c r="E24" s="10">
        <v>15000</v>
      </c>
      <c r="F2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5000</v>
      </c>
      <c r="G2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15000</v>
      </c>
      <c r="H24" s="11" t="str">
        <f>VLOOKUP(VLOOKUP(dict_DQ_Meth_max[[#This Row],[ID_DataQualities]],table_DataQualities[],3),table_Units[],2)</f>
        <v>bit</v>
      </c>
      <c r="I24" s="10"/>
      <c r="J24" s="10"/>
      <c r="K24" s="10"/>
    </row>
    <row r="25" spans="1:11" x14ac:dyDescent="0.45">
      <c r="A25" s="10">
        <v>7</v>
      </c>
      <c r="B25" s="10">
        <v>485</v>
      </c>
      <c r="C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" s="10">
        <v>30</v>
      </c>
      <c r="E25" s="10">
        <v>120</v>
      </c>
      <c r="F2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30</v>
      </c>
      <c r="G2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120</v>
      </c>
      <c r="H25" s="11" t="str">
        <f>VLOOKUP(VLOOKUP(dict_DQ_Meth_max[[#This Row],[ID_DataQualities]],table_DataQualities[],3),table_Units[],2)</f>
        <v>Hz</v>
      </c>
      <c r="I25" s="10"/>
      <c r="J25" s="10"/>
      <c r="K25" s="10"/>
    </row>
    <row r="26" spans="1:11" x14ac:dyDescent="0.45">
      <c r="A26" s="10">
        <v>7</v>
      </c>
      <c r="B26" s="10">
        <v>219</v>
      </c>
      <c r="C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" s="10">
        <v>9000</v>
      </c>
      <c r="E26" s="10">
        <v>100000</v>
      </c>
      <c r="F2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9000</v>
      </c>
      <c r="G2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100000</v>
      </c>
      <c r="H26" s="11" t="str">
        <f>VLOOKUP(VLOOKUP(dict_DQ_Meth_max[[#This Row],[ID_DataQualities]],table_DataQualities[],3),table_Units[],2)</f>
        <v>bit</v>
      </c>
      <c r="I26" s="10"/>
      <c r="J26" s="10"/>
      <c r="K26" s="10"/>
    </row>
    <row r="27" spans="1:11" x14ac:dyDescent="0.45">
      <c r="A27" s="10">
        <v>7</v>
      </c>
      <c r="B27" s="10">
        <v>647</v>
      </c>
      <c r="C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" s="10">
        <v>10</v>
      </c>
      <c r="E27" s="10">
        <v>500</v>
      </c>
      <c r="F2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10</v>
      </c>
      <c r="G2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500</v>
      </c>
      <c r="H27" s="11" t="str">
        <f>VLOOKUP(VLOOKUP(dict_DQ_Meth_max[[#This Row],[ID_DataQualities]],table_DataQualities[],3),table_Units[],2)</f>
        <v>Hz</v>
      </c>
      <c r="I27" s="10"/>
      <c r="J27" s="10"/>
      <c r="K27" s="10"/>
    </row>
    <row r="28" spans="1:11" x14ac:dyDescent="0.45">
      <c r="A28" s="10">
        <v>8</v>
      </c>
      <c r="B28" s="10">
        <v>674</v>
      </c>
      <c r="C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" s="10">
        <v>20</v>
      </c>
      <c r="E28" s="10">
        <v>120</v>
      </c>
      <c r="F2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20</v>
      </c>
      <c r="G2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120</v>
      </c>
      <c r="H28" s="11" t="str">
        <f>VLOOKUP(VLOOKUP(dict_DQ_Meth_max[[#This Row],[ID_DataQualities]],table_DataQualities[],3),table_Units[],2)</f>
        <v>mm²</v>
      </c>
      <c r="I28" s="10"/>
      <c r="J28" s="10"/>
      <c r="K28" s="10"/>
    </row>
    <row r="29" spans="1:11" x14ac:dyDescent="0.45">
      <c r="A29" s="10">
        <v>9</v>
      </c>
      <c r="B29" s="10">
        <v>132</v>
      </c>
      <c r="C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" s="10">
        <v>1</v>
      </c>
      <c r="E29" s="10">
        <v>2000</v>
      </c>
      <c r="F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</v>
      </c>
      <c r="G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2000</v>
      </c>
      <c r="H29" s="11" t="str">
        <f>VLOOKUP(VLOOKUP(dict_DQ_Meth_max[[#This Row],[ID_DataQualities]],table_DataQualities[],3),table_Units[],2)</f>
        <v>Hz</v>
      </c>
      <c r="I29" s="10"/>
      <c r="J29" s="10"/>
      <c r="K29" s="10"/>
    </row>
    <row r="30" spans="1:11" x14ac:dyDescent="0.45">
      <c r="A30" s="10">
        <v>8</v>
      </c>
      <c r="B30" s="10">
        <v>132</v>
      </c>
      <c r="C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" s="10">
        <v>15</v>
      </c>
      <c r="E30" s="10">
        <v>100</v>
      </c>
      <c r="F3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15</v>
      </c>
      <c r="G3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100</v>
      </c>
      <c r="H30" s="11" t="str">
        <f>VLOOKUP(VLOOKUP(dict_DQ_Meth_max[[#This Row],[ID_DataQualities]],table_DataQualities[],3),table_Units[],2)</f>
        <v>mm²</v>
      </c>
      <c r="I30" s="10"/>
      <c r="J30" s="10"/>
      <c r="K30" s="10"/>
    </row>
    <row r="31" spans="1:11" x14ac:dyDescent="0.45">
      <c r="A31" s="10">
        <v>8</v>
      </c>
      <c r="B31" s="10">
        <v>656</v>
      </c>
      <c r="C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" s="10">
        <v>1</v>
      </c>
      <c r="E31" s="10">
        <v>1200</v>
      </c>
      <c r="F3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1</v>
      </c>
      <c r="G3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1200</v>
      </c>
      <c r="H31" s="11" t="str">
        <f>VLOOKUP(VLOOKUP(dict_DQ_Meth_max[[#This Row],[ID_DataQualities]],table_DataQualities[],3),table_Units[],2)</f>
        <v>Hz</v>
      </c>
      <c r="I31" s="10"/>
      <c r="J31" s="10"/>
      <c r="K31" s="10"/>
    </row>
    <row r="32" spans="1:11" x14ac:dyDescent="0.45">
      <c r="A32" s="10">
        <v>9</v>
      </c>
      <c r="B32" s="10">
        <v>656</v>
      </c>
      <c r="C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" s="10"/>
      <c r="E32" s="10">
        <v>2</v>
      </c>
      <c r="F3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2</v>
      </c>
      <c r="H32" s="11"/>
      <c r="I32" s="10"/>
      <c r="J32" s="10"/>
      <c r="K32" s="10"/>
    </row>
    <row r="33" spans="1:11" x14ac:dyDescent="0.45">
      <c r="A33" s="10">
        <v>9</v>
      </c>
      <c r="B33" s="10">
        <v>674</v>
      </c>
      <c r="C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" s="10"/>
      <c r="E33" s="10"/>
      <c r="F3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" s="11"/>
      <c r="I33" s="10"/>
      <c r="J33" s="10"/>
      <c r="K33" s="10"/>
    </row>
    <row r="34" spans="1:11" x14ac:dyDescent="0.45">
      <c r="A34" s="10">
        <v>8</v>
      </c>
      <c r="B34" s="10">
        <v>563</v>
      </c>
      <c r="C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" s="10"/>
      <c r="E34" s="10"/>
      <c r="F3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" s="11"/>
      <c r="I34" s="10"/>
      <c r="J34" s="10"/>
      <c r="K34" s="10"/>
    </row>
    <row r="35" spans="1:11" x14ac:dyDescent="0.45">
      <c r="A35" s="10">
        <v>9</v>
      </c>
      <c r="B35" s="10">
        <v>563</v>
      </c>
      <c r="C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" s="10"/>
      <c r="E35" s="10"/>
      <c r="F3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" s="11"/>
      <c r="I35" s="10"/>
      <c r="J35" s="10"/>
      <c r="K35" s="10"/>
    </row>
    <row r="36" spans="1:11" x14ac:dyDescent="0.45">
      <c r="A36" s="10">
        <v>10</v>
      </c>
      <c r="B36" s="10">
        <v>291</v>
      </c>
      <c r="C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0</v>
      </c>
      <c r="D36" s="10"/>
      <c r="E36" s="10"/>
      <c r="F3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" s="11"/>
      <c r="I36" s="10"/>
      <c r="J36" s="10"/>
      <c r="K36" s="10"/>
    </row>
    <row r="37" spans="1:11" x14ac:dyDescent="0.45">
      <c r="A37" s="10">
        <v>11</v>
      </c>
      <c r="B37" s="10">
        <v>291</v>
      </c>
      <c r="C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0</v>
      </c>
      <c r="D37" s="10"/>
      <c r="E37" s="10"/>
      <c r="F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" s="11"/>
      <c r="I37" s="10"/>
      <c r="J37" s="10"/>
      <c r="K37" s="10"/>
    </row>
    <row r="38" spans="1:11" x14ac:dyDescent="0.45">
      <c r="A38" s="10">
        <v>10</v>
      </c>
      <c r="B38" s="10">
        <v>217</v>
      </c>
      <c r="C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0</v>
      </c>
      <c r="D38" s="10"/>
      <c r="E38" s="10"/>
      <c r="F3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" s="11"/>
      <c r="I38" s="10"/>
      <c r="J38" s="10"/>
      <c r="K38" s="10"/>
    </row>
    <row r="39" spans="1:11" x14ac:dyDescent="0.45">
      <c r="A39" s="10">
        <v>10</v>
      </c>
      <c r="B39" s="10">
        <v>9</v>
      </c>
      <c r="C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0</v>
      </c>
      <c r="D39" s="10"/>
      <c r="E39" s="10"/>
      <c r="F3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" s="11"/>
      <c r="I39" s="10"/>
      <c r="J39" s="10"/>
      <c r="K39" s="10"/>
    </row>
    <row r="40" spans="1:11" x14ac:dyDescent="0.45">
      <c r="A40" s="10">
        <v>11</v>
      </c>
      <c r="B40" s="10">
        <v>9</v>
      </c>
      <c r="C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0</v>
      </c>
      <c r="D40" s="10"/>
      <c r="E40" s="10"/>
      <c r="F4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" s="11"/>
      <c r="I40" s="10"/>
      <c r="J40" s="10"/>
      <c r="K40" s="10"/>
    </row>
    <row r="41" spans="1:11" x14ac:dyDescent="0.45">
      <c r="A41" s="10">
        <v>11</v>
      </c>
      <c r="B41" s="10">
        <v>217</v>
      </c>
      <c r="C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0</v>
      </c>
      <c r="D41" s="10"/>
      <c r="E41" s="10"/>
      <c r="F4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" s="11"/>
      <c r="I41" s="10"/>
      <c r="J41" s="10"/>
      <c r="K41" s="10"/>
    </row>
    <row r="42" spans="1:11" x14ac:dyDescent="0.45">
      <c r="A42" s="10">
        <v>12</v>
      </c>
      <c r="B42" s="10">
        <v>421</v>
      </c>
      <c r="C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" s="10"/>
      <c r="E42" s="10"/>
      <c r="F4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" s="11"/>
      <c r="I42" s="10"/>
      <c r="J42" s="10"/>
      <c r="K42" s="10"/>
    </row>
    <row r="43" spans="1:11" x14ac:dyDescent="0.45">
      <c r="A43" s="10">
        <v>13</v>
      </c>
      <c r="B43" s="10">
        <v>421</v>
      </c>
      <c r="C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" s="10"/>
      <c r="E43" s="10"/>
      <c r="F4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" s="11"/>
      <c r="I43" s="10"/>
      <c r="J43" s="10"/>
      <c r="K43" s="10"/>
    </row>
    <row r="44" spans="1:11" x14ac:dyDescent="0.45">
      <c r="A44" s="10">
        <v>12</v>
      </c>
      <c r="B44" s="10">
        <v>150</v>
      </c>
      <c r="C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" s="10"/>
      <c r="E44" s="10"/>
      <c r="F4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" s="11"/>
      <c r="I44" s="10"/>
      <c r="J44" s="10"/>
      <c r="K44" s="10"/>
    </row>
    <row r="45" spans="1:11" x14ac:dyDescent="0.45">
      <c r="A45" s="10">
        <v>13</v>
      </c>
      <c r="B45" s="10">
        <v>150</v>
      </c>
      <c r="C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" s="10"/>
      <c r="E45" s="10"/>
      <c r="F4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" s="11"/>
      <c r="I45" s="10"/>
      <c r="J45" s="10"/>
      <c r="K45" s="10"/>
    </row>
    <row r="46" spans="1:11" x14ac:dyDescent="0.45">
      <c r="A46" s="10">
        <v>13</v>
      </c>
      <c r="B46" s="10">
        <v>387</v>
      </c>
      <c r="C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" s="10"/>
      <c r="E46" s="10"/>
      <c r="F4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" s="11"/>
      <c r="I46" s="10"/>
      <c r="J46" s="10"/>
      <c r="K46" s="10"/>
    </row>
    <row r="47" spans="1:11" x14ac:dyDescent="0.45">
      <c r="A47" s="10">
        <v>12</v>
      </c>
      <c r="B47" s="10">
        <v>387</v>
      </c>
      <c r="C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" s="10"/>
      <c r="E47" s="10"/>
      <c r="F4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" s="11"/>
      <c r="I47" s="10"/>
      <c r="J47" s="10"/>
      <c r="K47" s="10"/>
    </row>
    <row r="48" spans="1:11" x14ac:dyDescent="0.45">
      <c r="A48" s="10">
        <v>12</v>
      </c>
      <c r="B48" s="10">
        <v>403</v>
      </c>
      <c r="C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" s="10"/>
      <c r="E48" s="10"/>
      <c r="F4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" s="11"/>
      <c r="I48" s="10"/>
      <c r="J48" s="10"/>
      <c r="K48" s="10"/>
    </row>
    <row r="49" spans="1:11" x14ac:dyDescent="0.45">
      <c r="A49" s="10">
        <v>13</v>
      </c>
      <c r="B49" s="10">
        <v>403</v>
      </c>
      <c r="C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" s="10"/>
      <c r="E49" s="10"/>
      <c r="F4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" s="11"/>
      <c r="I49" s="10"/>
      <c r="J49" s="10"/>
      <c r="K49" s="10"/>
    </row>
    <row r="50" spans="1:11" x14ac:dyDescent="0.45">
      <c r="A50" s="10">
        <v>15</v>
      </c>
      <c r="B50" s="10">
        <v>313</v>
      </c>
      <c r="C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" s="10"/>
      <c r="E50" s="10"/>
      <c r="F5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" s="11"/>
      <c r="I50" s="10"/>
      <c r="J50" s="10"/>
      <c r="K50" s="10"/>
    </row>
    <row r="51" spans="1:11" x14ac:dyDescent="0.45">
      <c r="A51" s="10">
        <v>15</v>
      </c>
      <c r="B51" s="10">
        <v>587</v>
      </c>
      <c r="C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" s="10"/>
      <c r="E51" s="10"/>
      <c r="F5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" s="11"/>
      <c r="I51" s="10"/>
      <c r="J51" s="10"/>
      <c r="K51" s="10"/>
    </row>
    <row r="52" spans="1:11" x14ac:dyDescent="0.45">
      <c r="A52" s="10">
        <v>14</v>
      </c>
      <c r="B52" s="10">
        <v>587</v>
      </c>
      <c r="C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" s="10"/>
      <c r="E52" s="10"/>
      <c r="F5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" s="11"/>
      <c r="I52" s="10"/>
      <c r="J52" s="10"/>
      <c r="K52" s="10"/>
    </row>
    <row r="53" spans="1:11" x14ac:dyDescent="0.45">
      <c r="A53" s="10">
        <v>14</v>
      </c>
      <c r="B53" s="10">
        <v>313</v>
      </c>
      <c r="C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" s="10"/>
      <c r="E53" s="10"/>
      <c r="F5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" s="11"/>
      <c r="I53" s="10"/>
      <c r="J53" s="10"/>
      <c r="K53" s="10"/>
    </row>
    <row r="54" spans="1:11" x14ac:dyDescent="0.45">
      <c r="A54" s="10">
        <v>15</v>
      </c>
      <c r="B54" s="10">
        <v>29</v>
      </c>
      <c r="C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" s="10"/>
      <c r="E54" s="10"/>
      <c r="F5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" s="11"/>
      <c r="I54" s="10"/>
      <c r="J54" s="10"/>
      <c r="K54" s="10"/>
    </row>
    <row r="55" spans="1:11" x14ac:dyDescent="0.45">
      <c r="A55" s="10">
        <v>14</v>
      </c>
      <c r="B55" s="10">
        <v>29</v>
      </c>
      <c r="C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" s="10"/>
      <c r="E55" s="10"/>
      <c r="F5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" s="11"/>
      <c r="I55" s="10"/>
      <c r="J55" s="10"/>
      <c r="K55" s="10"/>
    </row>
    <row r="56" spans="1:11" x14ac:dyDescent="0.45">
      <c r="A56" s="10">
        <v>16</v>
      </c>
      <c r="B56" s="10">
        <v>31</v>
      </c>
      <c r="C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" s="10"/>
      <c r="E56" s="10"/>
      <c r="F5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" s="11"/>
      <c r="I56" s="10"/>
      <c r="J56" s="10"/>
      <c r="K56" s="10"/>
    </row>
    <row r="57" spans="1:11" x14ac:dyDescent="0.45">
      <c r="A57" s="10">
        <v>17</v>
      </c>
      <c r="B57" s="10">
        <v>126</v>
      </c>
      <c r="C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" s="10"/>
      <c r="E57" s="10"/>
      <c r="F5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" s="11"/>
      <c r="I57" s="10"/>
      <c r="J57" s="10"/>
      <c r="K57" s="10"/>
    </row>
    <row r="58" spans="1:11" x14ac:dyDescent="0.45">
      <c r="A58" s="10">
        <v>16</v>
      </c>
      <c r="B58" s="10">
        <v>126</v>
      </c>
      <c r="C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" s="10"/>
      <c r="E58" s="10"/>
      <c r="F5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" s="11"/>
      <c r="I58" s="10"/>
      <c r="J58" s="10"/>
      <c r="K58" s="10"/>
    </row>
    <row r="59" spans="1:11" x14ac:dyDescent="0.45">
      <c r="A59" s="10">
        <v>16</v>
      </c>
      <c r="B59" s="10">
        <v>49</v>
      </c>
      <c r="C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" s="10"/>
      <c r="E59" s="10"/>
      <c r="F5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" s="11"/>
      <c r="I59" s="10"/>
      <c r="J59" s="10"/>
      <c r="K59" s="10"/>
    </row>
    <row r="60" spans="1:11" x14ac:dyDescent="0.45">
      <c r="A60" s="10">
        <v>17</v>
      </c>
      <c r="B60" s="10">
        <v>49</v>
      </c>
      <c r="C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" s="10"/>
      <c r="E60" s="10"/>
      <c r="F6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" s="11"/>
      <c r="I60" s="10"/>
      <c r="J60" s="10"/>
      <c r="K60" s="10"/>
    </row>
    <row r="61" spans="1:11" x14ac:dyDescent="0.45">
      <c r="A61" s="10">
        <v>17</v>
      </c>
      <c r="B61" s="10">
        <v>31</v>
      </c>
      <c r="C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" s="10"/>
      <c r="E61" s="10"/>
      <c r="F6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" s="11"/>
      <c r="I61" s="10"/>
      <c r="J61" s="10"/>
      <c r="K61" s="10"/>
    </row>
    <row r="62" spans="1:11" x14ac:dyDescent="0.45">
      <c r="A62" s="10">
        <v>19</v>
      </c>
      <c r="B62" s="10">
        <v>327</v>
      </c>
      <c r="C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" s="10"/>
      <c r="E62" s="10"/>
      <c r="F6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" s="11"/>
      <c r="I62" s="10"/>
      <c r="J62" s="10"/>
      <c r="K62" s="10"/>
    </row>
    <row r="63" spans="1:11" x14ac:dyDescent="0.45">
      <c r="A63" s="10">
        <v>18</v>
      </c>
      <c r="B63" s="10">
        <v>426</v>
      </c>
      <c r="C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" s="10"/>
      <c r="E63" s="10"/>
      <c r="F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" s="11"/>
      <c r="I63" s="10"/>
      <c r="J63" s="10"/>
      <c r="K63" s="10"/>
    </row>
    <row r="64" spans="1:11" x14ac:dyDescent="0.45">
      <c r="A64" s="10">
        <v>19</v>
      </c>
      <c r="B64" s="10">
        <v>426</v>
      </c>
      <c r="C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" s="10"/>
      <c r="E64" s="10"/>
      <c r="F6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" s="11"/>
      <c r="I64" s="10"/>
      <c r="J64" s="10"/>
      <c r="K64" s="10"/>
    </row>
    <row r="65" spans="1:11" x14ac:dyDescent="0.45">
      <c r="A65" s="10">
        <v>18</v>
      </c>
      <c r="B65" s="10">
        <v>113</v>
      </c>
      <c r="C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" s="10"/>
      <c r="E65" s="10"/>
      <c r="F6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" s="11"/>
      <c r="I65" s="10"/>
      <c r="J65" s="10"/>
      <c r="K65" s="10"/>
    </row>
    <row r="66" spans="1:11" x14ac:dyDescent="0.45">
      <c r="A66" s="10">
        <v>18</v>
      </c>
      <c r="B66" s="10">
        <v>327</v>
      </c>
      <c r="C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" s="10"/>
      <c r="E66" s="10"/>
      <c r="F6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" s="11"/>
      <c r="I66" s="10"/>
      <c r="J66" s="10"/>
      <c r="K66" s="10"/>
    </row>
    <row r="67" spans="1:11" x14ac:dyDescent="0.45">
      <c r="A67" s="10">
        <v>19</v>
      </c>
      <c r="B67" s="10">
        <v>113</v>
      </c>
      <c r="C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" s="10"/>
      <c r="E67" s="10"/>
      <c r="F6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" s="11"/>
      <c r="I67" s="10"/>
      <c r="J67" s="10"/>
      <c r="K67" s="10"/>
    </row>
    <row r="68" spans="1:11" x14ac:dyDescent="0.45">
      <c r="A68" s="10">
        <v>20</v>
      </c>
      <c r="B68" s="10">
        <v>101</v>
      </c>
      <c r="C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" s="10"/>
      <c r="E68" s="10"/>
      <c r="F6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" s="11"/>
      <c r="I68" s="10"/>
      <c r="J68" s="10"/>
      <c r="K68" s="10"/>
    </row>
    <row r="69" spans="1:11" x14ac:dyDescent="0.45">
      <c r="A69" s="10">
        <v>20</v>
      </c>
      <c r="B69" s="10">
        <v>143</v>
      </c>
      <c r="C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" s="10"/>
      <c r="E69" s="10"/>
      <c r="F6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" s="11"/>
      <c r="I69" s="10"/>
      <c r="J69" s="10"/>
      <c r="K69" s="10"/>
    </row>
    <row r="70" spans="1:11" x14ac:dyDescent="0.45">
      <c r="A70" s="10">
        <v>20</v>
      </c>
      <c r="B70" s="10">
        <v>620</v>
      </c>
      <c r="C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" s="10"/>
      <c r="E70" s="10"/>
      <c r="F7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" s="11"/>
      <c r="I70" s="10"/>
      <c r="J70" s="10"/>
      <c r="K70" s="10"/>
    </row>
    <row r="71" spans="1:11" x14ac:dyDescent="0.45">
      <c r="A71" s="10">
        <v>21</v>
      </c>
      <c r="B71" s="10">
        <v>101</v>
      </c>
      <c r="C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" s="10"/>
      <c r="E71" s="10"/>
      <c r="F7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" s="11"/>
      <c r="I71" s="10"/>
      <c r="J71" s="10"/>
      <c r="K71" s="10"/>
    </row>
    <row r="72" spans="1:11" x14ac:dyDescent="0.45">
      <c r="A72" s="10">
        <v>20</v>
      </c>
      <c r="B72" s="10">
        <v>478</v>
      </c>
      <c r="C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" s="10"/>
      <c r="E72" s="10"/>
      <c r="F7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" s="11"/>
      <c r="I72" s="10"/>
      <c r="J72" s="10"/>
      <c r="K72" s="10"/>
    </row>
    <row r="73" spans="1:11" x14ac:dyDescent="0.45">
      <c r="A73" s="10">
        <v>20</v>
      </c>
      <c r="B73" s="10">
        <v>220</v>
      </c>
      <c r="C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" s="10"/>
      <c r="E73" s="10"/>
      <c r="F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" s="11"/>
      <c r="I73" s="10"/>
      <c r="J73" s="10"/>
      <c r="K73" s="10"/>
    </row>
    <row r="74" spans="1:11" x14ac:dyDescent="0.45">
      <c r="A74" s="10">
        <v>21</v>
      </c>
      <c r="B74" s="10">
        <v>478</v>
      </c>
      <c r="C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" s="10"/>
      <c r="E74" s="10"/>
      <c r="F7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" s="11"/>
      <c r="I74" s="10"/>
      <c r="J74" s="10"/>
      <c r="K74" s="10"/>
    </row>
    <row r="75" spans="1:11" x14ac:dyDescent="0.45">
      <c r="A75" s="10">
        <v>20</v>
      </c>
      <c r="B75" s="10">
        <v>357</v>
      </c>
      <c r="C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" s="10"/>
      <c r="E75" s="10"/>
      <c r="F7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" s="11"/>
      <c r="I75" s="10"/>
      <c r="J75" s="10"/>
      <c r="K75" s="10"/>
    </row>
    <row r="76" spans="1:11" x14ac:dyDescent="0.45">
      <c r="A76" s="10">
        <v>21</v>
      </c>
      <c r="B76" s="10">
        <v>357</v>
      </c>
      <c r="C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" s="10"/>
      <c r="E76" s="10"/>
      <c r="F7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" s="11"/>
      <c r="I76" s="10"/>
      <c r="J76" s="10"/>
      <c r="K76" s="10"/>
    </row>
    <row r="77" spans="1:11" x14ac:dyDescent="0.45">
      <c r="A77" s="10">
        <v>21</v>
      </c>
      <c r="B77" s="10">
        <v>143</v>
      </c>
      <c r="C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" s="10"/>
      <c r="E77" s="10"/>
      <c r="F7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" s="11"/>
      <c r="I77" s="10"/>
      <c r="J77" s="10"/>
      <c r="K77" s="10"/>
    </row>
    <row r="78" spans="1:11" x14ac:dyDescent="0.45">
      <c r="A78" s="10">
        <v>21</v>
      </c>
      <c r="B78" s="10">
        <v>220</v>
      </c>
      <c r="C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" s="10"/>
      <c r="E78" s="10"/>
      <c r="F7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" s="11"/>
      <c r="I78" s="10"/>
      <c r="J78" s="10"/>
      <c r="K78" s="10"/>
    </row>
    <row r="79" spans="1:11" x14ac:dyDescent="0.45">
      <c r="A79" s="10">
        <v>21</v>
      </c>
      <c r="B79" s="10">
        <v>620</v>
      </c>
      <c r="C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" s="10"/>
      <c r="E79" s="10"/>
      <c r="F7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" s="11"/>
      <c r="I79" s="10"/>
      <c r="J79" s="10"/>
      <c r="K79" s="10"/>
    </row>
    <row r="80" spans="1:11" x14ac:dyDescent="0.45">
      <c r="A80" s="10">
        <v>22</v>
      </c>
      <c r="B80" s="10">
        <v>526</v>
      </c>
      <c r="C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" s="10"/>
      <c r="E80" s="10"/>
      <c r="F8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" s="11"/>
      <c r="I80" s="10"/>
      <c r="J80" s="10"/>
      <c r="K80" s="10"/>
    </row>
    <row r="81" spans="1:11" x14ac:dyDescent="0.45">
      <c r="A81" s="10">
        <v>23</v>
      </c>
      <c r="B81" s="10">
        <v>324</v>
      </c>
      <c r="C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" s="10"/>
      <c r="E81" s="10"/>
      <c r="F8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" s="11"/>
      <c r="I81" s="10"/>
      <c r="J81" s="10"/>
      <c r="K81" s="10"/>
    </row>
    <row r="82" spans="1:11" x14ac:dyDescent="0.45">
      <c r="A82" s="10">
        <v>23</v>
      </c>
      <c r="B82" s="10">
        <v>526</v>
      </c>
      <c r="C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" s="10"/>
      <c r="E82" s="10"/>
      <c r="F8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" s="11"/>
      <c r="I82" s="10"/>
      <c r="J82" s="10"/>
      <c r="K82" s="10"/>
    </row>
    <row r="83" spans="1:11" x14ac:dyDescent="0.45">
      <c r="A83" s="10">
        <v>22</v>
      </c>
      <c r="B83" s="10">
        <v>324</v>
      </c>
      <c r="C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" s="10"/>
      <c r="E83" s="10"/>
      <c r="F8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" s="11"/>
      <c r="I83" s="10"/>
      <c r="J83" s="10"/>
      <c r="K83" s="10"/>
    </row>
    <row r="84" spans="1:11" x14ac:dyDescent="0.45">
      <c r="A84" s="10">
        <v>25</v>
      </c>
      <c r="B84" s="10">
        <v>667</v>
      </c>
      <c r="C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" s="10"/>
      <c r="E84" s="10"/>
      <c r="F8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" s="11"/>
      <c r="I84" s="10"/>
      <c r="J84" s="10"/>
      <c r="K84" s="10"/>
    </row>
    <row r="85" spans="1:11" x14ac:dyDescent="0.45">
      <c r="A85" s="10">
        <v>25</v>
      </c>
      <c r="B85" s="10">
        <v>252</v>
      </c>
      <c r="C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" s="10"/>
      <c r="E85" s="10"/>
      <c r="F8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" s="11"/>
      <c r="I85" s="10"/>
      <c r="J85" s="10"/>
      <c r="K85" s="10"/>
    </row>
    <row r="86" spans="1:11" x14ac:dyDescent="0.45">
      <c r="A86" s="10">
        <v>24</v>
      </c>
      <c r="B86" s="10">
        <v>667</v>
      </c>
      <c r="C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" s="10"/>
      <c r="E86" s="10"/>
      <c r="F8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" s="11"/>
      <c r="I86" s="10"/>
      <c r="J86" s="10"/>
      <c r="K86" s="10"/>
    </row>
    <row r="87" spans="1:11" x14ac:dyDescent="0.45">
      <c r="A87" s="10">
        <v>24</v>
      </c>
      <c r="B87" s="10">
        <v>116</v>
      </c>
      <c r="C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" s="10"/>
      <c r="E87" s="10"/>
      <c r="F8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" s="11"/>
      <c r="I87" s="10"/>
      <c r="J87" s="10"/>
      <c r="K87" s="10"/>
    </row>
    <row r="88" spans="1:11" x14ac:dyDescent="0.45">
      <c r="A88" s="10">
        <v>25</v>
      </c>
      <c r="B88" s="10">
        <v>116</v>
      </c>
      <c r="C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" s="10"/>
      <c r="E88" s="10"/>
      <c r="F8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" s="11"/>
      <c r="I88" s="10"/>
      <c r="J88" s="10"/>
      <c r="K88" s="10"/>
    </row>
    <row r="89" spans="1:11" x14ac:dyDescent="0.45">
      <c r="A89" s="10">
        <v>24</v>
      </c>
      <c r="B89" s="10">
        <v>252</v>
      </c>
      <c r="C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" s="10"/>
      <c r="E89" s="10"/>
      <c r="F8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" s="11"/>
      <c r="I89" s="10"/>
      <c r="J89" s="10"/>
      <c r="K89" s="10"/>
    </row>
    <row r="90" spans="1:11" x14ac:dyDescent="0.45">
      <c r="A90" s="10">
        <v>27</v>
      </c>
      <c r="B90" s="10">
        <v>562</v>
      </c>
      <c r="C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" s="10"/>
      <c r="E90" s="10"/>
      <c r="F9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" s="11"/>
      <c r="I90" s="10"/>
      <c r="J90" s="10"/>
      <c r="K90" s="10"/>
    </row>
    <row r="91" spans="1:11" x14ac:dyDescent="0.45">
      <c r="A91" s="10">
        <v>27</v>
      </c>
      <c r="B91" s="10">
        <v>621</v>
      </c>
      <c r="C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" s="10"/>
      <c r="E91" s="10"/>
      <c r="F9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" s="11"/>
      <c r="I91" s="10"/>
      <c r="J91" s="10"/>
      <c r="K91" s="10"/>
    </row>
    <row r="92" spans="1:11" x14ac:dyDescent="0.45">
      <c r="A92" s="10">
        <v>26</v>
      </c>
      <c r="B92" s="10">
        <v>621</v>
      </c>
      <c r="C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" s="10"/>
      <c r="E92" s="10"/>
      <c r="F9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" s="11"/>
      <c r="I92" s="10"/>
      <c r="J92" s="10"/>
      <c r="K92" s="10"/>
    </row>
    <row r="93" spans="1:11" x14ac:dyDescent="0.45">
      <c r="A93" s="10">
        <v>26</v>
      </c>
      <c r="B93" s="10">
        <v>365</v>
      </c>
      <c r="C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" s="10"/>
      <c r="E93" s="10"/>
      <c r="F9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" s="11"/>
      <c r="I93" s="10"/>
      <c r="J93" s="10"/>
      <c r="K93" s="10"/>
    </row>
    <row r="94" spans="1:11" x14ac:dyDescent="0.45">
      <c r="A94" s="10">
        <v>27</v>
      </c>
      <c r="B94" s="10">
        <v>365</v>
      </c>
      <c r="C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" s="10"/>
      <c r="E94" s="10"/>
      <c r="F9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" s="11"/>
      <c r="I94" s="10"/>
      <c r="J94" s="10"/>
      <c r="K94" s="10"/>
    </row>
    <row r="95" spans="1:11" x14ac:dyDescent="0.45">
      <c r="A95" s="10">
        <v>27</v>
      </c>
      <c r="B95" s="10">
        <v>331</v>
      </c>
      <c r="C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" s="10"/>
      <c r="E95" s="10"/>
      <c r="F9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" s="11"/>
      <c r="I95" s="10"/>
      <c r="J95" s="10"/>
      <c r="K95" s="10"/>
    </row>
    <row r="96" spans="1:11" x14ac:dyDescent="0.45">
      <c r="A96" s="10">
        <v>26</v>
      </c>
      <c r="B96" s="10">
        <v>331</v>
      </c>
      <c r="C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" s="10"/>
      <c r="E96" s="10"/>
      <c r="F9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" s="11"/>
      <c r="I96" s="10"/>
      <c r="J96" s="10"/>
      <c r="K96" s="10"/>
    </row>
    <row r="97" spans="1:11" x14ac:dyDescent="0.45">
      <c r="A97" s="10">
        <v>26</v>
      </c>
      <c r="B97" s="10">
        <v>562</v>
      </c>
      <c r="C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" s="10"/>
      <c r="E97" s="10"/>
      <c r="F9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" s="11"/>
      <c r="I97" s="10"/>
      <c r="J97" s="10"/>
      <c r="K97" s="10"/>
    </row>
    <row r="98" spans="1:11" x14ac:dyDescent="0.45">
      <c r="A98" s="10">
        <v>29</v>
      </c>
      <c r="B98" s="10">
        <v>17</v>
      </c>
      <c r="C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" s="10"/>
      <c r="E98" s="10"/>
      <c r="F9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" s="11"/>
      <c r="I98" s="10"/>
      <c r="J98" s="10"/>
      <c r="K98" s="10"/>
    </row>
    <row r="99" spans="1:11" x14ac:dyDescent="0.45">
      <c r="A99" s="10">
        <v>28</v>
      </c>
      <c r="B99" s="10">
        <v>17</v>
      </c>
      <c r="C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" s="10"/>
      <c r="E99" s="10"/>
      <c r="F9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" s="11"/>
      <c r="I99" s="10"/>
      <c r="J99" s="10"/>
      <c r="K99" s="10"/>
    </row>
    <row r="100" spans="1:11" x14ac:dyDescent="0.45">
      <c r="A100" s="10">
        <v>29</v>
      </c>
      <c r="B100" s="10">
        <v>437</v>
      </c>
      <c r="C1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" s="10"/>
      <c r="E100" s="10"/>
      <c r="F1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" s="11"/>
      <c r="I100" s="10"/>
      <c r="J100" s="10"/>
      <c r="K100" s="10"/>
    </row>
    <row r="101" spans="1:11" x14ac:dyDescent="0.45">
      <c r="A101" s="10">
        <v>29</v>
      </c>
      <c r="B101" s="10">
        <v>516</v>
      </c>
      <c r="C1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" s="10"/>
      <c r="E101" s="10"/>
      <c r="F10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" s="11"/>
      <c r="I101" s="10"/>
      <c r="J101" s="10"/>
      <c r="K101" s="10"/>
    </row>
    <row r="102" spans="1:11" x14ac:dyDescent="0.45">
      <c r="A102" s="10">
        <v>28</v>
      </c>
      <c r="B102" s="10">
        <v>516</v>
      </c>
      <c r="C1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" s="10"/>
      <c r="E102" s="10"/>
      <c r="F10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" s="11"/>
      <c r="I102" s="10"/>
      <c r="J102" s="10"/>
      <c r="K102" s="10"/>
    </row>
    <row r="103" spans="1:11" x14ac:dyDescent="0.45">
      <c r="A103" s="10">
        <v>28</v>
      </c>
      <c r="B103" s="10">
        <v>473</v>
      </c>
      <c r="C1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" s="10"/>
      <c r="E103" s="10"/>
      <c r="F1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" s="11"/>
      <c r="I103" s="10"/>
      <c r="J103" s="10"/>
      <c r="K103" s="10"/>
    </row>
    <row r="104" spans="1:11" x14ac:dyDescent="0.45">
      <c r="A104" s="10">
        <v>29</v>
      </c>
      <c r="B104" s="10">
        <v>623</v>
      </c>
      <c r="C1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" s="10"/>
      <c r="E104" s="10"/>
      <c r="F10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" s="11"/>
      <c r="I104" s="10"/>
      <c r="J104" s="10"/>
      <c r="K104" s="10"/>
    </row>
    <row r="105" spans="1:11" x14ac:dyDescent="0.45">
      <c r="A105" s="10">
        <v>28</v>
      </c>
      <c r="B105" s="10">
        <v>437</v>
      </c>
      <c r="C1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" s="10"/>
      <c r="E105" s="10"/>
      <c r="F10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" s="11"/>
      <c r="I105" s="10"/>
      <c r="J105" s="10"/>
      <c r="K105" s="10"/>
    </row>
    <row r="106" spans="1:11" x14ac:dyDescent="0.45">
      <c r="A106" s="10">
        <v>29</v>
      </c>
      <c r="B106" s="10">
        <v>473</v>
      </c>
      <c r="C1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" s="10"/>
      <c r="E106" s="10"/>
      <c r="F10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" s="11"/>
      <c r="I106" s="10"/>
      <c r="J106" s="10"/>
      <c r="K106" s="10"/>
    </row>
    <row r="107" spans="1:11" x14ac:dyDescent="0.45">
      <c r="A107" s="10">
        <v>28</v>
      </c>
      <c r="B107" s="10">
        <v>623</v>
      </c>
      <c r="C1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" s="10"/>
      <c r="E107" s="10"/>
      <c r="F10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" s="11"/>
      <c r="I107" s="10"/>
      <c r="J107" s="10"/>
      <c r="K107" s="10"/>
    </row>
    <row r="108" spans="1:11" x14ac:dyDescent="0.45">
      <c r="A108" s="10">
        <v>30</v>
      </c>
      <c r="B108" s="10">
        <v>277</v>
      </c>
      <c r="C1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" s="10"/>
      <c r="E108" s="10"/>
      <c r="F10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" s="11"/>
      <c r="I108" s="10"/>
      <c r="J108" s="10"/>
      <c r="K108" s="10"/>
    </row>
    <row r="109" spans="1:11" x14ac:dyDescent="0.45">
      <c r="A109" s="10">
        <v>31</v>
      </c>
      <c r="B109" s="10">
        <v>277</v>
      </c>
      <c r="C1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" s="10"/>
      <c r="E109" s="10"/>
      <c r="F10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" s="11"/>
      <c r="I109" s="10"/>
      <c r="J109" s="10"/>
      <c r="K109" s="10"/>
    </row>
    <row r="110" spans="1:11" x14ac:dyDescent="0.45">
      <c r="A110" s="10">
        <v>33</v>
      </c>
      <c r="B110" s="10">
        <v>155</v>
      </c>
      <c r="C1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" s="10"/>
      <c r="E110" s="10"/>
      <c r="F11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" s="11"/>
      <c r="I110" s="10"/>
      <c r="J110" s="10"/>
      <c r="K110" s="10"/>
    </row>
    <row r="111" spans="1:11" x14ac:dyDescent="0.45">
      <c r="A111" s="10">
        <v>32</v>
      </c>
      <c r="B111" s="10">
        <v>155</v>
      </c>
      <c r="C1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" s="10"/>
      <c r="E111" s="10"/>
      <c r="F11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" s="11"/>
      <c r="I111" s="10"/>
      <c r="J111" s="10"/>
      <c r="K111" s="10"/>
    </row>
    <row r="112" spans="1:11" x14ac:dyDescent="0.45">
      <c r="A112" s="10">
        <v>33</v>
      </c>
      <c r="B112" s="10">
        <v>415</v>
      </c>
      <c r="C1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" s="10"/>
      <c r="E112" s="10"/>
      <c r="F11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" s="11"/>
      <c r="I112" s="10"/>
      <c r="J112" s="10"/>
      <c r="K112" s="10"/>
    </row>
    <row r="113" spans="1:11" x14ac:dyDescent="0.45">
      <c r="A113" s="10">
        <v>32</v>
      </c>
      <c r="B113" s="10">
        <v>454</v>
      </c>
      <c r="C1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" s="10"/>
      <c r="E113" s="10"/>
      <c r="F11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" s="11"/>
      <c r="I113" s="10"/>
      <c r="J113" s="10"/>
      <c r="K113" s="10"/>
    </row>
    <row r="114" spans="1:11" x14ac:dyDescent="0.45">
      <c r="A114" s="10">
        <v>33</v>
      </c>
      <c r="B114" s="10">
        <v>454</v>
      </c>
      <c r="C1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" s="10"/>
      <c r="E114" s="10"/>
      <c r="F11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" s="11"/>
      <c r="I114" s="10"/>
      <c r="J114" s="10"/>
      <c r="K114" s="10"/>
    </row>
    <row r="115" spans="1:11" x14ac:dyDescent="0.45">
      <c r="A115" s="10">
        <v>32</v>
      </c>
      <c r="B115" s="10">
        <v>415</v>
      </c>
      <c r="C1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" s="10"/>
      <c r="E115" s="10"/>
      <c r="F11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" s="11"/>
      <c r="I115" s="10"/>
      <c r="J115" s="10"/>
      <c r="K115" s="10"/>
    </row>
    <row r="116" spans="1:11" x14ac:dyDescent="0.45">
      <c r="A116" s="10">
        <v>32</v>
      </c>
      <c r="B116" s="10">
        <v>497</v>
      </c>
      <c r="C1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" s="10"/>
      <c r="E116" s="10"/>
      <c r="F11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" s="11"/>
      <c r="I116" s="10"/>
      <c r="J116" s="10"/>
      <c r="K116" s="10"/>
    </row>
    <row r="117" spans="1:11" x14ac:dyDescent="0.45">
      <c r="A117" s="10">
        <v>32</v>
      </c>
      <c r="B117" s="10">
        <v>496</v>
      </c>
      <c r="C1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" s="10"/>
      <c r="E117" s="10"/>
      <c r="F11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" s="11"/>
      <c r="I117" s="10"/>
      <c r="J117" s="10"/>
      <c r="K117" s="10"/>
    </row>
    <row r="118" spans="1:11" x14ac:dyDescent="0.45">
      <c r="A118" s="10">
        <v>33</v>
      </c>
      <c r="B118" s="10">
        <v>496</v>
      </c>
      <c r="C1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" s="10"/>
      <c r="E118" s="10"/>
      <c r="F11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" s="11"/>
      <c r="I118" s="10"/>
      <c r="J118" s="10"/>
      <c r="K118" s="10"/>
    </row>
    <row r="119" spans="1:11" x14ac:dyDescent="0.45">
      <c r="A119" s="10">
        <v>33</v>
      </c>
      <c r="B119" s="10">
        <v>497</v>
      </c>
      <c r="C1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" s="10"/>
      <c r="E119" s="10"/>
      <c r="F11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" s="11"/>
      <c r="I119" s="10"/>
      <c r="J119" s="10"/>
      <c r="K119" s="10"/>
    </row>
    <row r="120" spans="1:11" x14ac:dyDescent="0.45">
      <c r="A120" s="10">
        <v>35</v>
      </c>
      <c r="B120" s="10">
        <v>642</v>
      </c>
      <c r="C1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" s="10"/>
      <c r="E120" s="10"/>
      <c r="F12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" s="11"/>
      <c r="I120" s="10"/>
      <c r="J120" s="10"/>
      <c r="K120" s="10"/>
    </row>
    <row r="121" spans="1:11" x14ac:dyDescent="0.45">
      <c r="A121" s="10">
        <v>35</v>
      </c>
      <c r="B121" s="10">
        <v>93</v>
      </c>
      <c r="C1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" s="10"/>
      <c r="E121" s="10"/>
      <c r="F12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" s="11"/>
      <c r="I121" s="10"/>
      <c r="J121" s="10"/>
      <c r="K121" s="10"/>
    </row>
    <row r="122" spans="1:11" x14ac:dyDescent="0.45">
      <c r="A122" s="10">
        <v>35</v>
      </c>
      <c r="B122" s="10">
        <v>211</v>
      </c>
      <c r="C1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" s="10"/>
      <c r="E122" s="10"/>
      <c r="F12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" s="11"/>
      <c r="I122" s="10"/>
      <c r="J122" s="10"/>
      <c r="K122" s="10"/>
    </row>
    <row r="123" spans="1:11" x14ac:dyDescent="0.45">
      <c r="A123" s="10">
        <v>34</v>
      </c>
      <c r="B123" s="10">
        <v>211</v>
      </c>
      <c r="C1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" s="10"/>
      <c r="E123" s="10"/>
      <c r="F12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" s="11"/>
      <c r="I123" s="10"/>
      <c r="J123" s="10"/>
      <c r="K123" s="10"/>
    </row>
    <row r="124" spans="1:11" x14ac:dyDescent="0.45">
      <c r="A124" s="10">
        <v>34</v>
      </c>
      <c r="B124" s="10">
        <v>93</v>
      </c>
      <c r="C1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" s="10"/>
      <c r="E124" s="10"/>
      <c r="F12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" s="11"/>
      <c r="I124" s="10"/>
      <c r="J124" s="10"/>
      <c r="K124" s="10"/>
    </row>
    <row r="125" spans="1:11" x14ac:dyDescent="0.45">
      <c r="A125" s="10">
        <v>34</v>
      </c>
      <c r="B125" s="10">
        <v>642</v>
      </c>
      <c r="C1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" s="10"/>
      <c r="E125" s="10"/>
      <c r="F12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" s="11"/>
      <c r="I125" s="10"/>
      <c r="J125" s="10"/>
      <c r="K125" s="10"/>
    </row>
    <row r="126" spans="1:11" x14ac:dyDescent="0.45">
      <c r="A126" s="10">
        <v>37</v>
      </c>
      <c r="B126" s="10">
        <v>417</v>
      </c>
      <c r="C1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" s="10"/>
      <c r="E126" s="10"/>
      <c r="F12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" s="11"/>
      <c r="I126" s="10"/>
      <c r="J126" s="10"/>
      <c r="K126" s="10"/>
    </row>
    <row r="127" spans="1:11" x14ac:dyDescent="0.45">
      <c r="A127" s="10">
        <v>36</v>
      </c>
      <c r="B127" s="10">
        <v>417</v>
      </c>
      <c r="C1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" s="10"/>
      <c r="E127" s="10"/>
      <c r="F12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" s="11"/>
      <c r="I127" s="10"/>
      <c r="J127" s="10"/>
      <c r="K127" s="10"/>
    </row>
    <row r="128" spans="1:11" x14ac:dyDescent="0.45">
      <c r="A128" s="10">
        <v>37</v>
      </c>
      <c r="B128" s="10">
        <v>8</v>
      </c>
      <c r="C1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" s="10"/>
      <c r="E128" s="10"/>
      <c r="F12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" s="11"/>
      <c r="I128" s="10"/>
      <c r="J128" s="10"/>
      <c r="K128" s="10"/>
    </row>
    <row r="129" spans="1:11" x14ac:dyDescent="0.45">
      <c r="A129" s="10">
        <v>36</v>
      </c>
      <c r="B129" s="10">
        <v>8</v>
      </c>
      <c r="C1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" s="10"/>
      <c r="E129" s="10"/>
      <c r="F1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" s="11"/>
      <c r="I129" s="10"/>
      <c r="J129" s="10"/>
      <c r="K129" s="10"/>
    </row>
    <row r="130" spans="1:11" x14ac:dyDescent="0.45">
      <c r="A130" s="10">
        <v>37</v>
      </c>
      <c r="B130" s="10">
        <v>550</v>
      </c>
      <c r="C1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" s="10"/>
      <c r="E130" s="10"/>
      <c r="F13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" s="11"/>
      <c r="I130" s="10"/>
      <c r="J130" s="10"/>
      <c r="K130" s="10"/>
    </row>
    <row r="131" spans="1:11" x14ac:dyDescent="0.45">
      <c r="A131" s="10">
        <v>36</v>
      </c>
      <c r="B131" s="10">
        <v>550</v>
      </c>
      <c r="C1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" s="10"/>
      <c r="E131" s="10"/>
      <c r="F13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" s="11"/>
      <c r="I131" s="10"/>
      <c r="J131" s="10"/>
      <c r="K131" s="10"/>
    </row>
    <row r="132" spans="1:11" x14ac:dyDescent="0.45">
      <c r="A132" s="10">
        <v>38</v>
      </c>
      <c r="B132" s="10">
        <v>347</v>
      </c>
      <c r="C1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" s="10"/>
      <c r="E132" s="10"/>
      <c r="F13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" s="11"/>
      <c r="I132" s="10"/>
      <c r="J132" s="10"/>
      <c r="K132" s="10"/>
    </row>
    <row r="133" spans="1:11" x14ac:dyDescent="0.45">
      <c r="A133" s="10">
        <v>39</v>
      </c>
      <c r="B133" s="10">
        <v>152</v>
      </c>
      <c r="C1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" s="10"/>
      <c r="E133" s="10"/>
      <c r="F13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" s="11"/>
      <c r="I133" s="10"/>
      <c r="J133" s="10"/>
      <c r="K133" s="10"/>
    </row>
    <row r="134" spans="1:11" x14ac:dyDescent="0.45">
      <c r="A134" s="10">
        <v>38</v>
      </c>
      <c r="B134" s="10">
        <v>152</v>
      </c>
      <c r="C1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" s="10"/>
      <c r="E134" s="10"/>
      <c r="F13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" s="11"/>
      <c r="I134" s="10"/>
      <c r="J134" s="10"/>
      <c r="K134" s="10"/>
    </row>
    <row r="135" spans="1:11" x14ac:dyDescent="0.45">
      <c r="A135" s="10">
        <v>38</v>
      </c>
      <c r="B135" s="10">
        <v>303</v>
      </c>
      <c r="C1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" s="10"/>
      <c r="E135" s="10"/>
      <c r="F13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" s="11"/>
      <c r="I135" s="10"/>
      <c r="J135" s="10"/>
      <c r="K135" s="10"/>
    </row>
    <row r="136" spans="1:11" x14ac:dyDescent="0.45">
      <c r="A136" s="10">
        <v>39</v>
      </c>
      <c r="B136" s="10">
        <v>466</v>
      </c>
      <c r="C1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" s="10"/>
      <c r="E136" s="10"/>
      <c r="F13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" s="11"/>
      <c r="I136" s="10"/>
      <c r="J136" s="10"/>
      <c r="K136" s="10"/>
    </row>
    <row r="137" spans="1:11" x14ac:dyDescent="0.45">
      <c r="A137" s="10">
        <v>38</v>
      </c>
      <c r="B137" s="10">
        <v>466</v>
      </c>
      <c r="C1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" s="10"/>
      <c r="E137" s="10"/>
      <c r="F1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" s="11"/>
      <c r="I137" s="10"/>
      <c r="J137" s="10"/>
      <c r="K137" s="10"/>
    </row>
    <row r="138" spans="1:11" x14ac:dyDescent="0.45">
      <c r="A138" s="10">
        <v>39</v>
      </c>
      <c r="B138" s="10">
        <v>303</v>
      </c>
      <c r="C1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" s="10"/>
      <c r="E138" s="10"/>
      <c r="F13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" s="11"/>
      <c r="I138" s="10"/>
      <c r="J138" s="10"/>
      <c r="K138" s="10"/>
    </row>
    <row r="139" spans="1:11" x14ac:dyDescent="0.45">
      <c r="A139" s="10">
        <v>39</v>
      </c>
      <c r="B139" s="10">
        <v>347</v>
      </c>
      <c r="C1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" s="10"/>
      <c r="E139" s="10"/>
      <c r="F13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" s="11"/>
      <c r="I139" s="10"/>
      <c r="J139" s="10"/>
      <c r="K139" s="10"/>
    </row>
    <row r="140" spans="1:11" x14ac:dyDescent="0.45">
      <c r="A140" s="10">
        <v>41</v>
      </c>
      <c r="B140" s="10">
        <v>696</v>
      </c>
      <c r="C1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" s="10"/>
      <c r="E140" s="10"/>
      <c r="F14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" s="11"/>
      <c r="I140" s="10"/>
      <c r="J140" s="10"/>
      <c r="K140" s="10"/>
    </row>
    <row r="141" spans="1:11" x14ac:dyDescent="0.45">
      <c r="A141" s="10">
        <v>40</v>
      </c>
      <c r="B141" s="10">
        <v>696</v>
      </c>
      <c r="C1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" s="10"/>
      <c r="E141" s="10"/>
      <c r="F14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" s="11"/>
      <c r="I141" s="10"/>
      <c r="J141" s="10"/>
      <c r="K141" s="10"/>
    </row>
    <row r="142" spans="1:11" x14ac:dyDescent="0.45">
      <c r="A142" s="10">
        <v>40</v>
      </c>
      <c r="B142" s="10">
        <v>646</v>
      </c>
      <c r="C1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" s="10"/>
      <c r="E142" s="10"/>
      <c r="F14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" s="11"/>
      <c r="I142" s="10"/>
      <c r="J142" s="10"/>
      <c r="K142" s="10"/>
    </row>
    <row r="143" spans="1:11" x14ac:dyDescent="0.45">
      <c r="A143" s="10">
        <v>41</v>
      </c>
      <c r="B143" s="10">
        <v>646</v>
      </c>
      <c r="C1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" s="10"/>
      <c r="E143" s="10"/>
      <c r="F14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" s="11"/>
      <c r="I143" s="10"/>
      <c r="J143" s="10"/>
      <c r="K143" s="10"/>
    </row>
    <row r="144" spans="1:11" x14ac:dyDescent="0.45">
      <c r="A144" s="10">
        <v>41</v>
      </c>
      <c r="B144" s="10">
        <v>233</v>
      </c>
      <c r="C1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" s="10"/>
      <c r="E144" s="10"/>
      <c r="F14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" s="11"/>
      <c r="I144" s="10"/>
      <c r="J144" s="10"/>
      <c r="K144" s="10"/>
    </row>
    <row r="145" spans="1:11" x14ac:dyDescent="0.45">
      <c r="A145" s="10">
        <v>40</v>
      </c>
      <c r="B145" s="10">
        <v>233</v>
      </c>
      <c r="C1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" s="10"/>
      <c r="E145" s="10"/>
      <c r="F14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" s="11"/>
      <c r="I145" s="10"/>
      <c r="J145" s="10"/>
      <c r="K145" s="10"/>
    </row>
    <row r="146" spans="1:11" x14ac:dyDescent="0.45">
      <c r="A146" s="10">
        <v>42</v>
      </c>
      <c r="B146" s="10">
        <v>50</v>
      </c>
      <c r="C1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" s="10"/>
      <c r="E146" s="10"/>
      <c r="F14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" s="11"/>
      <c r="I146" s="10"/>
      <c r="J146" s="10"/>
      <c r="K146" s="10"/>
    </row>
    <row r="147" spans="1:11" x14ac:dyDescent="0.45">
      <c r="A147" s="10">
        <v>43</v>
      </c>
      <c r="B147" s="10">
        <v>256</v>
      </c>
      <c r="C1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" s="10"/>
      <c r="E147" s="10"/>
      <c r="F14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" s="11"/>
      <c r="I147" s="10"/>
      <c r="J147" s="10"/>
      <c r="K147" s="10"/>
    </row>
    <row r="148" spans="1:11" x14ac:dyDescent="0.45">
      <c r="A148" s="10">
        <v>43</v>
      </c>
      <c r="B148" s="10">
        <v>2</v>
      </c>
      <c r="C1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" s="10"/>
      <c r="E148" s="10"/>
      <c r="F14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" s="11"/>
      <c r="I148" s="10"/>
      <c r="J148" s="10"/>
      <c r="K148" s="10"/>
    </row>
    <row r="149" spans="1:11" x14ac:dyDescent="0.45">
      <c r="A149" s="10">
        <v>42</v>
      </c>
      <c r="B149" s="10">
        <v>2</v>
      </c>
      <c r="C1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" s="10"/>
      <c r="E149" s="10"/>
      <c r="F14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" s="11"/>
      <c r="I149" s="10"/>
      <c r="J149" s="10"/>
      <c r="K149" s="10"/>
    </row>
    <row r="150" spans="1:11" x14ac:dyDescent="0.45">
      <c r="A150" s="10">
        <v>43</v>
      </c>
      <c r="B150" s="10">
        <v>137</v>
      </c>
      <c r="C1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0" s="10"/>
      <c r="E150" s="10"/>
      <c r="F15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0" s="11"/>
      <c r="I150" s="10"/>
      <c r="J150" s="10"/>
      <c r="K150" s="10"/>
    </row>
    <row r="151" spans="1:11" x14ac:dyDescent="0.45">
      <c r="A151" s="10">
        <v>43</v>
      </c>
      <c r="B151" s="10">
        <v>50</v>
      </c>
      <c r="C1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1" s="10"/>
      <c r="E151" s="10"/>
      <c r="F15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1" s="11"/>
      <c r="I151" s="10"/>
      <c r="J151" s="10"/>
      <c r="K151" s="10"/>
    </row>
    <row r="152" spans="1:11" x14ac:dyDescent="0.45">
      <c r="A152" s="10">
        <v>42</v>
      </c>
      <c r="B152" s="10">
        <v>256</v>
      </c>
      <c r="C1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2" s="10"/>
      <c r="E152" s="10"/>
      <c r="F15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2" s="11"/>
      <c r="I152" s="10"/>
      <c r="J152" s="10"/>
      <c r="K152" s="10"/>
    </row>
    <row r="153" spans="1:11" x14ac:dyDescent="0.45">
      <c r="A153" s="10">
        <v>42</v>
      </c>
      <c r="B153" s="10">
        <v>137</v>
      </c>
      <c r="C1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3" s="10"/>
      <c r="E153" s="10"/>
      <c r="F15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3" s="11"/>
      <c r="I153" s="10"/>
      <c r="J153" s="10"/>
      <c r="K153" s="10"/>
    </row>
    <row r="154" spans="1:11" x14ac:dyDescent="0.45">
      <c r="A154" s="10">
        <v>42</v>
      </c>
      <c r="B154" s="10">
        <v>80</v>
      </c>
      <c r="C1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4" s="10"/>
      <c r="E154" s="10"/>
      <c r="F15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4" s="11"/>
      <c r="I154" s="10"/>
      <c r="J154" s="10"/>
      <c r="K154" s="10"/>
    </row>
    <row r="155" spans="1:11" x14ac:dyDescent="0.45">
      <c r="A155" s="10">
        <v>43</v>
      </c>
      <c r="B155" s="10">
        <v>80</v>
      </c>
      <c r="C1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5" s="10"/>
      <c r="E155" s="10"/>
      <c r="F15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5" s="11"/>
      <c r="I155" s="10"/>
      <c r="J155" s="10"/>
      <c r="K155" s="10"/>
    </row>
    <row r="156" spans="1:11" x14ac:dyDescent="0.45">
      <c r="A156" s="10">
        <v>45</v>
      </c>
      <c r="B156" s="10">
        <v>4</v>
      </c>
      <c r="C1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6" s="10"/>
      <c r="E156" s="10"/>
      <c r="F15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6" s="11"/>
      <c r="I156" s="10"/>
      <c r="J156" s="10"/>
      <c r="K156" s="10"/>
    </row>
    <row r="157" spans="1:11" x14ac:dyDescent="0.45">
      <c r="A157" s="10">
        <v>44</v>
      </c>
      <c r="B157" s="10">
        <v>4</v>
      </c>
      <c r="C1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7" s="10"/>
      <c r="E157" s="10"/>
      <c r="F15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7" s="11"/>
      <c r="I157" s="10"/>
      <c r="J157" s="10"/>
      <c r="K157" s="10"/>
    </row>
    <row r="158" spans="1:11" x14ac:dyDescent="0.45">
      <c r="A158" s="10">
        <v>45</v>
      </c>
      <c r="B158" s="10">
        <v>430</v>
      </c>
      <c r="C1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8" s="10"/>
      <c r="E158" s="10"/>
      <c r="F15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8" s="11"/>
      <c r="I158" s="10"/>
      <c r="J158" s="10"/>
      <c r="K158" s="10"/>
    </row>
    <row r="159" spans="1:11" x14ac:dyDescent="0.45">
      <c r="A159" s="10">
        <v>44</v>
      </c>
      <c r="B159" s="10">
        <v>430</v>
      </c>
      <c r="C1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9" s="10"/>
      <c r="E159" s="10"/>
      <c r="F15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9" s="11"/>
      <c r="I159" s="10"/>
      <c r="J159" s="10"/>
      <c r="K159" s="10"/>
    </row>
    <row r="160" spans="1:11" x14ac:dyDescent="0.45">
      <c r="A160" s="10">
        <v>46</v>
      </c>
      <c r="B160" s="10">
        <v>141</v>
      </c>
      <c r="C1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0" s="10"/>
      <c r="E160" s="10"/>
      <c r="F16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6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60" s="11"/>
      <c r="I160" s="10"/>
      <c r="J160" s="10"/>
      <c r="K160" s="10"/>
    </row>
    <row r="161" spans="1:11" x14ac:dyDescent="0.45">
      <c r="A161" s="10">
        <v>46</v>
      </c>
      <c r="B161" s="10">
        <v>202</v>
      </c>
      <c r="C1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1" s="10"/>
      <c r="E161" s="10"/>
      <c r="F16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6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61" s="11"/>
      <c r="I161" s="10"/>
      <c r="J161" s="10"/>
      <c r="K161" s="10"/>
    </row>
    <row r="162" spans="1:11" x14ac:dyDescent="0.45">
      <c r="A162" s="10">
        <v>47</v>
      </c>
      <c r="B162" s="10">
        <v>465</v>
      </c>
      <c r="C1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2" s="10"/>
      <c r="E162" s="10"/>
      <c r="F16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6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62" s="11"/>
      <c r="I162" s="10"/>
      <c r="J162" s="10"/>
      <c r="K162" s="10"/>
    </row>
    <row r="163" spans="1:11" x14ac:dyDescent="0.45">
      <c r="A163" s="10">
        <v>47</v>
      </c>
      <c r="B163" s="10">
        <v>202</v>
      </c>
      <c r="C1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3" s="10"/>
      <c r="E163" s="10"/>
      <c r="F16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6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63" s="11"/>
      <c r="I163" s="10"/>
      <c r="J163" s="10"/>
      <c r="K163" s="10"/>
    </row>
    <row r="164" spans="1:11" x14ac:dyDescent="0.45">
      <c r="A164" s="10">
        <v>47</v>
      </c>
      <c r="B164" s="10">
        <v>141</v>
      </c>
      <c r="C1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4" s="10"/>
      <c r="E164" s="10"/>
      <c r="F16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6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64" s="11"/>
      <c r="I164" s="10"/>
      <c r="J164" s="10"/>
      <c r="K164" s="10"/>
    </row>
    <row r="165" spans="1:11" x14ac:dyDescent="0.45">
      <c r="A165" s="10">
        <v>46</v>
      </c>
      <c r="B165" s="10">
        <v>465</v>
      </c>
      <c r="C1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5" s="10"/>
      <c r="E165" s="10"/>
      <c r="F16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6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65" s="11"/>
      <c r="I165" s="10"/>
      <c r="J165" s="10"/>
      <c r="K165" s="10"/>
    </row>
    <row r="166" spans="1:11" x14ac:dyDescent="0.45">
      <c r="A166" s="10">
        <v>48</v>
      </c>
      <c r="B166" s="10">
        <v>399</v>
      </c>
      <c r="C1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6" s="10"/>
      <c r="E166" s="10"/>
      <c r="F16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6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66" s="11"/>
      <c r="I166" s="10"/>
      <c r="J166" s="10"/>
      <c r="K166" s="10"/>
    </row>
    <row r="167" spans="1:11" x14ac:dyDescent="0.45">
      <c r="A167" s="10">
        <v>49</v>
      </c>
      <c r="B167" s="10">
        <v>399</v>
      </c>
      <c r="C1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7" s="10"/>
      <c r="E167" s="10"/>
      <c r="F16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6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67" s="11"/>
      <c r="I167" s="10"/>
      <c r="J167" s="10"/>
      <c r="K167" s="10"/>
    </row>
    <row r="168" spans="1:11" x14ac:dyDescent="0.45">
      <c r="A168" s="10">
        <v>48</v>
      </c>
      <c r="B168" s="10">
        <v>238</v>
      </c>
      <c r="C1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8" s="10"/>
      <c r="E168" s="10"/>
      <c r="F16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6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68" s="11"/>
      <c r="I168" s="10"/>
      <c r="J168" s="10"/>
      <c r="K168" s="10"/>
    </row>
    <row r="169" spans="1:11" x14ac:dyDescent="0.45">
      <c r="A169" s="10">
        <v>48</v>
      </c>
      <c r="B169" s="10">
        <v>254</v>
      </c>
      <c r="C1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69" s="10"/>
      <c r="E169" s="10"/>
      <c r="F16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6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69" s="11"/>
      <c r="I169" s="10"/>
      <c r="J169" s="10"/>
      <c r="K169" s="10"/>
    </row>
    <row r="170" spans="1:11" x14ac:dyDescent="0.45">
      <c r="A170" s="10">
        <v>48</v>
      </c>
      <c r="B170" s="10">
        <v>9</v>
      </c>
      <c r="C1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0" s="10"/>
      <c r="E170" s="10"/>
      <c r="F17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7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70" s="11"/>
      <c r="I170" s="10"/>
      <c r="J170" s="10"/>
      <c r="K170" s="10"/>
    </row>
    <row r="171" spans="1:11" x14ac:dyDescent="0.45">
      <c r="A171" s="10">
        <v>48</v>
      </c>
      <c r="B171" s="10">
        <v>47</v>
      </c>
      <c r="C1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1" s="10"/>
      <c r="E171" s="10"/>
      <c r="F17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7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71" s="11"/>
      <c r="I171" s="10"/>
      <c r="J171" s="10"/>
      <c r="K171" s="10"/>
    </row>
    <row r="172" spans="1:11" x14ac:dyDescent="0.45">
      <c r="A172" s="10">
        <v>49</v>
      </c>
      <c r="B172" s="10">
        <v>238</v>
      </c>
      <c r="C1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2" s="10"/>
      <c r="E172" s="10"/>
      <c r="F1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72" s="11"/>
      <c r="I172" s="10"/>
      <c r="J172" s="10"/>
      <c r="K172" s="10"/>
    </row>
    <row r="173" spans="1:11" x14ac:dyDescent="0.45">
      <c r="A173" s="10">
        <v>49</v>
      </c>
      <c r="B173" s="10">
        <v>254</v>
      </c>
      <c r="C1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3" s="10"/>
      <c r="E173" s="10"/>
      <c r="F17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7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73" s="11"/>
      <c r="I173" s="10"/>
      <c r="J173" s="10"/>
      <c r="K173" s="10"/>
    </row>
    <row r="174" spans="1:11" x14ac:dyDescent="0.45">
      <c r="A174" s="10">
        <v>49</v>
      </c>
      <c r="B174" s="10">
        <v>9</v>
      </c>
      <c r="C1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4" s="10"/>
      <c r="E174" s="10"/>
      <c r="F17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7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74" s="11"/>
      <c r="I174" s="10"/>
      <c r="J174" s="10"/>
      <c r="K174" s="10"/>
    </row>
    <row r="175" spans="1:11" x14ac:dyDescent="0.45">
      <c r="A175" s="10">
        <v>49</v>
      </c>
      <c r="B175" s="10">
        <v>47</v>
      </c>
      <c r="C1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5" s="10"/>
      <c r="E175" s="10"/>
      <c r="F17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7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75" s="11"/>
      <c r="I175" s="10"/>
      <c r="J175" s="10"/>
      <c r="K175" s="10"/>
    </row>
    <row r="176" spans="1:11" x14ac:dyDescent="0.45">
      <c r="A176" s="10">
        <v>51</v>
      </c>
      <c r="B176" s="10">
        <v>156</v>
      </c>
      <c r="C1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6" s="10"/>
      <c r="E176" s="10"/>
      <c r="F17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7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76" s="11"/>
      <c r="I176" s="10"/>
      <c r="J176" s="10"/>
      <c r="K176" s="10"/>
    </row>
    <row r="177" spans="1:11" x14ac:dyDescent="0.45">
      <c r="A177" s="10">
        <v>50</v>
      </c>
      <c r="B177" s="10">
        <v>275</v>
      </c>
      <c r="C1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7" s="10"/>
      <c r="E177" s="10"/>
      <c r="F17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7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77" s="11"/>
      <c r="I177" s="10"/>
      <c r="J177" s="10"/>
      <c r="K177" s="10"/>
    </row>
    <row r="178" spans="1:11" x14ac:dyDescent="0.45">
      <c r="A178" s="10">
        <v>50</v>
      </c>
      <c r="B178" s="10">
        <v>616</v>
      </c>
      <c r="C1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8" s="10"/>
      <c r="E178" s="10"/>
      <c r="F17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7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78" s="11"/>
      <c r="I178" s="10"/>
      <c r="J178" s="10"/>
      <c r="K178" s="10"/>
    </row>
    <row r="179" spans="1:11" x14ac:dyDescent="0.45">
      <c r="A179" s="10">
        <v>51</v>
      </c>
      <c r="B179" s="10">
        <v>616</v>
      </c>
      <c r="C1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79" s="10"/>
      <c r="E179" s="10"/>
      <c r="F17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7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79" s="11"/>
      <c r="I179" s="10"/>
      <c r="J179" s="10"/>
      <c r="K179" s="10"/>
    </row>
    <row r="180" spans="1:11" x14ac:dyDescent="0.45">
      <c r="A180" s="10">
        <v>51</v>
      </c>
      <c r="B180" s="10">
        <v>275</v>
      </c>
      <c r="C1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0" s="10"/>
      <c r="E180" s="10"/>
      <c r="F18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8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80" s="11"/>
      <c r="I180" s="10"/>
      <c r="J180" s="10"/>
      <c r="K180" s="10"/>
    </row>
    <row r="181" spans="1:11" x14ac:dyDescent="0.45">
      <c r="A181" s="10">
        <v>50</v>
      </c>
      <c r="B181" s="10">
        <v>156</v>
      </c>
      <c r="C1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1" s="10"/>
      <c r="E181" s="10"/>
      <c r="F18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8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81" s="11"/>
      <c r="I181" s="10"/>
      <c r="J181" s="10"/>
      <c r="K181" s="10"/>
    </row>
    <row r="182" spans="1:11" x14ac:dyDescent="0.45">
      <c r="A182" s="10">
        <v>52</v>
      </c>
      <c r="B182" s="10">
        <v>30</v>
      </c>
      <c r="C1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2" s="10"/>
      <c r="E182" s="10"/>
      <c r="F18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8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82" s="11"/>
      <c r="I182" s="10"/>
      <c r="J182" s="10"/>
      <c r="K182" s="10"/>
    </row>
    <row r="183" spans="1:11" x14ac:dyDescent="0.45">
      <c r="A183" s="10">
        <v>52</v>
      </c>
      <c r="B183" s="10">
        <v>188</v>
      </c>
      <c r="C1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3" s="10"/>
      <c r="E183" s="10"/>
      <c r="F18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8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83" s="11"/>
      <c r="I183" s="10"/>
      <c r="J183" s="10"/>
      <c r="K183" s="10"/>
    </row>
    <row r="184" spans="1:11" x14ac:dyDescent="0.45">
      <c r="A184" s="10">
        <v>52</v>
      </c>
      <c r="B184" s="10">
        <v>171</v>
      </c>
      <c r="C1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4" s="10"/>
      <c r="E184" s="10"/>
      <c r="F18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8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84" s="11"/>
      <c r="I184" s="10"/>
      <c r="J184" s="10"/>
      <c r="K184" s="10"/>
    </row>
    <row r="185" spans="1:11" x14ac:dyDescent="0.45">
      <c r="A185" s="10">
        <v>52</v>
      </c>
      <c r="B185" s="10">
        <v>195</v>
      </c>
      <c r="C1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5" s="10"/>
      <c r="E185" s="10"/>
      <c r="F18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8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85" s="11"/>
      <c r="I185" s="10"/>
      <c r="J185" s="10"/>
      <c r="K185" s="10"/>
    </row>
    <row r="186" spans="1:11" x14ac:dyDescent="0.45">
      <c r="A186" s="10">
        <v>53</v>
      </c>
      <c r="B186" s="10">
        <v>30</v>
      </c>
      <c r="C1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6" s="10"/>
      <c r="E186" s="10"/>
      <c r="F1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86" s="11"/>
      <c r="I186" s="10"/>
      <c r="J186" s="10"/>
      <c r="K186" s="10"/>
    </row>
    <row r="187" spans="1:11" x14ac:dyDescent="0.45">
      <c r="A187" s="10">
        <v>53</v>
      </c>
      <c r="B187" s="10">
        <v>227</v>
      </c>
      <c r="C1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7" s="10"/>
      <c r="E187" s="10"/>
      <c r="F18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8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87" s="11"/>
      <c r="I187" s="10"/>
      <c r="J187" s="10"/>
      <c r="K187" s="10"/>
    </row>
    <row r="188" spans="1:11" x14ac:dyDescent="0.45">
      <c r="A188" s="10">
        <v>52</v>
      </c>
      <c r="B188" s="10">
        <v>227</v>
      </c>
      <c r="C1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8" s="10"/>
      <c r="E188" s="10"/>
      <c r="F18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8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88" s="11"/>
      <c r="I188" s="10"/>
      <c r="J188" s="10"/>
      <c r="K188" s="10"/>
    </row>
    <row r="189" spans="1:11" x14ac:dyDescent="0.45">
      <c r="A189" s="10">
        <v>53</v>
      </c>
      <c r="B189" s="10">
        <v>195</v>
      </c>
      <c r="C1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89" s="10"/>
      <c r="E189" s="10"/>
      <c r="F18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8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89" s="11"/>
      <c r="I189" s="10"/>
      <c r="J189" s="10"/>
      <c r="K189" s="10"/>
    </row>
    <row r="190" spans="1:11" x14ac:dyDescent="0.45">
      <c r="A190" s="10">
        <v>53</v>
      </c>
      <c r="B190" s="10">
        <v>171</v>
      </c>
      <c r="C1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0" s="10"/>
      <c r="E190" s="10"/>
      <c r="F19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9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90" s="11"/>
      <c r="I190" s="10"/>
      <c r="J190" s="10"/>
      <c r="K190" s="10"/>
    </row>
    <row r="191" spans="1:11" x14ac:dyDescent="0.45">
      <c r="A191" s="10">
        <v>53</v>
      </c>
      <c r="B191" s="10">
        <v>188</v>
      </c>
      <c r="C1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1" s="10"/>
      <c r="E191" s="10"/>
      <c r="F19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9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91" s="11"/>
      <c r="I191" s="10"/>
      <c r="J191" s="10"/>
      <c r="K191" s="10"/>
    </row>
    <row r="192" spans="1:11" x14ac:dyDescent="0.45">
      <c r="A192" s="10">
        <v>55</v>
      </c>
      <c r="B192" s="10">
        <v>539</v>
      </c>
      <c r="C1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2" s="10"/>
      <c r="E192" s="10"/>
      <c r="F19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9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92" s="11"/>
      <c r="I192" s="10"/>
      <c r="J192" s="10"/>
      <c r="K192" s="10"/>
    </row>
    <row r="193" spans="1:11" x14ac:dyDescent="0.45">
      <c r="A193" s="10">
        <v>54</v>
      </c>
      <c r="B193" s="10">
        <v>648</v>
      </c>
      <c r="C1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3" s="10"/>
      <c r="E193" s="10"/>
      <c r="F19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9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93" s="11"/>
      <c r="I193" s="10"/>
      <c r="J193" s="10"/>
      <c r="K193" s="10"/>
    </row>
    <row r="194" spans="1:11" x14ac:dyDescent="0.45">
      <c r="A194" s="10">
        <v>54</v>
      </c>
      <c r="B194" s="10">
        <v>539</v>
      </c>
      <c r="C1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4" s="10"/>
      <c r="E194" s="10"/>
      <c r="F19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9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94" s="11"/>
      <c r="I194" s="10"/>
      <c r="J194" s="10"/>
      <c r="K194" s="10"/>
    </row>
    <row r="195" spans="1:11" x14ac:dyDescent="0.45">
      <c r="A195" s="10">
        <v>55</v>
      </c>
      <c r="B195" s="10">
        <v>648</v>
      </c>
      <c r="C1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5" s="10"/>
      <c r="E195" s="10"/>
      <c r="F19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9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95" s="11"/>
      <c r="I195" s="10"/>
      <c r="J195" s="10"/>
      <c r="K195" s="10"/>
    </row>
    <row r="196" spans="1:11" x14ac:dyDescent="0.45">
      <c r="A196" s="10">
        <v>56</v>
      </c>
      <c r="B196" s="10">
        <v>12</v>
      </c>
      <c r="C1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6" s="10"/>
      <c r="E196" s="10"/>
      <c r="F19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9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96" s="11"/>
      <c r="I196" s="10"/>
      <c r="J196" s="10"/>
      <c r="K196" s="10"/>
    </row>
    <row r="197" spans="1:11" x14ac:dyDescent="0.45">
      <c r="A197" s="10">
        <v>56</v>
      </c>
      <c r="B197" s="10">
        <v>297</v>
      </c>
      <c r="C1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7" s="10"/>
      <c r="E197" s="10"/>
      <c r="F19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9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97" s="11"/>
      <c r="I197" s="10"/>
      <c r="J197" s="10"/>
      <c r="K197" s="10"/>
    </row>
    <row r="198" spans="1:11" x14ac:dyDescent="0.45">
      <c r="A198" s="10">
        <v>57</v>
      </c>
      <c r="B198" s="10">
        <v>680</v>
      </c>
      <c r="C1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8" s="10"/>
      <c r="E198" s="10"/>
      <c r="F19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9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98" s="11"/>
      <c r="I198" s="10"/>
      <c r="J198" s="10"/>
      <c r="K198" s="10"/>
    </row>
    <row r="199" spans="1:11" x14ac:dyDescent="0.45">
      <c r="A199" s="10">
        <v>56</v>
      </c>
      <c r="B199" s="10">
        <v>680</v>
      </c>
      <c r="C1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99" s="10"/>
      <c r="E199" s="10"/>
      <c r="F19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9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99" s="11"/>
      <c r="I199" s="10"/>
      <c r="J199" s="10"/>
      <c r="K199" s="10"/>
    </row>
    <row r="200" spans="1:11" x14ac:dyDescent="0.45">
      <c r="A200" s="10">
        <v>57</v>
      </c>
      <c r="B200" s="10">
        <v>12</v>
      </c>
      <c r="C2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0" s="10"/>
      <c r="E200" s="10"/>
      <c r="F2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00" s="11"/>
      <c r="I200" s="10"/>
      <c r="J200" s="10"/>
      <c r="K200" s="10"/>
    </row>
    <row r="201" spans="1:11" x14ac:dyDescent="0.45">
      <c r="A201" s="10">
        <v>57</v>
      </c>
      <c r="B201" s="10">
        <v>297</v>
      </c>
      <c r="C2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1" s="10"/>
      <c r="E201" s="10"/>
      <c r="F20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0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01" s="11"/>
      <c r="I201" s="10"/>
      <c r="J201" s="10"/>
      <c r="K201" s="10"/>
    </row>
    <row r="202" spans="1:11" x14ac:dyDescent="0.45">
      <c r="A202" s="10">
        <v>58</v>
      </c>
      <c r="B202" s="10">
        <v>296</v>
      </c>
      <c r="C2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2" s="10"/>
      <c r="E202" s="10"/>
      <c r="F20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0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02" s="11"/>
      <c r="I202" s="10"/>
      <c r="J202" s="10"/>
      <c r="K202" s="10"/>
    </row>
    <row r="203" spans="1:11" x14ac:dyDescent="0.45">
      <c r="A203" s="10">
        <v>58</v>
      </c>
      <c r="B203" s="10">
        <v>16</v>
      </c>
      <c r="C2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3" s="10"/>
      <c r="E203" s="10"/>
      <c r="F2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03" s="11"/>
      <c r="I203" s="10"/>
      <c r="J203" s="10"/>
      <c r="K203" s="10"/>
    </row>
    <row r="204" spans="1:11" x14ac:dyDescent="0.45">
      <c r="A204" s="10">
        <v>58</v>
      </c>
      <c r="B204" s="10">
        <v>235</v>
      </c>
      <c r="C2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4" s="10"/>
      <c r="E204" s="10"/>
      <c r="F20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0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04" s="11"/>
      <c r="I204" s="10"/>
      <c r="J204" s="10"/>
      <c r="K204" s="10"/>
    </row>
    <row r="205" spans="1:11" x14ac:dyDescent="0.45">
      <c r="A205" s="10">
        <v>59</v>
      </c>
      <c r="B205" s="10">
        <v>235</v>
      </c>
      <c r="C2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5" s="10"/>
      <c r="E205" s="10"/>
      <c r="F20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0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05" s="11"/>
      <c r="I205" s="10"/>
      <c r="J205" s="10"/>
      <c r="K205" s="10"/>
    </row>
    <row r="206" spans="1:11" x14ac:dyDescent="0.45">
      <c r="A206" s="10">
        <v>59</v>
      </c>
      <c r="B206" s="10">
        <v>16</v>
      </c>
      <c r="C2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6" s="10"/>
      <c r="E206" s="10"/>
      <c r="F20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0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06" s="11"/>
      <c r="I206" s="10"/>
      <c r="J206" s="10"/>
      <c r="K206" s="10"/>
    </row>
    <row r="207" spans="1:11" x14ac:dyDescent="0.45">
      <c r="A207" s="10">
        <v>59</v>
      </c>
      <c r="B207" s="10">
        <v>593</v>
      </c>
      <c r="C2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7" s="10"/>
      <c r="E207" s="10"/>
      <c r="F20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0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07" s="11"/>
      <c r="I207" s="10"/>
      <c r="J207" s="10"/>
      <c r="K207" s="10"/>
    </row>
    <row r="208" spans="1:11" x14ac:dyDescent="0.45">
      <c r="A208" s="10">
        <v>59</v>
      </c>
      <c r="B208" s="10">
        <v>296</v>
      </c>
      <c r="C2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8" s="10"/>
      <c r="E208" s="10"/>
      <c r="F20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0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08" s="11"/>
      <c r="I208" s="10"/>
      <c r="J208" s="10"/>
      <c r="K208" s="10"/>
    </row>
    <row r="209" spans="1:11" x14ac:dyDescent="0.45">
      <c r="A209" s="10">
        <v>58</v>
      </c>
      <c r="B209" s="10">
        <v>593</v>
      </c>
      <c r="C2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09" s="10"/>
      <c r="E209" s="10"/>
      <c r="F20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0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09" s="11"/>
      <c r="I209" s="10"/>
      <c r="J209" s="10"/>
      <c r="K209" s="10"/>
    </row>
    <row r="210" spans="1:11" x14ac:dyDescent="0.45">
      <c r="A210" s="10">
        <v>60</v>
      </c>
      <c r="B210" s="10">
        <v>221</v>
      </c>
      <c r="C2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0" s="10"/>
      <c r="E210" s="10"/>
      <c r="F21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1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10" s="11"/>
      <c r="I210" s="10"/>
      <c r="J210" s="10"/>
      <c r="K210" s="10"/>
    </row>
    <row r="211" spans="1:11" x14ac:dyDescent="0.45">
      <c r="A211" s="10">
        <v>60</v>
      </c>
      <c r="B211" s="10">
        <v>38</v>
      </c>
      <c r="C2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1" s="10"/>
      <c r="E211" s="10"/>
      <c r="F21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1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11" s="11"/>
      <c r="I211" s="10"/>
      <c r="J211" s="10"/>
      <c r="K211" s="10"/>
    </row>
    <row r="212" spans="1:11" x14ac:dyDescent="0.45">
      <c r="A212" s="10">
        <v>61</v>
      </c>
      <c r="B212" s="10">
        <v>221</v>
      </c>
      <c r="C2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2" s="10"/>
      <c r="E212" s="10"/>
      <c r="F21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1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12" s="11"/>
      <c r="I212" s="10"/>
      <c r="J212" s="10"/>
      <c r="K212" s="10"/>
    </row>
    <row r="213" spans="1:11" x14ac:dyDescent="0.45">
      <c r="A213" s="10">
        <v>61</v>
      </c>
      <c r="B213" s="10">
        <v>319</v>
      </c>
      <c r="C2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3" s="10"/>
      <c r="E213" s="10"/>
      <c r="F21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1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13" s="11"/>
      <c r="I213" s="10"/>
      <c r="J213" s="10"/>
      <c r="K213" s="10"/>
    </row>
    <row r="214" spans="1:11" x14ac:dyDescent="0.45">
      <c r="A214" s="10">
        <v>60</v>
      </c>
      <c r="B214" s="10">
        <v>319</v>
      </c>
      <c r="C2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4" s="10"/>
      <c r="E214" s="10"/>
      <c r="F21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1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14" s="11"/>
      <c r="I214" s="10"/>
      <c r="J214" s="10"/>
      <c r="K214" s="10"/>
    </row>
    <row r="215" spans="1:11" x14ac:dyDescent="0.45">
      <c r="A215" s="10">
        <v>61</v>
      </c>
      <c r="B215" s="10">
        <v>38</v>
      </c>
      <c r="C2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5" s="10"/>
      <c r="E215" s="10"/>
      <c r="F21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1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15" s="11"/>
      <c r="I215" s="10"/>
      <c r="J215" s="10"/>
      <c r="K215" s="10"/>
    </row>
    <row r="216" spans="1:11" x14ac:dyDescent="0.45">
      <c r="A216" s="10">
        <v>61</v>
      </c>
      <c r="B216" s="10">
        <v>495</v>
      </c>
      <c r="C2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6" s="10"/>
      <c r="E216" s="10"/>
      <c r="F21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1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16" s="11"/>
      <c r="I216" s="10"/>
      <c r="J216" s="10"/>
      <c r="K216" s="10"/>
    </row>
    <row r="217" spans="1:11" x14ac:dyDescent="0.45">
      <c r="A217" s="10">
        <v>60</v>
      </c>
      <c r="B217" s="10">
        <v>495</v>
      </c>
      <c r="C2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7" s="10"/>
      <c r="E217" s="10"/>
      <c r="F21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1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17" s="11"/>
      <c r="I217" s="10"/>
      <c r="J217" s="10"/>
      <c r="K217" s="10"/>
    </row>
    <row r="218" spans="1:11" x14ac:dyDescent="0.45">
      <c r="A218" s="10">
        <v>62</v>
      </c>
      <c r="B218" s="10">
        <v>605</v>
      </c>
      <c r="C2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8" s="10"/>
      <c r="E218" s="10"/>
      <c r="F21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1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18" s="11"/>
      <c r="I218" s="10"/>
      <c r="J218" s="10"/>
      <c r="K218" s="10"/>
    </row>
    <row r="219" spans="1:11" x14ac:dyDescent="0.45">
      <c r="A219" s="10">
        <v>63</v>
      </c>
      <c r="B219" s="10">
        <v>209</v>
      </c>
      <c r="C2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19" s="10"/>
      <c r="E219" s="10"/>
      <c r="F21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1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19" s="11"/>
      <c r="I219" s="10"/>
      <c r="J219" s="10"/>
      <c r="K219" s="10"/>
    </row>
    <row r="220" spans="1:11" x14ac:dyDescent="0.45">
      <c r="A220" s="10">
        <v>62</v>
      </c>
      <c r="B220" s="10">
        <v>209</v>
      </c>
      <c r="C2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0" s="10"/>
      <c r="E220" s="10"/>
      <c r="F22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2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20" s="11"/>
      <c r="I220" s="10"/>
      <c r="J220" s="10"/>
      <c r="K220" s="10"/>
    </row>
    <row r="221" spans="1:11" x14ac:dyDescent="0.45">
      <c r="A221" s="10">
        <v>62</v>
      </c>
      <c r="B221" s="10">
        <v>585</v>
      </c>
      <c r="C2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1" s="10"/>
      <c r="E221" s="10"/>
      <c r="F22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2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21" s="11"/>
      <c r="I221" s="10"/>
      <c r="J221" s="10"/>
      <c r="K221" s="10"/>
    </row>
    <row r="222" spans="1:11" x14ac:dyDescent="0.45">
      <c r="A222" s="10">
        <v>63</v>
      </c>
      <c r="B222" s="10">
        <v>605</v>
      </c>
      <c r="C2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2" s="10"/>
      <c r="E222" s="10"/>
      <c r="F22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2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22" s="11"/>
      <c r="I222" s="10"/>
      <c r="J222" s="10"/>
      <c r="K222" s="10"/>
    </row>
    <row r="223" spans="1:11" x14ac:dyDescent="0.45">
      <c r="A223" s="10">
        <v>63</v>
      </c>
      <c r="B223" s="10">
        <v>543</v>
      </c>
      <c r="C2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3" s="10"/>
      <c r="E223" s="10"/>
      <c r="F22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2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23" s="11"/>
      <c r="I223" s="10"/>
      <c r="J223" s="10"/>
      <c r="K223" s="10"/>
    </row>
    <row r="224" spans="1:11" x14ac:dyDescent="0.45">
      <c r="A224" s="10">
        <v>62</v>
      </c>
      <c r="B224" s="10">
        <v>543</v>
      </c>
      <c r="C2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4" s="10"/>
      <c r="E224" s="10"/>
      <c r="F22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2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24" s="11"/>
      <c r="I224" s="10"/>
      <c r="J224" s="10"/>
      <c r="K224" s="10"/>
    </row>
    <row r="225" spans="1:11" x14ac:dyDescent="0.45">
      <c r="A225" s="10">
        <v>63</v>
      </c>
      <c r="B225" s="10">
        <v>585</v>
      </c>
      <c r="C2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5" s="10"/>
      <c r="E225" s="10"/>
      <c r="F22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2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25" s="11"/>
      <c r="I225" s="10"/>
      <c r="J225" s="10"/>
      <c r="K225" s="10"/>
    </row>
    <row r="226" spans="1:11" x14ac:dyDescent="0.45">
      <c r="A226" s="10">
        <v>64</v>
      </c>
      <c r="B226" s="10">
        <v>492</v>
      </c>
      <c r="C2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6" s="10"/>
      <c r="E226" s="10"/>
      <c r="F22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2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26" s="11"/>
      <c r="I226" s="10"/>
      <c r="J226" s="10"/>
      <c r="K226" s="10"/>
    </row>
    <row r="227" spans="1:11" x14ac:dyDescent="0.45">
      <c r="A227" s="10">
        <v>65</v>
      </c>
      <c r="B227" s="10">
        <v>492</v>
      </c>
      <c r="C2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7" s="10"/>
      <c r="E227" s="10"/>
      <c r="F22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2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27" s="11"/>
      <c r="I227" s="10"/>
      <c r="J227" s="10"/>
      <c r="K227" s="10"/>
    </row>
    <row r="228" spans="1:11" x14ac:dyDescent="0.45">
      <c r="A228" s="10">
        <v>65</v>
      </c>
      <c r="B228" s="10">
        <v>260</v>
      </c>
      <c r="C2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8" s="10"/>
      <c r="E228" s="10"/>
      <c r="F22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2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28" s="11"/>
      <c r="I228" s="10"/>
      <c r="J228" s="10"/>
      <c r="K228" s="10"/>
    </row>
    <row r="229" spans="1:11" x14ac:dyDescent="0.45">
      <c r="A229" s="10">
        <v>64</v>
      </c>
      <c r="B229" s="10">
        <v>260</v>
      </c>
      <c r="C2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29" s="10"/>
      <c r="E229" s="10"/>
      <c r="F2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29" s="11"/>
      <c r="I229" s="10"/>
      <c r="J229" s="10"/>
      <c r="K229" s="10"/>
    </row>
    <row r="230" spans="1:11" x14ac:dyDescent="0.45">
      <c r="A230" s="10">
        <v>66</v>
      </c>
      <c r="B230" s="10">
        <v>24</v>
      </c>
      <c r="C2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0" s="10"/>
      <c r="E230" s="10"/>
      <c r="F23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3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30" s="11"/>
      <c r="I230" s="10"/>
      <c r="J230" s="10"/>
      <c r="K230" s="10"/>
    </row>
    <row r="231" spans="1:11" x14ac:dyDescent="0.45">
      <c r="A231" s="10">
        <v>67</v>
      </c>
      <c r="B231" s="10">
        <v>109</v>
      </c>
      <c r="C2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1" s="10"/>
      <c r="E231" s="10"/>
      <c r="F23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3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31" s="11"/>
      <c r="I231" s="10"/>
      <c r="J231" s="10"/>
      <c r="K231" s="10"/>
    </row>
    <row r="232" spans="1:11" x14ac:dyDescent="0.45">
      <c r="A232" s="10">
        <v>66</v>
      </c>
      <c r="B232" s="10">
        <v>591</v>
      </c>
      <c r="C2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2" s="10"/>
      <c r="E232" s="10"/>
      <c r="F23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3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32" s="11"/>
      <c r="I232" s="10"/>
      <c r="J232" s="10"/>
      <c r="K232" s="10"/>
    </row>
    <row r="233" spans="1:11" x14ac:dyDescent="0.45">
      <c r="A233" s="10">
        <v>66</v>
      </c>
      <c r="B233" s="10">
        <v>109</v>
      </c>
      <c r="C2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3" s="10"/>
      <c r="E233" s="10"/>
      <c r="F23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3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33" s="11"/>
      <c r="I233" s="10"/>
      <c r="J233" s="10"/>
      <c r="K233" s="10"/>
    </row>
    <row r="234" spans="1:11" x14ac:dyDescent="0.45">
      <c r="A234" s="10">
        <v>67</v>
      </c>
      <c r="B234" s="10">
        <v>24</v>
      </c>
      <c r="C2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4" s="10"/>
      <c r="E234" s="10"/>
      <c r="F23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3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34" s="11"/>
      <c r="I234" s="10"/>
      <c r="J234" s="10"/>
      <c r="K234" s="10"/>
    </row>
    <row r="235" spans="1:11" x14ac:dyDescent="0.45">
      <c r="A235" s="10">
        <v>66</v>
      </c>
      <c r="B235" s="10">
        <v>490</v>
      </c>
      <c r="C2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5" s="10"/>
      <c r="E235" s="10"/>
      <c r="F23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3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35" s="11"/>
      <c r="I235" s="10"/>
      <c r="J235" s="10"/>
      <c r="K235" s="10"/>
    </row>
    <row r="236" spans="1:11" x14ac:dyDescent="0.45">
      <c r="A236" s="10">
        <v>67</v>
      </c>
      <c r="B236" s="10">
        <v>490</v>
      </c>
      <c r="C2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6" s="10"/>
      <c r="E236" s="10"/>
      <c r="F23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3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36" s="11"/>
      <c r="I236" s="10"/>
      <c r="J236" s="10"/>
      <c r="K236" s="10"/>
    </row>
    <row r="237" spans="1:11" x14ac:dyDescent="0.45">
      <c r="A237" s="10">
        <v>67</v>
      </c>
      <c r="B237" s="10">
        <v>591</v>
      </c>
      <c r="C2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7" s="10"/>
      <c r="E237" s="10"/>
      <c r="F23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3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37" s="11"/>
      <c r="I237" s="10"/>
      <c r="J237" s="10"/>
      <c r="K237" s="10"/>
    </row>
    <row r="238" spans="1:11" x14ac:dyDescent="0.45">
      <c r="A238" s="10">
        <v>69</v>
      </c>
      <c r="B238" s="10">
        <v>471</v>
      </c>
      <c r="C2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8" s="10"/>
      <c r="E238" s="10"/>
      <c r="F23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3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38" s="11"/>
      <c r="I238" s="10"/>
      <c r="J238" s="10"/>
      <c r="K238" s="10"/>
    </row>
    <row r="239" spans="1:11" x14ac:dyDescent="0.45">
      <c r="A239" s="10">
        <v>68</v>
      </c>
      <c r="B239" s="10">
        <v>316</v>
      </c>
      <c r="C2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39" s="10"/>
      <c r="E239" s="10"/>
      <c r="F23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3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39" s="11"/>
      <c r="I239" s="10"/>
      <c r="J239" s="10"/>
      <c r="K239" s="10"/>
    </row>
    <row r="240" spans="1:11" x14ac:dyDescent="0.45">
      <c r="A240" s="10">
        <v>68</v>
      </c>
      <c r="B240" s="10">
        <v>471</v>
      </c>
      <c r="C2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0" s="10"/>
      <c r="E240" s="10"/>
      <c r="F24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4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40" s="11"/>
      <c r="I240" s="10"/>
      <c r="J240" s="10"/>
      <c r="K240" s="10"/>
    </row>
    <row r="241" spans="1:11" x14ac:dyDescent="0.45">
      <c r="A241" s="10">
        <v>68</v>
      </c>
      <c r="B241" s="10">
        <v>457</v>
      </c>
      <c r="C2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1" s="10"/>
      <c r="E241" s="10"/>
      <c r="F24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4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41" s="11"/>
      <c r="I241" s="10"/>
      <c r="J241" s="10"/>
      <c r="K241" s="10"/>
    </row>
    <row r="242" spans="1:11" x14ac:dyDescent="0.45">
      <c r="A242" s="10">
        <v>69</v>
      </c>
      <c r="B242" s="10">
        <v>457</v>
      </c>
      <c r="C2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2" s="10"/>
      <c r="E242" s="10"/>
      <c r="F24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4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42" s="11"/>
      <c r="I242" s="10"/>
      <c r="J242" s="10"/>
      <c r="K242" s="10"/>
    </row>
    <row r="243" spans="1:11" x14ac:dyDescent="0.45">
      <c r="A243" s="10">
        <v>69</v>
      </c>
      <c r="B243" s="10">
        <v>316</v>
      </c>
      <c r="C2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3" s="10"/>
      <c r="E243" s="10"/>
      <c r="F24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4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43" s="11"/>
      <c r="I243" s="10"/>
      <c r="J243" s="10"/>
      <c r="K243" s="10"/>
    </row>
    <row r="244" spans="1:11" x14ac:dyDescent="0.45">
      <c r="A244" s="10">
        <v>71</v>
      </c>
      <c r="B244" s="10">
        <v>36</v>
      </c>
      <c r="C2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4" s="10"/>
      <c r="E244" s="10"/>
      <c r="F24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4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44" s="11"/>
      <c r="I244" s="10"/>
      <c r="J244" s="10"/>
      <c r="K244" s="10"/>
    </row>
    <row r="245" spans="1:11" x14ac:dyDescent="0.45">
      <c r="A245" s="10">
        <v>71</v>
      </c>
      <c r="B245" s="10">
        <v>305</v>
      </c>
      <c r="C2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5" s="10"/>
      <c r="E245" s="10"/>
      <c r="F24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4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45" s="11"/>
      <c r="I245" s="10"/>
      <c r="J245" s="10"/>
      <c r="K245" s="10"/>
    </row>
    <row r="246" spans="1:11" x14ac:dyDescent="0.45">
      <c r="A246" s="10">
        <v>71</v>
      </c>
      <c r="B246" s="10">
        <v>186</v>
      </c>
      <c r="C2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6" s="10"/>
      <c r="E246" s="10"/>
      <c r="F24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4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46" s="11"/>
      <c r="I246" s="10"/>
      <c r="J246" s="10"/>
      <c r="K246" s="10"/>
    </row>
    <row r="247" spans="1:11" x14ac:dyDescent="0.45">
      <c r="A247" s="10">
        <v>70</v>
      </c>
      <c r="B247" s="10">
        <v>36</v>
      </c>
      <c r="C2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7" s="10"/>
      <c r="E247" s="10"/>
      <c r="F24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4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47" s="11"/>
      <c r="I247" s="10"/>
      <c r="J247" s="10"/>
      <c r="K247" s="10"/>
    </row>
    <row r="248" spans="1:11" x14ac:dyDescent="0.45">
      <c r="A248" s="10">
        <v>70</v>
      </c>
      <c r="B248" s="10">
        <v>186</v>
      </c>
      <c r="C2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8" s="10"/>
      <c r="E248" s="10"/>
      <c r="F24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4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48" s="11"/>
      <c r="I248" s="10"/>
      <c r="J248" s="10"/>
      <c r="K248" s="10"/>
    </row>
    <row r="249" spans="1:11" x14ac:dyDescent="0.45">
      <c r="A249" s="10">
        <v>70</v>
      </c>
      <c r="B249" s="10">
        <v>305</v>
      </c>
      <c r="C2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49" s="10"/>
      <c r="E249" s="10"/>
      <c r="F24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4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49" s="11"/>
      <c r="I249" s="10"/>
      <c r="J249" s="10"/>
      <c r="K249" s="10"/>
    </row>
    <row r="250" spans="1:11" x14ac:dyDescent="0.45">
      <c r="A250" s="10">
        <v>70</v>
      </c>
      <c r="B250" s="10">
        <v>600</v>
      </c>
      <c r="C2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0" s="10"/>
      <c r="E250" s="10"/>
      <c r="F25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5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50" s="11"/>
      <c r="I250" s="10"/>
      <c r="J250" s="10"/>
      <c r="K250" s="10"/>
    </row>
    <row r="251" spans="1:11" x14ac:dyDescent="0.45">
      <c r="A251" s="10">
        <v>70</v>
      </c>
      <c r="B251" s="10">
        <v>577</v>
      </c>
      <c r="C2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1" s="10"/>
      <c r="E251" s="10"/>
      <c r="F25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5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51" s="11"/>
      <c r="I251" s="10"/>
      <c r="J251" s="10"/>
      <c r="K251" s="10"/>
    </row>
    <row r="252" spans="1:11" x14ac:dyDescent="0.45">
      <c r="A252" s="10">
        <v>71</v>
      </c>
      <c r="B252" s="10">
        <v>577</v>
      </c>
      <c r="C2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2" s="10"/>
      <c r="E252" s="10"/>
      <c r="F25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5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52" s="11"/>
      <c r="I252" s="10"/>
      <c r="J252" s="10"/>
      <c r="K252" s="10"/>
    </row>
    <row r="253" spans="1:11" x14ac:dyDescent="0.45">
      <c r="A253" s="10">
        <v>71</v>
      </c>
      <c r="B253" s="10">
        <v>600</v>
      </c>
      <c r="C2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3" s="10"/>
      <c r="E253" s="10"/>
      <c r="F25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5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53" s="11"/>
      <c r="I253" s="10"/>
      <c r="J253" s="10"/>
      <c r="K253" s="10"/>
    </row>
    <row r="254" spans="1:11" x14ac:dyDescent="0.45">
      <c r="A254" s="10">
        <v>72</v>
      </c>
      <c r="B254" s="10">
        <v>154</v>
      </c>
      <c r="C2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4" s="10"/>
      <c r="E254" s="10"/>
      <c r="F25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5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54" s="11"/>
      <c r="I254" s="10"/>
      <c r="J254" s="10"/>
      <c r="K254" s="10"/>
    </row>
    <row r="255" spans="1:11" x14ac:dyDescent="0.45">
      <c r="A255" s="10">
        <v>72</v>
      </c>
      <c r="B255" s="10">
        <v>568</v>
      </c>
      <c r="C2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5" s="10"/>
      <c r="E255" s="10"/>
      <c r="F25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5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55" s="11"/>
      <c r="I255" s="10"/>
      <c r="J255" s="10"/>
      <c r="K255" s="10"/>
    </row>
    <row r="256" spans="1:11" x14ac:dyDescent="0.45">
      <c r="A256" s="10">
        <v>73</v>
      </c>
      <c r="B256" s="10">
        <v>154</v>
      </c>
      <c r="C2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6" s="10"/>
      <c r="E256" s="10"/>
      <c r="F25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5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56" s="11"/>
      <c r="I256" s="10"/>
      <c r="J256" s="10"/>
      <c r="K256" s="10"/>
    </row>
    <row r="257" spans="1:11" x14ac:dyDescent="0.45">
      <c r="A257" s="10">
        <v>73</v>
      </c>
      <c r="B257" s="10">
        <v>568</v>
      </c>
      <c r="C2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7" s="10"/>
      <c r="E257" s="10"/>
      <c r="F25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5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57" s="11"/>
      <c r="I257" s="10"/>
      <c r="J257" s="10"/>
      <c r="K257" s="10"/>
    </row>
    <row r="258" spans="1:11" x14ac:dyDescent="0.45">
      <c r="A258" s="10">
        <v>74</v>
      </c>
      <c r="B258" s="10">
        <v>412</v>
      </c>
      <c r="C2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8" s="10"/>
      <c r="E258" s="10"/>
      <c r="F25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5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58" s="11"/>
      <c r="I258" s="10"/>
      <c r="J258" s="10"/>
      <c r="K258" s="10"/>
    </row>
    <row r="259" spans="1:11" x14ac:dyDescent="0.45">
      <c r="A259" s="10">
        <v>75</v>
      </c>
      <c r="B259" s="10">
        <v>412</v>
      </c>
      <c r="C2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59" s="10"/>
      <c r="E259" s="10"/>
      <c r="F25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5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59" s="11"/>
      <c r="I259" s="10"/>
      <c r="J259" s="10"/>
      <c r="K259" s="10"/>
    </row>
    <row r="260" spans="1:11" x14ac:dyDescent="0.45">
      <c r="A260" s="10">
        <v>75</v>
      </c>
      <c r="B260" s="10">
        <v>353</v>
      </c>
      <c r="C2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0" s="10"/>
      <c r="E260" s="10"/>
      <c r="F26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6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60" s="11"/>
      <c r="I260" s="10"/>
      <c r="J260" s="10"/>
      <c r="K260" s="10"/>
    </row>
    <row r="261" spans="1:11" x14ac:dyDescent="0.45">
      <c r="A261" s="10">
        <v>74</v>
      </c>
      <c r="B261" s="10">
        <v>236</v>
      </c>
      <c r="C2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1" s="10"/>
      <c r="E261" s="10"/>
      <c r="F26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6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61" s="11"/>
      <c r="I261" s="10"/>
      <c r="J261" s="10"/>
      <c r="K261" s="10"/>
    </row>
    <row r="262" spans="1:11" x14ac:dyDescent="0.45">
      <c r="A262" s="10">
        <v>75</v>
      </c>
      <c r="B262" s="10">
        <v>236</v>
      </c>
      <c r="C2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2" s="10"/>
      <c r="E262" s="10"/>
      <c r="F26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6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62" s="11"/>
      <c r="I262" s="10"/>
      <c r="J262" s="10"/>
      <c r="K262" s="10"/>
    </row>
    <row r="263" spans="1:11" x14ac:dyDescent="0.45">
      <c r="A263" s="10">
        <v>74</v>
      </c>
      <c r="B263" s="10">
        <v>353</v>
      </c>
      <c r="C2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3" s="10"/>
      <c r="E263" s="10"/>
      <c r="F2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63" s="11"/>
      <c r="I263" s="10"/>
      <c r="J263" s="10"/>
      <c r="K263" s="10"/>
    </row>
    <row r="264" spans="1:11" x14ac:dyDescent="0.45">
      <c r="A264" s="10">
        <v>76</v>
      </c>
      <c r="B264" s="10">
        <v>181</v>
      </c>
      <c r="C2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4" s="10"/>
      <c r="E264" s="10"/>
      <c r="F26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6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64" s="11"/>
      <c r="I264" s="10"/>
      <c r="J264" s="10"/>
      <c r="K264" s="10"/>
    </row>
    <row r="265" spans="1:11" x14ac:dyDescent="0.45">
      <c r="A265" s="10">
        <v>76</v>
      </c>
      <c r="B265" s="10">
        <v>192</v>
      </c>
      <c r="C2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5" s="10"/>
      <c r="E265" s="10"/>
      <c r="F26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6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65" s="11"/>
      <c r="I265" s="10"/>
      <c r="J265" s="10"/>
      <c r="K265" s="10"/>
    </row>
    <row r="266" spans="1:11" x14ac:dyDescent="0.45">
      <c r="A266" s="10">
        <v>77</v>
      </c>
      <c r="B266" s="10">
        <v>192</v>
      </c>
      <c r="C2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6" s="10"/>
      <c r="E266" s="10"/>
      <c r="F26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6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66" s="11"/>
      <c r="I266" s="10"/>
      <c r="J266" s="10"/>
      <c r="K266" s="10"/>
    </row>
    <row r="267" spans="1:11" x14ac:dyDescent="0.45">
      <c r="A267" s="10">
        <v>77</v>
      </c>
      <c r="B267" s="10">
        <v>541</v>
      </c>
      <c r="C2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7" s="10"/>
      <c r="E267" s="10"/>
      <c r="F26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6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67" s="11"/>
      <c r="I267" s="10"/>
      <c r="J267" s="10"/>
      <c r="K267" s="10"/>
    </row>
    <row r="268" spans="1:11" x14ac:dyDescent="0.45">
      <c r="A268" s="10">
        <v>76</v>
      </c>
      <c r="B268" s="10">
        <v>541</v>
      </c>
      <c r="C2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8" s="10"/>
      <c r="E268" s="10"/>
      <c r="F26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6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68" s="11"/>
      <c r="I268" s="10"/>
      <c r="J268" s="10"/>
      <c r="K268" s="10"/>
    </row>
    <row r="269" spans="1:11" x14ac:dyDescent="0.45">
      <c r="A269" s="10">
        <v>77</v>
      </c>
      <c r="B269" s="10">
        <v>181</v>
      </c>
      <c r="C2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69" s="10"/>
      <c r="E269" s="10"/>
      <c r="F26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6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69" s="11"/>
      <c r="I269" s="10"/>
      <c r="J269" s="10"/>
      <c r="K269" s="10"/>
    </row>
    <row r="270" spans="1:11" x14ac:dyDescent="0.45">
      <c r="A270" s="10">
        <v>77</v>
      </c>
      <c r="B270" s="10">
        <v>374</v>
      </c>
      <c r="C2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0" s="10"/>
      <c r="E270" s="10"/>
      <c r="F27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7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70" s="11"/>
      <c r="I270" s="10"/>
      <c r="J270" s="10"/>
      <c r="K270" s="10"/>
    </row>
    <row r="271" spans="1:11" x14ac:dyDescent="0.45">
      <c r="A271" s="10">
        <v>76</v>
      </c>
      <c r="B271" s="10">
        <v>374</v>
      </c>
      <c r="C2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1" s="10"/>
      <c r="E271" s="10"/>
      <c r="F27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7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71" s="11"/>
      <c r="I271" s="10"/>
      <c r="J271" s="10"/>
      <c r="K271" s="10"/>
    </row>
    <row r="272" spans="1:11" x14ac:dyDescent="0.45">
      <c r="A272" s="10">
        <v>78</v>
      </c>
      <c r="B272" s="10">
        <v>115</v>
      </c>
      <c r="C2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2" s="10"/>
      <c r="E272" s="10"/>
      <c r="F27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7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72" s="11"/>
      <c r="I272" s="10"/>
      <c r="J272" s="10"/>
      <c r="K272" s="10"/>
    </row>
    <row r="273" spans="1:11" x14ac:dyDescent="0.45">
      <c r="A273" s="10">
        <v>78</v>
      </c>
      <c r="B273" s="10">
        <v>77</v>
      </c>
      <c r="C2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3" s="10"/>
      <c r="E273" s="10"/>
      <c r="F2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73" s="11"/>
      <c r="I273" s="10"/>
      <c r="J273" s="10"/>
      <c r="K273" s="10"/>
    </row>
    <row r="274" spans="1:11" x14ac:dyDescent="0.45">
      <c r="A274" s="10">
        <v>79</v>
      </c>
      <c r="B274" s="10">
        <v>77</v>
      </c>
      <c r="C2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4" s="10"/>
      <c r="E274" s="10"/>
      <c r="F27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7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74" s="11"/>
      <c r="I274" s="10"/>
      <c r="J274" s="10"/>
      <c r="K274" s="10"/>
    </row>
    <row r="275" spans="1:11" x14ac:dyDescent="0.45">
      <c r="A275" s="10">
        <v>79</v>
      </c>
      <c r="B275" s="10">
        <v>230</v>
      </c>
      <c r="C2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5" s="10"/>
      <c r="E275" s="10"/>
      <c r="F27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7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75" s="11"/>
      <c r="I275" s="10"/>
      <c r="J275" s="10"/>
      <c r="K275" s="10"/>
    </row>
    <row r="276" spans="1:11" x14ac:dyDescent="0.45">
      <c r="A276" s="10">
        <v>79</v>
      </c>
      <c r="B276" s="10">
        <v>115</v>
      </c>
      <c r="C2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6" s="10"/>
      <c r="E276" s="10"/>
      <c r="F27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7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76" s="11"/>
      <c r="I276" s="10"/>
      <c r="J276" s="10"/>
      <c r="K276" s="10"/>
    </row>
    <row r="277" spans="1:11" x14ac:dyDescent="0.45">
      <c r="A277" s="10">
        <v>78</v>
      </c>
      <c r="B277" s="10">
        <v>427</v>
      </c>
      <c r="C2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7" s="10"/>
      <c r="E277" s="10"/>
      <c r="F27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7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77" s="11"/>
      <c r="I277" s="10"/>
      <c r="J277" s="10"/>
      <c r="K277" s="10"/>
    </row>
    <row r="278" spans="1:11" x14ac:dyDescent="0.45">
      <c r="A278" s="10">
        <v>79</v>
      </c>
      <c r="B278" s="10">
        <v>612</v>
      </c>
      <c r="C2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8" s="10"/>
      <c r="E278" s="10"/>
      <c r="F27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7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78" s="11"/>
      <c r="I278" s="10"/>
      <c r="J278" s="10"/>
      <c r="K278" s="10"/>
    </row>
    <row r="279" spans="1:11" x14ac:dyDescent="0.45">
      <c r="A279" s="10">
        <v>78</v>
      </c>
      <c r="B279" s="10">
        <v>230</v>
      </c>
      <c r="C2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79" s="10"/>
      <c r="E279" s="10"/>
      <c r="F27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7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79" s="11"/>
      <c r="I279" s="10"/>
      <c r="J279" s="10"/>
      <c r="K279" s="10"/>
    </row>
    <row r="280" spans="1:11" x14ac:dyDescent="0.45">
      <c r="A280" s="10">
        <v>79</v>
      </c>
      <c r="B280" s="10">
        <v>427</v>
      </c>
      <c r="C2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0" s="10"/>
      <c r="E280" s="10"/>
      <c r="F28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8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80" s="11"/>
      <c r="I280" s="10"/>
      <c r="J280" s="10"/>
      <c r="K280" s="10"/>
    </row>
    <row r="281" spans="1:11" x14ac:dyDescent="0.45">
      <c r="A281" s="10">
        <v>78</v>
      </c>
      <c r="B281" s="10">
        <v>612</v>
      </c>
      <c r="C2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1" s="10"/>
      <c r="E281" s="10"/>
      <c r="F28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8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81" s="11"/>
      <c r="I281" s="10"/>
      <c r="J281" s="10"/>
      <c r="K281" s="10"/>
    </row>
    <row r="282" spans="1:11" x14ac:dyDescent="0.45">
      <c r="A282" s="10">
        <v>81</v>
      </c>
      <c r="B282" s="10">
        <v>251</v>
      </c>
      <c r="C2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2" s="10"/>
      <c r="E282" s="10"/>
      <c r="F28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8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82" s="11"/>
      <c r="I282" s="10"/>
      <c r="J282" s="10"/>
      <c r="K282" s="10"/>
    </row>
    <row r="283" spans="1:11" x14ac:dyDescent="0.45">
      <c r="A283" s="10">
        <v>80</v>
      </c>
      <c r="B283" s="10">
        <v>251</v>
      </c>
      <c r="C2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3" s="10"/>
      <c r="E283" s="10"/>
      <c r="F28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8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83" s="11"/>
      <c r="I283" s="10"/>
      <c r="J283" s="10"/>
      <c r="K283" s="10"/>
    </row>
    <row r="284" spans="1:11" x14ac:dyDescent="0.45">
      <c r="A284" s="10">
        <v>80</v>
      </c>
      <c r="B284" s="10">
        <v>312</v>
      </c>
      <c r="C2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4" s="10"/>
      <c r="E284" s="10"/>
      <c r="F28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8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84" s="11"/>
      <c r="I284" s="10"/>
      <c r="J284" s="10"/>
      <c r="K284" s="10"/>
    </row>
    <row r="285" spans="1:11" x14ac:dyDescent="0.45">
      <c r="A285" s="10">
        <v>80</v>
      </c>
      <c r="B285" s="10">
        <v>61</v>
      </c>
      <c r="C2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5" s="10"/>
      <c r="E285" s="10"/>
      <c r="F28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8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85" s="11"/>
      <c r="I285" s="10"/>
      <c r="J285" s="10"/>
      <c r="K285" s="10"/>
    </row>
    <row r="286" spans="1:11" x14ac:dyDescent="0.45">
      <c r="A286" s="10">
        <v>81</v>
      </c>
      <c r="B286" s="10">
        <v>61</v>
      </c>
      <c r="C2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6" s="10"/>
      <c r="E286" s="10"/>
      <c r="F2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86" s="11"/>
      <c r="I286" s="10"/>
      <c r="J286" s="10"/>
      <c r="K286" s="10"/>
    </row>
    <row r="287" spans="1:11" x14ac:dyDescent="0.45">
      <c r="A287" s="10">
        <v>81</v>
      </c>
      <c r="B287" s="10">
        <v>312</v>
      </c>
      <c r="C2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7" s="10"/>
      <c r="E287" s="10"/>
      <c r="F28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8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87" s="11"/>
      <c r="I287" s="10"/>
      <c r="J287" s="10"/>
      <c r="K287" s="10"/>
    </row>
    <row r="288" spans="1:11" x14ac:dyDescent="0.45">
      <c r="A288" s="10">
        <v>83</v>
      </c>
      <c r="B288" s="10">
        <v>632</v>
      </c>
      <c r="C2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8" s="10"/>
      <c r="E288" s="10"/>
      <c r="F28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8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88" s="11"/>
      <c r="I288" s="10"/>
      <c r="J288" s="10"/>
      <c r="K288" s="10"/>
    </row>
    <row r="289" spans="1:11" x14ac:dyDescent="0.45">
      <c r="A289" s="10">
        <v>83</v>
      </c>
      <c r="B289" s="10">
        <v>17</v>
      </c>
      <c r="C2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89" s="10"/>
      <c r="E289" s="10"/>
      <c r="F28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8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89" s="11"/>
      <c r="I289" s="10"/>
      <c r="J289" s="10"/>
      <c r="K289" s="10"/>
    </row>
    <row r="290" spans="1:11" x14ac:dyDescent="0.45">
      <c r="A290" s="10">
        <v>82</v>
      </c>
      <c r="B290" s="10">
        <v>17</v>
      </c>
      <c r="C2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0" s="10"/>
      <c r="E290" s="10"/>
      <c r="F29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9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90" s="11"/>
      <c r="I290" s="10"/>
      <c r="J290" s="10"/>
      <c r="K290" s="10"/>
    </row>
    <row r="291" spans="1:11" x14ac:dyDescent="0.45">
      <c r="A291" s="10">
        <v>83</v>
      </c>
      <c r="B291" s="10">
        <v>565</v>
      </c>
      <c r="C2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1" s="10"/>
      <c r="E291" s="10"/>
      <c r="F29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9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91" s="11"/>
      <c r="I291" s="10"/>
      <c r="J291" s="10"/>
      <c r="K291" s="10"/>
    </row>
    <row r="292" spans="1:11" x14ac:dyDescent="0.45">
      <c r="A292" s="10">
        <v>82</v>
      </c>
      <c r="B292" s="10">
        <v>632</v>
      </c>
      <c r="C2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2" s="10"/>
      <c r="E292" s="10"/>
      <c r="F29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9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92" s="11"/>
      <c r="I292" s="10"/>
      <c r="J292" s="10"/>
      <c r="K292" s="10"/>
    </row>
    <row r="293" spans="1:11" x14ac:dyDescent="0.45">
      <c r="A293" s="10">
        <v>82</v>
      </c>
      <c r="B293" s="10">
        <v>565</v>
      </c>
      <c r="C2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3" s="10"/>
      <c r="E293" s="10"/>
      <c r="F29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9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93" s="11"/>
      <c r="I293" s="10"/>
      <c r="J293" s="10"/>
      <c r="K293" s="10"/>
    </row>
    <row r="294" spans="1:11" x14ac:dyDescent="0.45">
      <c r="A294" s="10">
        <v>84</v>
      </c>
      <c r="B294" s="10">
        <v>27</v>
      </c>
      <c r="C2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4" s="10"/>
      <c r="E294" s="10"/>
      <c r="F29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9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94" s="11"/>
      <c r="I294" s="10"/>
      <c r="J294" s="10"/>
      <c r="K294" s="10"/>
    </row>
    <row r="295" spans="1:11" x14ac:dyDescent="0.45">
      <c r="A295" s="10">
        <v>85</v>
      </c>
      <c r="B295" s="10">
        <v>27</v>
      </c>
      <c r="C2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5" s="10"/>
      <c r="E295" s="10"/>
      <c r="F29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9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95" s="11"/>
      <c r="I295" s="10"/>
      <c r="J295" s="10"/>
      <c r="K295" s="10"/>
    </row>
    <row r="296" spans="1:11" x14ac:dyDescent="0.45">
      <c r="A296" s="10">
        <v>85</v>
      </c>
      <c r="B296" s="10">
        <v>367</v>
      </c>
      <c r="C2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6" s="10"/>
      <c r="E296" s="10"/>
      <c r="F29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9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96" s="11"/>
      <c r="I296" s="10"/>
      <c r="J296" s="10"/>
      <c r="K296" s="10"/>
    </row>
    <row r="297" spans="1:11" x14ac:dyDescent="0.45">
      <c r="A297" s="10">
        <v>84</v>
      </c>
      <c r="B297" s="10">
        <v>367</v>
      </c>
      <c r="C2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7" s="10"/>
      <c r="E297" s="10"/>
      <c r="F29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9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97" s="11"/>
      <c r="I297" s="10"/>
      <c r="J297" s="10"/>
      <c r="K297" s="10"/>
    </row>
    <row r="298" spans="1:11" x14ac:dyDescent="0.45">
      <c r="A298" s="10">
        <v>84</v>
      </c>
      <c r="B298" s="10">
        <v>351</v>
      </c>
      <c r="C2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8" s="10"/>
      <c r="E298" s="10"/>
      <c r="F29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9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98" s="11"/>
      <c r="I298" s="10"/>
      <c r="J298" s="10"/>
      <c r="K298" s="10"/>
    </row>
    <row r="299" spans="1:11" x14ac:dyDescent="0.45">
      <c r="A299" s="10">
        <v>85</v>
      </c>
      <c r="B299" s="10">
        <v>351</v>
      </c>
      <c r="C2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299" s="10"/>
      <c r="E299" s="10"/>
      <c r="F29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29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299" s="11"/>
      <c r="I299" s="10"/>
      <c r="J299" s="10"/>
      <c r="K299" s="10"/>
    </row>
    <row r="300" spans="1:11" x14ac:dyDescent="0.45">
      <c r="A300" s="10">
        <v>87</v>
      </c>
      <c r="B300" s="10">
        <v>146</v>
      </c>
      <c r="C3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0" s="10"/>
      <c r="E300" s="10"/>
      <c r="F3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00" s="11"/>
      <c r="I300" s="10"/>
      <c r="J300" s="10"/>
      <c r="K300" s="10"/>
    </row>
    <row r="301" spans="1:11" x14ac:dyDescent="0.45">
      <c r="A301" s="10">
        <v>86</v>
      </c>
      <c r="B301" s="10">
        <v>146</v>
      </c>
      <c r="C3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1" s="10"/>
      <c r="E301" s="10"/>
      <c r="F30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0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01" s="11"/>
      <c r="I301" s="10"/>
      <c r="J301" s="10"/>
      <c r="K301" s="10"/>
    </row>
    <row r="302" spans="1:11" x14ac:dyDescent="0.45">
      <c r="A302" s="10">
        <v>87</v>
      </c>
      <c r="B302" s="10">
        <v>60</v>
      </c>
      <c r="C3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2" s="10"/>
      <c r="E302" s="10"/>
      <c r="F30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0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02" s="11"/>
      <c r="I302" s="10"/>
      <c r="J302" s="10"/>
      <c r="K302" s="10"/>
    </row>
    <row r="303" spans="1:11" x14ac:dyDescent="0.45">
      <c r="A303" s="10">
        <v>87</v>
      </c>
      <c r="B303" s="10">
        <v>10</v>
      </c>
      <c r="C3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3" s="10"/>
      <c r="E303" s="10"/>
      <c r="F30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0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03" s="11"/>
      <c r="I303" s="10"/>
      <c r="J303" s="10"/>
      <c r="K303" s="10"/>
    </row>
    <row r="304" spans="1:11" x14ac:dyDescent="0.45">
      <c r="A304" s="10">
        <v>86</v>
      </c>
      <c r="B304" s="10">
        <v>628</v>
      </c>
      <c r="C3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4" s="10"/>
      <c r="E304" s="10"/>
      <c r="F30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0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04" s="11"/>
      <c r="I304" s="10"/>
      <c r="J304" s="10"/>
      <c r="K304" s="10"/>
    </row>
    <row r="305" spans="1:11" x14ac:dyDescent="0.45">
      <c r="A305" s="10">
        <v>86</v>
      </c>
      <c r="B305" s="10">
        <v>10</v>
      </c>
      <c r="C3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5" s="10"/>
      <c r="E305" s="10"/>
      <c r="F30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0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05" s="11"/>
      <c r="I305" s="10"/>
      <c r="J305" s="10"/>
      <c r="K305" s="10"/>
    </row>
    <row r="306" spans="1:11" x14ac:dyDescent="0.45">
      <c r="A306" s="10">
        <v>86</v>
      </c>
      <c r="B306" s="10">
        <v>60</v>
      </c>
      <c r="C3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6" s="10"/>
      <c r="E306" s="10"/>
      <c r="F30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0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06" s="11"/>
      <c r="I306" s="10"/>
      <c r="J306" s="10"/>
      <c r="K306" s="10"/>
    </row>
    <row r="307" spans="1:11" x14ac:dyDescent="0.45">
      <c r="A307" s="10">
        <v>87</v>
      </c>
      <c r="B307" s="10">
        <v>628</v>
      </c>
      <c r="C3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7" s="10"/>
      <c r="E307" s="10"/>
      <c r="F30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0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07" s="11"/>
      <c r="I307" s="10"/>
      <c r="J307" s="10"/>
      <c r="K307" s="10"/>
    </row>
    <row r="308" spans="1:11" x14ac:dyDescent="0.45">
      <c r="A308" s="10">
        <v>88</v>
      </c>
      <c r="B308" s="10">
        <v>613</v>
      </c>
      <c r="C3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8" s="10"/>
      <c r="E308" s="10"/>
      <c r="F30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0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08" s="11"/>
      <c r="I308" s="10"/>
      <c r="J308" s="10"/>
      <c r="K308" s="10"/>
    </row>
    <row r="309" spans="1:11" x14ac:dyDescent="0.45">
      <c r="A309" s="10">
        <v>89</v>
      </c>
      <c r="B309" s="10">
        <v>276</v>
      </c>
      <c r="C3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09" s="10"/>
      <c r="E309" s="10"/>
      <c r="F30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0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09" s="11"/>
      <c r="I309" s="10"/>
      <c r="J309" s="10"/>
      <c r="K309" s="10"/>
    </row>
    <row r="310" spans="1:11" x14ac:dyDescent="0.45">
      <c r="A310" s="10">
        <v>88</v>
      </c>
      <c r="B310" s="10">
        <v>245</v>
      </c>
      <c r="C3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0" s="10"/>
      <c r="E310" s="10"/>
      <c r="F31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1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10" s="11"/>
      <c r="I310" s="10"/>
      <c r="J310" s="10"/>
      <c r="K310" s="10"/>
    </row>
    <row r="311" spans="1:11" x14ac:dyDescent="0.45">
      <c r="A311" s="10">
        <v>89</v>
      </c>
      <c r="B311" s="10">
        <v>613</v>
      </c>
      <c r="C3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1" s="10"/>
      <c r="E311" s="10"/>
      <c r="F31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1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11" s="11"/>
      <c r="I311" s="10"/>
      <c r="J311" s="10"/>
      <c r="K311" s="10"/>
    </row>
    <row r="312" spans="1:11" x14ac:dyDescent="0.45">
      <c r="A312" s="10">
        <v>88</v>
      </c>
      <c r="B312" s="10">
        <v>165</v>
      </c>
      <c r="C3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2" s="10"/>
      <c r="E312" s="10"/>
      <c r="F31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1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12" s="11"/>
      <c r="I312" s="10"/>
      <c r="J312" s="10"/>
      <c r="K312" s="10"/>
    </row>
    <row r="313" spans="1:11" x14ac:dyDescent="0.45">
      <c r="A313" s="10">
        <v>89</v>
      </c>
      <c r="B313" s="10">
        <v>165</v>
      </c>
      <c r="C3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3" s="10"/>
      <c r="E313" s="10"/>
      <c r="F31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1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13" s="11"/>
      <c r="I313" s="10"/>
      <c r="J313" s="10"/>
      <c r="K313" s="10"/>
    </row>
    <row r="314" spans="1:11" x14ac:dyDescent="0.45">
      <c r="A314" s="10">
        <v>88</v>
      </c>
      <c r="B314" s="10">
        <v>276</v>
      </c>
      <c r="C3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4" s="10"/>
      <c r="E314" s="10"/>
      <c r="F31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1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14" s="11"/>
      <c r="I314" s="10"/>
      <c r="J314" s="10"/>
      <c r="K314" s="10"/>
    </row>
    <row r="315" spans="1:11" x14ac:dyDescent="0.45">
      <c r="A315" s="10">
        <v>89</v>
      </c>
      <c r="B315" s="10">
        <v>245</v>
      </c>
      <c r="C3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5" s="10"/>
      <c r="E315" s="10"/>
      <c r="F31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1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15" s="11"/>
      <c r="I315" s="10"/>
      <c r="J315" s="10"/>
      <c r="K315" s="10"/>
    </row>
    <row r="316" spans="1:11" x14ac:dyDescent="0.45">
      <c r="A316" s="10">
        <v>91</v>
      </c>
      <c r="B316" s="10">
        <v>11</v>
      </c>
      <c r="C3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6" s="10"/>
      <c r="E316" s="10"/>
      <c r="F31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1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16" s="11"/>
      <c r="I316" s="10"/>
      <c r="J316" s="10"/>
      <c r="K316" s="10"/>
    </row>
    <row r="317" spans="1:11" x14ac:dyDescent="0.45">
      <c r="A317" s="10">
        <v>90</v>
      </c>
      <c r="B317" s="10">
        <v>544</v>
      </c>
      <c r="C3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7" s="10"/>
      <c r="E317" s="10"/>
      <c r="F31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1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17" s="11"/>
      <c r="I317" s="10"/>
      <c r="J317" s="10"/>
      <c r="K317" s="10"/>
    </row>
    <row r="318" spans="1:11" x14ac:dyDescent="0.45">
      <c r="A318" s="10">
        <v>91</v>
      </c>
      <c r="B318" s="10">
        <v>544</v>
      </c>
      <c r="C3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8" s="10"/>
      <c r="E318" s="10"/>
      <c r="F31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1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18" s="11"/>
      <c r="I318" s="10"/>
      <c r="J318" s="10"/>
      <c r="K318" s="10"/>
    </row>
    <row r="319" spans="1:11" x14ac:dyDescent="0.45">
      <c r="A319" s="10">
        <v>90</v>
      </c>
      <c r="B319" s="10">
        <v>11</v>
      </c>
      <c r="C3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19" s="10"/>
      <c r="E319" s="10"/>
      <c r="F31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1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19" s="11"/>
      <c r="I319" s="10"/>
      <c r="J319" s="10"/>
      <c r="K319" s="10"/>
    </row>
    <row r="320" spans="1:11" x14ac:dyDescent="0.45">
      <c r="A320" s="10">
        <v>92</v>
      </c>
      <c r="B320" s="10">
        <v>599</v>
      </c>
      <c r="C3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0" s="10"/>
      <c r="E320" s="10"/>
      <c r="F32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20" s="11"/>
      <c r="I320" s="10"/>
      <c r="J320" s="10"/>
      <c r="K320" s="10"/>
    </row>
    <row r="321" spans="1:11" x14ac:dyDescent="0.45">
      <c r="A321" s="10">
        <v>93</v>
      </c>
      <c r="B321" s="10">
        <v>698</v>
      </c>
      <c r="C3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1" s="10"/>
      <c r="E321" s="10"/>
      <c r="F32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21" s="11"/>
      <c r="I321" s="10"/>
      <c r="J321" s="10"/>
      <c r="K321" s="10"/>
    </row>
    <row r="322" spans="1:11" x14ac:dyDescent="0.45">
      <c r="A322" s="10">
        <v>93</v>
      </c>
      <c r="B322" s="10">
        <v>599</v>
      </c>
      <c r="C3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2" s="10"/>
      <c r="E322" s="10"/>
      <c r="F32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22" s="11"/>
      <c r="I322" s="10"/>
      <c r="J322" s="10"/>
      <c r="K322" s="10"/>
    </row>
    <row r="323" spans="1:11" x14ac:dyDescent="0.45">
      <c r="A323" s="10">
        <v>93</v>
      </c>
      <c r="B323" s="10">
        <v>50</v>
      </c>
      <c r="C3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3" s="10"/>
      <c r="E323" s="10"/>
      <c r="F32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23" s="11"/>
      <c r="I323" s="10"/>
      <c r="J323" s="10"/>
      <c r="K323" s="10"/>
    </row>
    <row r="324" spans="1:11" x14ac:dyDescent="0.45">
      <c r="A324" s="10">
        <v>92</v>
      </c>
      <c r="B324" s="10">
        <v>50</v>
      </c>
      <c r="C3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4" s="10"/>
      <c r="E324" s="10"/>
      <c r="F32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24" s="11"/>
      <c r="I324" s="10"/>
      <c r="J324" s="10"/>
      <c r="K324" s="10"/>
    </row>
    <row r="325" spans="1:11" x14ac:dyDescent="0.45">
      <c r="A325" s="10">
        <v>93</v>
      </c>
      <c r="B325" s="10">
        <v>51</v>
      </c>
      <c r="C3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5" s="10"/>
      <c r="E325" s="10"/>
      <c r="F32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25" s="11"/>
      <c r="I325" s="10"/>
      <c r="J325" s="10"/>
      <c r="K325" s="10"/>
    </row>
    <row r="326" spans="1:11" x14ac:dyDescent="0.45">
      <c r="A326" s="10">
        <v>92</v>
      </c>
      <c r="B326" s="10">
        <v>698</v>
      </c>
      <c r="C3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6" s="10"/>
      <c r="E326" s="10"/>
      <c r="F32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26" s="11"/>
      <c r="I326" s="10"/>
      <c r="J326" s="10"/>
      <c r="K326" s="10"/>
    </row>
    <row r="327" spans="1:11" x14ac:dyDescent="0.45">
      <c r="A327" s="10">
        <v>92</v>
      </c>
      <c r="B327" s="10">
        <v>149</v>
      </c>
      <c r="C3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7" s="10"/>
      <c r="E327" s="10"/>
      <c r="F32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27" s="11"/>
      <c r="I327" s="10"/>
      <c r="J327" s="10"/>
      <c r="K327" s="10"/>
    </row>
    <row r="328" spans="1:11" x14ac:dyDescent="0.45">
      <c r="A328" s="10">
        <v>93</v>
      </c>
      <c r="B328" s="10">
        <v>149</v>
      </c>
      <c r="C3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8" s="10"/>
      <c r="E328" s="10"/>
      <c r="F32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28" s="11"/>
      <c r="I328" s="10"/>
      <c r="J328" s="10"/>
      <c r="K328" s="10"/>
    </row>
    <row r="329" spans="1:11" x14ac:dyDescent="0.45">
      <c r="A329" s="10">
        <v>92</v>
      </c>
      <c r="B329" s="10">
        <v>51</v>
      </c>
      <c r="C3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29" s="10"/>
      <c r="E329" s="10"/>
      <c r="F3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29" s="11"/>
      <c r="I329" s="10"/>
      <c r="J329" s="10"/>
      <c r="K329" s="10"/>
    </row>
    <row r="330" spans="1:11" x14ac:dyDescent="0.45">
      <c r="A330" s="10">
        <v>95</v>
      </c>
      <c r="B330" s="10">
        <v>615</v>
      </c>
      <c r="C3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0" s="10"/>
      <c r="E330" s="10"/>
      <c r="F33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0" s="11"/>
      <c r="I330" s="10"/>
      <c r="J330" s="10"/>
      <c r="K330" s="10"/>
    </row>
    <row r="331" spans="1:11" x14ac:dyDescent="0.45">
      <c r="A331" s="10">
        <v>94</v>
      </c>
      <c r="B331" s="10">
        <v>615</v>
      </c>
      <c r="C3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1" s="10"/>
      <c r="E331" s="10"/>
      <c r="F33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1" s="11"/>
      <c r="I331" s="10"/>
      <c r="J331" s="10"/>
      <c r="K331" s="10"/>
    </row>
    <row r="332" spans="1:11" x14ac:dyDescent="0.45">
      <c r="A332" s="10">
        <v>94</v>
      </c>
      <c r="B332" s="10">
        <v>22</v>
      </c>
      <c r="C3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2" s="10"/>
      <c r="E332" s="10"/>
      <c r="F33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2" s="11"/>
      <c r="I332" s="10"/>
      <c r="J332" s="10"/>
      <c r="K332" s="10"/>
    </row>
    <row r="333" spans="1:11" x14ac:dyDescent="0.45">
      <c r="A333" s="10">
        <v>95</v>
      </c>
      <c r="B333" s="10">
        <v>22</v>
      </c>
      <c r="C3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3" s="10"/>
      <c r="E333" s="10"/>
      <c r="F33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3" s="11"/>
      <c r="I333" s="10"/>
      <c r="J333" s="10"/>
      <c r="K333" s="10"/>
    </row>
    <row r="334" spans="1:11" x14ac:dyDescent="0.45">
      <c r="A334" s="10">
        <v>94</v>
      </c>
      <c r="B334" s="10">
        <v>434</v>
      </c>
      <c r="C3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4" s="10"/>
      <c r="E334" s="10"/>
      <c r="F33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4" s="11"/>
      <c r="I334" s="10"/>
      <c r="J334" s="10"/>
      <c r="K334" s="10"/>
    </row>
    <row r="335" spans="1:11" x14ac:dyDescent="0.45">
      <c r="A335" s="10">
        <v>95</v>
      </c>
      <c r="B335" s="10">
        <v>434</v>
      </c>
      <c r="C3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5" s="10"/>
      <c r="E335" s="10"/>
      <c r="F33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5" s="11"/>
      <c r="I335" s="10"/>
      <c r="J335" s="10"/>
      <c r="K335" s="10"/>
    </row>
    <row r="336" spans="1:11" x14ac:dyDescent="0.45">
      <c r="A336" s="10">
        <v>97</v>
      </c>
      <c r="B336" s="10">
        <v>337</v>
      </c>
      <c r="C3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6" s="10"/>
      <c r="E336" s="10"/>
      <c r="F33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6" s="11"/>
      <c r="I336" s="10"/>
      <c r="J336" s="10"/>
      <c r="K336" s="10"/>
    </row>
    <row r="337" spans="1:11" x14ac:dyDescent="0.45">
      <c r="A337" s="10">
        <v>96</v>
      </c>
      <c r="B337" s="10">
        <v>71</v>
      </c>
      <c r="C3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7" s="10"/>
      <c r="E337" s="10"/>
      <c r="F3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7" s="11"/>
      <c r="I337" s="10"/>
      <c r="J337" s="10"/>
      <c r="K337" s="10"/>
    </row>
    <row r="338" spans="1:11" x14ac:dyDescent="0.45">
      <c r="A338" s="10">
        <v>96</v>
      </c>
      <c r="B338" s="10">
        <v>429</v>
      </c>
      <c r="C3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8" s="10"/>
      <c r="E338" s="10"/>
      <c r="F33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8" s="11"/>
      <c r="I338" s="10"/>
      <c r="J338" s="10"/>
      <c r="K338" s="10"/>
    </row>
    <row r="339" spans="1:11" x14ac:dyDescent="0.45">
      <c r="A339" s="10">
        <v>97</v>
      </c>
      <c r="B339" s="10">
        <v>307</v>
      </c>
      <c r="C3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39" s="10"/>
      <c r="E339" s="10"/>
      <c r="F33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3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39" s="11"/>
      <c r="I339" s="10"/>
      <c r="J339" s="10"/>
      <c r="K339" s="10"/>
    </row>
    <row r="340" spans="1:11" x14ac:dyDescent="0.45">
      <c r="A340" s="10">
        <v>96</v>
      </c>
      <c r="B340" s="10">
        <v>108</v>
      </c>
      <c r="C3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0" s="10"/>
      <c r="E340" s="10"/>
      <c r="F34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0" s="11"/>
      <c r="I340" s="10"/>
      <c r="J340" s="10"/>
      <c r="K340" s="10"/>
    </row>
    <row r="341" spans="1:11" x14ac:dyDescent="0.45">
      <c r="A341" s="10">
        <v>97</v>
      </c>
      <c r="B341" s="10">
        <v>429</v>
      </c>
      <c r="C3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1" s="10"/>
      <c r="E341" s="10"/>
      <c r="F34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1" s="11"/>
      <c r="I341" s="10"/>
      <c r="J341" s="10"/>
      <c r="K341" s="10"/>
    </row>
    <row r="342" spans="1:11" x14ac:dyDescent="0.45">
      <c r="A342" s="10">
        <v>96</v>
      </c>
      <c r="B342" s="10">
        <v>307</v>
      </c>
      <c r="C3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2" s="10"/>
      <c r="E342" s="10"/>
      <c r="F34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2" s="11"/>
      <c r="I342" s="10"/>
      <c r="J342" s="10"/>
      <c r="K342" s="10"/>
    </row>
    <row r="343" spans="1:11" x14ac:dyDescent="0.45">
      <c r="A343" s="10">
        <v>97</v>
      </c>
      <c r="B343" s="10">
        <v>71</v>
      </c>
      <c r="C3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3" s="10"/>
      <c r="E343" s="10"/>
      <c r="F34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3" s="11"/>
      <c r="I343" s="10"/>
      <c r="J343" s="10"/>
      <c r="K343" s="10"/>
    </row>
    <row r="344" spans="1:11" x14ac:dyDescent="0.45">
      <c r="A344" s="10">
        <v>96</v>
      </c>
      <c r="B344" s="10">
        <v>337</v>
      </c>
      <c r="C3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4" s="10"/>
      <c r="E344" s="10"/>
      <c r="F34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4" s="11"/>
      <c r="I344" s="10"/>
      <c r="J344" s="10"/>
      <c r="K344" s="10"/>
    </row>
    <row r="345" spans="1:11" x14ac:dyDescent="0.45">
      <c r="A345" s="10">
        <v>97</v>
      </c>
      <c r="B345" s="10">
        <v>108</v>
      </c>
      <c r="C3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5" s="10"/>
      <c r="E345" s="10"/>
      <c r="F34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5" s="11"/>
      <c r="I345" s="10"/>
      <c r="J345" s="10"/>
      <c r="K345" s="10"/>
    </row>
    <row r="346" spans="1:11" x14ac:dyDescent="0.45">
      <c r="A346" s="10">
        <v>99</v>
      </c>
      <c r="B346" s="10">
        <v>350</v>
      </c>
      <c r="C3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6" s="10"/>
      <c r="E346" s="10"/>
      <c r="F34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6" s="11"/>
      <c r="I346" s="10"/>
      <c r="J346" s="10"/>
      <c r="K346" s="10"/>
    </row>
    <row r="347" spans="1:11" x14ac:dyDescent="0.45">
      <c r="A347" s="10">
        <v>98</v>
      </c>
      <c r="B347" s="10">
        <v>693</v>
      </c>
      <c r="C3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7" s="10"/>
      <c r="E347" s="10"/>
      <c r="F34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7" s="11"/>
      <c r="I347" s="10"/>
      <c r="J347" s="10"/>
      <c r="K347" s="10"/>
    </row>
    <row r="348" spans="1:11" x14ac:dyDescent="0.45">
      <c r="A348" s="10">
        <v>99</v>
      </c>
      <c r="B348" s="10">
        <v>693</v>
      </c>
      <c r="C3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8" s="10"/>
      <c r="E348" s="10"/>
      <c r="F34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8" s="11"/>
      <c r="I348" s="10"/>
      <c r="J348" s="10"/>
      <c r="K348" s="10"/>
    </row>
    <row r="349" spans="1:11" x14ac:dyDescent="0.45">
      <c r="A349" s="10">
        <v>98</v>
      </c>
      <c r="B349" s="10">
        <v>350</v>
      </c>
      <c r="C3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49" s="10"/>
      <c r="E349" s="10"/>
      <c r="F34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4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49" s="11"/>
      <c r="I349" s="10"/>
      <c r="J349" s="10"/>
      <c r="K349" s="10"/>
    </row>
    <row r="350" spans="1:11" x14ac:dyDescent="0.45">
      <c r="A350" s="10">
        <v>101</v>
      </c>
      <c r="B350" s="10">
        <v>699</v>
      </c>
      <c r="C3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0" s="10"/>
      <c r="E350" s="10"/>
      <c r="F35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0" s="11"/>
      <c r="I350" s="10"/>
      <c r="J350" s="10"/>
      <c r="K350" s="10"/>
    </row>
    <row r="351" spans="1:11" x14ac:dyDescent="0.45">
      <c r="A351" s="10">
        <v>100</v>
      </c>
      <c r="B351" s="10">
        <v>699</v>
      </c>
      <c r="C3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1" s="10"/>
      <c r="E351" s="10"/>
      <c r="F35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1" s="11"/>
      <c r="I351" s="10"/>
      <c r="J351" s="10"/>
      <c r="K351" s="10"/>
    </row>
    <row r="352" spans="1:11" x14ac:dyDescent="0.45">
      <c r="A352" s="10">
        <v>101</v>
      </c>
      <c r="B352" s="10">
        <v>179</v>
      </c>
      <c r="C3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2" s="10"/>
      <c r="E352" s="10"/>
      <c r="F35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2" s="11"/>
      <c r="I352" s="10"/>
      <c r="J352" s="10"/>
      <c r="K352" s="10"/>
    </row>
    <row r="353" spans="1:11" x14ac:dyDescent="0.45">
      <c r="A353" s="10">
        <v>100</v>
      </c>
      <c r="B353" s="10">
        <v>179</v>
      </c>
      <c r="C3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3" s="10"/>
      <c r="E353" s="10"/>
      <c r="F35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3" s="11"/>
      <c r="I353" s="10"/>
      <c r="J353" s="10"/>
      <c r="K353" s="10"/>
    </row>
    <row r="354" spans="1:11" x14ac:dyDescent="0.45">
      <c r="A354" s="10">
        <v>103</v>
      </c>
      <c r="B354" s="10">
        <v>164</v>
      </c>
      <c r="C3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4" s="10"/>
      <c r="E354" s="10"/>
      <c r="F35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4" s="11"/>
      <c r="I354" s="10"/>
      <c r="J354" s="10"/>
      <c r="K354" s="10"/>
    </row>
    <row r="355" spans="1:11" x14ac:dyDescent="0.45">
      <c r="A355" s="10">
        <v>102</v>
      </c>
      <c r="B355" s="10">
        <v>689</v>
      </c>
      <c r="C3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5" s="10"/>
      <c r="E355" s="10"/>
      <c r="F35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5" s="11"/>
      <c r="I355" s="10"/>
      <c r="J355" s="10"/>
      <c r="K355" s="10"/>
    </row>
    <row r="356" spans="1:11" x14ac:dyDescent="0.45">
      <c r="A356" s="10">
        <v>103</v>
      </c>
      <c r="B356" s="10">
        <v>498</v>
      </c>
      <c r="C3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6" s="10"/>
      <c r="E356" s="10"/>
      <c r="F35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6" s="11"/>
      <c r="I356" s="10"/>
      <c r="J356" s="10"/>
      <c r="K356" s="10"/>
    </row>
    <row r="357" spans="1:11" x14ac:dyDescent="0.45">
      <c r="A357" s="10">
        <v>103</v>
      </c>
      <c r="B357" s="10">
        <v>689</v>
      </c>
      <c r="C3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7" s="10"/>
      <c r="E357" s="10"/>
      <c r="F35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7" s="11"/>
      <c r="I357" s="10"/>
      <c r="J357" s="10"/>
      <c r="K357" s="10"/>
    </row>
    <row r="358" spans="1:11" x14ac:dyDescent="0.45">
      <c r="A358" s="10">
        <v>102</v>
      </c>
      <c r="B358" s="10">
        <v>499</v>
      </c>
      <c r="C3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8" s="10"/>
      <c r="E358" s="10"/>
      <c r="F35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8" s="11"/>
      <c r="I358" s="10"/>
      <c r="J358" s="10"/>
      <c r="K358" s="10"/>
    </row>
    <row r="359" spans="1:11" x14ac:dyDescent="0.45">
      <c r="A359" s="10">
        <v>103</v>
      </c>
      <c r="B359" s="10">
        <v>499</v>
      </c>
      <c r="C3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59" s="10"/>
      <c r="E359" s="10"/>
      <c r="F35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5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59" s="11"/>
      <c r="I359" s="10"/>
      <c r="J359" s="10"/>
      <c r="K359" s="10"/>
    </row>
    <row r="360" spans="1:11" x14ac:dyDescent="0.45">
      <c r="A360" s="10">
        <v>103</v>
      </c>
      <c r="B360" s="10">
        <v>75</v>
      </c>
      <c r="C3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60" s="10"/>
      <c r="E360" s="10"/>
      <c r="F36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0" s="11"/>
      <c r="I360" s="10"/>
      <c r="J360" s="10"/>
      <c r="K360" s="10"/>
    </row>
    <row r="361" spans="1:11" x14ac:dyDescent="0.45">
      <c r="A361" s="10">
        <v>102</v>
      </c>
      <c r="B361" s="10">
        <v>75</v>
      </c>
      <c r="C3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61" s="10"/>
      <c r="E361" s="10"/>
      <c r="F36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1" s="11"/>
      <c r="I361" s="10"/>
      <c r="J361" s="10"/>
      <c r="K361" s="10"/>
    </row>
    <row r="362" spans="1:11" x14ac:dyDescent="0.45">
      <c r="A362" s="10">
        <v>102</v>
      </c>
      <c r="B362" s="10">
        <v>164</v>
      </c>
      <c r="C3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62" s="10"/>
      <c r="E362" s="10"/>
      <c r="F36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2" s="11"/>
      <c r="I362" s="10"/>
      <c r="J362" s="10"/>
      <c r="K362" s="10"/>
    </row>
    <row r="363" spans="1:11" x14ac:dyDescent="0.45">
      <c r="A363" s="10">
        <v>102</v>
      </c>
      <c r="B363" s="10">
        <v>498</v>
      </c>
      <c r="C3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63" s="10"/>
      <c r="E363" s="10"/>
      <c r="F3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3" s="11"/>
      <c r="I363" s="10"/>
      <c r="J363" s="10"/>
      <c r="K363" s="10"/>
    </row>
    <row r="364" spans="1:11" x14ac:dyDescent="0.45">
      <c r="A364" s="10">
        <v>104</v>
      </c>
      <c r="B364" s="10">
        <v>189</v>
      </c>
      <c r="C3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64" s="10"/>
      <c r="E364" s="10"/>
      <c r="F36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4" s="11"/>
      <c r="I364" s="10"/>
      <c r="J364" s="10"/>
      <c r="K364" s="10"/>
    </row>
    <row r="365" spans="1:11" x14ac:dyDescent="0.45">
      <c r="A365" s="10">
        <v>105</v>
      </c>
      <c r="B365" s="10">
        <v>348</v>
      </c>
      <c r="C3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65" s="10"/>
      <c r="E365" s="10"/>
      <c r="F36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5" s="11"/>
      <c r="I365" s="10"/>
      <c r="J365" s="10"/>
      <c r="K365" s="10"/>
    </row>
    <row r="366" spans="1:11" x14ac:dyDescent="0.45">
      <c r="A366" s="10">
        <v>104</v>
      </c>
      <c r="B366" s="10">
        <v>268</v>
      </c>
      <c r="C3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66" s="10"/>
      <c r="E366" s="10"/>
      <c r="F36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6" s="11"/>
      <c r="I366" s="10"/>
      <c r="J366" s="10"/>
      <c r="K366" s="10"/>
    </row>
    <row r="367" spans="1:11" x14ac:dyDescent="0.45">
      <c r="A367" s="10">
        <v>105</v>
      </c>
      <c r="B367" s="10">
        <v>268</v>
      </c>
      <c r="C3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67" s="10"/>
      <c r="E367" s="10"/>
      <c r="F36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7" s="11"/>
      <c r="I367" s="10"/>
      <c r="J367" s="10"/>
      <c r="K367" s="10"/>
    </row>
    <row r="368" spans="1:11" x14ac:dyDescent="0.45">
      <c r="A368" s="10">
        <v>105</v>
      </c>
      <c r="B368" s="10">
        <v>189</v>
      </c>
      <c r="C3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68" s="10"/>
      <c r="E368" s="10"/>
      <c r="F36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8" s="11"/>
      <c r="I368" s="10"/>
      <c r="J368" s="10"/>
      <c r="K368" s="10"/>
    </row>
    <row r="369" spans="1:11" x14ac:dyDescent="0.45">
      <c r="A369" s="10">
        <v>104</v>
      </c>
      <c r="B369" s="10">
        <v>348</v>
      </c>
      <c r="C3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69" s="10"/>
      <c r="E369" s="10"/>
      <c r="F36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6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69" s="11"/>
      <c r="I369" s="10"/>
      <c r="J369" s="10"/>
      <c r="K369" s="10"/>
    </row>
    <row r="370" spans="1:11" x14ac:dyDescent="0.45">
      <c r="A370" s="10">
        <v>106</v>
      </c>
      <c r="B370" s="10">
        <v>389</v>
      </c>
      <c r="C3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70" s="10"/>
      <c r="E370" s="10"/>
      <c r="F37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0" s="11"/>
      <c r="I370" s="10"/>
      <c r="J370" s="10"/>
      <c r="K370" s="10"/>
    </row>
    <row r="371" spans="1:11" x14ac:dyDescent="0.45">
      <c r="A371" s="10">
        <v>106</v>
      </c>
      <c r="B371" s="10">
        <v>142</v>
      </c>
      <c r="C3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71" s="10"/>
      <c r="E371" s="10"/>
      <c r="F37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1" s="11"/>
      <c r="I371" s="10"/>
      <c r="J371" s="10"/>
      <c r="K371" s="10"/>
    </row>
    <row r="372" spans="1:11" x14ac:dyDescent="0.45">
      <c r="A372" s="10">
        <v>107</v>
      </c>
      <c r="B372" s="10">
        <v>104</v>
      </c>
      <c r="C3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72" s="10"/>
      <c r="E372" s="10"/>
      <c r="F3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2" s="11"/>
      <c r="I372" s="10"/>
      <c r="J372" s="10"/>
      <c r="K372" s="10"/>
    </row>
    <row r="373" spans="1:11" x14ac:dyDescent="0.45">
      <c r="A373" s="10">
        <v>106</v>
      </c>
      <c r="B373" s="10">
        <v>104</v>
      </c>
      <c r="C3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73" s="10"/>
      <c r="E373" s="10"/>
      <c r="F3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3" s="11"/>
      <c r="I373" s="10"/>
      <c r="J373" s="10"/>
      <c r="K373" s="10"/>
    </row>
    <row r="374" spans="1:11" x14ac:dyDescent="0.45">
      <c r="A374" s="10">
        <v>106</v>
      </c>
      <c r="B374" s="10">
        <v>134</v>
      </c>
      <c r="C3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74" s="10"/>
      <c r="E374" s="10"/>
      <c r="F37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4" s="11"/>
      <c r="I374" s="10"/>
      <c r="J374" s="10"/>
      <c r="K374" s="10"/>
    </row>
    <row r="375" spans="1:11" x14ac:dyDescent="0.45">
      <c r="A375" s="10">
        <v>107</v>
      </c>
      <c r="B375" s="10">
        <v>389</v>
      </c>
      <c r="C3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75" s="10"/>
      <c r="E375" s="10"/>
      <c r="F37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5" s="11"/>
      <c r="I375" s="10"/>
      <c r="J375" s="10"/>
      <c r="K375" s="10"/>
    </row>
    <row r="376" spans="1:11" x14ac:dyDescent="0.45">
      <c r="A376" s="10">
        <v>107</v>
      </c>
      <c r="B376" s="10">
        <v>142</v>
      </c>
      <c r="C3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76" s="10"/>
      <c r="E376" s="10"/>
      <c r="F37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6" s="11"/>
      <c r="I376" s="10"/>
      <c r="J376" s="10"/>
      <c r="K376" s="10"/>
    </row>
    <row r="377" spans="1:11" x14ac:dyDescent="0.45">
      <c r="A377" s="10">
        <v>107</v>
      </c>
      <c r="B377" s="10">
        <v>134</v>
      </c>
      <c r="C3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77" s="10"/>
      <c r="E377" s="10"/>
      <c r="F37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7" s="11"/>
      <c r="I377" s="10"/>
      <c r="J377" s="10"/>
      <c r="K377" s="10"/>
    </row>
    <row r="378" spans="1:11" x14ac:dyDescent="0.45">
      <c r="A378" s="10">
        <v>108</v>
      </c>
      <c r="B378" s="10">
        <v>452</v>
      </c>
      <c r="C3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78" s="10"/>
      <c r="E378" s="10"/>
      <c r="F37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8" s="11"/>
      <c r="I378" s="10"/>
      <c r="J378" s="10"/>
      <c r="K378" s="10"/>
    </row>
    <row r="379" spans="1:11" x14ac:dyDescent="0.45">
      <c r="A379" s="10">
        <v>108</v>
      </c>
      <c r="B379" s="10">
        <v>288</v>
      </c>
      <c r="C3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79" s="10"/>
      <c r="E379" s="10"/>
      <c r="F37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7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79" s="11"/>
      <c r="I379" s="10"/>
      <c r="J379" s="10"/>
      <c r="K379" s="10"/>
    </row>
    <row r="380" spans="1:11" x14ac:dyDescent="0.45">
      <c r="A380" s="10">
        <v>109</v>
      </c>
      <c r="B380" s="10">
        <v>452</v>
      </c>
      <c r="C3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80" s="10"/>
      <c r="E380" s="10"/>
      <c r="F38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0" s="11"/>
      <c r="I380" s="10"/>
      <c r="J380" s="10"/>
      <c r="K380" s="10"/>
    </row>
    <row r="381" spans="1:11" x14ac:dyDescent="0.45">
      <c r="A381" s="10">
        <v>109</v>
      </c>
      <c r="B381" s="10">
        <v>288</v>
      </c>
      <c r="C3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81" s="10"/>
      <c r="E381" s="10"/>
      <c r="F38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1" s="11"/>
      <c r="I381" s="10"/>
      <c r="J381" s="10"/>
      <c r="K381" s="10"/>
    </row>
    <row r="382" spans="1:11" x14ac:dyDescent="0.45">
      <c r="A382" s="10">
        <v>109</v>
      </c>
      <c r="B382" s="10">
        <v>624</v>
      </c>
      <c r="C3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82" s="10"/>
      <c r="E382" s="10"/>
      <c r="F38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2" s="11"/>
      <c r="I382" s="10"/>
      <c r="J382" s="10"/>
      <c r="K382" s="10"/>
    </row>
    <row r="383" spans="1:11" x14ac:dyDescent="0.45">
      <c r="A383" s="10">
        <v>108</v>
      </c>
      <c r="B383" s="10">
        <v>624</v>
      </c>
      <c r="C3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83" s="10"/>
      <c r="E383" s="10"/>
      <c r="F38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3" s="11"/>
      <c r="I383" s="10"/>
      <c r="J383" s="10"/>
      <c r="K383" s="10"/>
    </row>
    <row r="384" spans="1:11" x14ac:dyDescent="0.45">
      <c r="A384" s="10">
        <v>108</v>
      </c>
      <c r="B384" s="10">
        <v>472</v>
      </c>
      <c r="C3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84" s="10"/>
      <c r="E384" s="10"/>
      <c r="F38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4" s="11"/>
      <c r="I384" s="10"/>
      <c r="J384" s="10"/>
      <c r="K384" s="10"/>
    </row>
    <row r="385" spans="1:11" x14ac:dyDescent="0.45">
      <c r="A385" s="10">
        <v>109</v>
      </c>
      <c r="B385" s="10">
        <v>472</v>
      </c>
      <c r="C3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85" s="10"/>
      <c r="E385" s="10"/>
      <c r="F38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5" s="11"/>
      <c r="I385" s="10"/>
      <c r="J385" s="10"/>
      <c r="K385" s="10"/>
    </row>
    <row r="386" spans="1:11" x14ac:dyDescent="0.45">
      <c r="A386" s="10">
        <v>111</v>
      </c>
      <c r="B386" s="10">
        <v>522</v>
      </c>
      <c r="C3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86" s="10"/>
      <c r="E386" s="10"/>
      <c r="F3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6" s="11"/>
      <c r="I386" s="10"/>
      <c r="J386" s="10"/>
      <c r="K386" s="10"/>
    </row>
    <row r="387" spans="1:11" x14ac:dyDescent="0.45">
      <c r="A387" s="10">
        <v>110</v>
      </c>
      <c r="B387" s="10">
        <v>522</v>
      </c>
      <c r="C3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87" s="10"/>
      <c r="E387" s="10"/>
      <c r="F38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7" s="11"/>
      <c r="I387" s="10"/>
      <c r="J387" s="10"/>
      <c r="K387" s="10"/>
    </row>
    <row r="388" spans="1:11" x14ac:dyDescent="0.45">
      <c r="A388" s="10">
        <v>110</v>
      </c>
      <c r="B388" s="10">
        <v>180</v>
      </c>
      <c r="C3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88" s="10"/>
      <c r="E388" s="10"/>
      <c r="F38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8" s="11"/>
      <c r="I388" s="10"/>
      <c r="J388" s="10"/>
      <c r="K388" s="10"/>
    </row>
    <row r="389" spans="1:11" x14ac:dyDescent="0.45">
      <c r="A389" s="10">
        <v>111</v>
      </c>
      <c r="B389" s="10">
        <v>180</v>
      </c>
      <c r="C3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89" s="10"/>
      <c r="E389" s="10"/>
      <c r="F38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8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89" s="11"/>
      <c r="I389" s="10"/>
      <c r="J389" s="10"/>
      <c r="K389" s="10"/>
    </row>
    <row r="390" spans="1:11" x14ac:dyDescent="0.45">
      <c r="A390" s="10">
        <v>111</v>
      </c>
      <c r="B390" s="10">
        <v>394</v>
      </c>
      <c r="C3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90" s="10"/>
      <c r="E390" s="10"/>
      <c r="F39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0" s="11"/>
      <c r="I390" s="10"/>
      <c r="J390" s="10"/>
      <c r="K390" s="10"/>
    </row>
    <row r="391" spans="1:11" x14ac:dyDescent="0.45">
      <c r="A391" s="10">
        <v>110</v>
      </c>
      <c r="B391" s="10">
        <v>394</v>
      </c>
      <c r="C3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91" s="10"/>
      <c r="E391" s="10"/>
      <c r="F39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1" s="11"/>
      <c r="I391" s="10"/>
      <c r="J391" s="10"/>
      <c r="K391" s="10"/>
    </row>
    <row r="392" spans="1:11" x14ac:dyDescent="0.45">
      <c r="A392" s="10">
        <v>112</v>
      </c>
      <c r="B392" s="10">
        <v>92</v>
      </c>
      <c r="C3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92" s="10"/>
      <c r="E392" s="10"/>
      <c r="F39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2" s="11"/>
      <c r="I392" s="10"/>
      <c r="J392" s="10"/>
      <c r="K392" s="10"/>
    </row>
    <row r="393" spans="1:11" x14ac:dyDescent="0.45">
      <c r="A393" s="10">
        <v>112</v>
      </c>
      <c r="B393" s="10">
        <v>340</v>
      </c>
      <c r="C3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93" s="10"/>
      <c r="E393" s="10"/>
      <c r="F39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3" s="11"/>
      <c r="I393" s="10"/>
      <c r="J393" s="10"/>
      <c r="K393" s="10"/>
    </row>
    <row r="394" spans="1:11" x14ac:dyDescent="0.45">
      <c r="A394" s="10">
        <v>113</v>
      </c>
      <c r="B394" s="10">
        <v>340</v>
      </c>
      <c r="C3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94" s="10"/>
      <c r="E394" s="10"/>
      <c r="F39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4" s="11"/>
      <c r="I394" s="10"/>
      <c r="J394" s="10"/>
      <c r="K394" s="10"/>
    </row>
    <row r="395" spans="1:11" x14ac:dyDescent="0.45">
      <c r="A395" s="10">
        <v>113</v>
      </c>
      <c r="B395" s="10">
        <v>92</v>
      </c>
      <c r="C3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95" s="10"/>
      <c r="E395" s="10"/>
      <c r="F39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5" s="11"/>
      <c r="I395" s="10"/>
      <c r="J395" s="10"/>
      <c r="K395" s="10"/>
    </row>
    <row r="396" spans="1:11" x14ac:dyDescent="0.45">
      <c r="A396" s="10">
        <v>112</v>
      </c>
      <c r="B396" s="10">
        <v>555</v>
      </c>
      <c r="C3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96" s="10"/>
      <c r="E396" s="10"/>
      <c r="F39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6" s="11"/>
      <c r="I396" s="10"/>
      <c r="J396" s="10"/>
      <c r="K396" s="10"/>
    </row>
    <row r="397" spans="1:11" x14ac:dyDescent="0.45">
      <c r="A397" s="10">
        <v>113</v>
      </c>
      <c r="B397" s="10">
        <v>555</v>
      </c>
      <c r="C3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97" s="10"/>
      <c r="E397" s="10"/>
      <c r="F39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7" s="11"/>
      <c r="I397" s="10"/>
      <c r="J397" s="10"/>
      <c r="K397" s="10"/>
    </row>
    <row r="398" spans="1:11" x14ac:dyDescent="0.45">
      <c r="A398" s="10">
        <v>115</v>
      </c>
      <c r="B398" s="10">
        <v>453</v>
      </c>
      <c r="C3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98" s="10"/>
      <c r="E398" s="10"/>
      <c r="F39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8" s="11"/>
      <c r="I398" s="10"/>
      <c r="J398" s="10"/>
      <c r="K398" s="10"/>
    </row>
    <row r="399" spans="1:11" x14ac:dyDescent="0.45">
      <c r="A399" s="10">
        <v>115</v>
      </c>
      <c r="B399" s="10">
        <v>581</v>
      </c>
      <c r="C3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399" s="10"/>
      <c r="E399" s="10"/>
      <c r="F39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39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399" s="11"/>
      <c r="I399" s="10"/>
      <c r="J399" s="10"/>
      <c r="K399" s="10"/>
    </row>
    <row r="400" spans="1:11" x14ac:dyDescent="0.45">
      <c r="A400" s="10">
        <v>114</v>
      </c>
      <c r="B400" s="10">
        <v>581</v>
      </c>
      <c r="C4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00" s="10"/>
      <c r="E400" s="10"/>
      <c r="F40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0" s="11"/>
      <c r="I400" s="10"/>
      <c r="J400" s="10"/>
      <c r="K400" s="10"/>
    </row>
    <row r="401" spans="1:11" x14ac:dyDescent="0.45">
      <c r="A401" s="10">
        <v>114</v>
      </c>
      <c r="B401" s="10">
        <v>438</v>
      </c>
      <c r="C4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01" s="10"/>
      <c r="E401" s="10"/>
      <c r="F40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1" s="11"/>
      <c r="I401" s="10"/>
      <c r="J401" s="10"/>
      <c r="K401" s="10"/>
    </row>
    <row r="402" spans="1:11" x14ac:dyDescent="0.45">
      <c r="A402" s="10">
        <v>115</v>
      </c>
      <c r="B402" s="10">
        <v>438</v>
      </c>
      <c r="C4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02" s="10"/>
      <c r="E402" s="10"/>
      <c r="F40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2" s="11"/>
      <c r="I402" s="10"/>
      <c r="J402" s="10"/>
      <c r="K402" s="10"/>
    </row>
    <row r="403" spans="1:11" x14ac:dyDescent="0.45">
      <c r="A403" s="10">
        <v>114</v>
      </c>
      <c r="B403" s="10">
        <v>453</v>
      </c>
      <c r="C4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03" s="10"/>
      <c r="E403" s="10"/>
      <c r="F4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3" s="11"/>
      <c r="I403" s="10"/>
      <c r="J403" s="10"/>
      <c r="K403" s="10"/>
    </row>
    <row r="404" spans="1:11" x14ac:dyDescent="0.45">
      <c r="A404" s="10">
        <v>117</v>
      </c>
      <c r="B404" s="10">
        <v>631</v>
      </c>
      <c r="C4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04" s="10"/>
      <c r="E404" s="10"/>
      <c r="F40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4" s="11"/>
      <c r="I404" s="10"/>
      <c r="J404" s="10"/>
      <c r="K404" s="10"/>
    </row>
    <row r="405" spans="1:11" x14ac:dyDescent="0.45">
      <c r="A405" s="10">
        <v>117</v>
      </c>
      <c r="B405" s="10">
        <v>231</v>
      </c>
      <c r="C4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05" s="10"/>
      <c r="E405" s="10"/>
      <c r="F40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5" s="11"/>
      <c r="I405" s="10"/>
      <c r="J405" s="10"/>
      <c r="K405" s="10"/>
    </row>
    <row r="406" spans="1:11" x14ac:dyDescent="0.45">
      <c r="A406" s="10">
        <v>116</v>
      </c>
      <c r="B406" s="10">
        <v>631</v>
      </c>
      <c r="C4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06" s="10"/>
      <c r="E406" s="10"/>
      <c r="F40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6" s="11"/>
      <c r="I406" s="10"/>
      <c r="J406" s="10"/>
      <c r="K406" s="10"/>
    </row>
    <row r="407" spans="1:11" x14ac:dyDescent="0.45">
      <c r="A407" s="10">
        <v>117</v>
      </c>
      <c r="B407" s="10">
        <v>644</v>
      </c>
      <c r="C4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07" s="10"/>
      <c r="E407" s="10"/>
      <c r="F40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7" s="11"/>
      <c r="I407" s="10"/>
      <c r="J407" s="10"/>
      <c r="K407" s="10"/>
    </row>
    <row r="408" spans="1:11" x14ac:dyDescent="0.45">
      <c r="A408" s="10">
        <v>116</v>
      </c>
      <c r="B408" s="10">
        <v>644</v>
      </c>
      <c r="C4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08" s="10"/>
      <c r="E408" s="10"/>
      <c r="F40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8" s="11"/>
      <c r="I408" s="10"/>
      <c r="J408" s="10"/>
      <c r="K408" s="10"/>
    </row>
    <row r="409" spans="1:11" x14ac:dyDescent="0.45">
      <c r="A409" s="10">
        <v>116</v>
      </c>
      <c r="B409" s="10">
        <v>136</v>
      </c>
      <c r="C4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09" s="10"/>
      <c r="E409" s="10"/>
      <c r="F40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0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09" s="11"/>
      <c r="I409" s="10"/>
      <c r="J409" s="10"/>
      <c r="K409" s="10"/>
    </row>
    <row r="410" spans="1:11" x14ac:dyDescent="0.45">
      <c r="A410" s="10">
        <v>116</v>
      </c>
      <c r="B410" s="10">
        <v>16</v>
      </c>
      <c r="C4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10" s="10"/>
      <c r="E410" s="10"/>
      <c r="F41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0" s="11"/>
      <c r="I410" s="10"/>
      <c r="J410" s="10"/>
      <c r="K410" s="10"/>
    </row>
    <row r="411" spans="1:11" x14ac:dyDescent="0.45">
      <c r="A411" s="10">
        <v>117</v>
      </c>
      <c r="B411" s="10">
        <v>16</v>
      </c>
      <c r="C4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11" s="10"/>
      <c r="E411" s="10"/>
      <c r="F41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1" s="11"/>
      <c r="I411" s="10"/>
      <c r="J411" s="10"/>
      <c r="K411" s="10"/>
    </row>
    <row r="412" spans="1:11" x14ac:dyDescent="0.45">
      <c r="A412" s="10">
        <v>116</v>
      </c>
      <c r="B412" s="10">
        <v>231</v>
      </c>
      <c r="C4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12" s="10"/>
      <c r="E412" s="10"/>
      <c r="F41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2" s="11"/>
      <c r="I412" s="10"/>
      <c r="J412" s="10"/>
      <c r="K412" s="10"/>
    </row>
    <row r="413" spans="1:11" x14ac:dyDescent="0.45">
      <c r="A413" s="10">
        <v>117</v>
      </c>
      <c r="B413" s="10">
        <v>136</v>
      </c>
      <c r="C4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13" s="10"/>
      <c r="E413" s="10"/>
      <c r="F41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3" s="11"/>
      <c r="I413" s="10"/>
      <c r="J413" s="10"/>
      <c r="K413" s="10"/>
    </row>
    <row r="414" spans="1:11" x14ac:dyDescent="0.45">
      <c r="A414" s="10">
        <v>119</v>
      </c>
      <c r="B414" s="10">
        <v>542</v>
      </c>
      <c r="C4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14" s="10"/>
      <c r="E414" s="10"/>
      <c r="F41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4" s="11"/>
      <c r="I414" s="10"/>
      <c r="J414" s="10"/>
      <c r="K414" s="10"/>
    </row>
    <row r="415" spans="1:11" x14ac:dyDescent="0.45">
      <c r="A415" s="10">
        <v>118</v>
      </c>
      <c r="B415" s="10">
        <v>595</v>
      </c>
      <c r="C4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15" s="10"/>
      <c r="E415" s="10"/>
      <c r="F41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5" s="11"/>
      <c r="I415" s="10"/>
      <c r="J415" s="10"/>
      <c r="K415" s="10"/>
    </row>
    <row r="416" spans="1:11" x14ac:dyDescent="0.45">
      <c r="A416" s="10">
        <v>119</v>
      </c>
      <c r="B416" s="10">
        <v>595</v>
      </c>
      <c r="C4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16" s="10"/>
      <c r="E416" s="10"/>
      <c r="F41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6" s="11"/>
      <c r="I416" s="10"/>
      <c r="J416" s="10"/>
      <c r="K416" s="10"/>
    </row>
    <row r="417" spans="1:11" x14ac:dyDescent="0.45">
      <c r="A417" s="10">
        <v>118</v>
      </c>
      <c r="B417" s="10">
        <v>542</v>
      </c>
      <c r="C4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17" s="10"/>
      <c r="E417" s="10"/>
      <c r="F41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7" s="11"/>
      <c r="I417" s="10"/>
      <c r="J417" s="10"/>
      <c r="K417" s="10"/>
    </row>
    <row r="418" spans="1:11" x14ac:dyDescent="0.45">
      <c r="A418" s="10">
        <v>119</v>
      </c>
      <c r="B418" s="10">
        <v>44</v>
      </c>
      <c r="C4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18" s="10"/>
      <c r="E418" s="10"/>
      <c r="F41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8" s="11"/>
      <c r="I418" s="10"/>
      <c r="J418" s="10"/>
      <c r="K418" s="10"/>
    </row>
    <row r="419" spans="1:11" x14ac:dyDescent="0.45">
      <c r="A419" s="10">
        <v>118</v>
      </c>
      <c r="B419" s="10">
        <v>44</v>
      </c>
      <c r="C4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19" s="10"/>
      <c r="E419" s="10"/>
      <c r="F41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1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19" s="11"/>
      <c r="I419" s="10"/>
      <c r="J419" s="10"/>
      <c r="K419" s="10"/>
    </row>
    <row r="420" spans="1:11" x14ac:dyDescent="0.45">
      <c r="A420" s="10">
        <v>120</v>
      </c>
      <c r="B420" s="10">
        <v>166</v>
      </c>
      <c r="C4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0" s="10"/>
      <c r="E420" s="10"/>
      <c r="F42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0" s="11"/>
      <c r="I420" s="10"/>
      <c r="J420" s="10"/>
      <c r="K420" s="10"/>
    </row>
    <row r="421" spans="1:11" x14ac:dyDescent="0.45">
      <c r="A421" s="10">
        <v>120</v>
      </c>
      <c r="B421" s="10">
        <v>514</v>
      </c>
      <c r="C4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1" s="10"/>
      <c r="E421" s="10"/>
      <c r="F42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1" s="11"/>
      <c r="I421" s="10"/>
      <c r="J421" s="10"/>
      <c r="K421" s="10"/>
    </row>
    <row r="422" spans="1:11" x14ac:dyDescent="0.45">
      <c r="A422" s="10">
        <v>120</v>
      </c>
      <c r="B422" s="10">
        <v>349</v>
      </c>
      <c r="C4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2" s="10"/>
      <c r="E422" s="10"/>
      <c r="F42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2" s="11"/>
      <c r="I422" s="10"/>
      <c r="J422" s="10"/>
      <c r="K422" s="10"/>
    </row>
    <row r="423" spans="1:11" x14ac:dyDescent="0.45">
      <c r="A423" s="10">
        <v>121</v>
      </c>
      <c r="B423" s="10">
        <v>166</v>
      </c>
      <c r="C4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3" s="10"/>
      <c r="E423" s="10"/>
      <c r="F42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3" s="11"/>
      <c r="I423" s="10"/>
      <c r="J423" s="10"/>
      <c r="K423" s="10"/>
    </row>
    <row r="424" spans="1:11" x14ac:dyDescent="0.45">
      <c r="A424" s="10">
        <v>121</v>
      </c>
      <c r="B424" s="10">
        <v>349</v>
      </c>
      <c r="C4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4" s="10"/>
      <c r="E424" s="10"/>
      <c r="F42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4" s="11"/>
      <c r="I424" s="10"/>
      <c r="J424" s="10"/>
      <c r="K424" s="10"/>
    </row>
    <row r="425" spans="1:11" x14ac:dyDescent="0.45">
      <c r="A425" s="10">
        <v>121</v>
      </c>
      <c r="B425" s="10">
        <v>514</v>
      </c>
      <c r="C4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5" s="10"/>
      <c r="E425" s="10"/>
      <c r="F42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5" s="11"/>
      <c r="I425" s="10"/>
      <c r="J425" s="10"/>
      <c r="K425" s="10"/>
    </row>
    <row r="426" spans="1:11" x14ac:dyDescent="0.45">
      <c r="A426" s="10">
        <v>123</v>
      </c>
      <c r="B426" s="10">
        <v>572</v>
      </c>
      <c r="C4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6" s="10"/>
      <c r="E426" s="10"/>
      <c r="F42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6" s="11"/>
      <c r="I426" s="10"/>
      <c r="J426" s="10"/>
      <c r="K426" s="10"/>
    </row>
    <row r="427" spans="1:11" x14ac:dyDescent="0.45">
      <c r="A427" s="10">
        <v>122</v>
      </c>
      <c r="B427" s="10">
        <v>572</v>
      </c>
      <c r="C4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7" s="10"/>
      <c r="E427" s="10"/>
      <c r="F42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7" s="11"/>
      <c r="I427" s="10"/>
      <c r="J427" s="10"/>
      <c r="K427" s="10"/>
    </row>
    <row r="428" spans="1:11" x14ac:dyDescent="0.45">
      <c r="A428" s="10">
        <v>122</v>
      </c>
      <c r="B428" s="10">
        <v>203</v>
      </c>
      <c r="C4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8" s="10"/>
      <c r="E428" s="10"/>
      <c r="F42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8" s="11"/>
      <c r="I428" s="10"/>
      <c r="J428" s="10"/>
      <c r="K428" s="10"/>
    </row>
    <row r="429" spans="1:11" x14ac:dyDescent="0.45">
      <c r="A429" s="10">
        <v>122</v>
      </c>
      <c r="B429" s="10">
        <v>270</v>
      </c>
      <c r="C4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29" s="10"/>
      <c r="E429" s="10"/>
      <c r="F4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29" s="11"/>
      <c r="I429" s="10"/>
      <c r="J429" s="10"/>
      <c r="K429" s="10"/>
    </row>
    <row r="430" spans="1:11" x14ac:dyDescent="0.45">
      <c r="A430" s="10">
        <v>122</v>
      </c>
      <c r="B430" s="10">
        <v>272</v>
      </c>
      <c r="C4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0" s="10"/>
      <c r="E430" s="10"/>
      <c r="F43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0" s="11"/>
      <c r="I430" s="10"/>
      <c r="J430" s="10"/>
      <c r="K430" s="10"/>
    </row>
    <row r="431" spans="1:11" x14ac:dyDescent="0.45">
      <c r="A431" s="10">
        <v>122</v>
      </c>
      <c r="B431" s="10">
        <v>82</v>
      </c>
      <c r="C4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1" s="10"/>
      <c r="E431" s="10"/>
      <c r="F43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1" s="11"/>
      <c r="I431" s="10"/>
      <c r="J431" s="10"/>
      <c r="K431" s="10"/>
    </row>
    <row r="432" spans="1:11" x14ac:dyDescent="0.45">
      <c r="A432" s="10">
        <v>123</v>
      </c>
      <c r="B432" s="10">
        <v>203</v>
      </c>
      <c r="C4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2" s="10"/>
      <c r="E432" s="10"/>
      <c r="F43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2" s="11"/>
      <c r="I432" s="10"/>
      <c r="J432" s="10"/>
      <c r="K432" s="10"/>
    </row>
    <row r="433" spans="1:11" x14ac:dyDescent="0.45">
      <c r="A433" s="10">
        <v>123</v>
      </c>
      <c r="B433" s="10">
        <v>272</v>
      </c>
      <c r="C4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3" s="10"/>
      <c r="E433" s="10"/>
      <c r="F43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3" s="11"/>
      <c r="I433" s="10"/>
      <c r="J433" s="10"/>
      <c r="K433" s="10"/>
    </row>
    <row r="434" spans="1:11" x14ac:dyDescent="0.45">
      <c r="A434" s="10">
        <v>123</v>
      </c>
      <c r="B434" s="10">
        <v>270</v>
      </c>
      <c r="C4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4" s="10"/>
      <c r="E434" s="10"/>
      <c r="F43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4" s="11"/>
      <c r="I434" s="10"/>
      <c r="J434" s="10"/>
      <c r="K434" s="10"/>
    </row>
    <row r="435" spans="1:11" x14ac:dyDescent="0.45">
      <c r="A435" s="10">
        <v>123</v>
      </c>
      <c r="B435" s="10">
        <v>82</v>
      </c>
      <c r="C4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5" s="10"/>
      <c r="E435" s="10"/>
      <c r="F43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5" s="11"/>
      <c r="I435" s="10"/>
      <c r="J435" s="10"/>
      <c r="K435" s="10"/>
    </row>
    <row r="436" spans="1:11" x14ac:dyDescent="0.45">
      <c r="A436" s="10">
        <v>124</v>
      </c>
      <c r="B436" s="10">
        <v>278</v>
      </c>
      <c r="C4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6" s="10"/>
      <c r="E436" s="10"/>
      <c r="F43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6" s="11"/>
      <c r="I436" s="10"/>
      <c r="J436" s="10"/>
      <c r="K436" s="10"/>
    </row>
    <row r="437" spans="1:11" x14ac:dyDescent="0.45">
      <c r="A437" s="10">
        <v>125</v>
      </c>
      <c r="B437" s="10">
        <v>257</v>
      </c>
      <c r="C4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7" s="10"/>
      <c r="E437" s="10"/>
      <c r="F43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7" s="11"/>
      <c r="I437" s="10"/>
      <c r="J437" s="10"/>
      <c r="K437" s="10"/>
    </row>
    <row r="438" spans="1:11" x14ac:dyDescent="0.45">
      <c r="A438" s="10">
        <v>125</v>
      </c>
      <c r="B438" s="10">
        <v>278</v>
      </c>
      <c r="C4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8" s="10"/>
      <c r="E438" s="10"/>
      <c r="F43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8" s="11"/>
      <c r="I438" s="10"/>
      <c r="J438" s="10"/>
      <c r="K438" s="10"/>
    </row>
    <row r="439" spans="1:11" x14ac:dyDescent="0.45">
      <c r="A439" s="10">
        <v>124</v>
      </c>
      <c r="B439" s="10">
        <v>257</v>
      </c>
      <c r="C4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39" s="10"/>
      <c r="E439" s="10"/>
      <c r="F43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3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39" s="11"/>
      <c r="I439" s="10"/>
      <c r="J439" s="10"/>
      <c r="K439" s="10"/>
    </row>
    <row r="440" spans="1:11" x14ac:dyDescent="0.45">
      <c r="A440" s="10">
        <v>126</v>
      </c>
      <c r="B440" s="10">
        <v>135</v>
      </c>
      <c r="C4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0" s="10"/>
      <c r="E440" s="10"/>
      <c r="F44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0" s="11"/>
      <c r="I440" s="10"/>
      <c r="J440" s="10"/>
      <c r="K440" s="10"/>
    </row>
    <row r="441" spans="1:11" x14ac:dyDescent="0.45">
      <c r="A441" s="10">
        <v>126</v>
      </c>
      <c r="B441" s="10">
        <v>493</v>
      </c>
      <c r="C4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1" s="10"/>
      <c r="E441" s="10"/>
      <c r="F44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1" s="11"/>
      <c r="I441" s="10"/>
      <c r="J441" s="10"/>
      <c r="K441" s="10"/>
    </row>
    <row r="442" spans="1:11" x14ac:dyDescent="0.45">
      <c r="A442" s="10">
        <v>127</v>
      </c>
      <c r="B442" s="10">
        <v>594</v>
      </c>
      <c r="C4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2" s="10"/>
      <c r="E442" s="10"/>
      <c r="F44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2" s="11"/>
      <c r="I442" s="10"/>
      <c r="J442" s="10"/>
      <c r="K442" s="10"/>
    </row>
    <row r="443" spans="1:11" x14ac:dyDescent="0.45">
      <c r="A443" s="10">
        <v>127</v>
      </c>
      <c r="B443" s="10">
        <v>493</v>
      </c>
      <c r="C4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3" s="10"/>
      <c r="E443" s="10"/>
      <c r="F44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3" s="11"/>
      <c r="I443" s="10"/>
      <c r="J443" s="10"/>
      <c r="K443" s="10"/>
    </row>
    <row r="444" spans="1:11" x14ac:dyDescent="0.45">
      <c r="A444" s="10">
        <v>127</v>
      </c>
      <c r="B444" s="10">
        <v>135</v>
      </c>
      <c r="C4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4" s="10"/>
      <c r="E444" s="10"/>
      <c r="F44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4" s="11"/>
      <c r="I444" s="10"/>
      <c r="J444" s="10"/>
      <c r="K444" s="10"/>
    </row>
    <row r="445" spans="1:11" x14ac:dyDescent="0.45">
      <c r="A445" s="10">
        <v>126</v>
      </c>
      <c r="B445" s="10">
        <v>594</v>
      </c>
      <c r="C4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5" s="10"/>
      <c r="E445" s="10"/>
      <c r="F44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5" s="11"/>
      <c r="I445" s="10"/>
      <c r="J445" s="10"/>
      <c r="K445" s="10"/>
    </row>
    <row r="446" spans="1:11" x14ac:dyDescent="0.45">
      <c r="A446" s="10">
        <v>126</v>
      </c>
      <c r="B446" s="10">
        <v>54</v>
      </c>
      <c r="C4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6" s="10"/>
      <c r="E446" s="10"/>
      <c r="F44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6" s="11"/>
      <c r="I446" s="10"/>
      <c r="J446" s="10"/>
      <c r="K446" s="10"/>
    </row>
    <row r="447" spans="1:11" x14ac:dyDescent="0.45">
      <c r="A447" s="10">
        <v>127</v>
      </c>
      <c r="B447" s="10">
        <v>54</v>
      </c>
      <c r="C4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7" s="10"/>
      <c r="E447" s="10"/>
      <c r="F44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7" s="11"/>
      <c r="I447" s="10"/>
      <c r="J447" s="10"/>
      <c r="K447" s="10"/>
    </row>
    <row r="448" spans="1:11" x14ac:dyDescent="0.45">
      <c r="A448" s="10">
        <v>128</v>
      </c>
      <c r="B448" s="10">
        <v>487</v>
      </c>
      <c r="C4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8" s="10"/>
      <c r="E448" s="10"/>
      <c r="F44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8" s="11"/>
      <c r="I448" s="10"/>
      <c r="J448" s="10"/>
      <c r="K448" s="10"/>
    </row>
    <row r="449" spans="1:11" x14ac:dyDescent="0.45">
      <c r="A449" s="10">
        <v>129</v>
      </c>
      <c r="B449" s="10">
        <v>390</v>
      </c>
      <c r="C4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49" s="10"/>
      <c r="E449" s="10"/>
      <c r="F44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4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49" s="11"/>
      <c r="I449" s="10"/>
      <c r="J449" s="10"/>
      <c r="K449" s="10"/>
    </row>
    <row r="450" spans="1:11" x14ac:dyDescent="0.45">
      <c r="A450" s="10">
        <v>128</v>
      </c>
      <c r="B450" s="10">
        <v>390</v>
      </c>
      <c r="C4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0" s="10"/>
      <c r="E450" s="10"/>
      <c r="F45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0" s="11"/>
      <c r="I450" s="10"/>
      <c r="J450" s="10"/>
      <c r="K450" s="10"/>
    </row>
    <row r="451" spans="1:11" x14ac:dyDescent="0.45">
      <c r="A451" s="10">
        <v>128</v>
      </c>
      <c r="B451" s="10">
        <v>21</v>
      </c>
      <c r="C4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1" s="10"/>
      <c r="E451" s="10"/>
      <c r="F45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1" s="11"/>
      <c r="I451" s="10"/>
      <c r="J451" s="10"/>
      <c r="K451" s="10"/>
    </row>
    <row r="452" spans="1:11" x14ac:dyDescent="0.45">
      <c r="A452" s="10">
        <v>128</v>
      </c>
      <c r="B452" s="10">
        <v>23</v>
      </c>
      <c r="C4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2" s="10"/>
      <c r="E452" s="10"/>
      <c r="F45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2" s="11"/>
      <c r="I452" s="10"/>
      <c r="J452" s="10"/>
      <c r="K452" s="10"/>
    </row>
    <row r="453" spans="1:11" x14ac:dyDescent="0.45">
      <c r="A453" s="10">
        <v>129</v>
      </c>
      <c r="B453" s="10">
        <v>21</v>
      </c>
      <c r="C4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3" s="10"/>
      <c r="E453" s="10"/>
      <c r="F45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3" s="11"/>
      <c r="I453" s="10"/>
      <c r="J453" s="10"/>
      <c r="K453" s="10"/>
    </row>
    <row r="454" spans="1:11" x14ac:dyDescent="0.45">
      <c r="A454" s="10">
        <v>129</v>
      </c>
      <c r="B454" s="10">
        <v>23</v>
      </c>
      <c r="C4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4" s="10"/>
      <c r="E454" s="10"/>
      <c r="F45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4" s="11"/>
      <c r="I454" s="10"/>
      <c r="J454" s="10"/>
      <c r="K454" s="10"/>
    </row>
    <row r="455" spans="1:11" x14ac:dyDescent="0.45">
      <c r="A455" s="10">
        <v>129</v>
      </c>
      <c r="B455" s="10">
        <v>487</v>
      </c>
      <c r="C4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5" s="10"/>
      <c r="E455" s="10"/>
      <c r="F45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5" s="11"/>
      <c r="I455" s="10"/>
      <c r="J455" s="10"/>
      <c r="K455" s="10"/>
    </row>
    <row r="456" spans="1:11" x14ac:dyDescent="0.45">
      <c r="A456" s="10">
        <v>131</v>
      </c>
      <c r="B456" s="10">
        <v>32</v>
      </c>
      <c r="C4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6" s="10"/>
      <c r="E456" s="10"/>
      <c r="F45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6" s="11"/>
      <c r="I456" s="10"/>
      <c r="J456" s="10"/>
      <c r="K456" s="10"/>
    </row>
    <row r="457" spans="1:11" x14ac:dyDescent="0.45">
      <c r="A457" s="10">
        <v>130</v>
      </c>
      <c r="B457" s="10">
        <v>264</v>
      </c>
      <c r="C4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7" s="10"/>
      <c r="E457" s="10"/>
      <c r="F45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7" s="11"/>
      <c r="I457" s="10"/>
      <c r="J457" s="10"/>
      <c r="K457" s="10"/>
    </row>
    <row r="458" spans="1:11" x14ac:dyDescent="0.45">
      <c r="A458" s="10">
        <v>131</v>
      </c>
      <c r="B458" s="10">
        <v>264</v>
      </c>
      <c r="C4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8" s="10"/>
      <c r="E458" s="10"/>
      <c r="F45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8" s="11"/>
      <c r="I458" s="10"/>
      <c r="J458" s="10"/>
      <c r="K458" s="10"/>
    </row>
    <row r="459" spans="1:11" x14ac:dyDescent="0.45">
      <c r="A459" s="10">
        <v>130</v>
      </c>
      <c r="B459" s="10">
        <v>32</v>
      </c>
      <c r="C4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59" s="10"/>
      <c r="E459" s="10"/>
      <c r="F45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5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59" s="11"/>
      <c r="I459" s="10"/>
      <c r="J459" s="10"/>
      <c r="K459" s="10"/>
    </row>
    <row r="460" spans="1:11" x14ac:dyDescent="0.45">
      <c r="A460" s="10">
        <v>133</v>
      </c>
      <c r="B460" s="10">
        <v>678</v>
      </c>
      <c r="C4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0" s="10"/>
      <c r="E460" s="10"/>
      <c r="F46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0" s="11"/>
      <c r="I460" s="10"/>
      <c r="J460" s="10"/>
      <c r="K460" s="10"/>
    </row>
    <row r="461" spans="1:11" x14ac:dyDescent="0.45">
      <c r="A461" s="10">
        <v>132</v>
      </c>
      <c r="B461" s="10">
        <v>658</v>
      </c>
      <c r="C4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1" s="10"/>
      <c r="E461" s="10"/>
      <c r="F46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1" s="11"/>
      <c r="I461" s="10"/>
      <c r="J461" s="10"/>
      <c r="K461" s="10"/>
    </row>
    <row r="462" spans="1:11" x14ac:dyDescent="0.45">
      <c r="A462" s="10">
        <v>133</v>
      </c>
      <c r="B462" s="10">
        <v>69</v>
      </c>
      <c r="C4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2" s="10"/>
      <c r="E462" s="10"/>
      <c r="F46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2" s="11"/>
      <c r="I462" s="10"/>
      <c r="J462" s="10"/>
      <c r="K462" s="10"/>
    </row>
    <row r="463" spans="1:11" x14ac:dyDescent="0.45">
      <c r="A463" s="10">
        <v>133</v>
      </c>
      <c r="B463" s="10">
        <v>658</v>
      </c>
      <c r="C4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3" s="10"/>
      <c r="E463" s="10"/>
      <c r="F46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3" s="11"/>
      <c r="I463" s="10"/>
      <c r="J463" s="10"/>
      <c r="K463" s="10"/>
    </row>
    <row r="464" spans="1:11" x14ac:dyDescent="0.45">
      <c r="A464" s="10">
        <v>132</v>
      </c>
      <c r="B464" s="10">
        <v>678</v>
      </c>
      <c r="C4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4" s="10"/>
      <c r="E464" s="10"/>
      <c r="F46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4" s="11"/>
      <c r="I464" s="10"/>
      <c r="J464" s="10"/>
      <c r="K464" s="10"/>
    </row>
    <row r="465" spans="1:11" x14ac:dyDescent="0.45">
      <c r="A465" s="10">
        <v>132</v>
      </c>
      <c r="B465" s="10">
        <v>69</v>
      </c>
      <c r="C4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5" s="10"/>
      <c r="E465" s="10"/>
      <c r="F46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5" s="11"/>
      <c r="I465" s="10"/>
      <c r="J465" s="10"/>
      <c r="K465" s="10"/>
    </row>
    <row r="466" spans="1:11" x14ac:dyDescent="0.45">
      <c r="A466" s="10">
        <v>134</v>
      </c>
      <c r="B466" s="10">
        <v>455</v>
      </c>
      <c r="C4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6" s="10"/>
      <c r="E466" s="10"/>
      <c r="F46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6" s="11"/>
      <c r="I466" s="10"/>
      <c r="J466" s="10"/>
      <c r="K466" s="10"/>
    </row>
    <row r="467" spans="1:11" x14ac:dyDescent="0.45">
      <c r="A467" s="10">
        <v>135</v>
      </c>
      <c r="B467" s="10">
        <v>455</v>
      </c>
      <c r="C4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7" s="10"/>
      <c r="E467" s="10"/>
      <c r="F46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7" s="11"/>
      <c r="I467" s="10"/>
      <c r="J467" s="10"/>
      <c r="K467" s="10"/>
    </row>
    <row r="468" spans="1:11" x14ac:dyDescent="0.45">
      <c r="A468" s="10">
        <v>134</v>
      </c>
      <c r="B468" s="10">
        <v>174</v>
      </c>
      <c r="C4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8" s="10"/>
      <c r="E468" s="10"/>
      <c r="F46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8" s="11"/>
      <c r="I468" s="10"/>
      <c r="J468" s="10"/>
      <c r="K468" s="10"/>
    </row>
    <row r="469" spans="1:11" x14ac:dyDescent="0.45">
      <c r="A469" s="10">
        <v>134</v>
      </c>
      <c r="B469" s="10">
        <v>336</v>
      </c>
      <c r="C4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69" s="10"/>
      <c r="E469" s="10"/>
      <c r="F46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6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69" s="11"/>
      <c r="I469" s="10"/>
      <c r="J469" s="10"/>
      <c r="K469" s="10"/>
    </row>
    <row r="470" spans="1:11" x14ac:dyDescent="0.45">
      <c r="A470" s="10">
        <v>135</v>
      </c>
      <c r="B470" s="10">
        <v>216</v>
      </c>
      <c r="C4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0" s="10"/>
      <c r="E470" s="10"/>
      <c r="F47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0" s="11"/>
      <c r="I470" s="10"/>
      <c r="J470" s="10"/>
      <c r="K470" s="10"/>
    </row>
    <row r="471" spans="1:11" x14ac:dyDescent="0.45">
      <c r="A471" s="10">
        <v>134</v>
      </c>
      <c r="B471" s="10">
        <v>216</v>
      </c>
      <c r="C4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1" s="10"/>
      <c r="E471" s="10"/>
      <c r="F47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1" s="11"/>
      <c r="I471" s="10"/>
      <c r="J471" s="10"/>
      <c r="K471" s="10"/>
    </row>
    <row r="472" spans="1:11" x14ac:dyDescent="0.45">
      <c r="A472" s="10">
        <v>134</v>
      </c>
      <c r="B472" s="10">
        <v>100</v>
      </c>
      <c r="C4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2" s="10"/>
      <c r="E472" s="10"/>
      <c r="F47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2" s="11"/>
      <c r="I472" s="10"/>
      <c r="J472" s="10"/>
      <c r="K472" s="10"/>
    </row>
    <row r="473" spans="1:11" x14ac:dyDescent="0.45">
      <c r="A473" s="10">
        <v>135</v>
      </c>
      <c r="B473" s="10">
        <v>336</v>
      </c>
      <c r="C4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3" s="10"/>
      <c r="E473" s="10"/>
      <c r="F47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3" s="11"/>
      <c r="I473" s="10"/>
      <c r="J473" s="10"/>
      <c r="K473" s="10"/>
    </row>
    <row r="474" spans="1:11" x14ac:dyDescent="0.45">
      <c r="A474" s="10">
        <v>135</v>
      </c>
      <c r="B474" s="10">
        <v>174</v>
      </c>
      <c r="C4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4" s="10"/>
      <c r="E474" s="10"/>
      <c r="F47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4" s="11"/>
      <c r="I474" s="10"/>
      <c r="J474" s="10"/>
      <c r="K474" s="10"/>
    </row>
    <row r="475" spans="1:11" x14ac:dyDescent="0.45">
      <c r="A475" s="10">
        <v>135</v>
      </c>
      <c r="B475" s="10">
        <v>100</v>
      </c>
      <c r="C4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5" s="10"/>
      <c r="E475" s="10"/>
      <c r="F47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5" s="11"/>
      <c r="I475" s="10"/>
      <c r="J475" s="10"/>
      <c r="K475" s="10"/>
    </row>
    <row r="476" spans="1:11" x14ac:dyDescent="0.45">
      <c r="A476" s="10">
        <v>136</v>
      </c>
      <c r="B476" s="10">
        <v>368</v>
      </c>
      <c r="C4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6" s="10"/>
      <c r="E476" s="10"/>
      <c r="F47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6" s="11"/>
      <c r="I476" s="10"/>
      <c r="J476" s="10"/>
      <c r="K476" s="10"/>
    </row>
    <row r="477" spans="1:11" x14ac:dyDescent="0.45">
      <c r="A477" s="10">
        <v>137</v>
      </c>
      <c r="B477" s="10">
        <v>368</v>
      </c>
      <c r="C4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7" s="10"/>
      <c r="E477" s="10"/>
      <c r="F47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7" s="11"/>
      <c r="I477" s="10"/>
      <c r="J477" s="10"/>
      <c r="K477" s="10"/>
    </row>
    <row r="478" spans="1:11" x14ac:dyDescent="0.45">
      <c r="A478" s="10">
        <v>137</v>
      </c>
      <c r="B478" s="10">
        <v>20</v>
      </c>
      <c r="C4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8" s="10"/>
      <c r="E478" s="10"/>
      <c r="F47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8" s="11"/>
      <c r="I478" s="10"/>
      <c r="J478" s="10"/>
      <c r="K478" s="10"/>
    </row>
    <row r="479" spans="1:11" x14ac:dyDescent="0.45">
      <c r="A479" s="10">
        <v>136</v>
      </c>
      <c r="B479" s="10">
        <v>20</v>
      </c>
      <c r="C4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79" s="10"/>
      <c r="E479" s="10"/>
      <c r="F47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7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79" s="11"/>
      <c r="I479" s="10"/>
      <c r="J479" s="10"/>
      <c r="K479" s="10"/>
    </row>
    <row r="480" spans="1:11" x14ac:dyDescent="0.45">
      <c r="A480" s="10">
        <v>139</v>
      </c>
      <c r="B480" s="10">
        <v>79</v>
      </c>
      <c r="C4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0" s="10"/>
      <c r="E480" s="10"/>
      <c r="F48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0" s="11"/>
      <c r="I480" s="10"/>
      <c r="J480" s="10"/>
      <c r="K480" s="10"/>
    </row>
    <row r="481" spans="1:11" x14ac:dyDescent="0.45">
      <c r="A481" s="10">
        <v>138</v>
      </c>
      <c r="B481" s="10">
        <v>598</v>
      </c>
      <c r="C4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1" s="10"/>
      <c r="E481" s="10"/>
      <c r="F48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1" s="11"/>
      <c r="I481" s="10"/>
      <c r="J481" s="10"/>
      <c r="K481" s="10"/>
    </row>
    <row r="482" spans="1:11" x14ac:dyDescent="0.45">
      <c r="A482" s="10">
        <v>138</v>
      </c>
      <c r="B482" s="10">
        <v>79</v>
      </c>
      <c r="C4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2" s="10"/>
      <c r="E482" s="10"/>
      <c r="F48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2" s="11"/>
      <c r="I482" s="10"/>
      <c r="J482" s="10"/>
      <c r="K482" s="10"/>
    </row>
    <row r="483" spans="1:11" x14ac:dyDescent="0.45">
      <c r="A483" s="10">
        <v>139</v>
      </c>
      <c r="B483" s="10">
        <v>598</v>
      </c>
      <c r="C4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3" s="10"/>
      <c r="E483" s="10"/>
      <c r="F48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3" s="11"/>
      <c r="I483" s="10"/>
      <c r="J483" s="10"/>
      <c r="K483" s="10"/>
    </row>
    <row r="484" spans="1:11" x14ac:dyDescent="0.45">
      <c r="A484" s="10">
        <v>139</v>
      </c>
      <c r="B484" s="10">
        <v>432</v>
      </c>
      <c r="C4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4" s="10"/>
      <c r="E484" s="10"/>
      <c r="F48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4" s="11"/>
      <c r="I484" s="10"/>
      <c r="J484" s="10"/>
      <c r="K484" s="10"/>
    </row>
    <row r="485" spans="1:11" x14ac:dyDescent="0.45">
      <c r="A485" s="10">
        <v>138</v>
      </c>
      <c r="B485" s="10">
        <v>529</v>
      </c>
      <c r="C4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5" s="10"/>
      <c r="E485" s="10"/>
      <c r="F48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5" s="11"/>
      <c r="I485" s="10"/>
      <c r="J485" s="10"/>
      <c r="K485" s="10"/>
    </row>
    <row r="486" spans="1:11" x14ac:dyDescent="0.45">
      <c r="A486" s="10">
        <v>139</v>
      </c>
      <c r="B486" s="10">
        <v>529</v>
      </c>
      <c r="C4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6" s="10"/>
      <c r="E486" s="10"/>
      <c r="F4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6" s="11"/>
      <c r="I486" s="10"/>
      <c r="J486" s="10"/>
      <c r="K486" s="10"/>
    </row>
    <row r="487" spans="1:11" x14ac:dyDescent="0.45">
      <c r="A487" s="10">
        <v>138</v>
      </c>
      <c r="B487" s="10">
        <v>388</v>
      </c>
      <c r="C4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7" s="10"/>
      <c r="E487" s="10"/>
      <c r="F48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7" s="11"/>
      <c r="I487" s="10"/>
      <c r="J487" s="10"/>
      <c r="K487" s="10"/>
    </row>
    <row r="488" spans="1:11" x14ac:dyDescent="0.45">
      <c r="A488" s="10">
        <v>139</v>
      </c>
      <c r="B488" s="10">
        <v>388</v>
      </c>
      <c r="C4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8" s="10"/>
      <c r="E488" s="10"/>
      <c r="F48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8" s="11"/>
      <c r="I488" s="10"/>
      <c r="J488" s="10"/>
      <c r="K488" s="10"/>
    </row>
    <row r="489" spans="1:11" x14ac:dyDescent="0.45">
      <c r="A489" s="10">
        <v>138</v>
      </c>
      <c r="B489" s="10">
        <v>432</v>
      </c>
      <c r="C4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89" s="10"/>
      <c r="E489" s="10"/>
      <c r="F48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8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89" s="11"/>
      <c r="I489" s="10"/>
      <c r="J489" s="10"/>
      <c r="K489" s="10"/>
    </row>
    <row r="490" spans="1:11" x14ac:dyDescent="0.45">
      <c r="A490" s="10">
        <v>139</v>
      </c>
      <c r="B490" s="10">
        <v>488</v>
      </c>
      <c r="C4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0" s="10"/>
      <c r="E490" s="10"/>
      <c r="F49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0" s="11"/>
      <c r="I490" s="10"/>
      <c r="J490" s="10"/>
      <c r="K490" s="10"/>
    </row>
    <row r="491" spans="1:11" x14ac:dyDescent="0.45">
      <c r="A491" s="10">
        <v>138</v>
      </c>
      <c r="B491" s="10">
        <v>488</v>
      </c>
      <c r="C4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1" s="10"/>
      <c r="E491" s="10"/>
      <c r="F49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1" s="11"/>
      <c r="I491" s="10"/>
      <c r="J491" s="10"/>
      <c r="K491" s="10"/>
    </row>
    <row r="492" spans="1:11" x14ac:dyDescent="0.45">
      <c r="A492" s="10">
        <v>140</v>
      </c>
      <c r="B492" s="10">
        <v>47</v>
      </c>
      <c r="C4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2" s="10"/>
      <c r="E492" s="10"/>
      <c r="F49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2" s="11"/>
      <c r="I492" s="10"/>
      <c r="J492" s="10"/>
      <c r="K492" s="10"/>
    </row>
    <row r="493" spans="1:11" x14ac:dyDescent="0.45">
      <c r="A493" s="10">
        <v>141</v>
      </c>
      <c r="B493" s="10">
        <v>47</v>
      </c>
      <c r="C4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3" s="10"/>
      <c r="E493" s="10"/>
      <c r="F49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3" s="11"/>
      <c r="I493" s="10"/>
      <c r="J493" s="10"/>
      <c r="K493" s="10"/>
    </row>
    <row r="494" spans="1:11" x14ac:dyDescent="0.45">
      <c r="A494" s="10">
        <v>142</v>
      </c>
      <c r="B494" s="10">
        <v>335</v>
      </c>
      <c r="C4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4" s="10"/>
      <c r="E494" s="10"/>
      <c r="F49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4" s="11"/>
      <c r="I494" s="10"/>
      <c r="J494" s="10"/>
      <c r="K494" s="10"/>
    </row>
    <row r="495" spans="1:11" x14ac:dyDescent="0.45">
      <c r="A495" s="10">
        <v>143</v>
      </c>
      <c r="B495" s="10">
        <v>342</v>
      </c>
      <c r="C4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5" s="10"/>
      <c r="E495" s="10"/>
      <c r="F49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5" s="11"/>
      <c r="I495" s="10"/>
      <c r="J495" s="10"/>
      <c r="K495" s="10"/>
    </row>
    <row r="496" spans="1:11" x14ac:dyDescent="0.45">
      <c r="A496" s="10">
        <v>143</v>
      </c>
      <c r="B496" s="10">
        <v>335</v>
      </c>
      <c r="C4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6" s="10"/>
      <c r="E496" s="10"/>
      <c r="F49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6" s="11"/>
      <c r="I496" s="10"/>
      <c r="J496" s="10"/>
      <c r="K496" s="10"/>
    </row>
    <row r="497" spans="1:11" x14ac:dyDescent="0.45">
      <c r="A497" s="10">
        <v>142</v>
      </c>
      <c r="B497" s="10">
        <v>342</v>
      </c>
      <c r="C4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7" s="10"/>
      <c r="E497" s="10"/>
      <c r="F49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7" s="11"/>
      <c r="I497" s="10"/>
      <c r="J497" s="10"/>
      <c r="K497" s="10"/>
    </row>
    <row r="498" spans="1:11" x14ac:dyDescent="0.45">
      <c r="A498" s="10">
        <v>143</v>
      </c>
      <c r="B498" s="10">
        <v>662</v>
      </c>
      <c r="C4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8" s="10"/>
      <c r="E498" s="10"/>
      <c r="F49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8" s="11"/>
      <c r="I498" s="10"/>
      <c r="J498" s="10"/>
      <c r="K498" s="10"/>
    </row>
    <row r="499" spans="1:11" x14ac:dyDescent="0.45">
      <c r="A499" s="10">
        <v>143</v>
      </c>
      <c r="B499" s="10">
        <v>355</v>
      </c>
      <c r="C4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499" s="10"/>
      <c r="E499" s="10"/>
      <c r="F49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49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499" s="11"/>
      <c r="I499" s="10"/>
      <c r="J499" s="10"/>
      <c r="K499" s="10"/>
    </row>
    <row r="500" spans="1:11" x14ac:dyDescent="0.45">
      <c r="A500" s="10">
        <v>143</v>
      </c>
      <c r="B500" s="10">
        <v>650</v>
      </c>
      <c r="C5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0" s="10"/>
      <c r="E500" s="10"/>
      <c r="F5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0" s="11"/>
      <c r="I500" s="10"/>
      <c r="J500" s="10"/>
      <c r="K500" s="10"/>
    </row>
    <row r="501" spans="1:11" x14ac:dyDescent="0.45">
      <c r="A501" s="10">
        <v>142</v>
      </c>
      <c r="B501" s="10">
        <v>355</v>
      </c>
      <c r="C5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1" s="10"/>
      <c r="E501" s="10"/>
      <c r="F50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1" s="11"/>
      <c r="I501" s="10"/>
      <c r="J501" s="10"/>
      <c r="K501" s="10"/>
    </row>
    <row r="502" spans="1:11" x14ac:dyDescent="0.45">
      <c r="A502" s="10">
        <v>142</v>
      </c>
      <c r="B502" s="10">
        <v>662</v>
      </c>
      <c r="C5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2" s="10"/>
      <c r="E502" s="10"/>
      <c r="F50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2" s="11"/>
      <c r="I502" s="10"/>
      <c r="J502" s="10"/>
      <c r="K502" s="10"/>
    </row>
    <row r="503" spans="1:11" x14ac:dyDescent="0.45">
      <c r="A503" s="10">
        <v>142</v>
      </c>
      <c r="B503" s="10">
        <v>650</v>
      </c>
      <c r="C5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3" s="10"/>
      <c r="E503" s="10"/>
      <c r="F5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3" s="11"/>
      <c r="I503" s="10"/>
      <c r="J503" s="10"/>
      <c r="K503" s="10"/>
    </row>
    <row r="504" spans="1:11" x14ac:dyDescent="0.45">
      <c r="A504" s="10">
        <v>145</v>
      </c>
      <c r="B504" s="10">
        <v>6</v>
      </c>
      <c r="C5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4" s="10"/>
      <c r="E504" s="10"/>
      <c r="F50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4" s="11"/>
      <c r="I504" s="10"/>
      <c r="J504" s="10"/>
      <c r="K504" s="10"/>
    </row>
    <row r="505" spans="1:11" x14ac:dyDescent="0.45">
      <c r="A505" s="10">
        <v>144</v>
      </c>
      <c r="B505" s="10">
        <v>444</v>
      </c>
      <c r="C5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5" s="10"/>
      <c r="E505" s="10"/>
      <c r="F50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5" s="11"/>
      <c r="I505" s="10"/>
      <c r="J505" s="10"/>
      <c r="K505" s="10"/>
    </row>
    <row r="506" spans="1:11" x14ac:dyDescent="0.45">
      <c r="A506" s="10">
        <v>144</v>
      </c>
      <c r="B506" s="10">
        <v>6</v>
      </c>
      <c r="C5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6" s="10"/>
      <c r="E506" s="10"/>
      <c r="F50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6" s="11"/>
      <c r="I506" s="10"/>
      <c r="J506" s="10"/>
      <c r="K506" s="10"/>
    </row>
    <row r="507" spans="1:11" x14ac:dyDescent="0.45">
      <c r="A507" s="10">
        <v>144</v>
      </c>
      <c r="B507" s="10">
        <v>560</v>
      </c>
      <c r="C5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7" s="10"/>
      <c r="E507" s="10"/>
      <c r="F50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7" s="11"/>
      <c r="I507" s="10"/>
      <c r="J507" s="10"/>
      <c r="K507" s="10"/>
    </row>
    <row r="508" spans="1:11" x14ac:dyDescent="0.45">
      <c r="A508" s="10">
        <v>145</v>
      </c>
      <c r="B508" s="10">
        <v>444</v>
      </c>
      <c r="C5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8" s="10"/>
      <c r="E508" s="10"/>
      <c r="F50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8" s="11"/>
      <c r="I508" s="10"/>
      <c r="J508" s="10"/>
      <c r="K508" s="10"/>
    </row>
    <row r="509" spans="1:11" x14ac:dyDescent="0.45">
      <c r="A509" s="10">
        <v>145</v>
      </c>
      <c r="B509" s="10">
        <v>560</v>
      </c>
      <c r="C5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09" s="10"/>
      <c r="E509" s="10"/>
      <c r="F50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0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09" s="11"/>
      <c r="I509" s="10"/>
      <c r="J509" s="10"/>
      <c r="K509" s="10"/>
    </row>
    <row r="510" spans="1:11" x14ac:dyDescent="0.45">
      <c r="A510" s="10">
        <v>147</v>
      </c>
      <c r="B510" s="10">
        <v>354</v>
      </c>
      <c r="C5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0" s="10"/>
      <c r="E510" s="10"/>
      <c r="F51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0" s="11"/>
      <c r="I510" s="10"/>
      <c r="J510" s="10"/>
      <c r="K510" s="10"/>
    </row>
    <row r="511" spans="1:11" x14ac:dyDescent="0.45">
      <c r="A511" s="10">
        <v>146</v>
      </c>
      <c r="B511" s="10">
        <v>354</v>
      </c>
      <c r="C5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1" s="10"/>
      <c r="E511" s="10"/>
      <c r="F51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1" s="11"/>
      <c r="I511" s="10"/>
      <c r="J511" s="10"/>
      <c r="K511" s="10"/>
    </row>
    <row r="512" spans="1:11" x14ac:dyDescent="0.45">
      <c r="A512" s="10">
        <v>146</v>
      </c>
      <c r="B512" s="10">
        <v>13</v>
      </c>
      <c r="C5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2" s="10"/>
      <c r="E512" s="10"/>
      <c r="F51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2" s="11"/>
      <c r="I512" s="10"/>
      <c r="J512" s="10"/>
      <c r="K512" s="10"/>
    </row>
    <row r="513" spans="1:11" x14ac:dyDescent="0.45">
      <c r="A513" s="10">
        <v>146</v>
      </c>
      <c r="B513" s="10">
        <v>267</v>
      </c>
      <c r="C5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3" s="10"/>
      <c r="E513" s="10"/>
      <c r="F51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3" s="11"/>
      <c r="I513" s="10"/>
      <c r="J513" s="10"/>
      <c r="K513" s="10"/>
    </row>
    <row r="514" spans="1:11" x14ac:dyDescent="0.45">
      <c r="A514" s="10">
        <v>147</v>
      </c>
      <c r="B514" s="10">
        <v>13</v>
      </c>
      <c r="C5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4" s="10"/>
      <c r="E514" s="10"/>
      <c r="F51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4" s="11"/>
      <c r="I514" s="10"/>
      <c r="J514" s="10"/>
      <c r="K514" s="10"/>
    </row>
    <row r="515" spans="1:11" x14ac:dyDescent="0.45">
      <c r="A515" s="10">
        <v>147</v>
      </c>
      <c r="B515" s="10">
        <v>267</v>
      </c>
      <c r="C5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5" s="10"/>
      <c r="E515" s="10"/>
      <c r="F51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5" s="11"/>
      <c r="I515" s="10"/>
      <c r="J515" s="10"/>
      <c r="K515" s="10"/>
    </row>
    <row r="516" spans="1:11" x14ac:dyDescent="0.45">
      <c r="A516" s="10">
        <v>149</v>
      </c>
      <c r="B516" s="10">
        <v>411</v>
      </c>
      <c r="C5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6" s="10"/>
      <c r="E516" s="10"/>
      <c r="F51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6" s="11"/>
      <c r="I516" s="10"/>
      <c r="J516" s="10"/>
      <c r="K516" s="10"/>
    </row>
    <row r="517" spans="1:11" x14ac:dyDescent="0.45">
      <c r="A517" s="10">
        <v>148</v>
      </c>
      <c r="B517" s="10">
        <v>411</v>
      </c>
      <c r="C5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7" s="10"/>
      <c r="E517" s="10"/>
      <c r="F51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7" s="11"/>
      <c r="I517" s="10"/>
      <c r="J517" s="10"/>
      <c r="K517" s="10"/>
    </row>
    <row r="518" spans="1:11" x14ac:dyDescent="0.45">
      <c r="A518" s="10">
        <v>148</v>
      </c>
      <c r="B518" s="10">
        <v>614</v>
      </c>
      <c r="C5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8" s="10"/>
      <c r="E518" s="10"/>
      <c r="F51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8" s="11"/>
      <c r="I518" s="10"/>
      <c r="J518" s="10"/>
      <c r="K518" s="10"/>
    </row>
    <row r="519" spans="1:11" x14ac:dyDescent="0.45">
      <c r="A519" s="10">
        <v>148</v>
      </c>
      <c r="B519" s="10">
        <v>691</v>
      </c>
      <c r="C5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19" s="10"/>
      <c r="E519" s="10"/>
      <c r="F51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1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19" s="11"/>
      <c r="I519" s="10"/>
      <c r="J519" s="10"/>
      <c r="K519" s="10"/>
    </row>
    <row r="520" spans="1:11" x14ac:dyDescent="0.45">
      <c r="A520" s="10">
        <v>149</v>
      </c>
      <c r="B520" s="10">
        <v>691</v>
      </c>
      <c r="C5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0" s="10"/>
      <c r="E520" s="10"/>
      <c r="F52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0" s="11"/>
      <c r="I520" s="10"/>
      <c r="J520" s="10"/>
      <c r="K520" s="10"/>
    </row>
    <row r="521" spans="1:11" x14ac:dyDescent="0.45">
      <c r="A521" s="10">
        <v>149</v>
      </c>
      <c r="B521" s="10">
        <v>614</v>
      </c>
      <c r="C5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1" s="10"/>
      <c r="E521" s="10"/>
      <c r="F52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1" s="11"/>
      <c r="I521" s="10"/>
      <c r="J521" s="10"/>
      <c r="K521" s="10"/>
    </row>
    <row r="522" spans="1:11" x14ac:dyDescent="0.45">
      <c r="A522" s="10">
        <v>150</v>
      </c>
      <c r="B522" s="10">
        <v>33</v>
      </c>
      <c r="C5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2" s="10"/>
      <c r="E522" s="10"/>
      <c r="F52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2" s="11"/>
      <c r="I522" s="10"/>
      <c r="J522" s="10"/>
      <c r="K522" s="10"/>
    </row>
    <row r="523" spans="1:11" x14ac:dyDescent="0.45">
      <c r="A523" s="10">
        <v>151</v>
      </c>
      <c r="B523" s="10">
        <v>12</v>
      </c>
      <c r="C5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3" s="10"/>
      <c r="E523" s="10"/>
      <c r="F52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3" s="11"/>
      <c r="I523" s="10"/>
      <c r="J523" s="10"/>
      <c r="K523" s="10"/>
    </row>
    <row r="524" spans="1:11" x14ac:dyDescent="0.45">
      <c r="A524" s="10">
        <v>151</v>
      </c>
      <c r="B524" s="10">
        <v>33</v>
      </c>
      <c r="C5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4" s="10"/>
      <c r="E524" s="10"/>
      <c r="F52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4" s="11"/>
      <c r="I524" s="10"/>
      <c r="J524" s="10"/>
      <c r="K524" s="10"/>
    </row>
    <row r="525" spans="1:11" x14ac:dyDescent="0.45">
      <c r="A525" s="10">
        <v>150</v>
      </c>
      <c r="B525" s="10">
        <v>248</v>
      </c>
      <c r="C5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5" s="10"/>
      <c r="E525" s="10"/>
      <c r="F52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5" s="11"/>
      <c r="I525" s="10"/>
      <c r="J525" s="10"/>
      <c r="K525" s="10"/>
    </row>
    <row r="526" spans="1:11" x14ac:dyDescent="0.45">
      <c r="A526" s="10">
        <v>150</v>
      </c>
      <c r="B526" s="10">
        <v>12</v>
      </c>
      <c r="C5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6" s="10"/>
      <c r="E526" s="10"/>
      <c r="F52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6" s="11"/>
      <c r="I526" s="10"/>
      <c r="J526" s="10"/>
      <c r="K526" s="10"/>
    </row>
    <row r="527" spans="1:11" x14ac:dyDescent="0.45">
      <c r="A527" s="10">
        <v>151</v>
      </c>
      <c r="B527" s="10">
        <v>537</v>
      </c>
      <c r="C5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7" s="10"/>
      <c r="E527" s="10"/>
      <c r="F52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7" s="11"/>
      <c r="I527" s="10"/>
      <c r="J527" s="10"/>
      <c r="K527" s="10"/>
    </row>
    <row r="528" spans="1:11" x14ac:dyDescent="0.45">
      <c r="A528" s="10">
        <v>150</v>
      </c>
      <c r="B528" s="10">
        <v>450</v>
      </c>
      <c r="C5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8" s="10"/>
      <c r="E528" s="10"/>
      <c r="F52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8" s="11"/>
      <c r="I528" s="10"/>
      <c r="J528" s="10"/>
      <c r="K528" s="10"/>
    </row>
    <row r="529" spans="1:11" x14ac:dyDescent="0.45">
      <c r="A529" s="10">
        <v>151</v>
      </c>
      <c r="B529" s="10">
        <v>380</v>
      </c>
      <c r="C5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29" s="10"/>
      <c r="E529" s="10"/>
      <c r="F52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2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29" s="11"/>
      <c r="I529" s="10"/>
      <c r="J529" s="10"/>
      <c r="K529" s="10"/>
    </row>
    <row r="530" spans="1:11" x14ac:dyDescent="0.45">
      <c r="A530" s="10">
        <v>150</v>
      </c>
      <c r="B530" s="10">
        <v>380</v>
      </c>
      <c r="C5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0" s="10"/>
      <c r="E530" s="10"/>
      <c r="F53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0" s="11"/>
      <c r="I530" s="10"/>
      <c r="J530" s="10"/>
      <c r="K530" s="10"/>
    </row>
    <row r="531" spans="1:11" x14ac:dyDescent="0.45">
      <c r="A531" s="10">
        <v>150</v>
      </c>
      <c r="B531" s="10">
        <v>537</v>
      </c>
      <c r="C5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1" s="10"/>
      <c r="E531" s="10"/>
      <c r="F53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1" s="11"/>
      <c r="I531" s="10"/>
      <c r="J531" s="10"/>
      <c r="K531" s="10"/>
    </row>
    <row r="532" spans="1:11" x14ac:dyDescent="0.45">
      <c r="A532" s="10">
        <v>151</v>
      </c>
      <c r="B532" s="10">
        <v>248</v>
      </c>
      <c r="C5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2" s="10"/>
      <c r="E532" s="10"/>
      <c r="F53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2" s="11"/>
      <c r="I532" s="10"/>
      <c r="J532" s="10"/>
      <c r="K532" s="10"/>
    </row>
    <row r="533" spans="1:11" x14ac:dyDescent="0.45">
      <c r="A533" s="10">
        <v>151</v>
      </c>
      <c r="B533" s="10">
        <v>450</v>
      </c>
      <c r="C5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3" s="10"/>
      <c r="E533" s="10"/>
      <c r="F53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3" s="11"/>
      <c r="I533" s="10"/>
      <c r="J533" s="10"/>
      <c r="K533" s="10"/>
    </row>
    <row r="534" spans="1:11" x14ac:dyDescent="0.45">
      <c r="A534" s="10">
        <v>153</v>
      </c>
      <c r="B534" s="10">
        <v>151</v>
      </c>
      <c r="C5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4" s="10"/>
      <c r="E534" s="10"/>
      <c r="F53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4" s="11"/>
      <c r="I534" s="10"/>
      <c r="J534" s="10"/>
      <c r="K534" s="10"/>
    </row>
    <row r="535" spans="1:11" x14ac:dyDescent="0.45">
      <c r="A535" s="10">
        <v>152</v>
      </c>
      <c r="B535" s="10">
        <v>151</v>
      </c>
      <c r="C5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5" s="10"/>
      <c r="E535" s="10"/>
      <c r="F53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5" s="11"/>
      <c r="I535" s="10"/>
      <c r="J535" s="10"/>
      <c r="K535" s="10"/>
    </row>
    <row r="536" spans="1:11" x14ac:dyDescent="0.45">
      <c r="A536" s="10">
        <v>154</v>
      </c>
      <c r="B536" s="10">
        <v>570</v>
      </c>
      <c r="C5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6" s="10"/>
      <c r="E536" s="10"/>
      <c r="F53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6" s="11"/>
      <c r="I536" s="10"/>
      <c r="J536" s="10"/>
      <c r="K536" s="10"/>
    </row>
    <row r="537" spans="1:11" x14ac:dyDescent="0.45">
      <c r="A537" s="10">
        <v>154</v>
      </c>
      <c r="B537" s="10">
        <v>21</v>
      </c>
      <c r="C5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7" s="10"/>
      <c r="E537" s="10"/>
      <c r="F5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7" s="11"/>
      <c r="I537" s="10"/>
      <c r="J537" s="10"/>
      <c r="K537" s="10"/>
    </row>
    <row r="538" spans="1:11" x14ac:dyDescent="0.45">
      <c r="A538" s="10">
        <v>154</v>
      </c>
      <c r="B538" s="10">
        <v>111</v>
      </c>
      <c r="C5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8" s="10"/>
      <c r="E538" s="10"/>
      <c r="F53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8" s="11"/>
      <c r="I538" s="10"/>
      <c r="J538" s="10"/>
      <c r="K538" s="10"/>
    </row>
    <row r="539" spans="1:11" x14ac:dyDescent="0.45">
      <c r="A539" s="10">
        <v>154</v>
      </c>
      <c r="B539" s="10">
        <v>552</v>
      </c>
      <c r="C5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39" s="10"/>
      <c r="E539" s="10"/>
      <c r="F53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3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39" s="11"/>
      <c r="I539" s="10"/>
      <c r="J539" s="10"/>
      <c r="K539" s="10"/>
    </row>
    <row r="540" spans="1:11" x14ac:dyDescent="0.45">
      <c r="A540" s="10">
        <v>155</v>
      </c>
      <c r="B540" s="10">
        <v>552</v>
      </c>
      <c r="C5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0" s="10"/>
      <c r="E540" s="10"/>
      <c r="F54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0" s="11"/>
      <c r="I540" s="10"/>
      <c r="J540" s="10"/>
      <c r="K540" s="10"/>
    </row>
    <row r="541" spans="1:11" x14ac:dyDescent="0.45">
      <c r="A541" s="10">
        <v>155</v>
      </c>
      <c r="B541" s="10">
        <v>111</v>
      </c>
      <c r="C5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1" s="10"/>
      <c r="E541" s="10"/>
      <c r="F54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1" s="11"/>
      <c r="I541" s="10"/>
      <c r="J541" s="10"/>
      <c r="K541" s="10"/>
    </row>
    <row r="542" spans="1:11" x14ac:dyDescent="0.45">
      <c r="A542" s="10">
        <v>155</v>
      </c>
      <c r="B542" s="10">
        <v>21</v>
      </c>
      <c r="C5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2" s="10"/>
      <c r="E542" s="10"/>
      <c r="F54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2" s="11"/>
      <c r="I542" s="10"/>
      <c r="J542" s="10"/>
      <c r="K542" s="10"/>
    </row>
    <row r="543" spans="1:11" x14ac:dyDescent="0.45">
      <c r="A543" s="10">
        <v>155</v>
      </c>
      <c r="B543" s="10">
        <v>570</v>
      </c>
      <c r="C5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3" s="10"/>
      <c r="E543" s="10"/>
      <c r="F54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3" s="11"/>
      <c r="I543" s="10"/>
      <c r="J543" s="10"/>
      <c r="K543" s="10"/>
    </row>
    <row r="544" spans="1:11" x14ac:dyDescent="0.45">
      <c r="A544" s="10">
        <v>156</v>
      </c>
      <c r="B544" s="10">
        <v>494</v>
      </c>
      <c r="C5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4" s="10"/>
      <c r="E544" s="10"/>
      <c r="F54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4" s="11"/>
      <c r="I544" s="10"/>
      <c r="J544" s="10"/>
      <c r="K544" s="10"/>
    </row>
    <row r="545" spans="1:11" x14ac:dyDescent="0.45">
      <c r="A545" s="10">
        <v>157</v>
      </c>
      <c r="B545" s="10">
        <v>494</v>
      </c>
      <c r="C5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5" s="10"/>
      <c r="E545" s="10"/>
      <c r="F54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5" s="11"/>
      <c r="I545" s="10"/>
      <c r="J545" s="10"/>
      <c r="K545" s="10"/>
    </row>
    <row r="546" spans="1:11" x14ac:dyDescent="0.45">
      <c r="A546" s="10">
        <v>156</v>
      </c>
      <c r="B546" s="10">
        <v>239</v>
      </c>
      <c r="C5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6" s="10"/>
      <c r="E546" s="10"/>
      <c r="F54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6" s="11"/>
      <c r="I546" s="10"/>
      <c r="J546" s="10"/>
      <c r="K546" s="10"/>
    </row>
    <row r="547" spans="1:11" x14ac:dyDescent="0.45">
      <c r="A547" s="10">
        <v>156</v>
      </c>
      <c r="B547" s="10">
        <v>690</v>
      </c>
      <c r="C5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7" s="10"/>
      <c r="E547" s="10"/>
      <c r="F54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7" s="11"/>
      <c r="I547" s="10"/>
      <c r="J547" s="10"/>
      <c r="K547" s="10"/>
    </row>
    <row r="548" spans="1:11" x14ac:dyDescent="0.45">
      <c r="A548" s="10">
        <v>157</v>
      </c>
      <c r="B548" s="10">
        <v>690</v>
      </c>
      <c r="C5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8" s="10"/>
      <c r="E548" s="10"/>
      <c r="F54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8" s="11"/>
      <c r="I548" s="10"/>
      <c r="J548" s="10"/>
      <c r="K548" s="10"/>
    </row>
    <row r="549" spans="1:11" x14ac:dyDescent="0.45">
      <c r="A549" s="10">
        <v>156</v>
      </c>
      <c r="B549" s="10">
        <v>566</v>
      </c>
      <c r="C5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49" s="10"/>
      <c r="E549" s="10"/>
      <c r="F54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4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49" s="11"/>
      <c r="I549" s="10"/>
      <c r="J549" s="10"/>
      <c r="K549" s="10"/>
    </row>
    <row r="550" spans="1:11" x14ac:dyDescent="0.45">
      <c r="A550" s="10">
        <v>157</v>
      </c>
      <c r="B550" s="10">
        <v>239</v>
      </c>
      <c r="C5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0" s="10"/>
      <c r="E550" s="10"/>
      <c r="F55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0" s="11"/>
      <c r="I550" s="10"/>
      <c r="J550" s="10"/>
      <c r="K550" s="10"/>
    </row>
    <row r="551" spans="1:11" x14ac:dyDescent="0.45">
      <c r="A551" s="10">
        <v>157</v>
      </c>
      <c r="B551" s="10">
        <v>566</v>
      </c>
      <c r="C5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1" s="10"/>
      <c r="E551" s="10"/>
      <c r="F55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1" s="11"/>
      <c r="I551" s="10"/>
      <c r="J551" s="10"/>
      <c r="K551" s="10"/>
    </row>
    <row r="552" spans="1:11" x14ac:dyDescent="0.45">
      <c r="A552" s="10">
        <v>159</v>
      </c>
      <c r="B552" s="10">
        <v>46</v>
      </c>
      <c r="C5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2" s="10"/>
      <c r="E552" s="10"/>
      <c r="F55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2" s="11"/>
      <c r="I552" s="10"/>
      <c r="J552" s="10"/>
      <c r="K552" s="10"/>
    </row>
    <row r="553" spans="1:11" x14ac:dyDescent="0.45">
      <c r="A553" s="10">
        <v>159</v>
      </c>
      <c r="B553" s="10">
        <v>84</v>
      </c>
      <c r="C5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3" s="10"/>
      <c r="E553" s="10"/>
      <c r="F55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3" s="11"/>
      <c r="I553" s="10"/>
      <c r="J553" s="10"/>
      <c r="K553" s="10"/>
    </row>
    <row r="554" spans="1:11" x14ac:dyDescent="0.45">
      <c r="A554" s="10">
        <v>158</v>
      </c>
      <c r="B554" s="10">
        <v>345</v>
      </c>
      <c r="C5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4" s="10"/>
      <c r="E554" s="10"/>
      <c r="F55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4" s="11"/>
      <c r="I554" s="10"/>
      <c r="J554" s="10"/>
      <c r="K554" s="10"/>
    </row>
    <row r="555" spans="1:11" x14ac:dyDescent="0.45">
      <c r="A555" s="10">
        <v>158</v>
      </c>
      <c r="B555" s="10">
        <v>84</v>
      </c>
      <c r="C5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5" s="10"/>
      <c r="E555" s="10"/>
      <c r="F55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5" s="11"/>
      <c r="I555" s="10"/>
      <c r="J555" s="10"/>
      <c r="K555" s="10"/>
    </row>
    <row r="556" spans="1:11" x14ac:dyDescent="0.45">
      <c r="A556" s="10">
        <v>158</v>
      </c>
      <c r="B556" s="10">
        <v>46</v>
      </c>
      <c r="C5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6" s="10"/>
      <c r="E556" s="10"/>
      <c r="F55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6" s="11"/>
      <c r="I556" s="10"/>
      <c r="J556" s="10"/>
      <c r="K556" s="10"/>
    </row>
    <row r="557" spans="1:11" x14ac:dyDescent="0.45">
      <c r="A557" s="10">
        <v>158</v>
      </c>
      <c r="B557" s="10">
        <v>96</v>
      </c>
      <c r="C5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7" s="10"/>
      <c r="E557" s="10"/>
      <c r="F55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7" s="11"/>
      <c r="I557" s="10"/>
      <c r="J557" s="10"/>
      <c r="K557" s="10"/>
    </row>
    <row r="558" spans="1:11" x14ac:dyDescent="0.45">
      <c r="A558" s="10">
        <v>159</v>
      </c>
      <c r="B558" s="10">
        <v>96</v>
      </c>
      <c r="C5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8" s="10"/>
      <c r="E558" s="10"/>
      <c r="F55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8" s="11"/>
      <c r="I558" s="10"/>
      <c r="J558" s="10"/>
      <c r="K558" s="10"/>
    </row>
    <row r="559" spans="1:11" x14ac:dyDescent="0.45">
      <c r="A559" s="10">
        <v>159</v>
      </c>
      <c r="B559" s="10">
        <v>345</v>
      </c>
      <c r="C5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59" s="10"/>
      <c r="E559" s="10"/>
      <c r="F55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5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59" s="11"/>
      <c r="I559" s="10"/>
      <c r="J559" s="10"/>
      <c r="K559" s="10"/>
    </row>
    <row r="560" spans="1:11" x14ac:dyDescent="0.45">
      <c r="A560" s="10">
        <v>160</v>
      </c>
      <c r="B560" s="10">
        <v>62</v>
      </c>
      <c r="C5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0" s="10"/>
      <c r="E560" s="10"/>
      <c r="F56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0" s="11"/>
      <c r="I560" s="10"/>
      <c r="J560" s="10"/>
      <c r="K560" s="10"/>
    </row>
    <row r="561" spans="1:11" x14ac:dyDescent="0.45">
      <c r="A561" s="10">
        <v>161</v>
      </c>
      <c r="B561" s="10">
        <v>62</v>
      </c>
      <c r="C5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1" s="10"/>
      <c r="E561" s="10"/>
      <c r="F56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1" s="11"/>
      <c r="I561" s="10"/>
      <c r="J561" s="10"/>
      <c r="K561" s="10"/>
    </row>
    <row r="562" spans="1:11" x14ac:dyDescent="0.45">
      <c r="A562" s="10">
        <v>161</v>
      </c>
      <c r="B562" s="10">
        <v>559</v>
      </c>
      <c r="C5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2" s="10"/>
      <c r="E562" s="10"/>
      <c r="F56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2" s="11"/>
      <c r="I562" s="10"/>
      <c r="J562" s="10"/>
      <c r="K562" s="10"/>
    </row>
    <row r="563" spans="1:11" x14ac:dyDescent="0.45">
      <c r="A563" s="10">
        <v>161</v>
      </c>
      <c r="B563" s="10">
        <v>520</v>
      </c>
      <c r="C5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3" s="10"/>
      <c r="E563" s="10"/>
      <c r="F56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3" s="11"/>
      <c r="I563" s="10"/>
      <c r="J563" s="10"/>
      <c r="K563" s="10"/>
    </row>
    <row r="564" spans="1:11" x14ac:dyDescent="0.45">
      <c r="A564" s="10">
        <v>160</v>
      </c>
      <c r="B564" s="10">
        <v>520</v>
      </c>
      <c r="C5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4" s="10"/>
      <c r="E564" s="10"/>
      <c r="F56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4" s="11"/>
      <c r="I564" s="10"/>
      <c r="J564" s="10"/>
      <c r="K564" s="10"/>
    </row>
    <row r="565" spans="1:11" x14ac:dyDescent="0.45">
      <c r="A565" s="10">
        <v>160</v>
      </c>
      <c r="B565" s="10">
        <v>559</v>
      </c>
      <c r="C5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5" s="10"/>
      <c r="E565" s="10"/>
      <c r="F56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5" s="11"/>
      <c r="I565" s="10"/>
      <c r="J565" s="10"/>
      <c r="K565" s="10"/>
    </row>
    <row r="566" spans="1:11" x14ac:dyDescent="0.45">
      <c r="A566" s="10">
        <v>162</v>
      </c>
      <c r="B566" s="10">
        <v>280</v>
      </c>
      <c r="C5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6" s="10"/>
      <c r="E566" s="10"/>
      <c r="F56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6" s="11"/>
      <c r="I566" s="10"/>
      <c r="J566" s="10"/>
      <c r="K566" s="10"/>
    </row>
    <row r="567" spans="1:11" x14ac:dyDescent="0.45">
      <c r="A567" s="10">
        <v>162</v>
      </c>
      <c r="B567" s="10">
        <v>259</v>
      </c>
      <c r="C5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7" s="10"/>
      <c r="E567" s="10"/>
      <c r="F56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7" s="11"/>
      <c r="I567" s="10"/>
      <c r="J567" s="10"/>
      <c r="K567" s="10"/>
    </row>
    <row r="568" spans="1:11" x14ac:dyDescent="0.45">
      <c r="A568" s="10">
        <v>163</v>
      </c>
      <c r="B568" s="10">
        <v>284</v>
      </c>
      <c r="C5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8" s="10"/>
      <c r="E568" s="10"/>
      <c r="F56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8" s="11"/>
      <c r="I568" s="10"/>
      <c r="J568" s="10"/>
      <c r="K568" s="10"/>
    </row>
    <row r="569" spans="1:11" x14ac:dyDescent="0.45">
      <c r="A569" s="10">
        <v>162</v>
      </c>
      <c r="B569" s="10">
        <v>284</v>
      </c>
      <c r="C5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69" s="10"/>
      <c r="E569" s="10"/>
      <c r="F56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6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69" s="11"/>
      <c r="I569" s="10"/>
      <c r="J569" s="10"/>
      <c r="K569" s="10"/>
    </row>
    <row r="570" spans="1:11" x14ac:dyDescent="0.45">
      <c r="A570" s="10">
        <v>163</v>
      </c>
      <c r="B570" s="10">
        <v>280</v>
      </c>
      <c r="C5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0" s="10"/>
      <c r="E570" s="10"/>
      <c r="F57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0" s="11"/>
      <c r="I570" s="10"/>
      <c r="J570" s="10"/>
      <c r="K570" s="10"/>
    </row>
    <row r="571" spans="1:11" x14ac:dyDescent="0.45">
      <c r="A571" s="10">
        <v>163</v>
      </c>
      <c r="B571" s="10">
        <v>259</v>
      </c>
      <c r="C5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1" s="10"/>
      <c r="E571" s="10"/>
      <c r="F57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1" s="11"/>
      <c r="I571" s="10"/>
      <c r="J571" s="10"/>
      <c r="K571" s="10"/>
    </row>
    <row r="572" spans="1:11" x14ac:dyDescent="0.45">
      <c r="A572" s="10">
        <v>163</v>
      </c>
      <c r="B572" s="10">
        <v>114</v>
      </c>
      <c r="C5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2" s="10"/>
      <c r="E572" s="10"/>
      <c r="F5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2" s="11"/>
      <c r="I572" s="10"/>
      <c r="J572" s="10"/>
      <c r="K572" s="10"/>
    </row>
    <row r="573" spans="1:11" x14ac:dyDescent="0.45">
      <c r="A573" s="10">
        <v>162</v>
      </c>
      <c r="B573" s="10">
        <v>114</v>
      </c>
      <c r="C5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3" s="10"/>
      <c r="E573" s="10"/>
      <c r="F5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3" s="11"/>
      <c r="I573" s="10"/>
      <c r="J573" s="10"/>
      <c r="K573" s="10"/>
    </row>
    <row r="574" spans="1:11" x14ac:dyDescent="0.45">
      <c r="A574" s="10">
        <v>164</v>
      </c>
      <c r="B574" s="10">
        <v>14</v>
      </c>
      <c r="C5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4" s="10"/>
      <c r="E574" s="10"/>
      <c r="F57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4" s="11"/>
      <c r="I574" s="10"/>
      <c r="J574" s="10"/>
      <c r="K574" s="10"/>
    </row>
    <row r="575" spans="1:11" x14ac:dyDescent="0.45">
      <c r="A575" s="10">
        <v>165</v>
      </c>
      <c r="B575" s="10">
        <v>670</v>
      </c>
      <c r="C5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5" s="10"/>
      <c r="E575" s="10"/>
      <c r="F57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5" s="11"/>
      <c r="I575" s="10"/>
      <c r="J575" s="10"/>
      <c r="K575" s="10"/>
    </row>
    <row r="576" spans="1:11" x14ac:dyDescent="0.45">
      <c r="A576" s="10">
        <v>164</v>
      </c>
      <c r="B576" s="10">
        <v>670</v>
      </c>
      <c r="C5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6" s="10"/>
      <c r="E576" s="10"/>
      <c r="F57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6" s="11"/>
      <c r="I576" s="10"/>
      <c r="J576" s="10"/>
      <c r="K576" s="10"/>
    </row>
    <row r="577" spans="1:11" x14ac:dyDescent="0.45">
      <c r="A577" s="10">
        <v>165</v>
      </c>
      <c r="B577" s="10">
        <v>18</v>
      </c>
      <c r="C5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7" s="10"/>
      <c r="E577" s="10"/>
      <c r="F57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7" s="11"/>
      <c r="I577" s="10"/>
      <c r="J577" s="10"/>
      <c r="K577" s="10"/>
    </row>
    <row r="578" spans="1:11" x14ac:dyDescent="0.45">
      <c r="A578" s="10">
        <v>165</v>
      </c>
      <c r="B578" s="10">
        <v>14</v>
      </c>
      <c r="C5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8" s="10"/>
      <c r="E578" s="10"/>
      <c r="F57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8" s="11"/>
      <c r="I578" s="10"/>
      <c r="J578" s="10"/>
      <c r="K578" s="10"/>
    </row>
    <row r="579" spans="1:11" x14ac:dyDescent="0.45">
      <c r="A579" s="10">
        <v>164</v>
      </c>
      <c r="B579" s="10">
        <v>18</v>
      </c>
      <c r="C5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79" s="10"/>
      <c r="E579" s="10"/>
      <c r="F57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7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79" s="11"/>
      <c r="I579" s="10"/>
      <c r="J579" s="10"/>
      <c r="K579" s="10"/>
    </row>
    <row r="580" spans="1:11" x14ac:dyDescent="0.45">
      <c r="A580" s="10">
        <v>167</v>
      </c>
      <c r="B580" s="10">
        <v>185</v>
      </c>
      <c r="C5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0" s="10"/>
      <c r="E580" s="10"/>
      <c r="F58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0" s="11"/>
      <c r="I580" s="10"/>
      <c r="J580" s="10"/>
      <c r="K580" s="10"/>
    </row>
    <row r="581" spans="1:11" x14ac:dyDescent="0.45">
      <c r="A581" s="10">
        <v>166</v>
      </c>
      <c r="B581" s="10">
        <v>356</v>
      </c>
      <c r="C5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1" s="10"/>
      <c r="E581" s="10"/>
      <c r="F58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1" s="11"/>
      <c r="I581" s="10"/>
      <c r="J581" s="10"/>
      <c r="K581" s="10"/>
    </row>
    <row r="582" spans="1:11" x14ac:dyDescent="0.45">
      <c r="A582" s="10">
        <v>167</v>
      </c>
      <c r="B582" s="10">
        <v>356</v>
      </c>
      <c r="C5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2" s="10"/>
      <c r="E582" s="10"/>
      <c r="F58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2" s="11"/>
      <c r="I582" s="10"/>
      <c r="J582" s="10"/>
      <c r="K582" s="10"/>
    </row>
    <row r="583" spans="1:11" x14ac:dyDescent="0.45">
      <c r="A583" s="10">
        <v>166</v>
      </c>
      <c r="B583" s="10">
        <v>386</v>
      </c>
      <c r="C5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3" s="10"/>
      <c r="E583" s="10"/>
      <c r="F58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3" s="11"/>
      <c r="I583" s="10"/>
      <c r="J583" s="10"/>
      <c r="K583" s="10"/>
    </row>
    <row r="584" spans="1:11" x14ac:dyDescent="0.45">
      <c r="A584" s="10">
        <v>166</v>
      </c>
      <c r="B584" s="10">
        <v>185</v>
      </c>
      <c r="C5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4" s="10"/>
      <c r="E584" s="10"/>
      <c r="F58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4" s="11"/>
      <c r="I584" s="10"/>
      <c r="J584" s="10"/>
      <c r="K584" s="10"/>
    </row>
    <row r="585" spans="1:11" x14ac:dyDescent="0.45">
      <c r="A585" s="10">
        <v>167</v>
      </c>
      <c r="B585" s="10">
        <v>63</v>
      </c>
      <c r="C5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5" s="10"/>
      <c r="E585" s="10"/>
      <c r="F58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5" s="11"/>
      <c r="I585" s="10"/>
      <c r="J585" s="10"/>
      <c r="K585" s="10"/>
    </row>
    <row r="586" spans="1:11" x14ac:dyDescent="0.45">
      <c r="A586" s="10">
        <v>167</v>
      </c>
      <c r="B586" s="10">
        <v>68</v>
      </c>
      <c r="C5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6" s="10"/>
      <c r="E586" s="10"/>
      <c r="F5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6" s="11"/>
      <c r="I586" s="10"/>
      <c r="J586" s="10"/>
      <c r="K586" s="10"/>
    </row>
    <row r="587" spans="1:11" x14ac:dyDescent="0.45">
      <c r="A587" s="10">
        <v>167</v>
      </c>
      <c r="B587" s="10">
        <v>386</v>
      </c>
      <c r="C5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7" s="10"/>
      <c r="E587" s="10"/>
      <c r="F58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7" s="11"/>
      <c r="I587" s="10"/>
      <c r="J587" s="10"/>
      <c r="K587" s="10"/>
    </row>
    <row r="588" spans="1:11" x14ac:dyDescent="0.45">
      <c r="A588" s="10">
        <v>166</v>
      </c>
      <c r="B588" s="10">
        <v>63</v>
      </c>
      <c r="C5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8" s="10"/>
      <c r="E588" s="10"/>
      <c r="F58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8" s="11"/>
      <c r="I588" s="10"/>
      <c r="J588" s="10"/>
      <c r="K588" s="10"/>
    </row>
    <row r="589" spans="1:11" x14ac:dyDescent="0.45">
      <c r="A589" s="10">
        <v>166</v>
      </c>
      <c r="B589" s="10">
        <v>68</v>
      </c>
      <c r="C5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89" s="10"/>
      <c r="E589" s="10"/>
      <c r="F58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8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89" s="11"/>
      <c r="I589" s="10"/>
      <c r="J589" s="10"/>
      <c r="K589" s="10"/>
    </row>
    <row r="590" spans="1:11" x14ac:dyDescent="0.45">
      <c r="A590" s="10">
        <v>168</v>
      </c>
      <c r="B590" s="10">
        <v>283</v>
      </c>
      <c r="C5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0" s="10"/>
      <c r="E590" s="10"/>
      <c r="F59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0" s="11"/>
      <c r="I590" s="10"/>
      <c r="J590" s="10"/>
      <c r="K590" s="10"/>
    </row>
    <row r="591" spans="1:11" x14ac:dyDescent="0.45">
      <c r="A591" s="10">
        <v>169</v>
      </c>
      <c r="B591" s="10">
        <v>234</v>
      </c>
      <c r="C5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1" s="10"/>
      <c r="E591" s="10"/>
      <c r="F59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1" s="11"/>
      <c r="I591" s="10"/>
      <c r="J591" s="10"/>
      <c r="K591" s="10"/>
    </row>
    <row r="592" spans="1:11" x14ac:dyDescent="0.45">
      <c r="A592" s="10">
        <v>168</v>
      </c>
      <c r="B592" s="10">
        <v>234</v>
      </c>
      <c r="C5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2" s="10"/>
      <c r="E592" s="10"/>
      <c r="F59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2" s="11"/>
      <c r="I592" s="10"/>
      <c r="J592" s="10"/>
      <c r="K592" s="10"/>
    </row>
    <row r="593" spans="1:11" x14ac:dyDescent="0.45">
      <c r="A593" s="10">
        <v>168</v>
      </c>
      <c r="B593" s="10">
        <v>326</v>
      </c>
      <c r="C5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3" s="10"/>
      <c r="E593" s="10"/>
      <c r="F59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3" s="11"/>
      <c r="I593" s="10"/>
      <c r="J593" s="10"/>
      <c r="K593" s="10"/>
    </row>
    <row r="594" spans="1:11" x14ac:dyDescent="0.45">
      <c r="A594" s="10">
        <v>169</v>
      </c>
      <c r="B594" s="10">
        <v>283</v>
      </c>
      <c r="C5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4" s="10"/>
      <c r="E594" s="10"/>
      <c r="F59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4" s="11"/>
      <c r="I594" s="10"/>
      <c r="J594" s="10"/>
      <c r="K594" s="10"/>
    </row>
    <row r="595" spans="1:11" x14ac:dyDescent="0.45">
      <c r="A595" s="10">
        <v>169</v>
      </c>
      <c r="B595" s="10">
        <v>326</v>
      </c>
      <c r="C5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5" s="10"/>
      <c r="E595" s="10"/>
      <c r="F59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5" s="11"/>
      <c r="I595" s="10"/>
      <c r="J595" s="10"/>
      <c r="K595" s="10"/>
    </row>
    <row r="596" spans="1:11" x14ac:dyDescent="0.45">
      <c r="A596" s="10">
        <v>170</v>
      </c>
      <c r="B596" s="10">
        <v>470</v>
      </c>
      <c r="C5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6" s="10"/>
      <c r="E596" s="10"/>
      <c r="F59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6" s="11"/>
      <c r="I596" s="10"/>
      <c r="J596" s="10"/>
      <c r="K596" s="10"/>
    </row>
    <row r="597" spans="1:11" x14ac:dyDescent="0.45">
      <c r="A597" s="10">
        <v>170</v>
      </c>
      <c r="B597" s="10">
        <v>606</v>
      </c>
      <c r="C5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7" s="10"/>
      <c r="E597" s="10"/>
      <c r="F59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7" s="11"/>
      <c r="I597" s="10"/>
      <c r="J597" s="10"/>
      <c r="K597" s="10"/>
    </row>
    <row r="598" spans="1:11" x14ac:dyDescent="0.45">
      <c r="A598" s="10">
        <v>171</v>
      </c>
      <c r="B598" s="10">
        <v>606</v>
      </c>
      <c r="C5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8" s="10"/>
      <c r="E598" s="10"/>
      <c r="F59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8" s="11"/>
      <c r="I598" s="10"/>
      <c r="J598" s="10"/>
      <c r="K598" s="10"/>
    </row>
    <row r="599" spans="1:11" x14ac:dyDescent="0.45">
      <c r="A599" s="10">
        <v>171</v>
      </c>
      <c r="B599" s="10">
        <v>422</v>
      </c>
      <c r="C5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599" s="10"/>
      <c r="E599" s="10"/>
      <c r="F59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59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599" s="11"/>
      <c r="I599" s="10"/>
      <c r="J599" s="10"/>
      <c r="K599" s="10"/>
    </row>
    <row r="600" spans="1:11" x14ac:dyDescent="0.45">
      <c r="A600" s="10">
        <v>171</v>
      </c>
      <c r="B600" s="10">
        <v>470</v>
      </c>
      <c r="C6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0" s="10"/>
      <c r="E600" s="10"/>
      <c r="F6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0" s="11"/>
      <c r="I600" s="10"/>
      <c r="J600" s="10"/>
      <c r="K600" s="10"/>
    </row>
    <row r="601" spans="1:11" x14ac:dyDescent="0.45">
      <c r="A601" s="10">
        <v>171</v>
      </c>
      <c r="B601" s="10">
        <v>392</v>
      </c>
      <c r="C6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1" s="10"/>
      <c r="E601" s="10"/>
      <c r="F60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1" s="11"/>
      <c r="I601" s="10"/>
      <c r="J601" s="10"/>
      <c r="K601" s="10"/>
    </row>
    <row r="602" spans="1:11" x14ac:dyDescent="0.45">
      <c r="A602" s="10">
        <v>170</v>
      </c>
      <c r="B602" s="10">
        <v>392</v>
      </c>
      <c r="C6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2" s="10"/>
      <c r="E602" s="10"/>
      <c r="F60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2" s="11"/>
      <c r="I602" s="10"/>
      <c r="J602" s="10"/>
      <c r="K602" s="10"/>
    </row>
    <row r="603" spans="1:11" x14ac:dyDescent="0.45">
      <c r="A603" s="10">
        <v>170</v>
      </c>
      <c r="B603" s="10">
        <v>422</v>
      </c>
      <c r="C6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3" s="10"/>
      <c r="E603" s="10"/>
      <c r="F6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3" s="11"/>
      <c r="I603" s="10"/>
      <c r="J603" s="10"/>
      <c r="K603" s="10"/>
    </row>
    <row r="604" spans="1:11" x14ac:dyDescent="0.45">
      <c r="A604" s="10">
        <v>172</v>
      </c>
      <c r="B604" s="10">
        <v>329</v>
      </c>
      <c r="C6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4" s="10"/>
      <c r="E604" s="10"/>
      <c r="F60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4" s="11"/>
      <c r="I604" s="10"/>
      <c r="J604" s="10"/>
      <c r="K604" s="10"/>
    </row>
    <row r="605" spans="1:11" x14ac:dyDescent="0.45">
      <c r="A605" s="10">
        <v>173</v>
      </c>
      <c r="B605" s="10">
        <v>329</v>
      </c>
      <c r="C6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5" s="10"/>
      <c r="E605" s="10"/>
      <c r="F60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5" s="11"/>
      <c r="I605" s="10"/>
      <c r="J605" s="10"/>
      <c r="K605" s="10"/>
    </row>
    <row r="606" spans="1:11" x14ac:dyDescent="0.45">
      <c r="A606" s="10">
        <v>174</v>
      </c>
      <c r="B606" s="10">
        <v>328</v>
      </c>
      <c r="C6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6" s="10"/>
      <c r="E606" s="10"/>
      <c r="F60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6" s="11"/>
      <c r="I606" s="10"/>
      <c r="J606" s="10"/>
      <c r="K606" s="10"/>
    </row>
    <row r="607" spans="1:11" x14ac:dyDescent="0.45">
      <c r="A607" s="10">
        <v>174</v>
      </c>
      <c r="B607" s="10">
        <v>232</v>
      </c>
      <c r="C6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7" s="10"/>
      <c r="E607" s="10"/>
      <c r="F60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7" s="11"/>
      <c r="I607" s="10"/>
      <c r="J607" s="10"/>
      <c r="K607" s="10"/>
    </row>
    <row r="608" spans="1:11" x14ac:dyDescent="0.45">
      <c r="A608" s="10">
        <v>174</v>
      </c>
      <c r="B608" s="10">
        <v>45</v>
      </c>
      <c r="C6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8" s="10"/>
      <c r="E608" s="10"/>
      <c r="F60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8" s="11"/>
      <c r="I608" s="10"/>
      <c r="J608" s="10"/>
      <c r="K608" s="10"/>
    </row>
    <row r="609" spans="1:11" x14ac:dyDescent="0.45">
      <c r="A609" s="10">
        <v>175</v>
      </c>
      <c r="B609" s="10">
        <v>45</v>
      </c>
      <c r="C6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09" s="10"/>
      <c r="E609" s="10"/>
      <c r="F60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0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09" s="11"/>
      <c r="I609" s="10"/>
      <c r="J609" s="10"/>
      <c r="K609" s="10"/>
    </row>
    <row r="610" spans="1:11" x14ac:dyDescent="0.45">
      <c r="A610" s="10">
        <v>174</v>
      </c>
      <c r="B610" s="10">
        <v>477</v>
      </c>
      <c r="C6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0" s="10"/>
      <c r="E610" s="10"/>
      <c r="F61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0" s="11"/>
      <c r="I610" s="10"/>
      <c r="J610" s="10"/>
      <c r="K610" s="10"/>
    </row>
    <row r="611" spans="1:11" x14ac:dyDescent="0.45">
      <c r="A611" s="10">
        <v>175</v>
      </c>
      <c r="B611" s="10">
        <v>328</v>
      </c>
      <c r="C6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1" s="10"/>
      <c r="E611" s="10"/>
      <c r="F61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1" s="11"/>
      <c r="I611" s="10"/>
      <c r="J611" s="10"/>
      <c r="K611" s="10"/>
    </row>
    <row r="612" spans="1:11" x14ac:dyDescent="0.45">
      <c r="A612" s="10">
        <v>175</v>
      </c>
      <c r="B612" s="10">
        <v>232</v>
      </c>
      <c r="C6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2" s="10"/>
      <c r="E612" s="10"/>
      <c r="F61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2" s="11"/>
      <c r="I612" s="10"/>
      <c r="J612" s="10"/>
      <c r="K612" s="10"/>
    </row>
    <row r="613" spans="1:11" x14ac:dyDescent="0.45">
      <c r="A613" s="10">
        <v>175</v>
      </c>
      <c r="B613" s="10">
        <v>477</v>
      </c>
      <c r="C6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3" s="10"/>
      <c r="E613" s="10"/>
      <c r="F61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3" s="11"/>
      <c r="I613" s="10"/>
      <c r="J613" s="10"/>
      <c r="K613" s="10"/>
    </row>
    <row r="614" spans="1:11" x14ac:dyDescent="0.45">
      <c r="A614" s="10">
        <v>176</v>
      </c>
      <c r="B614" s="10">
        <v>588</v>
      </c>
      <c r="C6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4" s="10"/>
      <c r="E614" s="10"/>
      <c r="F61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4" s="11"/>
      <c r="I614" s="10"/>
      <c r="J614" s="10"/>
      <c r="K614" s="10"/>
    </row>
    <row r="615" spans="1:11" x14ac:dyDescent="0.45">
      <c r="A615" s="10">
        <v>177</v>
      </c>
      <c r="B615" s="10">
        <v>451</v>
      </c>
      <c r="C6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5" s="10"/>
      <c r="E615" s="10"/>
      <c r="F61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5" s="11"/>
      <c r="I615" s="10"/>
      <c r="J615" s="10"/>
      <c r="K615" s="10"/>
    </row>
    <row r="616" spans="1:11" x14ac:dyDescent="0.45">
      <c r="A616" s="10">
        <v>176</v>
      </c>
      <c r="B616" s="10">
        <v>451</v>
      </c>
      <c r="C6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6" s="10"/>
      <c r="E616" s="10"/>
      <c r="F61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6" s="11"/>
      <c r="I616" s="10"/>
      <c r="J616" s="10"/>
      <c r="K616" s="10"/>
    </row>
    <row r="617" spans="1:11" x14ac:dyDescent="0.45">
      <c r="A617" s="10">
        <v>177</v>
      </c>
      <c r="B617" s="10">
        <v>609</v>
      </c>
      <c r="C6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7" s="10"/>
      <c r="E617" s="10"/>
      <c r="F61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7" s="11"/>
      <c r="I617" s="10"/>
      <c r="J617" s="10"/>
      <c r="K617" s="10"/>
    </row>
    <row r="618" spans="1:11" x14ac:dyDescent="0.45">
      <c r="A618" s="10">
        <v>177</v>
      </c>
      <c r="B618" s="10">
        <v>588</v>
      </c>
      <c r="C6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8" s="10"/>
      <c r="E618" s="10"/>
      <c r="F61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8" s="11"/>
      <c r="I618" s="10"/>
      <c r="J618" s="10"/>
      <c r="K618" s="10"/>
    </row>
    <row r="619" spans="1:11" x14ac:dyDescent="0.45">
      <c r="A619" s="10">
        <v>176</v>
      </c>
      <c r="B619" s="10">
        <v>592</v>
      </c>
      <c r="C6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19" s="10"/>
      <c r="E619" s="10"/>
      <c r="F61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1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19" s="11"/>
      <c r="I619" s="10"/>
      <c r="J619" s="10"/>
      <c r="K619" s="10"/>
    </row>
    <row r="620" spans="1:11" x14ac:dyDescent="0.45">
      <c r="A620" s="10">
        <v>177</v>
      </c>
      <c r="B620" s="10">
        <v>592</v>
      </c>
      <c r="C6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0" s="10"/>
      <c r="E620" s="10"/>
      <c r="F62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0" s="11"/>
      <c r="I620" s="10"/>
      <c r="J620" s="10"/>
      <c r="K620" s="10"/>
    </row>
    <row r="621" spans="1:11" x14ac:dyDescent="0.45">
      <c r="A621" s="10">
        <v>176</v>
      </c>
      <c r="B621" s="10">
        <v>609</v>
      </c>
      <c r="C6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1" s="10"/>
      <c r="E621" s="10"/>
      <c r="F62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1" s="11"/>
      <c r="I621" s="10"/>
      <c r="J621" s="10"/>
      <c r="K621" s="10"/>
    </row>
    <row r="622" spans="1:11" x14ac:dyDescent="0.45">
      <c r="A622" s="10">
        <v>179</v>
      </c>
      <c r="B622" s="10">
        <v>511</v>
      </c>
      <c r="C6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2" s="10"/>
      <c r="E622" s="10"/>
      <c r="F62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2" s="11"/>
      <c r="I622" s="10"/>
      <c r="J622" s="10"/>
      <c r="K622" s="10"/>
    </row>
    <row r="623" spans="1:11" x14ac:dyDescent="0.45">
      <c r="A623" s="10">
        <v>179</v>
      </c>
      <c r="B623" s="10">
        <v>27</v>
      </c>
      <c r="C6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3" s="10"/>
      <c r="E623" s="10"/>
      <c r="F62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3" s="11"/>
      <c r="I623" s="10"/>
      <c r="J623" s="10"/>
      <c r="K623" s="10"/>
    </row>
    <row r="624" spans="1:11" x14ac:dyDescent="0.45">
      <c r="A624" s="10">
        <v>178</v>
      </c>
      <c r="B624" s="10">
        <v>627</v>
      </c>
      <c r="C6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4" s="10"/>
      <c r="E624" s="10"/>
      <c r="F62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4" s="11"/>
      <c r="I624" s="10"/>
      <c r="J624" s="10"/>
      <c r="K624" s="10"/>
    </row>
    <row r="625" spans="1:11" x14ac:dyDescent="0.45">
      <c r="A625" s="10">
        <v>179</v>
      </c>
      <c r="B625" s="10">
        <v>627</v>
      </c>
      <c r="C6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5" s="10"/>
      <c r="E625" s="10"/>
      <c r="F62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5" s="11"/>
      <c r="I625" s="10"/>
      <c r="J625" s="10"/>
      <c r="K625" s="10"/>
    </row>
    <row r="626" spans="1:11" x14ac:dyDescent="0.45">
      <c r="A626" s="10">
        <v>178</v>
      </c>
      <c r="B626" s="10">
        <v>27</v>
      </c>
      <c r="C6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6" s="10"/>
      <c r="E626" s="10"/>
      <c r="F62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6" s="11"/>
      <c r="I626" s="10"/>
      <c r="J626" s="10"/>
      <c r="K626" s="10"/>
    </row>
    <row r="627" spans="1:11" x14ac:dyDescent="0.45">
      <c r="A627" s="10">
        <v>178</v>
      </c>
      <c r="B627" s="10">
        <v>511</v>
      </c>
      <c r="C6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7" s="10"/>
      <c r="E627" s="10"/>
      <c r="F62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7" s="11"/>
      <c r="I627" s="10"/>
      <c r="J627" s="10"/>
      <c r="K627" s="10"/>
    </row>
    <row r="628" spans="1:11" x14ac:dyDescent="0.45">
      <c r="A628" s="10">
        <v>180</v>
      </c>
      <c r="B628" s="10">
        <v>483</v>
      </c>
      <c r="C6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8" s="10"/>
      <c r="E628" s="10"/>
      <c r="F62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8" s="11"/>
      <c r="I628" s="10"/>
      <c r="J628" s="10"/>
      <c r="K628" s="10"/>
    </row>
    <row r="629" spans="1:11" x14ac:dyDescent="0.45">
      <c r="A629" s="10">
        <v>180</v>
      </c>
      <c r="B629" s="10">
        <v>645</v>
      </c>
      <c r="C6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29" s="10"/>
      <c r="E629" s="10"/>
      <c r="F6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29" s="11"/>
      <c r="I629" s="10"/>
      <c r="J629" s="10"/>
      <c r="K629" s="10"/>
    </row>
    <row r="630" spans="1:11" x14ac:dyDescent="0.45">
      <c r="A630" s="10">
        <v>181</v>
      </c>
      <c r="B630" s="10">
        <v>645</v>
      </c>
      <c r="C6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0" s="10"/>
      <c r="E630" s="10"/>
      <c r="F63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0" s="11"/>
      <c r="I630" s="10"/>
      <c r="J630" s="10"/>
      <c r="K630" s="10"/>
    </row>
    <row r="631" spans="1:11" x14ac:dyDescent="0.45">
      <c r="A631" s="10">
        <v>181</v>
      </c>
      <c r="B631" s="10">
        <v>483</v>
      </c>
      <c r="C6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1" s="10"/>
      <c r="E631" s="10"/>
      <c r="F63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1" s="11"/>
      <c r="I631" s="10"/>
      <c r="J631" s="10"/>
      <c r="K631" s="10"/>
    </row>
    <row r="632" spans="1:11" x14ac:dyDescent="0.45">
      <c r="A632" s="10">
        <v>180</v>
      </c>
      <c r="B632" s="10">
        <v>346</v>
      </c>
      <c r="C6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2" s="10"/>
      <c r="E632" s="10"/>
      <c r="F63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2" s="11"/>
      <c r="I632" s="10"/>
      <c r="J632" s="10"/>
      <c r="K632" s="10"/>
    </row>
    <row r="633" spans="1:11" x14ac:dyDescent="0.45">
      <c r="A633" s="10">
        <v>180</v>
      </c>
      <c r="B633" s="10">
        <v>153</v>
      </c>
      <c r="C6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3" s="10"/>
      <c r="E633" s="10"/>
      <c r="F63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3" s="11"/>
      <c r="I633" s="10"/>
      <c r="J633" s="10"/>
      <c r="K633" s="10"/>
    </row>
    <row r="634" spans="1:11" x14ac:dyDescent="0.45">
      <c r="A634" s="10">
        <v>181</v>
      </c>
      <c r="B634" s="10">
        <v>153</v>
      </c>
      <c r="C6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4" s="10"/>
      <c r="E634" s="10"/>
      <c r="F63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4" s="11"/>
      <c r="I634" s="10"/>
      <c r="J634" s="10"/>
      <c r="K634" s="10"/>
    </row>
    <row r="635" spans="1:11" x14ac:dyDescent="0.45">
      <c r="A635" s="10">
        <v>181</v>
      </c>
      <c r="B635" s="10">
        <v>346</v>
      </c>
      <c r="C6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5" s="10"/>
      <c r="E635" s="10"/>
      <c r="F63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5" s="11"/>
      <c r="I635" s="10"/>
      <c r="J635" s="10"/>
      <c r="K635" s="10"/>
    </row>
    <row r="636" spans="1:11" x14ac:dyDescent="0.45">
      <c r="A636" s="10">
        <v>183</v>
      </c>
      <c r="B636" s="10">
        <v>249</v>
      </c>
      <c r="C6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6" s="10"/>
      <c r="E636" s="10"/>
      <c r="F63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6" s="11"/>
      <c r="I636" s="10"/>
      <c r="J636" s="10"/>
      <c r="K636" s="10"/>
    </row>
    <row r="637" spans="1:11" x14ac:dyDescent="0.45">
      <c r="A637" s="10">
        <v>182</v>
      </c>
      <c r="B637" s="10">
        <v>240</v>
      </c>
      <c r="C6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7" s="10"/>
      <c r="E637" s="10"/>
      <c r="F6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7" s="11"/>
      <c r="I637" s="10"/>
      <c r="J637" s="10"/>
      <c r="K637" s="10"/>
    </row>
    <row r="638" spans="1:11" x14ac:dyDescent="0.45">
      <c r="A638" s="10">
        <v>182</v>
      </c>
      <c r="B638" s="10">
        <v>39</v>
      </c>
      <c r="C6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8" s="10"/>
      <c r="E638" s="10"/>
      <c r="F63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8" s="11"/>
      <c r="I638" s="10"/>
      <c r="J638" s="10"/>
      <c r="K638" s="10"/>
    </row>
    <row r="639" spans="1:11" x14ac:dyDescent="0.45">
      <c r="A639" s="10">
        <v>182</v>
      </c>
      <c r="B639" s="10">
        <v>249</v>
      </c>
      <c r="C6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39" s="10"/>
      <c r="E639" s="10"/>
      <c r="F63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3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39" s="11"/>
      <c r="I639" s="10"/>
      <c r="J639" s="10"/>
      <c r="K639" s="10"/>
    </row>
    <row r="640" spans="1:11" x14ac:dyDescent="0.45">
      <c r="A640" s="10">
        <v>182</v>
      </c>
      <c r="B640" s="10">
        <v>540</v>
      </c>
      <c r="C6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0" s="10"/>
      <c r="E640" s="10"/>
      <c r="F64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0" s="11"/>
      <c r="I640" s="10"/>
      <c r="J640" s="10"/>
      <c r="K640" s="10"/>
    </row>
    <row r="641" spans="1:11" x14ac:dyDescent="0.45">
      <c r="A641" s="10">
        <v>183</v>
      </c>
      <c r="B641" s="10">
        <v>540</v>
      </c>
      <c r="C6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1" s="10"/>
      <c r="E641" s="10"/>
      <c r="F64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1" s="11"/>
      <c r="I641" s="10"/>
      <c r="J641" s="10"/>
      <c r="K641" s="10"/>
    </row>
    <row r="642" spans="1:11" x14ac:dyDescent="0.45">
      <c r="A642" s="10">
        <v>182</v>
      </c>
      <c r="B642" s="10">
        <v>416</v>
      </c>
      <c r="C6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2" s="10"/>
      <c r="E642" s="10"/>
      <c r="F64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2" s="11"/>
      <c r="I642" s="10"/>
      <c r="J642" s="10"/>
      <c r="K642" s="10"/>
    </row>
    <row r="643" spans="1:11" x14ac:dyDescent="0.45">
      <c r="A643" s="10">
        <v>183</v>
      </c>
      <c r="B643" s="10">
        <v>240</v>
      </c>
      <c r="C6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3" s="10"/>
      <c r="E643" s="10"/>
      <c r="F64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3" s="11"/>
      <c r="I643" s="10"/>
      <c r="J643" s="10"/>
      <c r="K643" s="10"/>
    </row>
    <row r="644" spans="1:11" x14ac:dyDescent="0.45">
      <c r="A644" s="10">
        <v>183</v>
      </c>
      <c r="B644" s="10">
        <v>39</v>
      </c>
      <c r="C6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4" s="10"/>
      <c r="E644" s="10"/>
      <c r="F64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4" s="11"/>
      <c r="I644" s="10"/>
      <c r="J644" s="10"/>
      <c r="K644" s="10"/>
    </row>
    <row r="645" spans="1:11" x14ac:dyDescent="0.45">
      <c r="A645" s="10">
        <v>183</v>
      </c>
      <c r="B645" s="10">
        <v>416</v>
      </c>
      <c r="C6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5" s="10"/>
      <c r="E645" s="10"/>
      <c r="F64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5" s="11"/>
      <c r="I645" s="10"/>
      <c r="J645" s="10"/>
      <c r="K645" s="10"/>
    </row>
    <row r="646" spans="1:11" x14ac:dyDescent="0.45">
      <c r="A646" s="10">
        <v>184</v>
      </c>
      <c r="B646" s="10">
        <v>376</v>
      </c>
      <c r="C6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6" s="10"/>
      <c r="E646" s="10"/>
      <c r="F64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6" s="11"/>
      <c r="I646" s="10"/>
      <c r="J646" s="10"/>
      <c r="K646" s="10"/>
    </row>
    <row r="647" spans="1:11" x14ac:dyDescent="0.45">
      <c r="A647" s="10">
        <v>185</v>
      </c>
      <c r="B647" s="10">
        <v>376</v>
      </c>
      <c r="C6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7" s="10"/>
      <c r="E647" s="10"/>
      <c r="F64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7" s="11"/>
      <c r="I647" s="10"/>
      <c r="J647" s="10"/>
      <c r="K647" s="10"/>
    </row>
    <row r="648" spans="1:11" x14ac:dyDescent="0.45">
      <c r="A648" s="10">
        <v>187</v>
      </c>
      <c r="B648" s="10">
        <v>214</v>
      </c>
      <c r="C6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8" s="10"/>
      <c r="E648" s="10"/>
      <c r="F64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8" s="11"/>
      <c r="I648" s="10"/>
      <c r="J648" s="10"/>
      <c r="K648" s="10"/>
    </row>
    <row r="649" spans="1:11" x14ac:dyDescent="0.45">
      <c r="A649" s="10">
        <v>186</v>
      </c>
      <c r="B649" s="10">
        <v>610</v>
      </c>
      <c r="C6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49" s="10"/>
      <c r="E649" s="10"/>
      <c r="F64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4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49" s="11"/>
      <c r="I649" s="10"/>
      <c r="J649" s="10"/>
      <c r="K649" s="10"/>
    </row>
    <row r="650" spans="1:11" x14ac:dyDescent="0.45">
      <c r="A650" s="10">
        <v>187</v>
      </c>
      <c r="B650" s="10">
        <v>610</v>
      </c>
      <c r="C6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0" s="10"/>
      <c r="E650" s="10"/>
      <c r="F65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0" s="11"/>
      <c r="I650" s="10"/>
      <c r="J650" s="10"/>
      <c r="K650" s="10"/>
    </row>
    <row r="651" spans="1:11" x14ac:dyDescent="0.45">
      <c r="A651" s="10">
        <v>186</v>
      </c>
      <c r="B651" s="10">
        <v>214</v>
      </c>
      <c r="C6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1" s="10"/>
      <c r="E651" s="10"/>
      <c r="F65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1" s="11"/>
      <c r="I651" s="10"/>
      <c r="J651" s="10"/>
      <c r="K651" s="10"/>
    </row>
    <row r="652" spans="1:11" x14ac:dyDescent="0.45">
      <c r="A652" s="10">
        <v>186</v>
      </c>
      <c r="B652" s="10">
        <v>67</v>
      </c>
      <c r="C6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2" s="10"/>
      <c r="E652" s="10"/>
      <c r="F65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2" s="11"/>
      <c r="I652" s="10"/>
      <c r="J652" s="10"/>
      <c r="K652" s="10"/>
    </row>
    <row r="653" spans="1:11" x14ac:dyDescent="0.45">
      <c r="A653" s="10">
        <v>186</v>
      </c>
      <c r="B653" s="10">
        <v>567</v>
      </c>
      <c r="C6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3" s="10"/>
      <c r="E653" s="10"/>
      <c r="F65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3" s="11"/>
      <c r="I653" s="10"/>
      <c r="J653" s="10"/>
      <c r="K653" s="10"/>
    </row>
    <row r="654" spans="1:11" x14ac:dyDescent="0.45">
      <c r="A654" s="10">
        <v>187</v>
      </c>
      <c r="B654" s="10">
        <v>567</v>
      </c>
      <c r="C6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4" s="10"/>
      <c r="E654" s="10"/>
      <c r="F65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4" s="11"/>
      <c r="I654" s="10"/>
      <c r="J654" s="10"/>
      <c r="K654" s="10"/>
    </row>
    <row r="655" spans="1:11" x14ac:dyDescent="0.45">
      <c r="A655" s="10">
        <v>187</v>
      </c>
      <c r="B655" s="10">
        <v>67</v>
      </c>
      <c r="C6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5" s="10"/>
      <c r="E655" s="10"/>
      <c r="F65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5" s="11"/>
      <c r="I655" s="10"/>
      <c r="J655" s="10"/>
      <c r="K655" s="10"/>
    </row>
    <row r="656" spans="1:11" x14ac:dyDescent="0.45">
      <c r="A656" s="10">
        <v>189</v>
      </c>
      <c r="B656" s="10">
        <v>271</v>
      </c>
      <c r="C6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6" s="10"/>
      <c r="E656" s="10"/>
      <c r="F65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6" s="11"/>
      <c r="I656" s="10"/>
      <c r="J656" s="10"/>
      <c r="K656" s="10"/>
    </row>
    <row r="657" spans="1:11" x14ac:dyDescent="0.45">
      <c r="A657" s="10">
        <v>188</v>
      </c>
      <c r="B657" s="10">
        <v>271</v>
      </c>
      <c r="C6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7" s="10"/>
      <c r="E657" s="10"/>
      <c r="F65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7" s="11"/>
      <c r="I657" s="10"/>
      <c r="J657" s="10"/>
      <c r="K657" s="10"/>
    </row>
    <row r="658" spans="1:11" x14ac:dyDescent="0.45">
      <c r="A658" s="10">
        <v>188</v>
      </c>
      <c r="B658" s="10">
        <v>597</v>
      </c>
      <c r="C6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8" s="10"/>
      <c r="E658" s="10"/>
      <c r="F65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8" s="11"/>
      <c r="I658" s="10"/>
      <c r="J658" s="10"/>
      <c r="K658" s="10"/>
    </row>
    <row r="659" spans="1:11" x14ac:dyDescent="0.45">
      <c r="A659" s="10">
        <v>189</v>
      </c>
      <c r="B659" s="10">
        <v>597</v>
      </c>
      <c r="C6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59" s="10"/>
      <c r="E659" s="10"/>
      <c r="F65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5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59" s="11"/>
      <c r="I659" s="10"/>
      <c r="J659" s="10"/>
      <c r="K659" s="10"/>
    </row>
    <row r="660" spans="1:11" x14ac:dyDescent="0.45">
      <c r="A660" s="10">
        <v>189</v>
      </c>
      <c r="B660" s="10">
        <v>190</v>
      </c>
      <c r="C6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0" s="10"/>
      <c r="E660" s="10"/>
      <c r="F66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0" s="11"/>
      <c r="I660" s="10"/>
      <c r="J660" s="10"/>
      <c r="K660" s="10"/>
    </row>
    <row r="661" spans="1:11" x14ac:dyDescent="0.45">
      <c r="A661" s="10">
        <v>188</v>
      </c>
      <c r="B661" s="10">
        <v>190</v>
      </c>
      <c r="C6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1" s="10"/>
      <c r="E661" s="10"/>
      <c r="F66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1" s="11"/>
      <c r="I661" s="10"/>
      <c r="J661" s="10"/>
      <c r="K661" s="10"/>
    </row>
    <row r="662" spans="1:11" x14ac:dyDescent="0.45">
      <c r="A662" s="10">
        <v>191</v>
      </c>
      <c r="B662" s="10">
        <v>460</v>
      </c>
      <c r="C6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2" s="10"/>
      <c r="E662" s="10"/>
      <c r="F66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2" s="11"/>
      <c r="I662" s="10"/>
      <c r="J662" s="10"/>
      <c r="K662" s="10"/>
    </row>
    <row r="663" spans="1:11" x14ac:dyDescent="0.45">
      <c r="A663" s="10">
        <v>190</v>
      </c>
      <c r="B663" s="10">
        <v>523</v>
      </c>
      <c r="C6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3" s="10"/>
      <c r="E663" s="10"/>
      <c r="F6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3" s="11"/>
      <c r="I663" s="10"/>
      <c r="J663" s="10"/>
      <c r="K663" s="10"/>
    </row>
    <row r="664" spans="1:11" x14ac:dyDescent="0.45">
      <c r="A664" s="10">
        <v>190</v>
      </c>
      <c r="B664" s="10">
        <v>504</v>
      </c>
      <c r="C6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4" s="10"/>
      <c r="E664" s="10"/>
      <c r="F66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4" s="11"/>
      <c r="I664" s="10"/>
      <c r="J664" s="10"/>
      <c r="K664" s="10"/>
    </row>
    <row r="665" spans="1:11" x14ac:dyDescent="0.45">
      <c r="A665" s="10">
        <v>191</v>
      </c>
      <c r="B665" s="10">
        <v>523</v>
      </c>
      <c r="C6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5" s="10"/>
      <c r="E665" s="10"/>
      <c r="F66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5" s="11"/>
      <c r="I665" s="10"/>
      <c r="J665" s="10"/>
      <c r="K665" s="10"/>
    </row>
    <row r="666" spans="1:11" x14ac:dyDescent="0.45">
      <c r="A666" s="10">
        <v>190</v>
      </c>
      <c r="B666" s="10">
        <v>687</v>
      </c>
      <c r="C6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6" s="10"/>
      <c r="E666" s="10"/>
      <c r="F66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6" s="11"/>
      <c r="I666" s="10"/>
      <c r="J666" s="10"/>
      <c r="K666" s="10"/>
    </row>
    <row r="667" spans="1:11" x14ac:dyDescent="0.45">
      <c r="A667" s="10">
        <v>191</v>
      </c>
      <c r="B667" s="10">
        <v>687</v>
      </c>
      <c r="C6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7" s="10"/>
      <c r="E667" s="10"/>
      <c r="F66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7" s="11"/>
      <c r="I667" s="10"/>
      <c r="J667" s="10"/>
      <c r="K667" s="10"/>
    </row>
    <row r="668" spans="1:11" x14ac:dyDescent="0.45">
      <c r="A668" s="10">
        <v>191</v>
      </c>
      <c r="B668" s="10">
        <v>504</v>
      </c>
      <c r="C6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8" s="10"/>
      <c r="E668" s="10"/>
      <c r="F66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8" s="11"/>
      <c r="I668" s="10"/>
      <c r="J668" s="10"/>
      <c r="K668" s="10"/>
    </row>
    <row r="669" spans="1:11" x14ac:dyDescent="0.45">
      <c r="A669" s="10">
        <v>190</v>
      </c>
      <c r="B669" s="10">
        <v>460</v>
      </c>
      <c r="C6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69" s="10"/>
      <c r="E669" s="10"/>
      <c r="F66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6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69" s="11"/>
      <c r="I669" s="10"/>
      <c r="J669" s="10"/>
      <c r="K669" s="10"/>
    </row>
    <row r="670" spans="1:11" x14ac:dyDescent="0.45">
      <c r="A670" s="10">
        <v>191</v>
      </c>
      <c r="B670" s="10">
        <v>424</v>
      </c>
      <c r="C6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0" s="10"/>
      <c r="E670" s="10"/>
      <c r="F67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0" s="11"/>
      <c r="I670" s="10"/>
      <c r="J670" s="10"/>
      <c r="K670" s="10"/>
    </row>
    <row r="671" spans="1:11" x14ac:dyDescent="0.45">
      <c r="A671" s="10">
        <v>190</v>
      </c>
      <c r="B671" s="10">
        <v>424</v>
      </c>
      <c r="C6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1" s="10"/>
      <c r="E671" s="10"/>
      <c r="F67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1" s="11"/>
      <c r="I671" s="10"/>
      <c r="J671" s="10"/>
      <c r="K671" s="10"/>
    </row>
    <row r="672" spans="1:11" x14ac:dyDescent="0.45">
      <c r="A672" s="10">
        <v>191</v>
      </c>
      <c r="B672" s="10">
        <v>447</v>
      </c>
      <c r="C6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2" s="10"/>
      <c r="E672" s="10"/>
      <c r="F6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2" s="11"/>
      <c r="I672" s="10"/>
      <c r="J672" s="10"/>
      <c r="K672" s="10"/>
    </row>
    <row r="673" spans="1:11" x14ac:dyDescent="0.45">
      <c r="A673" s="10">
        <v>190</v>
      </c>
      <c r="B673" s="10">
        <v>447</v>
      </c>
      <c r="C6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3" s="10"/>
      <c r="E673" s="10"/>
      <c r="F6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3" s="11"/>
      <c r="I673" s="10"/>
      <c r="J673" s="10"/>
      <c r="K673" s="10"/>
    </row>
    <row r="674" spans="1:11" x14ac:dyDescent="0.45">
      <c r="A674" s="10">
        <v>192</v>
      </c>
      <c r="B674" s="10">
        <v>401</v>
      </c>
      <c r="C6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4" s="10"/>
      <c r="E674" s="10"/>
      <c r="F67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4" s="11"/>
      <c r="I674" s="10"/>
      <c r="J674" s="10"/>
      <c r="K674" s="10"/>
    </row>
    <row r="675" spans="1:11" x14ac:dyDescent="0.45">
      <c r="A675" s="10">
        <v>193</v>
      </c>
      <c r="B675" s="10">
        <v>489</v>
      </c>
      <c r="C6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5" s="10"/>
      <c r="E675" s="10"/>
      <c r="F67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5" s="11"/>
      <c r="I675" s="10"/>
      <c r="J675" s="10"/>
      <c r="K675" s="10"/>
    </row>
    <row r="676" spans="1:11" x14ac:dyDescent="0.45">
      <c r="A676" s="10">
        <v>193</v>
      </c>
      <c r="B676" s="10">
        <v>401</v>
      </c>
      <c r="C6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6" s="10"/>
      <c r="E676" s="10"/>
      <c r="F67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6" s="11"/>
      <c r="I676" s="10"/>
      <c r="J676" s="10"/>
      <c r="K676" s="10"/>
    </row>
    <row r="677" spans="1:11" x14ac:dyDescent="0.45">
      <c r="A677" s="10">
        <v>192</v>
      </c>
      <c r="B677" s="10">
        <v>489</v>
      </c>
      <c r="C6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7" s="10"/>
      <c r="E677" s="10"/>
      <c r="F67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7" s="11"/>
      <c r="I677" s="10"/>
      <c r="J677" s="10"/>
      <c r="K677" s="10"/>
    </row>
    <row r="678" spans="1:11" x14ac:dyDescent="0.45">
      <c r="A678" s="10">
        <v>195</v>
      </c>
      <c r="B678" s="10">
        <v>107</v>
      </c>
      <c r="C6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8" s="10"/>
      <c r="E678" s="10"/>
      <c r="F67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8" s="11"/>
      <c r="I678" s="10"/>
      <c r="J678" s="10"/>
      <c r="K678" s="10"/>
    </row>
    <row r="679" spans="1:11" x14ac:dyDescent="0.45">
      <c r="A679" s="10">
        <v>195</v>
      </c>
      <c r="B679" s="10">
        <v>125</v>
      </c>
      <c r="C6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79" s="10"/>
      <c r="E679" s="10"/>
      <c r="F67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7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79" s="11"/>
      <c r="I679" s="10"/>
      <c r="J679" s="10"/>
      <c r="K679" s="10"/>
    </row>
    <row r="680" spans="1:11" x14ac:dyDescent="0.45">
      <c r="A680" s="10">
        <v>194</v>
      </c>
      <c r="B680" s="10">
        <v>125</v>
      </c>
      <c r="C6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0" s="10"/>
      <c r="E680" s="10"/>
      <c r="F68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0" s="11"/>
      <c r="I680" s="10"/>
      <c r="J680" s="10"/>
      <c r="K680" s="10"/>
    </row>
    <row r="681" spans="1:11" x14ac:dyDescent="0.45">
      <c r="A681" s="10">
        <v>194</v>
      </c>
      <c r="B681" s="10">
        <v>295</v>
      </c>
      <c r="C6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1" s="10"/>
      <c r="E681" s="10"/>
      <c r="F68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1" s="11"/>
      <c r="I681" s="10"/>
      <c r="J681" s="10"/>
      <c r="K681" s="10"/>
    </row>
    <row r="682" spans="1:11" x14ac:dyDescent="0.45">
      <c r="A682" s="10">
        <v>194</v>
      </c>
      <c r="B682" s="10">
        <v>107</v>
      </c>
      <c r="C6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2" s="10"/>
      <c r="E682" s="10"/>
      <c r="F68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2" s="11"/>
      <c r="I682" s="10"/>
      <c r="J682" s="10"/>
      <c r="K682" s="10"/>
    </row>
    <row r="683" spans="1:11" x14ac:dyDescent="0.45">
      <c r="A683" s="10">
        <v>195</v>
      </c>
      <c r="B683" s="10">
        <v>381</v>
      </c>
      <c r="C6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3" s="10"/>
      <c r="E683" s="10"/>
      <c r="F68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3" s="11"/>
      <c r="I683" s="10"/>
      <c r="J683" s="10"/>
      <c r="K683" s="10"/>
    </row>
    <row r="684" spans="1:11" x14ac:dyDescent="0.45">
      <c r="A684" s="10">
        <v>194</v>
      </c>
      <c r="B684" s="10">
        <v>381</v>
      </c>
      <c r="C6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4" s="10"/>
      <c r="E684" s="10"/>
      <c r="F68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4" s="11"/>
      <c r="I684" s="10"/>
      <c r="J684" s="10"/>
      <c r="K684" s="10"/>
    </row>
    <row r="685" spans="1:11" x14ac:dyDescent="0.45">
      <c r="A685" s="10">
        <v>194</v>
      </c>
      <c r="B685" s="10">
        <v>521</v>
      </c>
      <c r="C6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5" s="10"/>
      <c r="E685" s="10"/>
      <c r="F68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5" s="11"/>
      <c r="I685" s="10"/>
      <c r="J685" s="10"/>
      <c r="K685" s="10"/>
    </row>
    <row r="686" spans="1:11" x14ac:dyDescent="0.45">
      <c r="A686" s="10">
        <v>195</v>
      </c>
      <c r="B686" s="10">
        <v>295</v>
      </c>
      <c r="C6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6" s="10"/>
      <c r="E686" s="10"/>
      <c r="F6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6" s="11"/>
      <c r="I686" s="10"/>
      <c r="J686" s="10"/>
      <c r="K686" s="10"/>
    </row>
    <row r="687" spans="1:11" x14ac:dyDescent="0.45">
      <c r="A687" s="10">
        <v>195</v>
      </c>
      <c r="B687" s="10">
        <v>521</v>
      </c>
      <c r="C6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7" s="10"/>
      <c r="E687" s="10"/>
      <c r="F68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7" s="11"/>
      <c r="I687" s="10"/>
      <c r="J687" s="10"/>
      <c r="K687" s="10"/>
    </row>
    <row r="688" spans="1:11" x14ac:dyDescent="0.45">
      <c r="A688" s="10">
        <v>197</v>
      </c>
      <c r="B688" s="10">
        <v>298</v>
      </c>
      <c r="C6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8" s="10"/>
      <c r="E688" s="10"/>
      <c r="F68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8" s="11"/>
      <c r="I688" s="10"/>
      <c r="J688" s="10"/>
      <c r="K688" s="10"/>
    </row>
    <row r="689" spans="1:11" x14ac:dyDescent="0.45">
      <c r="A689" s="10">
        <v>196</v>
      </c>
      <c r="B689" s="10">
        <v>298</v>
      </c>
      <c r="C6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89" s="10"/>
      <c r="E689" s="10"/>
      <c r="F68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8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89" s="11"/>
      <c r="I689" s="10"/>
      <c r="J689" s="10"/>
      <c r="K689" s="10"/>
    </row>
    <row r="690" spans="1:11" x14ac:dyDescent="0.45">
      <c r="A690" s="10">
        <v>199</v>
      </c>
      <c r="B690" s="10">
        <v>574</v>
      </c>
      <c r="C6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0" s="10"/>
      <c r="E690" s="10"/>
      <c r="F69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0" s="11"/>
      <c r="I690" s="10"/>
      <c r="J690" s="10"/>
      <c r="K690" s="10"/>
    </row>
    <row r="691" spans="1:11" x14ac:dyDescent="0.45">
      <c r="A691" s="10">
        <v>198</v>
      </c>
      <c r="B691" s="10">
        <v>574</v>
      </c>
      <c r="C6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1" s="10"/>
      <c r="E691" s="10"/>
      <c r="F69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1" s="11"/>
      <c r="I691" s="10"/>
      <c r="J691" s="10"/>
      <c r="K691" s="10"/>
    </row>
    <row r="692" spans="1:11" x14ac:dyDescent="0.45">
      <c r="A692" s="10">
        <v>198</v>
      </c>
      <c r="B692" s="10">
        <v>464</v>
      </c>
      <c r="C6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2" s="10"/>
      <c r="E692" s="10"/>
      <c r="F69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2" s="11"/>
      <c r="I692" s="10"/>
      <c r="J692" s="10"/>
      <c r="K692" s="10"/>
    </row>
    <row r="693" spans="1:11" x14ac:dyDescent="0.45">
      <c r="A693" s="10">
        <v>199</v>
      </c>
      <c r="B693" s="10">
        <v>212</v>
      </c>
      <c r="C6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3" s="10"/>
      <c r="E693" s="10"/>
      <c r="F69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3" s="11"/>
      <c r="I693" s="10"/>
      <c r="J693" s="10"/>
      <c r="K693" s="10"/>
    </row>
    <row r="694" spans="1:11" x14ac:dyDescent="0.45">
      <c r="A694" s="10">
        <v>198</v>
      </c>
      <c r="B694" s="10">
        <v>212</v>
      </c>
      <c r="C6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4" s="10"/>
      <c r="E694" s="10"/>
      <c r="F69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4" s="11"/>
      <c r="I694" s="10"/>
      <c r="J694" s="10"/>
      <c r="K694" s="10"/>
    </row>
    <row r="695" spans="1:11" x14ac:dyDescent="0.45">
      <c r="A695" s="10">
        <v>199</v>
      </c>
      <c r="B695" s="10">
        <v>464</v>
      </c>
      <c r="C6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5" s="10"/>
      <c r="E695" s="10"/>
      <c r="F69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5" s="11"/>
      <c r="I695" s="10"/>
      <c r="J695" s="10"/>
      <c r="K695" s="10"/>
    </row>
    <row r="696" spans="1:11" x14ac:dyDescent="0.45">
      <c r="A696" s="10">
        <v>200</v>
      </c>
      <c r="B696" s="10">
        <v>405</v>
      </c>
      <c r="C6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6" s="10"/>
      <c r="E696" s="10"/>
      <c r="F69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6" s="11"/>
      <c r="I696" s="10"/>
      <c r="J696" s="10"/>
      <c r="K696" s="10"/>
    </row>
    <row r="697" spans="1:11" x14ac:dyDescent="0.45">
      <c r="A697" s="10">
        <v>201</v>
      </c>
      <c r="B697" s="10">
        <v>22</v>
      </c>
      <c r="C6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7" s="10"/>
      <c r="E697" s="10"/>
      <c r="F69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7" s="11"/>
      <c r="I697" s="10"/>
      <c r="J697" s="10"/>
      <c r="K697" s="10"/>
    </row>
    <row r="698" spans="1:11" x14ac:dyDescent="0.45">
      <c r="A698" s="10">
        <v>201</v>
      </c>
      <c r="B698" s="10">
        <v>405</v>
      </c>
      <c r="C6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8" s="10"/>
      <c r="E698" s="10"/>
      <c r="F69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8" s="11"/>
      <c r="I698" s="10"/>
      <c r="J698" s="10"/>
      <c r="K698" s="10"/>
    </row>
    <row r="699" spans="1:11" x14ac:dyDescent="0.45">
      <c r="A699" s="10">
        <v>200</v>
      </c>
      <c r="B699" s="10">
        <v>439</v>
      </c>
      <c r="C6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699" s="10"/>
      <c r="E699" s="10"/>
      <c r="F69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69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699" s="11"/>
      <c r="I699" s="10"/>
      <c r="J699" s="10"/>
      <c r="K699" s="10"/>
    </row>
    <row r="700" spans="1:11" x14ac:dyDescent="0.45">
      <c r="A700" s="10">
        <v>201</v>
      </c>
      <c r="B700" s="10">
        <v>413</v>
      </c>
      <c r="C7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0" s="10"/>
      <c r="E700" s="10"/>
      <c r="F7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0" s="11"/>
      <c r="I700" s="10"/>
      <c r="J700" s="10"/>
      <c r="K700" s="10"/>
    </row>
    <row r="701" spans="1:11" x14ac:dyDescent="0.45">
      <c r="A701" s="10">
        <v>201</v>
      </c>
      <c r="B701" s="10">
        <v>439</v>
      </c>
      <c r="C7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1" s="10"/>
      <c r="E701" s="10"/>
      <c r="F70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1" s="11"/>
      <c r="I701" s="10"/>
      <c r="J701" s="10"/>
      <c r="K701" s="10"/>
    </row>
    <row r="702" spans="1:11" x14ac:dyDescent="0.45">
      <c r="A702" s="10">
        <v>201</v>
      </c>
      <c r="B702" s="10">
        <v>617</v>
      </c>
      <c r="C7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2" s="10"/>
      <c r="E702" s="10"/>
      <c r="F70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2" s="11"/>
      <c r="I702" s="10"/>
      <c r="J702" s="10"/>
      <c r="K702" s="10"/>
    </row>
    <row r="703" spans="1:11" x14ac:dyDescent="0.45">
      <c r="A703" s="10">
        <v>200</v>
      </c>
      <c r="B703" s="10">
        <v>617</v>
      </c>
      <c r="C7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3" s="10"/>
      <c r="E703" s="10"/>
      <c r="F7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3" s="11"/>
      <c r="I703" s="10"/>
      <c r="J703" s="10"/>
      <c r="K703" s="10"/>
    </row>
    <row r="704" spans="1:11" x14ac:dyDescent="0.45">
      <c r="A704" s="10">
        <v>200</v>
      </c>
      <c r="B704" s="10">
        <v>22</v>
      </c>
      <c r="C7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4" s="10"/>
      <c r="E704" s="10"/>
      <c r="F70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4" s="11"/>
      <c r="I704" s="10"/>
      <c r="J704" s="10"/>
      <c r="K704" s="10"/>
    </row>
    <row r="705" spans="1:11" x14ac:dyDescent="0.45">
      <c r="A705" s="10">
        <v>200</v>
      </c>
      <c r="B705" s="10">
        <v>413</v>
      </c>
      <c r="C7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5" s="10"/>
      <c r="E705" s="10"/>
      <c r="F70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5" s="11"/>
      <c r="I705" s="10"/>
      <c r="J705" s="10"/>
      <c r="K705" s="10"/>
    </row>
    <row r="706" spans="1:11" x14ac:dyDescent="0.45">
      <c r="A706" s="10">
        <v>202</v>
      </c>
      <c r="B706" s="10">
        <v>38</v>
      </c>
      <c r="C7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6" s="10"/>
      <c r="E706" s="10"/>
      <c r="F70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6" s="11"/>
      <c r="I706" s="10"/>
      <c r="J706" s="10"/>
      <c r="K706" s="10"/>
    </row>
    <row r="707" spans="1:11" x14ac:dyDescent="0.45">
      <c r="A707" s="10">
        <v>203</v>
      </c>
      <c r="B707" s="10">
        <v>197</v>
      </c>
      <c r="C7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7" s="10"/>
      <c r="E707" s="10"/>
      <c r="F70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7" s="11"/>
      <c r="I707" s="10"/>
      <c r="J707" s="10"/>
      <c r="K707" s="10"/>
    </row>
    <row r="708" spans="1:11" x14ac:dyDescent="0.45">
      <c r="A708" s="10">
        <v>203</v>
      </c>
      <c r="B708" s="10">
        <v>538</v>
      </c>
      <c r="C7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8" s="10"/>
      <c r="E708" s="10"/>
      <c r="F70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8" s="11"/>
      <c r="I708" s="10"/>
      <c r="J708" s="10"/>
      <c r="K708" s="10"/>
    </row>
    <row r="709" spans="1:11" x14ac:dyDescent="0.45">
      <c r="A709" s="10">
        <v>202</v>
      </c>
      <c r="B709" s="10">
        <v>590</v>
      </c>
      <c r="C7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09" s="10"/>
      <c r="E709" s="10"/>
      <c r="F70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0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09" s="11"/>
      <c r="I709" s="10"/>
      <c r="J709" s="10"/>
      <c r="K709" s="10"/>
    </row>
    <row r="710" spans="1:11" x14ac:dyDescent="0.45">
      <c r="A710" s="10">
        <v>203</v>
      </c>
      <c r="B710" s="10">
        <v>590</v>
      </c>
      <c r="C7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0" s="10"/>
      <c r="E710" s="10"/>
      <c r="F71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0" s="11"/>
      <c r="I710" s="10"/>
      <c r="J710" s="10"/>
      <c r="K710" s="10"/>
    </row>
    <row r="711" spans="1:11" x14ac:dyDescent="0.45">
      <c r="A711" s="10">
        <v>203</v>
      </c>
      <c r="B711" s="10">
        <v>38</v>
      </c>
      <c r="C7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1" s="10"/>
      <c r="E711" s="10"/>
      <c r="F71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1" s="11"/>
      <c r="I711" s="10"/>
      <c r="J711" s="10"/>
      <c r="K711" s="10"/>
    </row>
    <row r="712" spans="1:11" x14ac:dyDescent="0.45">
      <c r="A712" s="10">
        <v>202</v>
      </c>
      <c r="B712" s="10">
        <v>538</v>
      </c>
      <c r="C7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2" s="10"/>
      <c r="E712" s="10"/>
      <c r="F71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2" s="11"/>
      <c r="I712" s="10"/>
      <c r="J712" s="10"/>
      <c r="K712" s="10"/>
    </row>
    <row r="713" spans="1:11" x14ac:dyDescent="0.45">
      <c r="A713" s="10">
        <v>202</v>
      </c>
      <c r="B713" s="10">
        <v>197</v>
      </c>
      <c r="C7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3" s="10"/>
      <c r="E713" s="10"/>
      <c r="F71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3" s="11"/>
      <c r="I713" s="10"/>
      <c r="J713" s="10"/>
      <c r="K713" s="10"/>
    </row>
    <row r="714" spans="1:11" x14ac:dyDescent="0.45">
      <c r="A714" s="10">
        <v>205</v>
      </c>
      <c r="B714" s="10">
        <v>501</v>
      </c>
      <c r="C7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4" s="10"/>
      <c r="E714" s="10"/>
      <c r="F71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4" s="11"/>
      <c r="I714" s="10"/>
      <c r="J714" s="10"/>
      <c r="K714" s="10"/>
    </row>
    <row r="715" spans="1:11" x14ac:dyDescent="0.45">
      <c r="A715" s="10">
        <v>204</v>
      </c>
      <c r="B715" s="10">
        <v>501</v>
      </c>
      <c r="C7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5" s="10"/>
      <c r="E715" s="10"/>
      <c r="F71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5" s="11"/>
      <c r="I715" s="10"/>
      <c r="J715" s="10"/>
      <c r="K715" s="10"/>
    </row>
    <row r="716" spans="1:11" x14ac:dyDescent="0.45">
      <c r="A716" s="10">
        <v>204</v>
      </c>
      <c r="B716" s="10">
        <v>94</v>
      </c>
      <c r="C7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6" s="10"/>
      <c r="E716" s="10"/>
      <c r="F71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6" s="11"/>
      <c r="I716" s="10"/>
      <c r="J716" s="10"/>
      <c r="K716" s="10"/>
    </row>
    <row r="717" spans="1:11" x14ac:dyDescent="0.45">
      <c r="A717" s="10">
        <v>205</v>
      </c>
      <c r="B717" s="10">
        <v>94</v>
      </c>
      <c r="C7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7" s="10"/>
      <c r="E717" s="10"/>
      <c r="F71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7" s="11"/>
      <c r="I717" s="10"/>
      <c r="J717" s="10"/>
      <c r="K717" s="10"/>
    </row>
    <row r="718" spans="1:11" x14ac:dyDescent="0.45">
      <c r="A718" s="10">
        <v>207</v>
      </c>
      <c r="B718" s="10">
        <v>638</v>
      </c>
      <c r="C7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8" s="10"/>
      <c r="E718" s="10"/>
      <c r="F71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8" s="11"/>
      <c r="I718" s="10"/>
      <c r="J718" s="10"/>
      <c r="K718" s="10"/>
    </row>
    <row r="719" spans="1:11" x14ac:dyDescent="0.45">
      <c r="A719" s="10">
        <v>207</v>
      </c>
      <c r="B719" s="10">
        <v>435</v>
      </c>
      <c r="C7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19" s="10"/>
      <c r="E719" s="10"/>
      <c r="F71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1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19" s="11"/>
      <c r="I719" s="10"/>
      <c r="J719" s="10"/>
      <c r="K719" s="10"/>
    </row>
    <row r="720" spans="1:11" x14ac:dyDescent="0.45">
      <c r="A720" s="10">
        <v>207</v>
      </c>
      <c r="B720" s="10">
        <v>530</v>
      </c>
      <c r="C7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0" s="10"/>
      <c r="E720" s="10"/>
      <c r="F72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0" s="11"/>
      <c r="I720" s="10"/>
      <c r="J720" s="10"/>
      <c r="K720" s="10"/>
    </row>
    <row r="721" spans="1:11" x14ac:dyDescent="0.45">
      <c r="A721" s="10">
        <v>206</v>
      </c>
      <c r="B721" s="10">
        <v>638</v>
      </c>
      <c r="C7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1" s="10"/>
      <c r="E721" s="10"/>
      <c r="F72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1" s="11"/>
      <c r="I721" s="10"/>
      <c r="J721" s="10"/>
      <c r="K721" s="10"/>
    </row>
    <row r="722" spans="1:11" x14ac:dyDescent="0.45">
      <c r="A722" s="10">
        <v>207</v>
      </c>
      <c r="B722" s="10">
        <v>363</v>
      </c>
      <c r="C7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2" s="10"/>
      <c r="E722" s="10"/>
      <c r="F72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2" s="11"/>
      <c r="I722" s="10"/>
      <c r="J722" s="10"/>
      <c r="K722" s="10"/>
    </row>
    <row r="723" spans="1:11" x14ac:dyDescent="0.45">
      <c r="A723" s="10">
        <v>206</v>
      </c>
      <c r="B723" s="10">
        <v>435</v>
      </c>
      <c r="C7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3" s="10"/>
      <c r="E723" s="10"/>
      <c r="F72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3" s="11"/>
      <c r="I723" s="10"/>
      <c r="J723" s="10"/>
      <c r="K723" s="10"/>
    </row>
    <row r="724" spans="1:11" x14ac:dyDescent="0.45">
      <c r="A724" s="10">
        <v>206</v>
      </c>
      <c r="B724" s="10">
        <v>530</v>
      </c>
      <c r="C7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4" s="10"/>
      <c r="E724" s="10"/>
      <c r="F72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4" s="11"/>
      <c r="I724" s="10"/>
      <c r="J724" s="10"/>
      <c r="K724" s="10"/>
    </row>
    <row r="725" spans="1:11" x14ac:dyDescent="0.45">
      <c r="A725" s="10">
        <v>206</v>
      </c>
      <c r="B725" s="10">
        <v>363</v>
      </c>
      <c r="C7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5" s="10"/>
      <c r="E725" s="10"/>
      <c r="F72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5" s="11"/>
      <c r="I725" s="10"/>
      <c r="J725" s="10"/>
      <c r="K725" s="10"/>
    </row>
    <row r="726" spans="1:11" x14ac:dyDescent="0.45">
      <c r="A726" s="10">
        <v>209</v>
      </c>
      <c r="B726" s="10">
        <v>334</v>
      </c>
      <c r="C7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6" s="10"/>
      <c r="E726" s="10"/>
      <c r="F72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6" s="11"/>
      <c r="I726" s="10"/>
      <c r="J726" s="10"/>
      <c r="K726" s="10"/>
    </row>
    <row r="727" spans="1:11" x14ac:dyDescent="0.45">
      <c r="A727" s="10">
        <v>209</v>
      </c>
      <c r="B727" s="10">
        <v>176</v>
      </c>
      <c r="C7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7" s="10"/>
      <c r="E727" s="10"/>
      <c r="F72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7" s="11"/>
      <c r="I727" s="10"/>
      <c r="J727" s="10"/>
      <c r="K727" s="10"/>
    </row>
    <row r="728" spans="1:11" x14ac:dyDescent="0.45">
      <c r="A728" s="10">
        <v>208</v>
      </c>
      <c r="B728" s="10">
        <v>176</v>
      </c>
      <c r="C7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8" s="10"/>
      <c r="E728" s="10"/>
      <c r="F72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8" s="11"/>
      <c r="I728" s="10"/>
      <c r="J728" s="10"/>
      <c r="K728" s="10"/>
    </row>
    <row r="729" spans="1:11" x14ac:dyDescent="0.45">
      <c r="A729" s="10">
        <v>208</v>
      </c>
      <c r="B729" s="10">
        <v>334</v>
      </c>
      <c r="C7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29" s="10"/>
      <c r="E729" s="10"/>
      <c r="F7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29" s="11"/>
      <c r="I729" s="10"/>
      <c r="J729" s="10"/>
      <c r="K729" s="10"/>
    </row>
    <row r="730" spans="1:11" x14ac:dyDescent="0.45">
      <c r="A730" s="10">
        <v>209</v>
      </c>
      <c r="B730" s="10">
        <v>18</v>
      </c>
      <c r="C7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0" s="10"/>
      <c r="E730" s="10"/>
      <c r="F73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0" s="11"/>
      <c r="I730" s="10"/>
      <c r="J730" s="10"/>
      <c r="K730" s="10"/>
    </row>
    <row r="731" spans="1:11" x14ac:dyDescent="0.45">
      <c r="A731" s="10">
        <v>209</v>
      </c>
      <c r="B731" s="10">
        <v>117</v>
      </c>
      <c r="C7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1" s="10"/>
      <c r="E731" s="10"/>
      <c r="F73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1" s="11"/>
      <c r="I731" s="10"/>
      <c r="J731" s="10"/>
      <c r="K731" s="10"/>
    </row>
    <row r="732" spans="1:11" x14ac:dyDescent="0.45">
      <c r="A732" s="10">
        <v>208</v>
      </c>
      <c r="B732" s="10">
        <v>117</v>
      </c>
      <c r="C7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2" s="10"/>
      <c r="E732" s="10"/>
      <c r="F73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2" s="11"/>
      <c r="I732" s="10"/>
      <c r="J732" s="10"/>
      <c r="K732" s="10"/>
    </row>
    <row r="733" spans="1:11" x14ac:dyDescent="0.45">
      <c r="A733" s="10">
        <v>208</v>
      </c>
      <c r="B733" s="10">
        <v>18</v>
      </c>
      <c r="C7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3" s="10"/>
      <c r="E733" s="10"/>
      <c r="F73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3" s="11"/>
      <c r="I733" s="10"/>
      <c r="J733" s="10"/>
      <c r="K733" s="10"/>
    </row>
    <row r="734" spans="1:11" x14ac:dyDescent="0.45">
      <c r="A734" s="10">
        <v>211</v>
      </c>
      <c r="B734" s="10">
        <v>584</v>
      </c>
      <c r="C7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4" s="10"/>
      <c r="E734" s="10"/>
      <c r="F73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4" s="11"/>
      <c r="I734" s="10"/>
      <c r="J734" s="10"/>
      <c r="K734" s="10"/>
    </row>
    <row r="735" spans="1:11" x14ac:dyDescent="0.45">
      <c r="A735" s="10">
        <v>210</v>
      </c>
      <c r="B735" s="10">
        <v>584</v>
      </c>
      <c r="C7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5" s="10"/>
      <c r="E735" s="10"/>
      <c r="F73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5" s="11"/>
      <c r="I735" s="10"/>
      <c r="J735" s="10"/>
      <c r="K735" s="10"/>
    </row>
    <row r="736" spans="1:11" x14ac:dyDescent="0.45">
      <c r="A736" s="10">
        <v>211</v>
      </c>
      <c r="B736" s="10">
        <v>683</v>
      </c>
      <c r="C7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6" s="10"/>
      <c r="E736" s="10"/>
      <c r="F73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6" s="11"/>
      <c r="I736" s="10"/>
      <c r="J736" s="10"/>
      <c r="K736" s="10"/>
    </row>
    <row r="737" spans="1:11" x14ac:dyDescent="0.45">
      <c r="A737" s="10">
        <v>210</v>
      </c>
      <c r="B737" s="10">
        <v>683</v>
      </c>
      <c r="C7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7" s="10"/>
      <c r="E737" s="10"/>
      <c r="F7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7" s="11"/>
      <c r="I737" s="10"/>
      <c r="J737" s="10"/>
      <c r="K737" s="10"/>
    </row>
    <row r="738" spans="1:11" x14ac:dyDescent="0.45">
      <c r="A738" s="10">
        <v>211</v>
      </c>
      <c r="B738" s="10">
        <v>486</v>
      </c>
      <c r="C7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8" s="10"/>
      <c r="E738" s="10"/>
      <c r="F73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8" s="11"/>
      <c r="I738" s="10"/>
      <c r="J738" s="10"/>
      <c r="K738" s="10"/>
    </row>
    <row r="739" spans="1:11" x14ac:dyDescent="0.45">
      <c r="A739" s="10">
        <v>210</v>
      </c>
      <c r="B739" s="10">
        <v>486</v>
      </c>
      <c r="C7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39" s="10"/>
      <c r="E739" s="10"/>
      <c r="F73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3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39" s="11"/>
      <c r="I739" s="10"/>
      <c r="J739" s="10"/>
      <c r="K739" s="10"/>
    </row>
    <row r="740" spans="1:11" x14ac:dyDescent="0.45">
      <c r="A740" s="10">
        <v>212</v>
      </c>
      <c r="B740" s="10">
        <v>45</v>
      </c>
      <c r="C7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0" s="10"/>
      <c r="E740" s="10"/>
      <c r="F74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0" s="11"/>
      <c r="I740" s="10"/>
      <c r="J740" s="10"/>
      <c r="K740" s="10"/>
    </row>
    <row r="741" spans="1:11" x14ac:dyDescent="0.45">
      <c r="A741" s="10">
        <v>213</v>
      </c>
      <c r="B741" s="10">
        <v>476</v>
      </c>
      <c r="C7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1" s="10"/>
      <c r="E741" s="10"/>
      <c r="F74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1" s="11"/>
      <c r="I741" s="10"/>
      <c r="J741" s="10"/>
      <c r="K741" s="10"/>
    </row>
    <row r="742" spans="1:11" x14ac:dyDescent="0.45">
      <c r="A742" s="10">
        <v>213</v>
      </c>
      <c r="B742" s="10">
        <v>45</v>
      </c>
      <c r="C7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2" s="10"/>
      <c r="E742" s="10"/>
      <c r="F74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2" s="11"/>
      <c r="I742" s="10"/>
      <c r="J742" s="10"/>
      <c r="K742" s="10"/>
    </row>
    <row r="743" spans="1:11" x14ac:dyDescent="0.45">
      <c r="A743" s="10">
        <v>212</v>
      </c>
      <c r="B743" s="10">
        <v>168</v>
      </c>
      <c r="C7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3" s="10"/>
      <c r="E743" s="10"/>
      <c r="F74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3" s="11"/>
      <c r="I743" s="10"/>
      <c r="J743" s="10"/>
      <c r="K743" s="10"/>
    </row>
    <row r="744" spans="1:11" x14ac:dyDescent="0.45">
      <c r="A744" s="10">
        <v>212</v>
      </c>
      <c r="B744" s="10">
        <v>476</v>
      </c>
      <c r="C7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4" s="10"/>
      <c r="E744" s="10"/>
      <c r="F74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4" s="11"/>
      <c r="I744" s="10"/>
      <c r="J744" s="10"/>
      <c r="K744" s="10"/>
    </row>
    <row r="745" spans="1:11" x14ac:dyDescent="0.45">
      <c r="A745" s="10">
        <v>213</v>
      </c>
      <c r="B745" s="10">
        <v>168</v>
      </c>
      <c r="C7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5" s="10"/>
      <c r="E745" s="10"/>
      <c r="F74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5" s="11"/>
      <c r="I745" s="10"/>
      <c r="J745" s="10"/>
      <c r="K745" s="10"/>
    </row>
    <row r="746" spans="1:11" x14ac:dyDescent="0.45">
      <c r="A746" s="10">
        <v>213</v>
      </c>
      <c r="B746" s="10">
        <v>684</v>
      </c>
      <c r="C7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6" s="10"/>
      <c r="E746" s="10"/>
      <c r="F74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6" s="11"/>
      <c r="I746" s="10"/>
      <c r="J746" s="10"/>
      <c r="K746" s="10"/>
    </row>
    <row r="747" spans="1:11" x14ac:dyDescent="0.45">
      <c r="A747" s="10">
        <v>212</v>
      </c>
      <c r="B747" s="10">
        <v>684</v>
      </c>
      <c r="C7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7" s="10"/>
      <c r="E747" s="10"/>
      <c r="F74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7" s="11"/>
      <c r="I747" s="10"/>
      <c r="J747" s="10"/>
      <c r="K747" s="10"/>
    </row>
    <row r="748" spans="1:11" x14ac:dyDescent="0.45">
      <c r="A748" s="10">
        <v>215</v>
      </c>
      <c r="B748" s="10">
        <v>23</v>
      </c>
      <c r="C7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8" s="10"/>
      <c r="E748" s="10"/>
      <c r="F74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8" s="11"/>
      <c r="I748" s="10"/>
      <c r="J748" s="10"/>
      <c r="K748" s="10"/>
    </row>
    <row r="749" spans="1:11" x14ac:dyDescent="0.45">
      <c r="A749" s="10">
        <v>214</v>
      </c>
      <c r="B749" s="10">
        <v>484</v>
      </c>
      <c r="C7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49" s="10"/>
      <c r="E749" s="10"/>
      <c r="F74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4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49" s="11"/>
      <c r="I749" s="10"/>
      <c r="J749" s="10"/>
      <c r="K749" s="10"/>
    </row>
    <row r="750" spans="1:11" x14ac:dyDescent="0.45">
      <c r="A750" s="10">
        <v>215</v>
      </c>
      <c r="B750" s="10">
        <v>343</v>
      </c>
      <c r="C7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0" s="10"/>
      <c r="E750" s="10"/>
      <c r="F75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0" s="11"/>
      <c r="I750" s="10"/>
      <c r="J750" s="10"/>
      <c r="K750" s="10"/>
    </row>
    <row r="751" spans="1:11" x14ac:dyDescent="0.45">
      <c r="A751" s="10">
        <v>215</v>
      </c>
      <c r="B751" s="10">
        <v>183</v>
      </c>
      <c r="C7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1" s="10"/>
      <c r="E751" s="10"/>
      <c r="F75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1" s="11"/>
      <c r="I751" s="10"/>
      <c r="J751" s="10"/>
      <c r="K751" s="10"/>
    </row>
    <row r="752" spans="1:11" x14ac:dyDescent="0.45">
      <c r="A752" s="10">
        <v>215</v>
      </c>
      <c r="B752" s="10">
        <v>484</v>
      </c>
      <c r="C7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2" s="10"/>
      <c r="E752" s="10"/>
      <c r="F75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2" s="11"/>
      <c r="I752" s="10"/>
      <c r="J752" s="10"/>
      <c r="K752" s="10"/>
    </row>
    <row r="753" spans="1:11" x14ac:dyDescent="0.45">
      <c r="A753" s="10">
        <v>214</v>
      </c>
      <c r="B753" s="10">
        <v>343</v>
      </c>
      <c r="C7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3" s="10"/>
      <c r="E753" s="10"/>
      <c r="F75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3" s="11"/>
      <c r="I753" s="10"/>
      <c r="J753" s="10"/>
      <c r="K753" s="10"/>
    </row>
    <row r="754" spans="1:11" x14ac:dyDescent="0.45">
      <c r="A754" s="10">
        <v>214</v>
      </c>
      <c r="B754" s="10">
        <v>23</v>
      </c>
      <c r="C7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4" s="10"/>
      <c r="E754" s="10"/>
      <c r="F75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4" s="11"/>
      <c r="I754" s="10"/>
      <c r="J754" s="10"/>
      <c r="K754" s="10"/>
    </row>
    <row r="755" spans="1:11" x14ac:dyDescent="0.45">
      <c r="A755" s="10">
        <v>214</v>
      </c>
      <c r="B755" s="10">
        <v>183</v>
      </c>
      <c r="C7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5" s="10"/>
      <c r="E755" s="10"/>
      <c r="F75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5" s="11"/>
      <c r="I755" s="10"/>
      <c r="J755" s="10"/>
      <c r="K755" s="10"/>
    </row>
    <row r="756" spans="1:11" x14ac:dyDescent="0.45">
      <c r="A756" s="10">
        <v>217</v>
      </c>
      <c r="B756" s="10">
        <v>293</v>
      </c>
      <c r="C7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6" s="10"/>
      <c r="E756" s="10"/>
      <c r="F75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6" s="11"/>
      <c r="I756" s="10"/>
      <c r="J756" s="10"/>
      <c r="K756" s="10"/>
    </row>
    <row r="757" spans="1:11" x14ac:dyDescent="0.45">
      <c r="A757" s="10">
        <v>217</v>
      </c>
      <c r="B757" s="10">
        <v>654</v>
      </c>
      <c r="C7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7" s="10"/>
      <c r="E757" s="10"/>
      <c r="F75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7" s="11"/>
      <c r="I757" s="10"/>
      <c r="J757" s="10"/>
      <c r="K757" s="10"/>
    </row>
    <row r="758" spans="1:11" x14ac:dyDescent="0.45">
      <c r="A758" s="10">
        <v>216</v>
      </c>
      <c r="B758" s="10">
        <v>654</v>
      </c>
      <c r="C7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8" s="10"/>
      <c r="E758" s="10"/>
      <c r="F75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8" s="11"/>
      <c r="I758" s="10"/>
      <c r="J758" s="10"/>
      <c r="K758" s="10"/>
    </row>
    <row r="759" spans="1:11" x14ac:dyDescent="0.45">
      <c r="A759" s="10">
        <v>217</v>
      </c>
      <c r="B759" s="10">
        <v>423</v>
      </c>
      <c r="C7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59" s="10"/>
      <c r="E759" s="10"/>
      <c r="F75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5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59" s="11"/>
      <c r="I759" s="10"/>
      <c r="J759" s="10"/>
      <c r="K759" s="10"/>
    </row>
    <row r="760" spans="1:11" x14ac:dyDescent="0.45">
      <c r="A760" s="10">
        <v>216</v>
      </c>
      <c r="B760" s="10">
        <v>675</v>
      </c>
      <c r="C7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0" s="10"/>
      <c r="E760" s="10"/>
      <c r="F76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0" s="11"/>
      <c r="I760" s="10"/>
      <c r="J760" s="10"/>
      <c r="K760" s="10"/>
    </row>
    <row r="761" spans="1:11" x14ac:dyDescent="0.45">
      <c r="A761" s="10">
        <v>216</v>
      </c>
      <c r="B761" s="10">
        <v>293</v>
      </c>
      <c r="C7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1" s="10"/>
      <c r="E761" s="10"/>
      <c r="F76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1" s="11"/>
      <c r="I761" s="10"/>
      <c r="J761" s="10"/>
      <c r="K761" s="10"/>
    </row>
    <row r="762" spans="1:11" x14ac:dyDescent="0.45">
      <c r="A762" s="10">
        <v>217</v>
      </c>
      <c r="B762" s="10">
        <v>675</v>
      </c>
      <c r="C7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2" s="10"/>
      <c r="E762" s="10"/>
      <c r="F76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2" s="11"/>
      <c r="I762" s="10"/>
      <c r="J762" s="10"/>
      <c r="K762" s="10"/>
    </row>
    <row r="763" spans="1:11" x14ac:dyDescent="0.45">
      <c r="A763" s="10">
        <v>216</v>
      </c>
      <c r="B763" s="10">
        <v>423</v>
      </c>
      <c r="C7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3" s="10"/>
      <c r="E763" s="10"/>
      <c r="F7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3" s="11"/>
      <c r="I763" s="10"/>
      <c r="J763" s="10"/>
      <c r="K763" s="10"/>
    </row>
    <row r="764" spans="1:11" x14ac:dyDescent="0.45">
      <c r="A764" s="10">
        <v>219</v>
      </c>
      <c r="B764" s="10">
        <v>74</v>
      </c>
      <c r="C7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4" s="10"/>
      <c r="E764" s="10"/>
      <c r="F76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4" s="11"/>
      <c r="I764" s="10"/>
      <c r="J764" s="10"/>
      <c r="K764" s="10"/>
    </row>
    <row r="765" spans="1:11" x14ac:dyDescent="0.45">
      <c r="A765" s="10">
        <v>218</v>
      </c>
      <c r="B765" s="10">
        <v>74</v>
      </c>
      <c r="C7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5" s="10"/>
      <c r="E765" s="10"/>
      <c r="F76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5" s="11"/>
      <c r="I765" s="10"/>
      <c r="J765" s="10"/>
      <c r="K765" s="10"/>
    </row>
    <row r="766" spans="1:11" x14ac:dyDescent="0.45">
      <c r="A766" s="10">
        <v>218</v>
      </c>
      <c r="B766" s="10">
        <v>475</v>
      </c>
      <c r="C7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6" s="10"/>
      <c r="E766" s="10"/>
      <c r="F76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6" s="11"/>
      <c r="I766" s="10"/>
      <c r="J766" s="10"/>
      <c r="K766" s="10"/>
    </row>
    <row r="767" spans="1:11" x14ac:dyDescent="0.45">
      <c r="A767" s="10">
        <v>219</v>
      </c>
      <c r="B767" s="10">
        <v>475</v>
      </c>
      <c r="C7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7" s="10"/>
      <c r="E767" s="10"/>
      <c r="F76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7" s="11"/>
      <c r="I767" s="10"/>
      <c r="J767" s="10"/>
      <c r="K767" s="10"/>
    </row>
    <row r="768" spans="1:11" x14ac:dyDescent="0.45">
      <c r="A768" s="10">
        <v>220</v>
      </c>
      <c r="B768" s="10">
        <v>611</v>
      </c>
      <c r="C7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8" s="10"/>
      <c r="E768" s="10"/>
      <c r="F76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8" s="11"/>
      <c r="I768" s="10"/>
      <c r="J768" s="10"/>
      <c r="K768" s="10"/>
    </row>
    <row r="769" spans="1:11" x14ac:dyDescent="0.45">
      <c r="A769" s="10">
        <v>221</v>
      </c>
      <c r="B769" s="10">
        <v>199</v>
      </c>
      <c r="C7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69" s="10"/>
      <c r="E769" s="10"/>
      <c r="F76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6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69" s="11"/>
      <c r="I769" s="10"/>
      <c r="J769" s="10"/>
      <c r="K769" s="10"/>
    </row>
    <row r="770" spans="1:11" x14ac:dyDescent="0.45">
      <c r="A770" s="10">
        <v>221</v>
      </c>
      <c r="B770" s="10">
        <v>120</v>
      </c>
      <c r="C7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0" s="10"/>
      <c r="E770" s="10"/>
      <c r="F77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0" s="11"/>
      <c r="I770" s="10"/>
      <c r="J770" s="10"/>
      <c r="K770" s="10"/>
    </row>
    <row r="771" spans="1:11" x14ac:dyDescent="0.45">
      <c r="A771" s="10">
        <v>221</v>
      </c>
      <c r="B771" s="10">
        <v>258</v>
      </c>
      <c r="C7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1" s="10"/>
      <c r="E771" s="10"/>
      <c r="F77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1" s="11"/>
      <c r="I771" s="10"/>
      <c r="J771" s="10"/>
      <c r="K771" s="10"/>
    </row>
    <row r="772" spans="1:11" x14ac:dyDescent="0.45">
      <c r="A772" s="10">
        <v>221</v>
      </c>
      <c r="B772" s="10">
        <v>611</v>
      </c>
      <c r="C7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2" s="10"/>
      <c r="E772" s="10"/>
      <c r="F7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2" s="11"/>
      <c r="I772" s="10"/>
      <c r="J772" s="10"/>
      <c r="K772" s="10"/>
    </row>
    <row r="773" spans="1:11" x14ac:dyDescent="0.45">
      <c r="A773" s="10">
        <v>220</v>
      </c>
      <c r="B773" s="10">
        <v>258</v>
      </c>
      <c r="C7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3" s="10"/>
      <c r="E773" s="10"/>
      <c r="F7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3" s="11"/>
      <c r="I773" s="10"/>
      <c r="J773" s="10"/>
      <c r="K773" s="10"/>
    </row>
    <row r="774" spans="1:11" x14ac:dyDescent="0.45">
      <c r="A774" s="10">
        <v>221</v>
      </c>
      <c r="B774" s="10">
        <v>105</v>
      </c>
      <c r="C7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4" s="10"/>
      <c r="E774" s="10"/>
      <c r="F77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4" s="11"/>
      <c r="I774" s="10"/>
      <c r="J774" s="10"/>
      <c r="K774" s="10"/>
    </row>
    <row r="775" spans="1:11" x14ac:dyDescent="0.45">
      <c r="A775" s="10">
        <v>220</v>
      </c>
      <c r="B775" s="10">
        <v>105</v>
      </c>
      <c r="C7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5" s="10"/>
      <c r="E775" s="10"/>
      <c r="F77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5" s="11"/>
      <c r="I775" s="10"/>
      <c r="J775" s="10"/>
      <c r="K775" s="10"/>
    </row>
    <row r="776" spans="1:11" x14ac:dyDescent="0.45">
      <c r="A776" s="10">
        <v>220</v>
      </c>
      <c r="B776" s="10">
        <v>120</v>
      </c>
      <c r="C7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6" s="10"/>
      <c r="E776" s="10"/>
      <c r="F77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6" s="11"/>
      <c r="I776" s="10"/>
      <c r="J776" s="10"/>
      <c r="K776" s="10"/>
    </row>
    <row r="777" spans="1:11" x14ac:dyDescent="0.45">
      <c r="A777" s="10">
        <v>220</v>
      </c>
      <c r="B777" s="10">
        <v>199</v>
      </c>
      <c r="C7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7" s="10"/>
      <c r="E777" s="10"/>
      <c r="F77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7" s="11"/>
      <c r="I777" s="10"/>
      <c r="J777" s="10"/>
      <c r="K777" s="10"/>
    </row>
    <row r="778" spans="1:11" x14ac:dyDescent="0.45">
      <c r="A778" s="10">
        <v>223</v>
      </c>
      <c r="B778" s="10">
        <v>462</v>
      </c>
      <c r="C7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8" s="10"/>
      <c r="E778" s="10"/>
      <c r="F77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8" s="11"/>
      <c r="I778" s="10"/>
      <c r="J778" s="10"/>
      <c r="K778" s="10"/>
    </row>
    <row r="779" spans="1:11" x14ac:dyDescent="0.45">
      <c r="A779" s="10">
        <v>222</v>
      </c>
      <c r="B779" s="10">
        <v>462</v>
      </c>
      <c r="C7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79" s="10"/>
      <c r="E779" s="10"/>
      <c r="F77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7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79" s="11"/>
      <c r="I779" s="10"/>
      <c r="J779" s="10"/>
      <c r="K779" s="10"/>
    </row>
    <row r="780" spans="1:11" x14ac:dyDescent="0.45">
      <c r="A780" s="10">
        <v>222</v>
      </c>
      <c r="B780" s="10">
        <v>207</v>
      </c>
      <c r="C7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0" s="10"/>
      <c r="E780" s="10"/>
      <c r="F78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0" s="11"/>
      <c r="I780" s="10"/>
      <c r="J780" s="10"/>
      <c r="K780" s="10"/>
    </row>
    <row r="781" spans="1:11" x14ac:dyDescent="0.45">
      <c r="A781" s="10">
        <v>223</v>
      </c>
      <c r="B781" s="10">
        <v>207</v>
      </c>
      <c r="C7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1" s="10"/>
      <c r="E781" s="10"/>
      <c r="F78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1" s="11"/>
      <c r="I781" s="10"/>
      <c r="J781" s="10"/>
      <c r="K781" s="10"/>
    </row>
    <row r="782" spans="1:11" x14ac:dyDescent="0.45">
      <c r="A782" s="10">
        <v>225</v>
      </c>
      <c r="B782" s="10">
        <v>127</v>
      </c>
      <c r="C7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2" s="10"/>
      <c r="E782" s="10"/>
      <c r="F78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2" s="11"/>
      <c r="I782" s="10"/>
      <c r="J782" s="10"/>
      <c r="K782" s="10"/>
    </row>
    <row r="783" spans="1:11" x14ac:dyDescent="0.45">
      <c r="A783" s="10">
        <v>224</v>
      </c>
      <c r="B783" s="10">
        <v>215</v>
      </c>
      <c r="C7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3" s="10"/>
      <c r="E783" s="10"/>
      <c r="F78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3" s="11"/>
      <c r="I783" s="10"/>
      <c r="J783" s="10"/>
      <c r="K783" s="10"/>
    </row>
    <row r="784" spans="1:11" x14ac:dyDescent="0.45">
      <c r="A784" s="10">
        <v>225</v>
      </c>
      <c r="B784" s="10">
        <v>215</v>
      </c>
      <c r="C7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4" s="10"/>
      <c r="E784" s="10"/>
      <c r="F78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4" s="11"/>
      <c r="I784" s="10"/>
      <c r="J784" s="10"/>
      <c r="K784" s="10"/>
    </row>
    <row r="785" spans="1:11" x14ac:dyDescent="0.45">
      <c r="A785" s="10">
        <v>225</v>
      </c>
      <c r="B785" s="10">
        <v>661</v>
      </c>
      <c r="C7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5" s="10"/>
      <c r="E785" s="10"/>
      <c r="F78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5" s="11"/>
      <c r="I785" s="10"/>
      <c r="J785" s="10"/>
      <c r="K785" s="10"/>
    </row>
    <row r="786" spans="1:11" x14ac:dyDescent="0.45">
      <c r="A786" s="10">
        <v>224</v>
      </c>
      <c r="B786" s="10">
        <v>661</v>
      </c>
      <c r="C7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6" s="10"/>
      <c r="E786" s="10"/>
      <c r="F78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6" s="11"/>
      <c r="I786" s="10"/>
      <c r="J786" s="10"/>
      <c r="K786" s="10"/>
    </row>
    <row r="787" spans="1:11" x14ac:dyDescent="0.45">
      <c r="A787" s="10">
        <v>224</v>
      </c>
      <c r="B787" s="10">
        <v>127</v>
      </c>
      <c r="C7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7" s="10"/>
      <c r="E787" s="10"/>
      <c r="F78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7" s="11"/>
      <c r="I787" s="10"/>
      <c r="J787" s="10"/>
      <c r="K787" s="10"/>
    </row>
    <row r="788" spans="1:11" x14ac:dyDescent="0.45">
      <c r="A788" s="10">
        <v>227</v>
      </c>
      <c r="B788" s="10">
        <v>89</v>
      </c>
      <c r="C7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8" s="10"/>
      <c r="E788" s="10"/>
      <c r="F78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8" s="11"/>
      <c r="I788" s="10"/>
      <c r="J788" s="10"/>
      <c r="K788" s="10"/>
    </row>
    <row r="789" spans="1:11" x14ac:dyDescent="0.45">
      <c r="A789" s="10">
        <v>227</v>
      </c>
      <c r="B789" s="10">
        <v>187</v>
      </c>
      <c r="C7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89" s="10"/>
      <c r="E789" s="10"/>
      <c r="F78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8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89" s="11"/>
      <c r="I789" s="10"/>
      <c r="J789" s="10"/>
      <c r="K789" s="10"/>
    </row>
    <row r="790" spans="1:11" x14ac:dyDescent="0.45">
      <c r="A790" s="10">
        <v>226</v>
      </c>
      <c r="B790" s="10">
        <v>261</v>
      </c>
      <c r="C7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0" s="10"/>
      <c r="E790" s="10"/>
      <c r="F79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0" s="11"/>
      <c r="I790" s="10"/>
      <c r="J790" s="10"/>
      <c r="K790" s="10"/>
    </row>
    <row r="791" spans="1:11" x14ac:dyDescent="0.45">
      <c r="A791" s="10">
        <v>226</v>
      </c>
      <c r="B791" s="10">
        <v>187</v>
      </c>
      <c r="C7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1" s="10"/>
      <c r="E791" s="10"/>
      <c r="F79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1" s="11"/>
      <c r="I791" s="10"/>
      <c r="J791" s="10"/>
      <c r="K791" s="10"/>
    </row>
    <row r="792" spans="1:11" x14ac:dyDescent="0.45">
      <c r="A792" s="10">
        <v>226</v>
      </c>
      <c r="B792" s="10">
        <v>89</v>
      </c>
      <c r="C7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2" s="10"/>
      <c r="E792" s="10"/>
      <c r="F79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2" s="11"/>
      <c r="I792" s="10"/>
      <c r="J792" s="10"/>
      <c r="K792" s="10"/>
    </row>
    <row r="793" spans="1:11" x14ac:dyDescent="0.45">
      <c r="A793" s="10">
        <v>227</v>
      </c>
      <c r="B793" s="10">
        <v>261</v>
      </c>
      <c r="C7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3" s="10"/>
      <c r="E793" s="10"/>
      <c r="F79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3" s="11"/>
      <c r="I793" s="10"/>
      <c r="J793" s="10"/>
      <c r="K793" s="10"/>
    </row>
    <row r="794" spans="1:11" x14ac:dyDescent="0.45">
      <c r="A794" s="10">
        <v>226</v>
      </c>
      <c r="B794" s="10">
        <v>361</v>
      </c>
      <c r="C7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4" s="10"/>
      <c r="E794" s="10"/>
      <c r="F79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4" s="11"/>
      <c r="I794" s="10"/>
      <c r="J794" s="10"/>
      <c r="K794" s="10"/>
    </row>
    <row r="795" spans="1:11" x14ac:dyDescent="0.45">
      <c r="A795" s="10">
        <v>227</v>
      </c>
      <c r="B795" s="10">
        <v>361</v>
      </c>
      <c r="C7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5" s="10"/>
      <c r="E795" s="10"/>
      <c r="F79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5" s="11"/>
      <c r="I795" s="10"/>
      <c r="J795" s="10"/>
      <c r="K795" s="10"/>
    </row>
    <row r="796" spans="1:11" x14ac:dyDescent="0.45">
      <c r="A796" s="10">
        <v>226</v>
      </c>
      <c r="B796" s="10">
        <v>402</v>
      </c>
      <c r="C7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6" s="10"/>
      <c r="E796" s="10"/>
      <c r="F79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6" s="11"/>
      <c r="I796" s="10"/>
      <c r="J796" s="10"/>
      <c r="K796" s="10"/>
    </row>
    <row r="797" spans="1:11" x14ac:dyDescent="0.45">
      <c r="A797" s="10">
        <v>227</v>
      </c>
      <c r="B797" s="10">
        <v>402</v>
      </c>
      <c r="C7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7" s="10"/>
      <c r="E797" s="10"/>
      <c r="F79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7" s="11"/>
      <c r="I797" s="10"/>
      <c r="J797" s="10"/>
      <c r="K797" s="10"/>
    </row>
    <row r="798" spans="1:11" x14ac:dyDescent="0.45">
      <c r="A798" s="10">
        <v>229</v>
      </c>
      <c r="B798" s="10">
        <v>535</v>
      </c>
      <c r="C7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8" s="10"/>
      <c r="E798" s="10"/>
      <c r="F79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8" s="11"/>
      <c r="I798" s="10"/>
      <c r="J798" s="10"/>
      <c r="K798" s="10"/>
    </row>
    <row r="799" spans="1:11" x14ac:dyDescent="0.45">
      <c r="A799" s="10">
        <v>228</v>
      </c>
      <c r="B799" s="10">
        <v>535</v>
      </c>
      <c r="C7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799" s="10"/>
      <c r="E799" s="10"/>
      <c r="F79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79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799" s="11"/>
      <c r="I799" s="10"/>
      <c r="J799" s="10"/>
      <c r="K799" s="10"/>
    </row>
    <row r="800" spans="1:11" x14ac:dyDescent="0.45">
      <c r="A800" s="10">
        <v>229</v>
      </c>
      <c r="B800" s="10">
        <v>306</v>
      </c>
      <c r="C8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0" s="10"/>
      <c r="E800" s="10"/>
      <c r="F8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0" s="11"/>
      <c r="I800" s="10"/>
      <c r="J800" s="10"/>
      <c r="K800" s="10"/>
    </row>
    <row r="801" spans="1:11" x14ac:dyDescent="0.45">
      <c r="A801" s="10">
        <v>228</v>
      </c>
      <c r="B801" s="10">
        <v>138</v>
      </c>
      <c r="C8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1" s="10"/>
      <c r="E801" s="10"/>
      <c r="F80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1" s="11"/>
      <c r="I801" s="10"/>
      <c r="J801" s="10"/>
      <c r="K801" s="10"/>
    </row>
    <row r="802" spans="1:11" x14ac:dyDescent="0.45">
      <c r="A802" s="10">
        <v>229</v>
      </c>
      <c r="B802" s="10">
        <v>138</v>
      </c>
      <c r="C8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2" s="10"/>
      <c r="E802" s="10"/>
      <c r="F80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2" s="11"/>
      <c r="I802" s="10"/>
      <c r="J802" s="10"/>
      <c r="K802" s="10"/>
    </row>
    <row r="803" spans="1:11" x14ac:dyDescent="0.45">
      <c r="A803" s="10">
        <v>228</v>
      </c>
      <c r="B803" s="10">
        <v>306</v>
      </c>
      <c r="C8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3" s="10"/>
      <c r="E803" s="10"/>
      <c r="F8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3" s="11"/>
      <c r="I803" s="10"/>
      <c r="J803" s="10"/>
      <c r="K803" s="10"/>
    </row>
    <row r="804" spans="1:11" x14ac:dyDescent="0.45">
      <c r="A804" s="10">
        <v>230</v>
      </c>
      <c r="B804" s="10">
        <v>289</v>
      </c>
      <c r="C8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4" s="10"/>
      <c r="E804" s="10"/>
      <c r="F80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4" s="11"/>
      <c r="I804" s="10"/>
      <c r="J804" s="10"/>
      <c r="K804" s="10"/>
    </row>
    <row r="805" spans="1:11" x14ac:dyDescent="0.45">
      <c r="A805" s="10">
        <v>230</v>
      </c>
      <c r="B805" s="10">
        <v>308</v>
      </c>
      <c r="C8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5" s="10"/>
      <c r="E805" s="10"/>
      <c r="F80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5" s="11"/>
      <c r="I805" s="10"/>
      <c r="J805" s="10"/>
      <c r="K805" s="10"/>
    </row>
    <row r="806" spans="1:11" x14ac:dyDescent="0.45">
      <c r="A806" s="10">
        <v>230</v>
      </c>
      <c r="B806" s="10">
        <v>128</v>
      </c>
      <c r="C8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6" s="10"/>
      <c r="E806" s="10"/>
      <c r="F80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6" s="11"/>
      <c r="I806" s="10"/>
      <c r="J806" s="10"/>
      <c r="K806" s="10"/>
    </row>
    <row r="807" spans="1:11" x14ac:dyDescent="0.45">
      <c r="A807" s="10">
        <v>231</v>
      </c>
      <c r="B807" s="10">
        <v>289</v>
      </c>
      <c r="C8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7" s="10"/>
      <c r="E807" s="10"/>
      <c r="F80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7" s="11"/>
      <c r="I807" s="10"/>
      <c r="J807" s="10"/>
      <c r="K807" s="10"/>
    </row>
    <row r="808" spans="1:11" x14ac:dyDescent="0.45">
      <c r="A808" s="10">
        <v>231</v>
      </c>
      <c r="B808" s="10">
        <v>308</v>
      </c>
      <c r="C8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8" s="10"/>
      <c r="E808" s="10"/>
      <c r="F80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8" s="11"/>
      <c r="I808" s="10"/>
      <c r="J808" s="10"/>
      <c r="K808" s="10"/>
    </row>
    <row r="809" spans="1:11" x14ac:dyDescent="0.45">
      <c r="A809" s="10">
        <v>231</v>
      </c>
      <c r="B809" s="10">
        <v>128</v>
      </c>
      <c r="C8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09" s="10"/>
      <c r="E809" s="10"/>
      <c r="F80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0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09" s="11"/>
      <c r="I809" s="10"/>
      <c r="J809" s="10"/>
      <c r="K809" s="10"/>
    </row>
    <row r="810" spans="1:11" x14ac:dyDescent="0.45">
      <c r="A810" s="10">
        <v>232</v>
      </c>
      <c r="B810" s="10">
        <v>242</v>
      </c>
      <c r="C8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0" s="10"/>
      <c r="E810" s="10"/>
      <c r="F81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0" s="11"/>
      <c r="I810" s="10"/>
      <c r="J810" s="10"/>
      <c r="K810" s="10"/>
    </row>
    <row r="811" spans="1:11" x14ac:dyDescent="0.45">
      <c r="A811" s="10">
        <v>232</v>
      </c>
      <c r="B811" s="10">
        <v>57</v>
      </c>
      <c r="C8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1" s="10"/>
      <c r="E811" s="10"/>
      <c r="F81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1" s="11"/>
      <c r="I811" s="10"/>
      <c r="J811" s="10"/>
      <c r="K811" s="10"/>
    </row>
    <row r="812" spans="1:11" x14ac:dyDescent="0.45">
      <c r="A812" s="10">
        <v>233</v>
      </c>
      <c r="B812" s="10">
        <v>19</v>
      </c>
      <c r="C8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2" s="10"/>
      <c r="E812" s="10"/>
      <c r="F81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2" s="11"/>
      <c r="I812" s="10"/>
      <c r="J812" s="10"/>
      <c r="K812" s="10"/>
    </row>
    <row r="813" spans="1:11" x14ac:dyDescent="0.45">
      <c r="A813" s="10">
        <v>233</v>
      </c>
      <c r="B813" s="10">
        <v>57</v>
      </c>
      <c r="C8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3" s="10"/>
      <c r="E813" s="10"/>
      <c r="F81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3" s="11"/>
      <c r="I813" s="10"/>
      <c r="J813" s="10"/>
      <c r="K813" s="10"/>
    </row>
    <row r="814" spans="1:11" x14ac:dyDescent="0.45">
      <c r="A814" s="10">
        <v>233</v>
      </c>
      <c r="B814" s="10">
        <v>242</v>
      </c>
      <c r="C8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4" s="10"/>
      <c r="E814" s="10"/>
      <c r="F81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4" s="11"/>
      <c r="I814" s="10"/>
      <c r="J814" s="10"/>
      <c r="K814" s="10"/>
    </row>
    <row r="815" spans="1:11" x14ac:dyDescent="0.45">
      <c r="A815" s="10">
        <v>233</v>
      </c>
      <c r="B815" s="10">
        <v>49</v>
      </c>
      <c r="C8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5" s="10"/>
      <c r="E815" s="10"/>
      <c r="F81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5" s="11"/>
      <c r="I815" s="10"/>
      <c r="J815" s="10"/>
      <c r="K815" s="10"/>
    </row>
    <row r="816" spans="1:11" x14ac:dyDescent="0.45">
      <c r="A816" s="10">
        <v>232</v>
      </c>
      <c r="B816" s="10">
        <v>49</v>
      </c>
      <c r="C8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6" s="10"/>
      <c r="E816" s="10"/>
      <c r="F81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6" s="11"/>
      <c r="I816" s="10"/>
      <c r="J816" s="10"/>
      <c r="K816" s="10"/>
    </row>
    <row r="817" spans="1:11" x14ac:dyDescent="0.45">
      <c r="A817" s="10">
        <v>232</v>
      </c>
      <c r="B817" s="10">
        <v>629</v>
      </c>
      <c r="C8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7" s="10"/>
      <c r="E817" s="10"/>
      <c r="F81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7" s="11"/>
      <c r="I817" s="10"/>
      <c r="J817" s="10"/>
      <c r="K817" s="10"/>
    </row>
    <row r="818" spans="1:11" x14ac:dyDescent="0.45">
      <c r="A818" s="10">
        <v>233</v>
      </c>
      <c r="B818" s="10">
        <v>629</v>
      </c>
      <c r="C8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8" s="10"/>
      <c r="E818" s="10"/>
      <c r="F81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8" s="11"/>
      <c r="I818" s="10"/>
      <c r="J818" s="10"/>
      <c r="K818" s="10"/>
    </row>
    <row r="819" spans="1:11" x14ac:dyDescent="0.45">
      <c r="A819" s="10">
        <v>232</v>
      </c>
      <c r="B819" s="10">
        <v>19</v>
      </c>
      <c r="C8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19" s="10"/>
      <c r="E819" s="10"/>
      <c r="F81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1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19" s="11"/>
      <c r="I819" s="10"/>
      <c r="J819" s="10"/>
      <c r="K819" s="10"/>
    </row>
    <row r="820" spans="1:11" x14ac:dyDescent="0.45">
      <c r="A820" s="10">
        <v>234</v>
      </c>
      <c r="B820" s="10">
        <v>320</v>
      </c>
      <c r="C8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0" s="10"/>
      <c r="E820" s="10"/>
      <c r="F82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0" s="11"/>
      <c r="I820" s="10"/>
      <c r="J820" s="10"/>
      <c r="K820" s="10"/>
    </row>
    <row r="821" spans="1:11" x14ac:dyDescent="0.45">
      <c r="A821" s="10">
        <v>235</v>
      </c>
      <c r="B821" s="10">
        <v>292</v>
      </c>
      <c r="C8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1" s="10"/>
      <c r="E821" s="10"/>
      <c r="F82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1" s="11"/>
      <c r="I821" s="10"/>
      <c r="J821" s="10"/>
      <c r="K821" s="10"/>
    </row>
    <row r="822" spans="1:11" x14ac:dyDescent="0.45">
      <c r="A822" s="10">
        <v>234</v>
      </c>
      <c r="B822" s="10">
        <v>292</v>
      </c>
      <c r="C8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2" s="10"/>
      <c r="E822" s="10"/>
      <c r="F82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2" s="11"/>
      <c r="I822" s="10"/>
      <c r="J822" s="10"/>
      <c r="K822" s="10"/>
    </row>
    <row r="823" spans="1:11" x14ac:dyDescent="0.45">
      <c r="A823" s="10">
        <v>235</v>
      </c>
      <c r="B823" s="10">
        <v>320</v>
      </c>
      <c r="C8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3" s="10"/>
      <c r="E823" s="10"/>
      <c r="F82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3" s="11"/>
      <c r="I823" s="10"/>
      <c r="J823" s="10"/>
      <c r="K823" s="10"/>
    </row>
    <row r="824" spans="1:11" x14ac:dyDescent="0.45">
      <c r="A824" s="10">
        <v>237</v>
      </c>
      <c r="B824" s="10">
        <v>39</v>
      </c>
      <c r="C8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4" s="10"/>
      <c r="E824" s="10"/>
      <c r="F82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4" s="11"/>
      <c r="I824" s="10"/>
      <c r="J824" s="10"/>
      <c r="K824" s="10"/>
    </row>
    <row r="825" spans="1:11" x14ac:dyDescent="0.45">
      <c r="A825" s="10">
        <v>237</v>
      </c>
      <c r="B825" s="10">
        <v>102</v>
      </c>
      <c r="C8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5" s="10"/>
      <c r="E825" s="10"/>
      <c r="F82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5" s="11"/>
      <c r="I825" s="10"/>
      <c r="J825" s="10"/>
      <c r="K825" s="10"/>
    </row>
    <row r="826" spans="1:11" x14ac:dyDescent="0.45">
      <c r="A826" s="10">
        <v>237</v>
      </c>
      <c r="B826" s="10">
        <v>301</v>
      </c>
      <c r="C8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6" s="10"/>
      <c r="E826" s="10"/>
      <c r="F82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6" s="11"/>
      <c r="I826" s="10"/>
      <c r="J826" s="10"/>
      <c r="K826" s="10"/>
    </row>
    <row r="827" spans="1:11" x14ac:dyDescent="0.45">
      <c r="A827" s="10">
        <v>237</v>
      </c>
      <c r="B827" s="10">
        <v>177</v>
      </c>
      <c r="C8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7" s="10"/>
      <c r="E827" s="10"/>
      <c r="F82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7" s="11"/>
      <c r="I827" s="10"/>
      <c r="J827" s="10"/>
      <c r="K827" s="10"/>
    </row>
    <row r="828" spans="1:11" x14ac:dyDescent="0.45">
      <c r="A828" s="10">
        <v>236</v>
      </c>
      <c r="B828" s="10">
        <v>177</v>
      </c>
      <c r="C8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8" s="10"/>
      <c r="E828" s="10"/>
      <c r="F82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8" s="11"/>
      <c r="I828" s="10"/>
      <c r="J828" s="10"/>
      <c r="K828" s="10"/>
    </row>
    <row r="829" spans="1:11" x14ac:dyDescent="0.45">
      <c r="A829" s="10">
        <v>236</v>
      </c>
      <c r="B829" s="10">
        <v>102</v>
      </c>
      <c r="C8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29" s="10"/>
      <c r="E829" s="10"/>
      <c r="F8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29" s="11"/>
      <c r="I829" s="10"/>
      <c r="J829" s="10"/>
      <c r="K829" s="10"/>
    </row>
    <row r="830" spans="1:11" x14ac:dyDescent="0.45">
      <c r="A830" s="10">
        <v>236</v>
      </c>
      <c r="B830" s="10">
        <v>39</v>
      </c>
      <c r="C8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0" s="10"/>
      <c r="E830" s="10"/>
      <c r="F83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0" s="11"/>
      <c r="I830" s="10"/>
      <c r="J830" s="10"/>
      <c r="K830" s="10"/>
    </row>
    <row r="831" spans="1:11" x14ac:dyDescent="0.45">
      <c r="A831" s="10">
        <v>236</v>
      </c>
      <c r="B831" s="10">
        <v>301</v>
      </c>
      <c r="C8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1" s="10"/>
      <c r="E831" s="10"/>
      <c r="F83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1" s="11"/>
      <c r="I831" s="10"/>
      <c r="J831" s="10"/>
      <c r="K831" s="10"/>
    </row>
    <row r="832" spans="1:11" x14ac:dyDescent="0.45">
      <c r="A832" s="10">
        <v>239</v>
      </c>
      <c r="B832" s="10">
        <v>91</v>
      </c>
      <c r="C8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2" s="10"/>
      <c r="E832" s="10"/>
      <c r="F83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2" s="11"/>
      <c r="I832" s="10"/>
      <c r="J832" s="10"/>
      <c r="K832" s="10"/>
    </row>
    <row r="833" spans="1:11" x14ac:dyDescent="0.45">
      <c r="A833" s="10">
        <v>238</v>
      </c>
      <c r="B833" s="10">
        <v>91</v>
      </c>
      <c r="C8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3" s="10"/>
      <c r="E833" s="10"/>
      <c r="F83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3" s="11"/>
      <c r="I833" s="10"/>
      <c r="J833" s="10"/>
      <c r="K833" s="10"/>
    </row>
    <row r="834" spans="1:11" x14ac:dyDescent="0.45">
      <c r="A834" s="10">
        <v>238</v>
      </c>
      <c r="B834" s="10">
        <v>159</v>
      </c>
      <c r="C8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4" s="10"/>
      <c r="E834" s="10"/>
      <c r="F83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4" s="11"/>
      <c r="I834" s="10"/>
      <c r="J834" s="10"/>
      <c r="K834" s="10"/>
    </row>
    <row r="835" spans="1:11" x14ac:dyDescent="0.45">
      <c r="A835" s="10">
        <v>239</v>
      </c>
      <c r="B835" s="10">
        <v>159</v>
      </c>
      <c r="C8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5" s="10"/>
      <c r="E835" s="10"/>
      <c r="F83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5" s="11"/>
      <c r="I835" s="10"/>
      <c r="J835" s="10"/>
      <c r="K835" s="10"/>
    </row>
    <row r="836" spans="1:11" x14ac:dyDescent="0.45">
      <c r="A836" s="10">
        <v>238</v>
      </c>
      <c r="B836" s="10">
        <v>78</v>
      </c>
      <c r="C8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6" s="10"/>
      <c r="E836" s="10"/>
      <c r="F83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6" s="11"/>
      <c r="I836" s="10"/>
      <c r="J836" s="10"/>
      <c r="K836" s="10"/>
    </row>
    <row r="837" spans="1:11" x14ac:dyDescent="0.45">
      <c r="A837" s="10">
        <v>238</v>
      </c>
      <c r="B837" s="10">
        <v>122</v>
      </c>
      <c r="C8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7" s="10"/>
      <c r="E837" s="10"/>
      <c r="F8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7" s="11"/>
      <c r="I837" s="10"/>
      <c r="J837" s="10"/>
      <c r="K837" s="10"/>
    </row>
    <row r="838" spans="1:11" x14ac:dyDescent="0.45">
      <c r="A838" s="10">
        <v>239</v>
      </c>
      <c r="B838" s="10">
        <v>78</v>
      </c>
      <c r="C8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8" s="10"/>
      <c r="E838" s="10"/>
      <c r="F83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8" s="11"/>
      <c r="I838" s="10"/>
      <c r="J838" s="10"/>
      <c r="K838" s="10"/>
    </row>
    <row r="839" spans="1:11" x14ac:dyDescent="0.45">
      <c r="A839" s="10">
        <v>239</v>
      </c>
      <c r="B839" s="10">
        <v>122</v>
      </c>
      <c r="C8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39" s="10"/>
      <c r="E839" s="10"/>
      <c r="F83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3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39" s="11"/>
      <c r="I839" s="10"/>
      <c r="J839" s="10"/>
      <c r="K839" s="10"/>
    </row>
    <row r="840" spans="1:11" x14ac:dyDescent="0.45">
      <c r="A840" s="10">
        <v>240</v>
      </c>
      <c r="B840" s="10">
        <v>158</v>
      </c>
      <c r="C8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0" s="10"/>
      <c r="E840" s="10"/>
      <c r="F84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0" s="11"/>
      <c r="I840" s="10"/>
      <c r="J840" s="10"/>
      <c r="K840" s="10"/>
    </row>
    <row r="841" spans="1:11" x14ac:dyDescent="0.45">
      <c r="A841" s="10">
        <v>240</v>
      </c>
      <c r="B841" s="10">
        <v>95</v>
      </c>
      <c r="C8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1" s="10"/>
      <c r="E841" s="10"/>
      <c r="F84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1" s="11"/>
      <c r="I841" s="10"/>
      <c r="J841" s="10"/>
      <c r="K841" s="10"/>
    </row>
    <row r="842" spans="1:11" x14ac:dyDescent="0.45">
      <c r="A842" s="10">
        <v>241</v>
      </c>
      <c r="B842" s="10">
        <v>95</v>
      </c>
      <c r="C8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2" s="10"/>
      <c r="E842" s="10"/>
      <c r="F84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2" s="11"/>
      <c r="I842" s="10"/>
      <c r="J842" s="10"/>
      <c r="K842" s="10"/>
    </row>
    <row r="843" spans="1:11" x14ac:dyDescent="0.45">
      <c r="A843" s="10">
        <v>241</v>
      </c>
      <c r="B843" s="10">
        <v>158</v>
      </c>
      <c r="C8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3" s="10"/>
      <c r="E843" s="10"/>
      <c r="F84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3" s="11"/>
      <c r="I843" s="10"/>
      <c r="J843" s="10"/>
      <c r="K843" s="10"/>
    </row>
    <row r="844" spans="1:11" x14ac:dyDescent="0.45">
      <c r="A844" s="10">
        <v>240</v>
      </c>
      <c r="B844" s="10">
        <v>564</v>
      </c>
      <c r="C8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4" s="10"/>
      <c r="E844" s="10"/>
      <c r="F84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4" s="11"/>
      <c r="I844" s="10"/>
      <c r="J844" s="10"/>
      <c r="K844" s="10"/>
    </row>
    <row r="845" spans="1:11" x14ac:dyDescent="0.45">
      <c r="A845" s="10">
        <v>241</v>
      </c>
      <c r="B845" s="10">
        <v>564</v>
      </c>
      <c r="C8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5" s="10"/>
      <c r="E845" s="10"/>
      <c r="F84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5" s="11"/>
      <c r="I845" s="10"/>
      <c r="J845" s="10"/>
      <c r="K845" s="10"/>
    </row>
    <row r="846" spans="1:11" x14ac:dyDescent="0.45">
      <c r="A846" s="10">
        <v>242</v>
      </c>
      <c r="B846" s="10">
        <v>463</v>
      </c>
      <c r="C8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6" s="10"/>
      <c r="E846" s="10"/>
      <c r="F84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6" s="11"/>
      <c r="I846" s="10"/>
      <c r="J846" s="10"/>
      <c r="K846" s="10"/>
    </row>
    <row r="847" spans="1:11" x14ac:dyDescent="0.45">
      <c r="A847" s="10">
        <v>243</v>
      </c>
      <c r="B847" s="10">
        <v>463</v>
      </c>
      <c r="C8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7" s="10"/>
      <c r="E847" s="10"/>
      <c r="F84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7" s="11"/>
      <c r="I847" s="10"/>
      <c r="J847" s="10"/>
      <c r="K847" s="10"/>
    </row>
    <row r="848" spans="1:11" x14ac:dyDescent="0.45">
      <c r="A848" s="10">
        <v>242</v>
      </c>
      <c r="B848" s="10">
        <v>635</v>
      </c>
      <c r="C8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8" s="10"/>
      <c r="E848" s="10"/>
      <c r="F84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8" s="11"/>
      <c r="I848" s="10"/>
      <c r="J848" s="10"/>
      <c r="K848" s="10"/>
    </row>
    <row r="849" spans="1:11" x14ac:dyDescent="0.45">
      <c r="A849" s="10">
        <v>242</v>
      </c>
      <c r="B849" s="10">
        <v>639</v>
      </c>
      <c r="C8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49" s="10"/>
      <c r="E849" s="10"/>
      <c r="F84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4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49" s="11"/>
      <c r="I849" s="10"/>
      <c r="J849" s="10"/>
      <c r="K849" s="10"/>
    </row>
    <row r="850" spans="1:11" x14ac:dyDescent="0.45">
      <c r="A850" s="10">
        <v>243</v>
      </c>
      <c r="B850" s="10">
        <v>639</v>
      </c>
      <c r="C8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0" s="10"/>
      <c r="E850" s="10"/>
      <c r="F85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0" s="11"/>
      <c r="I850" s="10"/>
      <c r="J850" s="10"/>
      <c r="K850" s="10"/>
    </row>
    <row r="851" spans="1:11" x14ac:dyDescent="0.45">
      <c r="A851" s="10">
        <v>242</v>
      </c>
      <c r="B851" s="10">
        <v>546</v>
      </c>
      <c r="C8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1" s="10"/>
      <c r="E851" s="10"/>
      <c r="F85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1" s="11"/>
      <c r="I851" s="10"/>
      <c r="J851" s="10"/>
      <c r="K851" s="10"/>
    </row>
    <row r="852" spans="1:11" x14ac:dyDescent="0.45">
      <c r="A852" s="10">
        <v>243</v>
      </c>
      <c r="B852" s="10">
        <v>635</v>
      </c>
      <c r="C8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2" s="10"/>
      <c r="E852" s="10"/>
      <c r="F85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2" s="11"/>
      <c r="I852" s="10"/>
      <c r="J852" s="10"/>
      <c r="K852" s="10"/>
    </row>
    <row r="853" spans="1:11" x14ac:dyDescent="0.45">
      <c r="A853" s="10">
        <v>243</v>
      </c>
      <c r="B853" s="10">
        <v>546</v>
      </c>
      <c r="C8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3" s="10"/>
      <c r="E853" s="10"/>
      <c r="F85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3" s="11"/>
      <c r="I853" s="10"/>
      <c r="J853" s="10"/>
      <c r="K853" s="10"/>
    </row>
    <row r="854" spans="1:11" x14ac:dyDescent="0.45">
      <c r="A854" s="10">
        <v>244</v>
      </c>
      <c r="B854" s="10">
        <v>170</v>
      </c>
      <c r="C8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4" s="10"/>
      <c r="E854" s="10"/>
      <c r="F85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4" s="11"/>
      <c r="I854" s="10"/>
      <c r="J854" s="10"/>
      <c r="K854" s="10"/>
    </row>
    <row r="855" spans="1:11" x14ac:dyDescent="0.45">
      <c r="A855" s="10">
        <v>245</v>
      </c>
      <c r="B855" s="10">
        <v>170</v>
      </c>
      <c r="C8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5" s="10"/>
      <c r="E855" s="10"/>
      <c r="F85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5" s="11"/>
      <c r="I855" s="10"/>
      <c r="J855" s="10"/>
      <c r="K855" s="10"/>
    </row>
    <row r="856" spans="1:11" x14ac:dyDescent="0.45">
      <c r="A856" s="10">
        <v>245</v>
      </c>
      <c r="B856" s="10">
        <v>571</v>
      </c>
      <c r="C8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6" s="10"/>
      <c r="E856" s="10"/>
      <c r="F85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6" s="11"/>
      <c r="I856" s="10"/>
      <c r="J856" s="10"/>
      <c r="K856" s="10"/>
    </row>
    <row r="857" spans="1:11" x14ac:dyDescent="0.45">
      <c r="A857" s="10">
        <v>244</v>
      </c>
      <c r="B857" s="10">
        <v>571</v>
      </c>
      <c r="C8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7" s="10"/>
      <c r="E857" s="10"/>
      <c r="F85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7" s="11"/>
      <c r="I857" s="10"/>
      <c r="J857" s="10"/>
      <c r="K857" s="10"/>
    </row>
    <row r="858" spans="1:11" x14ac:dyDescent="0.45">
      <c r="A858" s="10">
        <v>246</v>
      </c>
      <c r="B858" s="10">
        <v>553</v>
      </c>
      <c r="C8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8" s="10"/>
      <c r="E858" s="10"/>
      <c r="F85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8" s="11"/>
      <c r="I858" s="10"/>
      <c r="J858" s="10"/>
      <c r="K858" s="10"/>
    </row>
    <row r="859" spans="1:11" x14ac:dyDescent="0.45">
      <c r="A859" s="10">
        <v>247</v>
      </c>
      <c r="B859" s="10">
        <v>229</v>
      </c>
      <c r="C8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59" s="10"/>
      <c r="E859" s="10"/>
      <c r="F85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5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59" s="11"/>
      <c r="I859" s="10"/>
      <c r="J859" s="10"/>
      <c r="K859" s="10"/>
    </row>
    <row r="860" spans="1:11" x14ac:dyDescent="0.45">
      <c r="A860" s="10">
        <v>247</v>
      </c>
      <c r="B860" s="10">
        <v>253</v>
      </c>
      <c r="C8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0" s="10"/>
      <c r="E860" s="10"/>
      <c r="F86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0" s="11"/>
      <c r="I860" s="10"/>
      <c r="J860" s="10"/>
      <c r="K860" s="10"/>
    </row>
    <row r="861" spans="1:11" x14ac:dyDescent="0.45">
      <c r="A861" s="10">
        <v>247</v>
      </c>
      <c r="B861" s="10">
        <v>206</v>
      </c>
      <c r="C8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1" s="10"/>
      <c r="E861" s="10"/>
      <c r="F86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1" s="11"/>
      <c r="I861" s="10"/>
      <c r="J861" s="10"/>
      <c r="K861" s="10"/>
    </row>
    <row r="862" spans="1:11" x14ac:dyDescent="0.45">
      <c r="A862" s="10">
        <v>246</v>
      </c>
      <c r="B862" s="10">
        <v>229</v>
      </c>
      <c r="C8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2" s="10"/>
      <c r="E862" s="10"/>
      <c r="F86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2" s="11"/>
      <c r="I862" s="10"/>
      <c r="J862" s="10"/>
      <c r="K862" s="10"/>
    </row>
    <row r="863" spans="1:11" x14ac:dyDescent="0.45">
      <c r="A863" s="10">
        <v>246</v>
      </c>
      <c r="B863" s="10">
        <v>1</v>
      </c>
      <c r="C8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3" s="10"/>
      <c r="E863" s="10"/>
      <c r="F8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3" s="11"/>
      <c r="I863" s="10"/>
      <c r="J863" s="10"/>
      <c r="K863" s="10"/>
    </row>
    <row r="864" spans="1:11" x14ac:dyDescent="0.45">
      <c r="A864" s="10">
        <v>246</v>
      </c>
      <c r="B864" s="10">
        <v>253</v>
      </c>
      <c r="C8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4" s="10"/>
      <c r="E864" s="10"/>
      <c r="F86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4" s="11"/>
      <c r="I864" s="10"/>
      <c r="J864" s="10"/>
      <c r="K864" s="10"/>
    </row>
    <row r="865" spans="1:11" x14ac:dyDescent="0.45">
      <c r="A865" s="10">
        <v>246</v>
      </c>
      <c r="B865" s="10">
        <v>206</v>
      </c>
      <c r="C8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5" s="10"/>
      <c r="E865" s="10"/>
      <c r="F86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5" s="11"/>
      <c r="I865" s="10"/>
      <c r="J865" s="10"/>
      <c r="K865" s="10"/>
    </row>
    <row r="866" spans="1:11" x14ac:dyDescent="0.45">
      <c r="A866" s="10">
        <v>247</v>
      </c>
      <c r="B866" s="10">
        <v>1</v>
      </c>
      <c r="C8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6" s="10"/>
      <c r="E866" s="10"/>
      <c r="F86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6" s="11"/>
      <c r="I866" s="10"/>
      <c r="J866" s="10"/>
      <c r="K866" s="10"/>
    </row>
    <row r="867" spans="1:11" x14ac:dyDescent="0.45">
      <c r="A867" s="10">
        <v>247</v>
      </c>
      <c r="B867" s="10">
        <v>553</v>
      </c>
      <c r="C8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7" s="10"/>
      <c r="E867" s="10"/>
      <c r="F86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7" s="11"/>
      <c r="I867" s="10"/>
      <c r="J867" s="10"/>
      <c r="K867" s="10"/>
    </row>
    <row r="868" spans="1:11" x14ac:dyDescent="0.45">
      <c r="A868" s="10">
        <v>249</v>
      </c>
      <c r="B868" s="10">
        <v>589</v>
      </c>
      <c r="C8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8" s="10"/>
      <c r="E868" s="10"/>
      <c r="F86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8" s="11"/>
      <c r="I868" s="10"/>
      <c r="J868" s="10"/>
      <c r="K868" s="10"/>
    </row>
    <row r="869" spans="1:11" x14ac:dyDescent="0.45">
      <c r="A869" s="10">
        <v>248</v>
      </c>
      <c r="B869" s="10">
        <v>589</v>
      </c>
      <c r="C8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69" s="10"/>
      <c r="E869" s="10"/>
      <c r="F86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6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69" s="11"/>
      <c r="I869" s="10"/>
      <c r="J869" s="10"/>
      <c r="K869" s="10"/>
    </row>
    <row r="870" spans="1:11" x14ac:dyDescent="0.45">
      <c r="A870" s="10">
        <v>249</v>
      </c>
      <c r="B870" s="10">
        <v>377</v>
      </c>
      <c r="C8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0" s="10"/>
      <c r="E870" s="10"/>
      <c r="F87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0" s="11"/>
      <c r="I870" s="10"/>
      <c r="J870" s="10"/>
      <c r="K870" s="10"/>
    </row>
    <row r="871" spans="1:11" x14ac:dyDescent="0.45">
      <c r="A871" s="10">
        <v>248</v>
      </c>
      <c r="B871" s="10">
        <v>377</v>
      </c>
      <c r="C8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1" s="10"/>
      <c r="E871" s="10"/>
      <c r="F87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1" s="11"/>
      <c r="I871" s="10"/>
      <c r="J871" s="10"/>
      <c r="K871" s="10"/>
    </row>
    <row r="872" spans="1:11" x14ac:dyDescent="0.45">
      <c r="A872" s="10">
        <v>249</v>
      </c>
      <c r="B872" s="10">
        <v>144</v>
      </c>
      <c r="C8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2" s="10"/>
      <c r="E872" s="10"/>
      <c r="F8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2" s="11"/>
      <c r="I872" s="10"/>
      <c r="J872" s="10"/>
      <c r="K872" s="10"/>
    </row>
    <row r="873" spans="1:11" x14ac:dyDescent="0.45">
      <c r="A873" s="10">
        <v>248</v>
      </c>
      <c r="B873" s="10">
        <v>144</v>
      </c>
      <c r="C8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3" s="10"/>
      <c r="E873" s="10"/>
      <c r="F8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3" s="11"/>
      <c r="I873" s="10"/>
      <c r="J873" s="10"/>
      <c r="K873" s="10"/>
    </row>
    <row r="874" spans="1:11" x14ac:dyDescent="0.45">
      <c r="A874" s="10">
        <v>250</v>
      </c>
      <c r="B874" s="10">
        <v>41</v>
      </c>
      <c r="C8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4" s="10"/>
      <c r="E874" s="10"/>
      <c r="F87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4" s="11"/>
      <c r="I874" s="10"/>
      <c r="J874" s="10"/>
      <c r="K874" s="10"/>
    </row>
    <row r="875" spans="1:11" x14ac:dyDescent="0.45">
      <c r="A875" s="10">
        <v>251</v>
      </c>
      <c r="B875" s="10">
        <v>641</v>
      </c>
      <c r="C8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5" s="10"/>
      <c r="E875" s="10"/>
      <c r="F87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5" s="11"/>
      <c r="I875" s="10"/>
      <c r="J875" s="10"/>
      <c r="K875" s="10"/>
    </row>
    <row r="876" spans="1:11" x14ac:dyDescent="0.45">
      <c r="A876" s="10">
        <v>251</v>
      </c>
      <c r="B876" s="10">
        <v>41</v>
      </c>
      <c r="C8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6" s="10"/>
      <c r="E876" s="10"/>
      <c r="F87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6" s="11"/>
      <c r="I876" s="10"/>
      <c r="J876" s="10"/>
      <c r="K876" s="10"/>
    </row>
    <row r="877" spans="1:11" x14ac:dyDescent="0.45">
      <c r="A877" s="10">
        <v>250</v>
      </c>
      <c r="B877" s="10">
        <v>641</v>
      </c>
      <c r="C8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7" s="10"/>
      <c r="E877" s="10"/>
      <c r="F87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7" s="11"/>
      <c r="I877" s="10"/>
      <c r="J877" s="10"/>
      <c r="K877" s="10"/>
    </row>
    <row r="878" spans="1:11" x14ac:dyDescent="0.45">
      <c r="A878" s="10">
        <v>252</v>
      </c>
      <c r="B878" s="10">
        <v>204</v>
      </c>
      <c r="C8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8" s="10"/>
      <c r="E878" s="10"/>
      <c r="F87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8" s="11"/>
      <c r="I878" s="10"/>
      <c r="J878" s="10"/>
      <c r="K878" s="10"/>
    </row>
    <row r="879" spans="1:11" x14ac:dyDescent="0.45">
      <c r="A879" s="10">
        <v>252</v>
      </c>
      <c r="B879" s="10">
        <v>66</v>
      </c>
      <c r="C8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79" s="10"/>
      <c r="E879" s="10"/>
      <c r="F87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7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79" s="11"/>
      <c r="I879" s="10"/>
      <c r="J879" s="10"/>
      <c r="K879" s="10"/>
    </row>
    <row r="880" spans="1:11" x14ac:dyDescent="0.45">
      <c r="A880" s="10">
        <v>252</v>
      </c>
      <c r="B880" s="10">
        <v>279</v>
      </c>
      <c r="C8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0" s="10"/>
      <c r="E880" s="10"/>
      <c r="F88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0" s="11"/>
      <c r="I880" s="10"/>
      <c r="J880" s="10"/>
      <c r="K880" s="10"/>
    </row>
    <row r="881" spans="1:11" x14ac:dyDescent="0.45">
      <c r="A881" s="10">
        <v>253</v>
      </c>
      <c r="B881" s="10">
        <v>204</v>
      </c>
      <c r="C8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1" s="10"/>
      <c r="E881" s="10"/>
      <c r="F88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1" s="11"/>
      <c r="I881" s="10"/>
      <c r="J881" s="10"/>
      <c r="K881" s="10"/>
    </row>
    <row r="882" spans="1:11" x14ac:dyDescent="0.45">
      <c r="A882" s="10">
        <v>253</v>
      </c>
      <c r="B882" s="10">
        <v>279</v>
      </c>
      <c r="C8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2" s="10"/>
      <c r="E882" s="10"/>
      <c r="F88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2" s="11"/>
      <c r="I882" s="10"/>
      <c r="J882" s="10"/>
      <c r="K882" s="10"/>
    </row>
    <row r="883" spans="1:11" x14ac:dyDescent="0.45">
      <c r="A883" s="10">
        <v>253</v>
      </c>
      <c r="B883" s="10">
        <v>512</v>
      </c>
      <c r="C8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3" s="10"/>
      <c r="E883" s="10"/>
      <c r="F88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3" s="11"/>
      <c r="I883" s="10"/>
      <c r="J883" s="10"/>
      <c r="K883" s="10"/>
    </row>
    <row r="884" spans="1:11" x14ac:dyDescent="0.45">
      <c r="A884" s="10">
        <v>253</v>
      </c>
      <c r="B884" s="10">
        <v>66</v>
      </c>
      <c r="C8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4" s="10"/>
      <c r="E884" s="10"/>
      <c r="F88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4" s="11"/>
      <c r="I884" s="10"/>
      <c r="J884" s="10"/>
      <c r="K884" s="10"/>
    </row>
    <row r="885" spans="1:11" x14ac:dyDescent="0.45">
      <c r="A885" s="10">
        <v>252</v>
      </c>
      <c r="B885" s="10">
        <v>677</v>
      </c>
      <c r="C8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5" s="10"/>
      <c r="E885" s="10"/>
      <c r="F88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5" s="11"/>
      <c r="I885" s="10"/>
      <c r="J885" s="10"/>
      <c r="K885" s="10"/>
    </row>
    <row r="886" spans="1:11" x14ac:dyDescent="0.45">
      <c r="A886" s="10">
        <v>253</v>
      </c>
      <c r="B886" s="10">
        <v>677</v>
      </c>
      <c r="C8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6" s="10"/>
      <c r="E886" s="10"/>
      <c r="F8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6" s="11"/>
      <c r="I886" s="10"/>
      <c r="J886" s="10"/>
      <c r="K886" s="10"/>
    </row>
    <row r="887" spans="1:11" x14ac:dyDescent="0.45">
      <c r="A887" s="10">
        <v>252</v>
      </c>
      <c r="B887" s="10">
        <v>512</v>
      </c>
      <c r="C8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7" s="10"/>
      <c r="E887" s="10"/>
      <c r="F88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7" s="11"/>
      <c r="I887" s="10"/>
      <c r="J887" s="10"/>
      <c r="K887" s="10"/>
    </row>
    <row r="888" spans="1:11" x14ac:dyDescent="0.45">
      <c r="A888" s="10">
        <v>254</v>
      </c>
      <c r="B888" s="10">
        <v>225</v>
      </c>
      <c r="C8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8" s="10"/>
      <c r="E888" s="10"/>
      <c r="F88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8" s="11"/>
      <c r="I888" s="10"/>
      <c r="J888" s="10"/>
      <c r="K888" s="10"/>
    </row>
    <row r="889" spans="1:11" x14ac:dyDescent="0.45">
      <c r="A889" s="10">
        <v>254</v>
      </c>
      <c r="B889" s="10">
        <v>19</v>
      </c>
      <c r="C8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89" s="10"/>
      <c r="E889" s="10"/>
      <c r="F88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8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89" s="11"/>
      <c r="I889" s="10"/>
      <c r="J889" s="10"/>
      <c r="K889" s="10"/>
    </row>
    <row r="890" spans="1:11" x14ac:dyDescent="0.45">
      <c r="A890" s="10">
        <v>254</v>
      </c>
      <c r="B890" s="10">
        <v>7</v>
      </c>
      <c r="C8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0" s="10"/>
      <c r="E890" s="10"/>
      <c r="F89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0" s="11"/>
      <c r="I890" s="10"/>
      <c r="J890" s="10"/>
      <c r="K890" s="10"/>
    </row>
    <row r="891" spans="1:11" x14ac:dyDescent="0.45">
      <c r="A891" s="10">
        <v>255</v>
      </c>
      <c r="B891" s="10">
        <v>225</v>
      </c>
      <c r="C8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1" s="10"/>
      <c r="E891" s="10"/>
      <c r="F89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1" s="11"/>
      <c r="I891" s="10"/>
      <c r="J891" s="10"/>
      <c r="K891" s="10"/>
    </row>
    <row r="892" spans="1:11" x14ac:dyDescent="0.45">
      <c r="A892" s="10">
        <v>255</v>
      </c>
      <c r="B892" s="10">
        <v>19</v>
      </c>
      <c r="C8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2" s="10"/>
      <c r="E892" s="10"/>
      <c r="F89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2" s="11"/>
      <c r="I892" s="10"/>
      <c r="J892" s="10"/>
      <c r="K892" s="10"/>
    </row>
    <row r="893" spans="1:11" x14ac:dyDescent="0.45">
      <c r="A893" s="10">
        <v>255</v>
      </c>
      <c r="B893" s="10">
        <v>7</v>
      </c>
      <c r="C8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3" s="10"/>
      <c r="E893" s="10"/>
      <c r="F89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3" s="11"/>
      <c r="I893" s="10"/>
      <c r="J893" s="10"/>
      <c r="K893" s="10"/>
    </row>
    <row r="894" spans="1:11" x14ac:dyDescent="0.45">
      <c r="A894" s="10">
        <v>256</v>
      </c>
      <c r="B894" s="10">
        <v>205</v>
      </c>
      <c r="C8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4" s="10"/>
      <c r="E894" s="10"/>
      <c r="F89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4" s="11"/>
      <c r="I894" s="10"/>
      <c r="J894" s="10"/>
      <c r="K894" s="10"/>
    </row>
    <row r="895" spans="1:11" x14ac:dyDescent="0.45">
      <c r="A895" s="10">
        <v>256</v>
      </c>
      <c r="B895" s="10">
        <v>147</v>
      </c>
      <c r="C8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5" s="10"/>
      <c r="E895" s="10"/>
      <c r="F89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5" s="11"/>
      <c r="I895" s="10"/>
      <c r="J895" s="10"/>
      <c r="K895" s="10"/>
    </row>
    <row r="896" spans="1:11" x14ac:dyDescent="0.45">
      <c r="A896" s="10">
        <v>256</v>
      </c>
      <c r="B896" s="10">
        <v>129</v>
      </c>
      <c r="C8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6" s="10"/>
      <c r="E896" s="10"/>
      <c r="F89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6" s="11"/>
      <c r="I896" s="10"/>
      <c r="J896" s="10"/>
      <c r="K896" s="10"/>
    </row>
    <row r="897" spans="1:11" x14ac:dyDescent="0.45">
      <c r="A897" s="10">
        <v>257</v>
      </c>
      <c r="B897" s="10">
        <v>247</v>
      </c>
      <c r="C8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7" s="10"/>
      <c r="E897" s="10"/>
      <c r="F89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7" s="11"/>
      <c r="I897" s="10"/>
      <c r="J897" s="10"/>
      <c r="K897" s="10"/>
    </row>
    <row r="898" spans="1:11" x14ac:dyDescent="0.45">
      <c r="A898" s="10">
        <v>256</v>
      </c>
      <c r="B898" s="10">
        <v>31</v>
      </c>
      <c r="C8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8" s="10"/>
      <c r="E898" s="10"/>
      <c r="F89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8" s="11"/>
      <c r="I898" s="10"/>
      <c r="J898" s="10"/>
      <c r="K898" s="10"/>
    </row>
    <row r="899" spans="1:11" x14ac:dyDescent="0.45">
      <c r="A899" s="10">
        <v>257</v>
      </c>
      <c r="B899" s="10">
        <v>147</v>
      </c>
      <c r="C8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899" s="10"/>
      <c r="E899" s="10"/>
      <c r="F89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89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899" s="11"/>
      <c r="I899" s="10"/>
      <c r="J899" s="10"/>
      <c r="K899" s="10"/>
    </row>
    <row r="900" spans="1:11" x14ac:dyDescent="0.45">
      <c r="A900" s="10">
        <v>257</v>
      </c>
      <c r="B900" s="10">
        <v>205</v>
      </c>
      <c r="C9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0" s="10"/>
      <c r="E900" s="10"/>
      <c r="F9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0" s="11"/>
      <c r="I900" s="10"/>
      <c r="J900" s="10"/>
      <c r="K900" s="10"/>
    </row>
    <row r="901" spans="1:11" x14ac:dyDescent="0.45">
      <c r="A901" s="10">
        <v>257</v>
      </c>
      <c r="B901" s="10">
        <v>129</v>
      </c>
      <c r="C9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1" s="10"/>
      <c r="E901" s="10"/>
      <c r="F90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1" s="11"/>
      <c r="I901" s="10"/>
      <c r="J901" s="10"/>
      <c r="K901" s="10"/>
    </row>
    <row r="902" spans="1:11" x14ac:dyDescent="0.45">
      <c r="A902" s="10">
        <v>256</v>
      </c>
      <c r="B902" s="10">
        <v>247</v>
      </c>
      <c r="C9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2" s="10"/>
      <c r="E902" s="10"/>
      <c r="F90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2" s="11"/>
      <c r="I902" s="10"/>
      <c r="J902" s="10"/>
      <c r="K902" s="10"/>
    </row>
    <row r="903" spans="1:11" x14ac:dyDescent="0.45">
      <c r="A903" s="10">
        <v>257</v>
      </c>
      <c r="B903" s="10">
        <v>31</v>
      </c>
      <c r="C9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3" s="10"/>
      <c r="E903" s="10"/>
      <c r="F90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3" s="11"/>
      <c r="I903" s="10"/>
      <c r="J903" s="10"/>
      <c r="K903" s="10"/>
    </row>
    <row r="904" spans="1:11" x14ac:dyDescent="0.45">
      <c r="A904" s="10">
        <v>259</v>
      </c>
      <c r="B904" s="10">
        <v>428</v>
      </c>
      <c r="C9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4" s="10"/>
      <c r="E904" s="10"/>
      <c r="F90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4" s="11"/>
      <c r="I904" s="10"/>
      <c r="J904" s="10"/>
      <c r="K904" s="10"/>
    </row>
    <row r="905" spans="1:11" x14ac:dyDescent="0.45">
      <c r="A905" s="10">
        <v>258</v>
      </c>
      <c r="B905" s="10">
        <v>428</v>
      </c>
      <c r="C9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5" s="10"/>
      <c r="E905" s="10"/>
      <c r="F90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5" s="11"/>
      <c r="I905" s="10"/>
      <c r="J905" s="10"/>
      <c r="K905" s="10"/>
    </row>
    <row r="906" spans="1:11" x14ac:dyDescent="0.45">
      <c r="A906" s="10">
        <v>261</v>
      </c>
      <c r="B906" s="10">
        <v>3</v>
      </c>
      <c r="C9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6" s="10"/>
      <c r="E906" s="10"/>
      <c r="F90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6" s="11"/>
      <c r="I906" s="10"/>
      <c r="J906" s="10"/>
      <c r="K906" s="10"/>
    </row>
    <row r="907" spans="1:11" x14ac:dyDescent="0.45">
      <c r="A907" s="10">
        <v>261</v>
      </c>
      <c r="B907" s="10">
        <v>502</v>
      </c>
      <c r="C9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7" s="10"/>
      <c r="E907" s="10"/>
      <c r="F90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7" s="11"/>
      <c r="I907" s="10"/>
      <c r="J907" s="10"/>
      <c r="K907" s="10"/>
    </row>
    <row r="908" spans="1:11" x14ac:dyDescent="0.45">
      <c r="A908" s="10">
        <v>261</v>
      </c>
      <c r="B908" s="10">
        <v>626</v>
      </c>
      <c r="C9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8" s="10"/>
      <c r="E908" s="10"/>
      <c r="F90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8" s="11"/>
      <c r="I908" s="10"/>
      <c r="J908" s="10"/>
      <c r="K908" s="10"/>
    </row>
    <row r="909" spans="1:11" x14ac:dyDescent="0.45">
      <c r="A909" s="10">
        <v>260</v>
      </c>
      <c r="B909" s="10">
        <v>626</v>
      </c>
      <c r="C9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09" s="10"/>
      <c r="E909" s="10"/>
      <c r="F90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0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09" s="11"/>
      <c r="I909" s="10"/>
      <c r="J909" s="10"/>
      <c r="K909" s="10"/>
    </row>
    <row r="910" spans="1:11" x14ac:dyDescent="0.45">
      <c r="A910" s="10">
        <v>260</v>
      </c>
      <c r="B910" s="10">
        <v>531</v>
      </c>
      <c r="C9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0" s="10"/>
      <c r="E910" s="10"/>
      <c r="F91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0" s="11"/>
      <c r="I910" s="10"/>
      <c r="J910" s="10"/>
      <c r="K910" s="10"/>
    </row>
    <row r="911" spans="1:11" x14ac:dyDescent="0.45">
      <c r="A911" s="10">
        <v>260</v>
      </c>
      <c r="B911" s="10">
        <v>502</v>
      </c>
      <c r="C9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1" s="10"/>
      <c r="E911" s="10"/>
      <c r="F91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1" s="11"/>
      <c r="I911" s="10"/>
      <c r="J911" s="10"/>
      <c r="K911" s="10"/>
    </row>
    <row r="912" spans="1:11" x14ac:dyDescent="0.45">
      <c r="A912" s="10">
        <v>261</v>
      </c>
      <c r="B912" s="10">
        <v>531</v>
      </c>
      <c r="C9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2" s="10"/>
      <c r="E912" s="10"/>
      <c r="F91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2" s="11"/>
      <c r="I912" s="10"/>
      <c r="J912" s="10"/>
      <c r="K912" s="10"/>
    </row>
    <row r="913" spans="1:11" x14ac:dyDescent="0.45">
      <c r="A913" s="10">
        <v>260</v>
      </c>
      <c r="B913" s="10">
        <v>3</v>
      </c>
      <c r="C9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3" s="10"/>
      <c r="E913" s="10"/>
      <c r="F91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3" s="11"/>
      <c r="I913" s="10"/>
      <c r="J913" s="10"/>
      <c r="K913" s="10"/>
    </row>
    <row r="914" spans="1:11" x14ac:dyDescent="0.45">
      <c r="A914" s="10">
        <v>262</v>
      </c>
      <c r="B914" s="10">
        <v>40</v>
      </c>
      <c r="C9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4" s="10"/>
      <c r="E914" s="10"/>
      <c r="F91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4" s="11"/>
      <c r="I914" s="10"/>
      <c r="J914" s="10"/>
      <c r="K914" s="10"/>
    </row>
    <row r="915" spans="1:11" x14ac:dyDescent="0.45">
      <c r="A915" s="10">
        <v>263</v>
      </c>
      <c r="B915" s="10">
        <v>408</v>
      </c>
      <c r="C9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5" s="10"/>
      <c r="E915" s="10"/>
      <c r="F91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5" s="11"/>
      <c r="I915" s="10"/>
      <c r="J915" s="10"/>
      <c r="K915" s="10"/>
    </row>
    <row r="916" spans="1:11" x14ac:dyDescent="0.45">
      <c r="A916" s="10">
        <v>263</v>
      </c>
      <c r="B916" s="10">
        <v>194</v>
      </c>
      <c r="C9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6" s="10"/>
      <c r="E916" s="10"/>
      <c r="F91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6" s="11"/>
      <c r="I916" s="10"/>
      <c r="J916" s="10"/>
      <c r="K916" s="10"/>
    </row>
    <row r="917" spans="1:11" x14ac:dyDescent="0.45">
      <c r="A917" s="10">
        <v>263</v>
      </c>
      <c r="B917" s="10">
        <v>228</v>
      </c>
      <c r="C9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7" s="10"/>
      <c r="E917" s="10"/>
      <c r="F91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7" s="11"/>
      <c r="I917" s="10"/>
      <c r="J917" s="10"/>
      <c r="K917" s="10"/>
    </row>
    <row r="918" spans="1:11" x14ac:dyDescent="0.45">
      <c r="A918" s="10">
        <v>263</v>
      </c>
      <c r="B918" s="10">
        <v>40</v>
      </c>
      <c r="C9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8" s="10"/>
      <c r="E918" s="10"/>
      <c r="F91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8" s="11"/>
      <c r="I918" s="10"/>
      <c r="J918" s="10"/>
      <c r="K918" s="10"/>
    </row>
    <row r="919" spans="1:11" x14ac:dyDescent="0.45">
      <c r="A919" s="10">
        <v>262</v>
      </c>
      <c r="B919" s="10">
        <v>194</v>
      </c>
      <c r="C9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19" s="10"/>
      <c r="E919" s="10"/>
      <c r="F91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1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19" s="11"/>
      <c r="I919" s="10"/>
      <c r="J919" s="10"/>
      <c r="K919" s="10"/>
    </row>
    <row r="920" spans="1:11" x14ac:dyDescent="0.45">
      <c r="A920" s="10">
        <v>262</v>
      </c>
      <c r="B920" s="10">
        <v>228</v>
      </c>
      <c r="C9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0" s="10"/>
      <c r="E920" s="10"/>
      <c r="F92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0" s="11"/>
      <c r="I920" s="10"/>
      <c r="J920" s="10"/>
      <c r="K920" s="10"/>
    </row>
    <row r="921" spans="1:11" x14ac:dyDescent="0.45">
      <c r="A921" s="10">
        <v>262</v>
      </c>
      <c r="B921" s="10">
        <v>408</v>
      </c>
      <c r="C9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1" s="10"/>
      <c r="E921" s="10"/>
      <c r="F92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1" s="11"/>
      <c r="I921" s="10"/>
      <c r="J921" s="10"/>
      <c r="K921" s="10"/>
    </row>
    <row r="922" spans="1:11" x14ac:dyDescent="0.45">
      <c r="A922" s="10">
        <v>265</v>
      </c>
      <c r="B922" s="10">
        <v>549</v>
      </c>
      <c r="C9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2" s="10"/>
      <c r="E922" s="10"/>
      <c r="F92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2" s="11"/>
      <c r="I922" s="10"/>
      <c r="J922" s="10"/>
      <c r="K922" s="10"/>
    </row>
    <row r="923" spans="1:11" x14ac:dyDescent="0.45">
      <c r="A923" s="10">
        <v>264</v>
      </c>
      <c r="B923" s="10">
        <v>549</v>
      </c>
      <c r="C9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3" s="10"/>
      <c r="E923" s="10"/>
      <c r="F92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3" s="11"/>
      <c r="I923" s="10"/>
      <c r="J923" s="10"/>
      <c r="K923" s="10"/>
    </row>
    <row r="924" spans="1:11" x14ac:dyDescent="0.45">
      <c r="A924" s="10">
        <v>265</v>
      </c>
      <c r="B924" s="10">
        <v>210</v>
      </c>
      <c r="C9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4" s="10"/>
      <c r="E924" s="10"/>
      <c r="F92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4" s="11"/>
      <c r="I924" s="10"/>
      <c r="J924" s="10"/>
      <c r="K924" s="10"/>
    </row>
    <row r="925" spans="1:11" x14ac:dyDescent="0.45">
      <c r="A925" s="10">
        <v>265</v>
      </c>
      <c r="B925" s="10">
        <v>53</v>
      </c>
      <c r="C9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5" s="10"/>
      <c r="E925" s="10"/>
      <c r="F92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5" s="11"/>
      <c r="I925" s="10"/>
      <c r="J925" s="10"/>
      <c r="K925" s="10"/>
    </row>
    <row r="926" spans="1:11" x14ac:dyDescent="0.45">
      <c r="A926" s="10">
        <v>264</v>
      </c>
      <c r="B926" s="10">
        <v>210</v>
      </c>
      <c r="C9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6" s="10"/>
      <c r="E926" s="10"/>
      <c r="F92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6" s="11"/>
      <c r="I926" s="10"/>
      <c r="J926" s="10"/>
      <c r="K926" s="10"/>
    </row>
    <row r="927" spans="1:11" x14ac:dyDescent="0.45">
      <c r="A927" s="10">
        <v>264</v>
      </c>
      <c r="B927" s="10">
        <v>53</v>
      </c>
      <c r="C9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7" s="10"/>
      <c r="E927" s="10"/>
      <c r="F92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7" s="11"/>
      <c r="I927" s="10"/>
      <c r="J927" s="10"/>
      <c r="K927" s="10"/>
    </row>
    <row r="928" spans="1:11" x14ac:dyDescent="0.45">
      <c r="A928" s="10">
        <v>265</v>
      </c>
      <c r="B928" s="10">
        <v>441</v>
      </c>
      <c r="C9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8" s="10"/>
      <c r="E928" s="10"/>
      <c r="F92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8" s="11"/>
      <c r="I928" s="10"/>
      <c r="J928" s="10"/>
      <c r="K928" s="10"/>
    </row>
    <row r="929" spans="1:11" x14ac:dyDescent="0.45">
      <c r="A929" s="10">
        <v>264</v>
      </c>
      <c r="B929" s="10">
        <v>582</v>
      </c>
      <c r="C9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29" s="10"/>
      <c r="E929" s="10"/>
      <c r="F9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29" s="11"/>
      <c r="I929" s="10"/>
      <c r="J929" s="10"/>
      <c r="K929" s="10"/>
    </row>
    <row r="930" spans="1:11" x14ac:dyDescent="0.45">
      <c r="A930" s="10">
        <v>265</v>
      </c>
      <c r="B930" s="10">
        <v>582</v>
      </c>
      <c r="C9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0" s="10"/>
      <c r="E930" s="10"/>
      <c r="F93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0" s="11"/>
      <c r="I930" s="10"/>
      <c r="J930" s="10"/>
      <c r="K930" s="10"/>
    </row>
    <row r="931" spans="1:11" x14ac:dyDescent="0.45">
      <c r="A931" s="10">
        <v>264</v>
      </c>
      <c r="B931" s="10">
        <v>441</v>
      </c>
      <c r="C9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1" s="10"/>
      <c r="E931" s="10"/>
      <c r="F93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1" s="11"/>
      <c r="I931" s="10"/>
      <c r="J931" s="10"/>
      <c r="K931" s="10"/>
    </row>
    <row r="932" spans="1:11" x14ac:dyDescent="0.45">
      <c r="A932" s="10">
        <v>267</v>
      </c>
      <c r="B932" s="10">
        <v>655</v>
      </c>
      <c r="C9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2" s="10"/>
      <c r="E932" s="10"/>
      <c r="F93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2" s="11"/>
      <c r="I932" s="10"/>
      <c r="J932" s="10"/>
      <c r="K932" s="10"/>
    </row>
    <row r="933" spans="1:11" x14ac:dyDescent="0.45">
      <c r="A933" s="10">
        <v>266</v>
      </c>
      <c r="B933" s="10">
        <v>655</v>
      </c>
      <c r="C9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3" s="10"/>
      <c r="E933" s="10"/>
      <c r="F93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3" s="11"/>
      <c r="I933" s="10"/>
      <c r="J933" s="10"/>
      <c r="K933" s="10"/>
    </row>
    <row r="934" spans="1:11" x14ac:dyDescent="0.45">
      <c r="A934" s="10">
        <v>266</v>
      </c>
      <c r="B934" s="10">
        <v>461</v>
      </c>
      <c r="C9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4" s="10"/>
      <c r="E934" s="10"/>
      <c r="F93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4" s="11"/>
      <c r="I934" s="10"/>
      <c r="J934" s="10"/>
      <c r="K934" s="10"/>
    </row>
    <row r="935" spans="1:11" x14ac:dyDescent="0.45">
      <c r="A935" s="10">
        <v>266</v>
      </c>
      <c r="B935" s="10">
        <v>583</v>
      </c>
      <c r="C9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5" s="10"/>
      <c r="E935" s="10"/>
      <c r="F93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5" s="11"/>
      <c r="I935" s="10"/>
      <c r="J935" s="10"/>
      <c r="K935" s="10"/>
    </row>
    <row r="936" spans="1:11" x14ac:dyDescent="0.45">
      <c r="A936" s="10">
        <v>267</v>
      </c>
      <c r="B936" s="10">
        <v>583</v>
      </c>
      <c r="C9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6" s="10"/>
      <c r="E936" s="10"/>
      <c r="F93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6" s="11"/>
      <c r="I936" s="10"/>
      <c r="J936" s="10"/>
      <c r="K936" s="10"/>
    </row>
    <row r="937" spans="1:11" x14ac:dyDescent="0.45">
      <c r="A937" s="10">
        <v>267</v>
      </c>
      <c r="B937" s="10">
        <v>461</v>
      </c>
      <c r="C9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7" s="10"/>
      <c r="E937" s="10"/>
      <c r="F93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7" s="11"/>
      <c r="I937" s="10"/>
      <c r="J937" s="10"/>
      <c r="K937" s="10"/>
    </row>
    <row r="938" spans="1:11" x14ac:dyDescent="0.45">
      <c r="A938" s="10">
        <v>269</v>
      </c>
      <c r="B938" s="10">
        <v>86</v>
      </c>
      <c r="C9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8" s="10"/>
      <c r="E938" s="10"/>
      <c r="F93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8" s="11"/>
      <c r="I938" s="10"/>
      <c r="J938" s="10"/>
      <c r="K938" s="10"/>
    </row>
    <row r="939" spans="1:11" x14ac:dyDescent="0.45">
      <c r="A939" s="10">
        <v>269</v>
      </c>
      <c r="B939" s="10">
        <v>65</v>
      </c>
      <c r="C9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39" s="10"/>
      <c r="E939" s="10"/>
      <c r="F93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3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39" s="11"/>
      <c r="I939" s="10"/>
      <c r="J939" s="10"/>
      <c r="K939" s="10"/>
    </row>
    <row r="940" spans="1:11" x14ac:dyDescent="0.45">
      <c r="A940" s="10">
        <v>269</v>
      </c>
      <c r="B940" s="10">
        <v>309</v>
      </c>
      <c r="C9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0" s="10"/>
      <c r="E940" s="10"/>
      <c r="F94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0" s="11"/>
      <c r="I940" s="10"/>
      <c r="J940" s="10"/>
      <c r="K940" s="10"/>
    </row>
    <row r="941" spans="1:11" x14ac:dyDescent="0.45">
      <c r="A941" s="10">
        <v>268</v>
      </c>
      <c r="B941" s="10">
        <v>309</v>
      </c>
      <c r="C9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1" s="10"/>
      <c r="E941" s="10"/>
      <c r="F94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1" s="11"/>
      <c r="I941" s="10"/>
      <c r="J941" s="10"/>
      <c r="K941" s="10"/>
    </row>
    <row r="942" spans="1:11" x14ac:dyDescent="0.45">
      <c r="A942" s="10">
        <v>269</v>
      </c>
      <c r="B942" s="10">
        <v>652</v>
      </c>
      <c r="C9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2" s="10"/>
      <c r="E942" s="10"/>
      <c r="F94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2" s="11"/>
      <c r="I942" s="10"/>
      <c r="J942" s="10"/>
      <c r="K942" s="10"/>
    </row>
    <row r="943" spans="1:11" x14ac:dyDescent="0.45">
      <c r="A943" s="10">
        <v>268</v>
      </c>
      <c r="B943" s="10">
        <v>652</v>
      </c>
      <c r="C9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3" s="10"/>
      <c r="E943" s="10"/>
      <c r="F94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3" s="11"/>
      <c r="I943" s="10"/>
      <c r="J943" s="10"/>
      <c r="K943" s="10"/>
    </row>
    <row r="944" spans="1:11" x14ac:dyDescent="0.45">
      <c r="A944" s="10">
        <v>268</v>
      </c>
      <c r="B944" s="10">
        <v>86</v>
      </c>
      <c r="C9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4" s="10"/>
      <c r="E944" s="10"/>
      <c r="F94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4" s="11"/>
      <c r="I944" s="10"/>
      <c r="J944" s="10"/>
      <c r="K944" s="10"/>
    </row>
    <row r="945" spans="1:11" x14ac:dyDescent="0.45">
      <c r="A945" s="10">
        <v>268</v>
      </c>
      <c r="B945" s="10">
        <v>65</v>
      </c>
      <c r="C9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5" s="10"/>
      <c r="E945" s="10"/>
      <c r="F94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5" s="11"/>
      <c r="I945" s="10"/>
      <c r="J945" s="10"/>
      <c r="K945" s="10"/>
    </row>
    <row r="946" spans="1:11" x14ac:dyDescent="0.45">
      <c r="A946" s="10">
        <v>270</v>
      </c>
      <c r="B946" s="10">
        <v>692</v>
      </c>
      <c r="C9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6" s="10"/>
      <c r="E946" s="10"/>
      <c r="F94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6" s="11"/>
      <c r="I946" s="10"/>
      <c r="J946" s="10"/>
      <c r="K946" s="10"/>
    </row>
    <row r="947" spans="1:11" x14ac:dyDescent="0.45">
      <c r="A947" s="10">
        <v>271</v>
      </c>
      <c r="B947" s="10">
        <v>692</v>
      </c>
      <c r="C9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7" s="10"/>
      <c r="E947" s="10"/>
      <c r="F94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7" s="11"/>
      <c r="I947" s="10"/>
      <c r="J947" s="10"/>
      <c r="K947" s="10"/>
    </row>
    <row r="948" spans="1:11" x14ac:dyDescent="0.45">
      <c r="A948" s="10">
        <v>272</v>
      </c>
      <c r="B948" s="10">
        <v>35</v>
      </c>
      <c r="C9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8" s="10"/>
      <c r="E948" s="10"/>
      <c r="F94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8" s="11"/>
      <c r="I948" s="10"/>
      <c r="J948" s="10"/>
      <c r="K948" s="10"/>
    </row>
    <row r="949" spans="1:11" x14ac:dyDescent="0.45">
      <c r="A949" s="10">
        <v>272</v>
      </c>
      <c r="B949" s="10">
        <v>11</v>
      </c>
      <c r="C9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49" s="10"/>
      <c r="E949" s="10"/>
      <c r="F94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4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49" s="11"/>
      <c r="I949" s="10"/>
      <c r="J949" s="10"/>
      <c r="K949" s="10"/>
    </row>
    <row r="950" spans="1:11" x14ac:dyDescent="0.45">
      <c r="A950" s="10">
        <v>273</v>
      </c>
      <c r="B950" s="10">
        <v>35</v>
      </c>
      <c r="C9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0" s="10"/>
      <c r="E950" s="10"/>
      <c r="F95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0" s="11"/>
      <c r="I950" s="10"/>
      <c r="J950" s="10"/>
      <c r="K950" s="10"/>
    </row>
    <row r="951" spans="1:11" x14ac:dyDescent="0.45">
      <c r="A951" s="10">
        <v>273</v>
      </c>
      <c r="B951" s="10">
        <v>11</v>
      </c>
      <c r="C9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1" s="10"/>
      <c r="E951" s="10"/>
      <c r="F95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1" s="11"/>
      <c r="I951" s="10"/>
      <c r="J951" s="10"/>
      <c r="K951" s="10"/>
    </row>
    <row r="952" spans="1:11" x14ac:dyDescent="0.45">
      <c r="A952" s="10">
        <v>272</v>
      </c>
      <c r="B952" s="10">
        <v>311</v>
      </c>
      <c r="C9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2" s="10"/>
      <c r="E952" s="10"/>
      <c r="F95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2" s="11"/>
      <c r="I952" s="10"/>
      <c r="J952" s="10"/>
      <c r="K952" s="10"/>
    </row>
    <row r="953" spans="1:11" x14ac:dyDescent="0.45">
      <c r="A953" s="10">
        <v>272</v>
      </c>
      <c r="B953" s="10">
        <v>97</v>
      </c>
      <c r="C9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3" s="10"/>
      <c r="E953" s="10"/>
      <c r="F95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3" s="11"/>
      <c r="I953" s="10"/>
      <c r="J953" s="10"/>
      <c r="K953" s="10"/>
    </row>
    <row r="954" spans="1:11" x14ac:dyDescent="0.45">
      <c r="A954" s="10">
        <v>273</v>
      </c>
      <c r="B954" s="10">
        <v>97</v>
      </c>
      <c r="C9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4" s="10"/>
      <c r="E954" s="10"/>
      <c r="F95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4" s="11"/>
      <c r="I954" s="10"/>
      <c r="J954" s="10"/>
      <c r="K954" s="10"/>
    </row>
    <row r="955" spans="1:11" x14ac:dyDescent="0.45">
      <c r="A955" s="10">
        <v>273</v>
      </c>
      <c r="B955" s="10">
        <v>311</v>
      </c>
      <c r="C9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5" s="10"/>
      <c r="E955" s="10"/>
      <c r="F95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5" s="11"/>
      <c r="I955" s="10"/>
      <c r="J955" s="10"/>
      <c r="K955" s="10"/>
    </row>
    <row r="956" spans="1:11" x14ac:dyDescent="0.45">
      <c r="A956" s="10">
        <v>274</v>
      </c>
      <c r="B956" s="10">
        <v>396</v>
      </c>
      <c r="C9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6" s="10"/>
      <c r="E956" s="10"/>
      <c r="F95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6" s="11"/>
      <c r="I956" s="10"/>
      <c r="J956" s="10"/>
      <c r="K956" s="10"/>
    </row>
    <row r="957" spans="1:11" x14ac:dyDescent="0.45">
      <c r="A957" s="10">
        <v>274</v>
      </c>
      <c r="B957" s="10">
        <v>226</v>
      </c>
      <c r="C9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7" s="10"/>
      <c r="E957" s="10"/>
      <c r="F95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7" s="11"/>
      <c r="I957" s="10"/>
      <c r="J957" s="10"/>
      <c r="K957" s="10"/>
    </row>
    <row r="958" spans="1:11" x14ac:dyDescent="0.45">
      <c r="A958" s="10">
        <v>275</v>
      </c>
      <c r="B958" s="10">
        <v>510</v>
      </c>
      <c r="C9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8" s="10"/>
      <c r="E958" s="10"/>
      <c r="F95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8" s="11"/>
      <c r="I958" s="10"/>
      <c r="J958" s="10"/>
      <c r="K958" s="10"/>
    </row>
    <row r="959" spans="1:11" x14ac:dyDescent="0.45">
      <c r="A959" s="10">
        <v>274</v>
      </c>
      <c r="B959" s="10">
        <v>139</v>
      </c>
      <c r="C9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59" s="10"/>
      <c r="E959" s="10"/>
      <c r="F95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5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59" s="11"/>
      <c r="I959" s="10"/>
      <c r="J959" s="10"/>
      <c r="K959" s="10"/>
    </row>
    <row r="960" spans="1:11" x14ac:dyDescent="0.45">
      <c r="A960" s="10">
        <v>275</v>
      </c>
      <c r="B960" s="10">
        <v>226</v>
      </c>
      <c r="C9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0" s="10"/>
      <c r="E960" s="10"/>
      <c r="F96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0" s="11"/>
      <c r="I960" s="10"/>
      <c r="J960" s="10"/>
      <c r="K960" s="10"/>
    </row>
    <row r="961" spans="1:11" x14ac:dyDescent="0.45">
      <c r="A961" s="10">
        <v>275</v>
      </c>
      <c r="B961" s="10">
        <v>139</v>
      </c>
      <c r="C9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1" s="10"/>
      <c r="E961" s="10"/>
      <c r="F96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1" s="11"/>
      <c r="I961" s="10"/>
      <c r="J961" s="10"/>
      <c r="K961" s="10"/>
    </row>
    <row r="962" spans="1:11" x14ac:dyDescent="0.45">
      <c r="A962" s="10">
        <v>275</v>
      </c>
      <c r="B962" s="10">
        <v>396</v>
      </c>
      <c r="C9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2" s="10"/>
      <c r="E962" s="10"/>
      <c r="F96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2" s="11"/>
      <c r="I962" s="10"/>
      <c r="J962" s="10"/>
      <c r="K962" s="10"/>
    </row>
    <row r="963" spans="1:11" x14ac:dyDescent="0.45">
      <c r="A963" s="10">
        <v>274</v>
      </c>
      <c r="B963" s="10">
        <v>510</v>
      </c>
      <c r="C9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3" s="10"/>
      <c r="E963" s="10"/>
      <c r="F9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3" s="11"/>
      <c r="I963" s="10"/>
      <c r="J963" s="10"/>
      <c r="K963" s="10"/>
    </row>
    <row r="964" spans="1:11" x14ac:dyDescent="0.45">
      <c r="A964" s="10">
        <v>277</v>
      </c>
      <c r="B964" s="10">
        <v>479</v>
      </c>
      <c r="C9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4" s="10"/>
      <c r="E964" s="10"/>
      <c r="F96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4" s="11"/>
      <c r="I964" s="10"/>
      <c r="J964" s="10"/>
      <c r="K964" s="10"/>
    </row>
    <row r="965" spans="1:11" x14ac:dyDescent="0.45">
      <c r="A965" s="10">
        <v>277</v>
      </c>
      <c r="B965" s="10">
        <v>436</v>
      </c>
      <c r="C9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5" s="10"/>
      <c r="E965" s="10"/>
      <c r="F96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5" s="11"/>
      <c r="I965" s="10"/>
      <c r="J965" s="10"/>
      <c r="K965" s="10"/>
    </row>
    <row r="966" spans="1:11" x14ac:dyDescent="0.45">
      <c r="A966" s="10">
        <v>276</v>
      </c>
      <c r="B966" s="10">
        <v>436</v>
      </c>
      <c r="C9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6" s="10"/>
      <c r="E966" s="10"/>
      <c r="F96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6" s="11"/>
      <c r="I966" s="10"/>
      <c r="J966" s="10"/>
      <c r="K966" s="10"/>
    </row>
    <row r="967" spans="1:11" x14ac:dyDescent="0.45">
      <c r="A967" s="10">
        <v>276</v>
      </c>
      <c r="B967" s="10">
        <v>479</v>
      </c>
      <c r="C9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7" s="10"/>
      <c r="E967" s="10"/>
      <c r="F96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7" s="11"/>
      <c r="I967" s="10"/>
      <c r="J967" s="10"/>
      <c r="K967" s="10"/>
    </row>
    <row r="968" spans="1:11" x14ac:dyDescent="0.45">
      <c r="A968" s="10">
        <v>276</v>
      </c>
      <c r="B968" s="10">
        <v>41</v>
      </c>
      <c r="C9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8" s="10"/>
      <c r="E968" s="10"/>
      <c r="F96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8" s="11"/>
      <c r="I968" s="10"/>
      <c r="J968" s="10"/>
      <c r="K968" s="10"/>
    </row>
    <row r="969" spans="1:11" x14ac:dyDescent="0.45">
      <c r="A969" s="10">
        <v>276</v>
      </c>
      <c r="B969" s="10">
        <v>119</v>
      </c>
      <c r="C9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69" s="10"/>
      <c r="E969" s="10"/>
      <c r="F96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6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69" s="11"/>
      <c r="I969" s="10"/>
      <c r="J969" s="10"/>
      <c r="K969" s="10"/>
    </row>
    <row r="970" spans="1:11" x14ac:dyDescent="0.45">
      <c r="A970" s="10">
        <v>277</v>
      </c>
      <c r="B970" s="10">
        <v>41</v>
      </c>
      <c r="C9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0" s="10"/>
      <c r="E970" s="10"/>
      <c r="F97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0" s="11"/>
      <c r="I970" s="10"/>
      <c r="J970" s="10"/>
      <c r="K970" s="10"/>
    </row>
    <row r="971" spans="1:11" x14ac:dyDescent="0.45">
      <c r="A971" s="10">
        <v>277</v>
      </c>
      <c r="B971" s="10">
        <v>579</v>
      </c>
      <c r="C9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1" s="10"/>
      <c r="E971" s="10"/>
      <c r="F97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1" s="11"/>
      <c r="I971" s="10"/>
      <c r="J971" s="10"/>
      <c r="K971" s="10"/>
    </row>
    <row r="972" spans="1:11" x14ac:dyDescent="0.45">
      <c r="A972" s="10">
        <v>277</v>
      </c>
      <c r="B972" s="10">
        <v>119</v>
      </c>
      <c r="C9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2" s="10"/>
      <c r="E972" s="10"/>
      <c r="F9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2" s="11"/>
      <c r="I972" s="10"/>
      <c r="J972" s="10"/>
      <c r="K972" s="10"/>
    </row>
    <row r="973" spans="1:11" x14ac:dyDescent="0.45">
      <c r="A973" s="10">
        <v>276</v>
      </c>
      <c r="B973" s="10">
        <v>579</v>
      </c>
      <c r="C9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3" s="10"/>
      <c r="E973" s="10"/>
      <c r="F9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3" s="11"/>
      <c r="I973" s="10"/>
      <c r="J973" s="10"/>
      <c r="K973" s="10"/>
    </row>
    <row r="974" spans="1:11" x14ac:dyDescent="0.45">
      <c r="A974" s="10">
        <v>278</v>
      </c>
      <c r="B974" s="10">
        <v>191</v>
      </c>
      <c r="C9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4" s="10"/>
      <c r="E974" s="10"/>
      <c r="F97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4" s="11"/>
      <c r="I974" s="10"/>
      <c r="J974" s="10"/>
      <c r="K974" s="10"/>
    </row>
    <row r="975" spans="1:11" x14ac:dyDescent="0.45">
      <c r="A975" s="10">
        <v>279</v>
      </c>
      <c r="B975" s="10">
        <v>191</v>
      </c>
      <c r="C9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5" s="10"/>
      <c r="E975" s="10"/>
      <c r="F97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5" s="11"/>
      <c r="I975" s="10"/>
      <c r="J975" s="10"/>
      <c r="K975" s="10"/>
    </row>
    <row r="976" spans="1:11" x14ac:dyDescent="0.45">
      <c r="A976" s="10">
        <v>279</v>
      </c>
      <c r="B976" s="10">
        <v>384</v>
      </c>
      <c r="C9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6" s="10"/>
      <c r="E976" s="10"/>
      <c r="F97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6" s="11"/>
      <c r="I976" s="10"/>
      <c r="J976" s="10"/>
      <c r="K976" s="10"/>
    </row>
    <row r="977" spans="1:11" x14ac:dyDescent="0.45">
      <c r="A977" s="10">
        <v>278</v>
      </c>
      <c r="B977" s="10">
        <v>384</v>
      </c>
      <c r="C9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7" s="10"/>
      <c r="E977" s="10"/>
      <c r="F97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7" s="11"/>
      <c r="I977" s="10"/>
      <c r="J977" s="10"/>
      <c r="K977" s="10"/>
    </row>
    <row r="978" spans="1:11" x14ac:dyDescent="0.45">
      <c r="A978" s="10">
        <v>280</v>
      </c>
      <c r="B978" s="10">
        <v>508</v>
      </c>
      <c r="C9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8" s="10"/>
      <c r="E978" s="10"/>
      <c r="F97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8" s="11"/>
      <c r="I978" s="10"/>
      <c r="J978" s="10"/>
      <c r="K978" s="10"/>
    </row>
    <row r="979" spans="1:11" x14ac:dyDescent="0.45">
      <c r="A979" s="10">
        <v>281</v>
      </c>
      <c r="B979" s="10">
        <v>218</v>
      </c>
      <c r="C9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79" s="10"/>
      <c r="E979" s="10"/>
      <c r="F97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7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79" s="11"/>
      <c r="I979" s="10"/>
      <c r="J979" s="10"/>
      <c r="K979" s="10"/>
    </row>
    <row r="980" spans="1:11" x14ac:dyDescent="0.45">
      <c r="A980" s="10">
        <v>281</v>
      </c>
      <c r="B980" s="10">
        <v>338</v>
      </c>
      <c r="C9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0" s="10"/>
      <c r="E980" s="10"/>
      <c r="F98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0" s="11"/>
      <c r="I980" s="10"/>
      <c r="J980" s="10"/>
      <c r="K980" s="10"/>
    </row>
    <row r="981" spans="1:11" x14ac:dyDescent="0.45">
      <c r="A981" s="10">
        <v>280</v>
      </c>
      <c r="B981" s="10">
        <v>218</v>
      </c>
      <c r="C9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1" s="10"/>
      <c r="E981" s="10"/>
      <c r="F98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1" s="11"/>
      <c r="I981" s="10"/>
      <c r="J981" s="10"/>
      <c r="K981" s="10"/>
    </row>
    <row r="982" spans="1:11" x14ac:dyDescent="0.45">
      <c r="A982" s="10">
        <v>280</v>
      </c>
      <c r="B982" s="10">
        <v>7</v>
      </c>
      <c r="C9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2" s="10"/>
      <c r="E982" s="10"/>
      <c r="F98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2" s="11"/>
      <c r="I982" s="10"/>
      <c r="J982" s="10"/>
      <c r="K982" s="10"/>
    </row>
    <row r="983" spans="1:11" x14ac:dyDescent="0.45">
      <c r="A983" s="10">
        <v>281</v>
      </c>
      <c r="B983" s="10">
        <v>508</v>
      </c>
      <c r="C9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3" s="10"/>
      <c r="E983" s="10"/>
      <c r="F98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3" s="11"/>
      <c r="I983" s="10"/>
      <c r="J983" s="10"/>
      <c r="K983" s="10"/>
    </row>
    <row r="984" spans="1:11" x14ac:dyDescent="0.45">
      <c r="A984" s="10">
        <v>281</v>
      </c>
      <c r="B984" s="10">
        <v>7</v>
      </c>
      <c r="C9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4" s="10"/>
      <c r="E984" s="10"/>
      <c r="F98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4" s="11"/>
      <c r="I984" s="10"/>
      <c r="J984" s="10"/>
      <c r="K984" s="10"/>
    </row>
    <row r="985" spans="1:11" x14ac:dyDescent="0.45">
      <c r="A985" s="10">
        <v>280</v>
      </c>
      <c r="B985" s="10">
        <v>338</v>
      </c>
      <c r="C9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5" s="10"/>
      <c r="E985" s="10"/>
      <c r="F98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5" s="11"/>
      <c r="I985" s="10"/>
      <c r="J985" s="10"/>
      <c r="K985" s="10"/>
    </row>
    <row r="986" spans="1:11" x14ac:dyDescent="0.45">
      <c r="A986" s="10">
        <v>283</v>
      </c>
      <c r="B986" s="10">
        <v>112</v>
      </c>
      <c r="C9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6" s="10"/>
      <c r="E986" s="10"/>
      <c r="F9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6" s="11"/>
      <c r="I986" s="10"/>
      <c r="J986" s="10"/>
      <c r="K986" s="10"/>
    </row>
    <row r="987" spans="1:11" x14ac:dyDescent="0.45">
      <c r="A987" s="10">
        <v>283</v>
      </c>
      <c r="B987" s="10">
        <v>131</v>
      </c>
      <c r="C9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7" s="10"/>
      <c r="E987" s="10"/>
      <c r="F98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7" s="11"/>
      <c r="I987" s="10"/>
      <c r="J987" s="10"/>
      <c r="K987" s="10"/>
    </row>
    <row r="988" spans="1:11" x14ac:dyDescent="0.45">
      <c r="A988" s="10">
        <v>282</v>
      </c>
      <c r="B988" s="10">
        <v>131</v>
      </c>
      <c r="C9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8" s="10"/>
      <c r="E988" s="10"/>
      <c r="F98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8" s="11"/>
      <c r="I988" s="10"/>
      <c r="J988" s="10"/>
      <c r="K988" s="10"/>
    </row>
    <row r="989" spans="1:11" x14ac:dyDescent="0.45">
      <c r="A989" s="10">
        <v>282</v>
      </c>
      <c r="B989" s="10">
        <v>112</v>
      </c>
      <c r="C9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89" s="10"/>
      <c r="E989" s="10"/>
      <c r="F98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8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89" s="11"/>
      <c r="I989" s="10"/>
      <c r="J989" s="10"/>
      <c r="K989" s="10"/>
    </row>
    <row r="990" spans="1:11" x14ac:dyDescent="0.45">
      <c r="A990" s="10">
        <v>285</v>
      </c>
      <c r="B990" s="10">
        <v>70</v>
      </c>
      <c r="C9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0" s="10"/>
      <c r="E990" s="10"/>
      <c r="F99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0" s="11"/>
      <c r="I990" s="10"/>
      <c r="J990" s="10"/>
      <c r="K990" s="10"/>
    </row>
    <row r="991" spans="1:11" x14ac:dyDescent="0.45">
      <c r="A991" s="10">
        <v>285</v>
      </c>
      <c r="B991" s="10">
        <v>34</v>
      </c>
      <c r="C9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1" s="10"/>
      <c r="E991" s="10"/>
      <c r="F99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1" s="11"/>
      <c r="I991" s="10"/>
      <c r="J991" s="10"/>
      <c r="K991" s="10"/>
    </row>
    <row r="992" spans="1:11" x14ac:dyDescent="0.45">
      <c r="A992" s="10">
        <v>285</v>
      </c>
      <c r="B992" s="10">
        <v>287</v>
      </c>
      <c r="C9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2" s="10"/>
      <c r="E992" s="10"/>
      <c r="F99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2" s="11"/>
      <c r="I992" s="10"/>
      <c r="J992" s="10"/>
      <c r="K992" s="10"/>
    </row>
    <row r="993" spans="1:11" x14ac:dyDescent="0.45">
      <c r="A993" s="10">
        <v>285</v>
      </c>
      <c r="B993" s="10">
        <v>130</v>
      </c>
      <c r="C9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3" s="10"/>
      <c r="E993" s="10"/>
      <c r="F99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3" s="11"/>
      <c r="I993" s="10"/>
      <c r="J993" s="10"/>
      <c r="K993" s="10"/>
    </row>
    <row r="994" spans="1:11" x14ac:dyDescent="0.45">
      <c r="A994" s="10">
        <v>284</v>
      </c>
      <c r="B994" s="10">
        <v>287</v>
      </c>
      <c r="C9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4" s="10"/>
      <c r="E994" s="10"/>
      <c r="F99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4" s="11"/>
      <c r="I994" s="10"/>
      <c r="J994" s="10"/>
      <c r="K994" s="10"/>
    </row>
    <row r="995" spans="1:11" x14ac:dyDescent="0.45">
      <c r="A995" s="10">
        <v>284</v>
      </c>
      <c r="B995" s="10">
        <v>34</v>
      </c>
      <c r="C9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5" s="10"/>
      <c r="E995" s="10"/>
      <c r="F99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5" s="11"/>
      <c r="I995" s="10"/>
      <c r="J995" s="10"/>
      <c r="K995" s="10"/>
    </row>
    <row r="996" spans="1:11" x14ac:dyDescent="0.45">
      <c r="A996" s="10">
        <v>284</v>
      </c>
      <c r="B996" s="10">
        <v>70</v>
      </c>
      <c r="C9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6" s="10"/>
      <c r="E996" s="10"/>
      <c r="F99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6" s="11"/>
      <c r="I996" s="10"/>
      <c r="J996" s="10"/>
      <c r="K996" s="10"/>
    </row>
    <row r="997" spans="1:11" x14ac:dyDescent="0.45">
      <c r="A997" s="10">
        <v>284</v>
      </c>
      <c r="B997" s="10">
        <v>130</v>
      </c>
      <c r="C9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7" s="10"/>
      <c r="E997" s="10"/>
      <c r="F99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7" s="11"/>
      <c r="I997" s="10"/>
      <c r="J997" s="10"/>
      <c r="K997" s="10"/>
    </row>
    <row r="998" spans="1:11" x14ac:dyDescent="0.45">
      <c r="A998" s="10">
        <v>286</v>
      </c>
      <c r="B998" s="10">
        <v>364</v>
      </c>
      <c r="C9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8" s="10"/>
      <c r="E998" s="10"/>
      <c r="F99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8" s="11"/>
      <c r="I998" s="10"/>
      <c r="J998" s="10"/>
      <c r="K998" s="10"/>
    </row>
    <row r="999" spans="1:11" x14ac:dyDescent="0.45">
      <c r="A999" s="10">
        <v>287</v>
      </c>
      <c r="B999" s="10">
        <v>364</v>
      </c>
      <c r="C9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999" s="10"/>
      <c r="E999" s="10"/>
      <c r="F99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99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999" s="11"/>
      <c r="I999" s="10"/>
      <c r="J999" s="10"/>
      <c r="K999" s="10"/>
    </row>
    <row r="1000" spans="1:11" x14ac:dyDescent="0.45">
      <c r="A1000" s="10">
        <v>287</v>
      </c>
      <c r="B1000" s="10">
        <v>509</v>
      </c>
      <c r="C10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0" s="10"/>
      <c r="E1000" s="10"/>
      <c r="F10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0" s="11"/>
      <c r="I1000" s="10"/>
      <c r="J1000" s="10"/>
      <c r="K1000" s="10"/>
    </row>
    <row r="1001" spans="1:11" x14ac:dyDescent="0.45">
      <c r="A1001" s="10">
        <v>286</v>
      </c>
      <c r="B1001" s="10">
        <v>509</v>
      </c>
      <c r="C10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1" s="10"/>
      <c r="E1001" s="10"/>
      <c r="F100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1" s="11"/>
      <c r="I1001" s="10"/>
      <c r="J1001" s="10"/>
      <c r="K1001" s="10"/>
    </row>
    <row r="1002" spans="1:11" x14ac:dyDescent="0.45">
      <c r="A1002" s="10">
        <v>287</v>
      </c>
      <c r="B1002" s="10">
        <v>431</v>
      </c>
      <c r="C10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2" s="10"/>
      <c r="E1002" s="10"/>
      <c r="F100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2" s="11"/>
      <c r="I1002" s="10"/>
      <c r="J1002" s="10"/>
      <c r="K1002" s="10"/>
    </row>
    <row r="1003" spans="1:11" x14ac:dyDescent="0.45">
      <c r="A1003" s="10">
        <v>286</v>
      </c>
      <c r="B1003" s="10">
        <v>431</v>
      </c>
      <c r="C10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3" s="10"/>
      <c r="E1003" s="10"/>
      <c r="F10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3" s="11"/>
      <c r="I1003" s="10"/>
      <c r="J1003" s="10"/>
      <c r="K1003" s="10"/>
    </row>
    <row r="1004" spans="1:11" x14ac:dyDescent="0.45">
      <c r="A1004" s="10">
        <v>288</v>
      </c>
      <c r="B1004" s="10">
        <v>634</v>
      </c>
      <c r="C10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4" s="10"/>
      <c r="E1004" s="10"/>
      <c r="F100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4" s="11"/>
      <c r="I1004" s="10"/>
      <c r="J1004" s="10"/>
      <c r="K1004" s="10"/>
    </row>
    <row r="1005" spans="1:11" x14ac:dyDescent="0.45">
      <c r="A1005" s="10">
        <v>289</v>
      </c>
      <c r="B1005" s="10">
        <v>373</v>
      </c>
      <c r="C10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5" s="10"/>
      <c r="E1005" s="10"/>
      <c r="F100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5" s="11"/>
      <c r="I1005" s="10"/>
      <c r="J1005" s="10"/>
      <c r="K1005" s="10"/>
    </row>
    <row r="1006" spans="1:11" x14ac:dyDescent="0.45">
      <c r="A1006" s="10">
        <v>288</v>
      </c>
      <c r="B1006" s="10">
        <v>223</v>
      </c>
      <c r="C10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6" s="10"/>
      <c r="E1006" s="10"/>
      <c r="F100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6" s="11"/>
      <c r="I1006" s="10"/>
      <c r="J1006" s="10"/>
      <c r="K1006" s="10"/>
    </row>
    <row r="1007" spans="1:11" x14ac:dyDescent="0.45">
      <c r="A1007" s="10">
        <v>289</v>
      </c>
      <c r="B1007" s="10">
        <v>223</v>
      </c>
      <c r="C10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7" s="10"/>
      <c r="E1007" s="10"/>
      <c r="F100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7" s="11"/>
      <c r="I1007" s="10"/>
      <c r="J1007" s="10"/>
      <c r="K1007" s="10"/>
    </row>
    <row r="1008" spans="1:11" x14ac:dyDescent="0.45">
      <c r="A1008" s="10">
        <v>289</v>
      </c>
      <c r="B1008" s="10">
        <v>634</v>
      </c>
      <c r="C10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8" s="10"/>
      <c r="E1008" s="10"/>
      <c r="F100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8" s="11"/>
      <c r="I1008" s="10"/>
      <c r="J1008" s="10"/>
      <c r="K1008" s="10"/>
    </row>
    <row r="1009" spans="1:11" x14ac:dyDescent="0.45">
      <c r="A1009" s="10">
        <v>288</v>
      </c>
      <c r="B1009" s="10">
        <v>373</v>
      </c>
      <c r="C10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09" s="10"/>
      <c r="E1009" s="10"/>
      <c r="F100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0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09" s="11"/>
      <c r="I1009" s="10"/>
      <c r="J1009" s="10"/>
      <c r="K1009" s="10"/>
    </row>
    <row r="1010" spans="1:11" x14ac:dyDescent="0.45">
      <c r="A1010" s="10">
        <v>289</v>
      </c>
      <c r="B1010" s="10">
        <v>404</v>
      </c>
      <c r="C10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0" s="10"/>
      <c r="E1010" s="10"/>
      <c r="F101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0" s="11"/>
      <c r="I1010" s="10"/>
      <c r="J1010" s="10"/>
      <c r="K1010" s="10"/>
    </row>
    <row r="1011" spans="1:11" x14ac:dyDescent="0.45">
      <c r="A1011" s="10">
        <v>288</v>
      </c>
      <c r="B1011" s="10">
        <v>404</v>
      </c>
      <c r="C10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1" s="10"/>
      <c r="E1011" s="10"/>
      <c r="F101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1" s="11"/>
      <c r="I1011" s="10"/>
      <c r="J1011" s="10"/>
      <c r="K1011" s="10"/>
    </row>
    <row r="1012" spans="1:11" x14ac:dyDescent="0.45">
      <c r="A1012" s="10">
        <v>291</v>
      </c>
      <c r="B1012" s="10">
        <v>333</v>
      </c>
      <c r="C10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2" s="10"/>
      <c r="E1012" s="10"/>
      <c r="F101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2" s="11"/>
      <c r="I1012" s="10"/>
      <c r="J1012" s="10"/>
      <c r="K1012" s="10"/>
    </row>
    <row r="1013" spans="1:11" x14ac:dyDescent="0.45">
      <c r="A1013" s="10">
        <v>291</v>
      </c>
      <c r="B1013" s="10">
        <v>5</v>
      </c>
      <c r="C10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3" s="10"/>
      <c r="E1013" s="10"/>
      <c r="F101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3" s="11"/>
      <c r="I1013" s="10"/>
      <c r="J1013" s="10"/>
      <c r="K1013" s="10"/>
    </row>
    <row r="1014" spans="1:11" x14ac:dyDescent="0.45">
      <c r="A1014" s="10">
        <v>290</v>
      </c>
      <c r="B1014" s="10">
        <v>636</v>
      </c>
      <c r="C10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4" s="10"/>
      <c r="E1014" s="10"/>
      <c r="F101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4" s="11"/>
      <c r="I1014" s="10"/>
      <c r="J1014" s="10"/>
      <c r="K1014" s="10"/>
    </row>
    <row r="1015" spans="1:11" x14ac:dyDescent="0.45">
      <c r="A1015" s="10">
        <v>291</v>
      </c>
      <c r="B1015" s="10">
        <v>636</v>
      </c>
      <c r="C10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5" s="10"/>
      <c r="E1015" s="10"/>
      <c r="F101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5" s="11"/>
      <c r="I1015" s="10"/>
      <c r="J1015" s="10"/>
      <c r="K1015" s="10"/>
    </row>
    <row r="1016" spans="1:11" x14ac:dyDescent="0.45">
      <c r="A1016" s="10">
        <v>291</v>
      </c>
      <c r="B1016" s="10">
        <v>651</v>
      </c>
      <c r="C10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6" s="10"/>
      <c r="E1016" s="10"/>
      <c r="F101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6" s="11"/>
      <c r="I1016" s="10"/>
      <c r="J1016" s="10"/>
      <c r="K1016" s="10"/>
    </row>
    <row r="1017" spans="1:11" x14ac:dyDescent="0.45">
      <c r="A1017" s="10">
        <v>290</v>
      </c>
      <c r="B1017" s="10">
        <v>651</v>
      </c>
      <c r="C10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7" s="10"/>
      <c r="E1017" s="10"/>
      <c r="F101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7" s="11"/>
      <c r="I1017" s="10"/>
      <c r="J1017" s="10"/>
      <c r="K1017" s="10"/>
    </row>
    <row r="1018" spans="1:11" x14ac:dyDescent="0.45">
      <c r="A1018" s="10">
        <v>290</v>
      </c>
      <c r="B1018" s="10">
        <v>333</v>
      </c>
      <c r="C10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8" s="10"/>
      <c r="E1018" s="10"/>
      <c r="F101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8" s="11"/>
      <c r="I1018" s="10"/>
      <c r="J1018" s="10"/>
      <c r="K1018" s="10"/>
    </row>
    <row r="1019" spans="1:11" x14ac:dyDescent="0.45">
      <c r="A1019" s="10">
        <v>290</v>
      </c>
      <c r="B1019" s="10">
        <v>5</v>
      </c>
      <c r="C10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19" s="10"/>
      <c r="E1019" s="10"/>
      <c r="F101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1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19" s="11"/>
      <c r="I1019" s="10"/>
      <c r="J1019" s="10"/>
      <c r="K1019" s="10"/>
    </row>
    <row r="1020" spans="1:11" x14ac:dyDescent="0.45">
      <c r="A1020" s="10">
        <v>292</v>
      </c>
      <c r="B1020" s="10">
        <v>59</v>
      </c>
      <c r="C10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0" s="10"/>
      <c r="E1020" s="10"/>
      <c r="F102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0" s="11"/>
      <c r="I1020" s="10"/>
      <c r="J1020" s="10"/>
      <c r="K1020" s="10"/>
    </row>
    <row r="1021" spans="1:11" x14ac:dyDescent="0.45">
      <c r="A1021" s="10">
        <v>293</v>
      </c>
      <c r="B1021" s="10">
        <v>59</v>
      </c>
      <c r="C10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1" s="10"/>
      <c r="E1021" s="10"/>
      <c r="F102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1" s="11"/>
      <c r="I1021" s="10"/>
      <c r="J1021" s="10"/>
      <c r="K1021" s="10"/>
    </row>
    <row r="1022" spans="1:11" x14ac:dyDescent="0.45">
      <c r="A1022" s="10">
        <v>292</v>
      </c>
      <c r="B1022" s="10">
        <v>576</v>
      </c>
      <c r="C10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2" s="10"/>
      <c r="E1022" s="10"/>
      <c r="F102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2" s="11"/>
      <c r="I1022" s="10"/>
      <c r="J1022" s="10"/>
      <c r="K1022" s="10"/>
    </row>
    <row r="1023" spans="1:11" x14ac:dyDescent="0.45">
      <c r="A1023" s="10">
        <v>293</v>
      </c>
      <c r="B1023" s="10">
        <v>524</v>
      </c>
      <c r="C10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3" s="10"/>
      <c r="E1023" s="10"/>
      <c r="F102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3" s="11"/>
      <c r="I1023" s="10"/>
      <c r="J1023" s="10"/>
      <c r="K1023" s="10"/>
    </row>
    <row r="1024" spans="1:11" x14ac:dyDescent="0.45">
      <c r="A1024" s="10">
        <v>293</v>
      </c>
      <c r="B1024" s="10">
        <v>576</v>
      </c>
      <c r="C10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4" s="10"/>
      <c r="E1024" s="10"/>
      <c r="F102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4" s="11"/>
      <c r="I1024" s="10"/>
      <c r="J1024" s="10"/>
      <c r="K1024" s="10"/>
    </row>
    <row r="1025" spans="1:11" x14ac:dyDescent="0.45">
      <c r="A1025" s="10">
        <v>292</v>
      </c>
      <c r="B1025" s="10">
        <v>524</v>
      </c>
      <c r="C10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5" s="10"/>
      <c r="E1025" s="10"/>
      <c r="F102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5" s="11"/>
      <c r="I1025" s="10"/>
      <c r="J1025" s="10"/>
      <c r="K1025" s="10"/>
    </row>
    <row r="1026" spans="1:11" x14ac:dyDescent="0.45">
      <c r="A1026" s="10">
        <v>294</v>
      </c>
      <c r="B1026" s="10">
        <v>64</v>
      </c>
      <c r="C10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6" s="10"/>
      <c r="E1026" s="10"/>
      <c r="F102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6" s="11"/>
      <c r="I1026" s="10"/>
      <c r="J1026" s="10"/>
      <c r="K1026" s="10"/>
    </row>
    <row r="1027" spans="1:11" x14ac:dyDescent="0.45">
      <c r="A1027" s="10">
        <v>294</v>
      </c>
      <c r="B1027" s="10">
        <v>515</v>
      </c>
      <c r="C10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7" s="10"/>
      <c r="E1027" s="10"/>
      <c r="F102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7" s="11"/>
      <c r="I1027" s="10"/>
      <c r="J1027" s="10"/>
      <c r="K1027" s="10"/>
    </row>
    <row r="1028" spans="1:11" x14ac:dyDescent="0.45">
      <c r="A1028" s="10">
        <v>294</v>
      </c>
      <c r="B1028" s="10">
        <v>321</v>
      </c>
      <c r="C10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8" s="10"/>
      <c r="E1028" s="10"/>
      <c r="F102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8" s="11"/>
      <c r="I1028" s="10"/>
      <c r="J1028" s="10"/>
      <c r="K1028" s="10"/>
    </row>
    <row r="1029" spans="1:11" x14ac:dyDescent="0.45">
      <c r="A1029" s="10">
        <v>294</v>
      </c>
      <c r="B1029" s="10">
        <v>98</v>
      </c>
      <c r="C10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29" s="10"/>
      <c r="E1029" s="10"/>
      <c r="F10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29" s="11"/>
      <c r="I1029" s="10"/>
      <c r="J1029" s="10"/>
      <c r="K1029" s="10"/>
    </row>
    <row r="1030" spans="1:11" x14ac:dyDescent="0.45">
      <c r="A1030" s="10">
        <v>295</v>
      </c>
      <c r="B1030" s="10">
        <v>515</v>
      </c>
      <c r="C10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0" s="10"/>
      <c r="E1030" s="10"/>
      <c r="F103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0" s="11"/>
      <c r="I1030" s="10"/>
      <c r="J1030" s="10"/>
      <c r="K1030" s="10"/>
    </row>
    <row r="1031" spans="1:11" x14ac:dyDescent="0.45">
      <c r="A1031" s="10">
        <v>295</v>
      </c>
      <c r="B1031" s="10">
        <v>64</v>
      </c>
      <c r="C10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1" s="10"/>
      <c r="E1031" s="10"/>
      <c r="F103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1" s="11"/>
      <c r="I1031" s="10"/>
      <c r="J1031" s="10"/>
      <c r="K1031" s="10"/>
    </row>
    <row r="1032" spans="1:11" x14ac:dyDescent="0.45">
      <c r="A1032" s="10">
        <v>295</v>
      </c>
      <c r="B1032" s="10">
        <v>321</v>
      </c>
      <c r="C10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2" s="10"/>
      <c r="E1032" s="10"/>
      <c r="F103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2" s="11"/>
      <c r="I1032" s="10"/>
      <c r="J1032" s="10"/>
      <c r="K1032" s="10"/>
    </row>
    <row r="1033" spans="1:11" x14ac:dyDescent="0.45">
      <c r="A1033" s="10">
        <v>295</v>
      </c>
      <c r="B1033" s="10">
        <v>98</v>
      </c>
      <c r="C10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3" s="10"/>
      <c r="E1033" s="10"/>
      <c r="F103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3" s="11"/>
      <c r="I1033" s="10"/>
      <c r="J1033" s="10"/>
      <c r="K1033" s="10"/>
    </row>
    <row r="1034" spans="1:11" x14ac:dyDescent="0.45">
      <c r="A1034" s="10">
        <v>296</v>
      </c>
      <c r="B1034" s="10">
        <v>33</v>
      </c>
      <c r="C10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4" s="10"/>
      <c r="E1034" s="10"/>
      <c r="F103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4" s="11"/>
      <c r="I1034" s="10"/>
      <c r="J1034" s="10"/>
      <c r="K1034" s="10"/>
    </row>
    <row r="1035" spans="1:11" x14ac:dyDescent="0.45">
      <c r="A1035" s="10">
        <v>297</v>
      </c>
      <c r="B1035" s="10">
        <v>557</v>
      </c>
      <c r="C10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5" s="10"/>
      <c r="E1035" s="10"/>
      <c r="F103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5" s="11"/>
      <c r="I1035" s="10"/>
      <c r="J1035" s="10"/>
      <c r="K1035" s="10"/>
    </row>
    <row r="1036" spans="1:11" x14ac:dyDescent="0.45">
      <c r="A1036" s="10">
        <v>296</v>
      </c>
      <c r="B1036" s="10">
        <v>557</v>
      </c>
      <c r="C10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6" s="10"/>
      <c r="E1036" s="10"/>
      <c r="F103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6" s="11"/>
      <c r="I1036" s="10"/>
      <c r="J1036" s="10"/>
      <c r="K1036" s="10"/>
    </row>
    <row r="1037" spans="1:11" x14ac:dyDescent="0.45">
      <c r="A1037" s="10">
        <v>296</v>
      </c>
      <c r="B1037" s="10">
        <v>87</v>
      </c>
      <c r="C10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7" s="10"/>
      <c r="E1037" s="10"/>
      <c r="F10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7" s="11"/>
      <c r="I1037" s="10"/>
      <c r="J1037" s="10"/>
      <c r="K1037" s="10"/>
    </row>
    <row r="1038" spans="1:11" x14ac:dyDescent="0.45">
      <c r="A1038" s="10">
        <v>296</v>
      </c>
      <c r="B1038" s="10">
        <v>282</v>
      </c>
      <c r="C10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8" s="10"/>
      <c r="E1038" s="10"/>
      <c r="F103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8" s="11"/>
      <c r="I1038" s="10"/>
      <c r="J1038" s="10"/>
      <c r="K1038" s="10"/>
    </row>
    <row r="1039" spans="1:11" x14ac:dyDescent="0.45">
      <c r="A1039" s="10">
        <v>297</v>
      </c>
      <c r="B1039" s="10">
        <v>33</v>
      </c>
      <c r="C10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39" s="10"/>
      <c r="E1039" s="10"/>
      <c r="F103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3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39" s="11"/>
      <c r="I1039" s="10"/>
      <c r="J1039" s="10"/>
      <c r="K1039" s="10"/>
    </row>
    <row r="1040" spans="1:11" x14ac:dyDescent="0.45">
      <c r="A1040" s="10">
        <v>297</v>
      </c>
      <c r="B1040" s="10">
        <v>87</v>
      </c>
      <c r="C10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0" s="10"/>
      <c r="E1040" s="10"/>
      <c r="F104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0" s="11"/>
      <c r="I1040" s="10"/>
      <c r="J1040" s="10"/>
      <c r="K1040" s="10"/>
    </row>
    <row r="1041" spans="1:11" x14ac:dyDescent="0.45">
      <c r="A1041" s="10">
        <v>297</v>
      </c>
      <c r="B1041" s="10">
        <v>282</v>
      </c>
      <c r="C10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1" s="10"/>
      <c r="E1041" s="10"/>
      <c r="F104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1" s="11"/>
      <c r="I1041" s="10"/>
      <c r="J1041" s="10"/>
      <c r="K1041" s="10"/>
    </row>
    <row r="1042" spans="1:11" x14ac:dyDescent="0.45">
      <c r="A1042" s="10">
        <v>298</v>
      </c>
      <c r="B1042" s="10">
        <v>425</v>
      </c>
      <c r="C10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2" s="10"/>
      <c r="E1042" s="10"/>
      <c r="F104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2" s="11"/>
      <c r="I1042" s="10"/>
      <c r="J1042" s="10"/>
      <c r="K1042" s="10"/>
    </row>
    <row r="1043" spans="1:11" x14ac:dyDescent="0.45">
      <c r="A1043" s="10">
        <v>298</v>
      </c>
      <c r="B1043" s="10">
        <v>448</v>
      </c>
      <c r="C10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3" s="10"/>
      <c r="E1043" s="10"/>
      <c r="F104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3" s="11"/>
      <c r="I1043" s="10"/>
      <c r="J1043" s="10"/>
      <c r="K1043" s="10"/>
    </row>
    <row r="1044" spans="1:11" x14ac:dyDescent="0.45">
      <c r="A1044" s="10">
        <v>299</v>
      </c>
      <c r="B1044" s="10">
        <v>425</v>
      </c>
      <c r="C10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4" s="10"/>
      <c r="E1044" s="10"/>
      <c r="F104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4" s="11"/>
      <c r="I1044" s="10"/>
      <c r="J1044" s="10"/>
      <c r="K1044" s="10"/>
    </row>
    <row r="1045" spans="1:11" x14ac:dyDescent="0.45">
      <c r="A1045" s="10">
        <v>298</v>
      </c>
      <c r="B1045" s="10">
        <v>503</v>
      </c>
      <c r="C10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5" s="10"/>
      <c r="E1045" s="10"/>
      <c r="F104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5" s="11"/>
      <c r="I1045" s="10"/>
      <c r="J1045" s="10"/>
      <c r="K1045" s="10"/>
    </row>
    <row r="1046" spans="1:11" x14ac:dyDescent="0.45">
      <c r="A1046" s="10">
        <v>299</v>
      </c>
      <c r="B1046" s="10">
        <v>503</v>
      </c>
      <c r="C10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6" s="10"/>
      <c r="E1046" s="10"/>
      <c r="F104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6" s="11"/>
      <c r="I1046" s="10"/>
      <c r="J1046" s="10"/>
      <c r="K1046" s="10"/>
    </row>
    <row r="1047" spans="1:11" x14ac:dyDescent="0.45">
      <c r="A1047" s="10">
        <v>299</v>
      </c>
      <c r="B1047" s="10">
        <v>448</v>
      </c>
      <c r="C10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7" s="10"/>
      <c r="E1047" s="10"/>
      <c r="F104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7" s="11"/>
      <c r="I1047" s="10"/>
      <c r="J1047" s="10"/>
      <c r="K1047" s="10"/>
    </row>
    <row r="1048" spans="1:11" x14ac:dyDescent="0.45">
      <c r="A1048" s="10">
        <v>301</v>
      </c>
      <c r="B1048" s="10">
        <v>619</v>
      </c>
      <c r="C10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8" s="10"/>
      <c r="E1048" s="10"/>
      <c r="F104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8" s="11"/>
      <c r="I1048" s="10"/>
      <c r="J1048" s="10"/>
      <c r="K1048" s="10"/>
    </row>
    <row r="1049" spans="1:11" x14ac:dyDescent="0.45">
      <c r="A1049" s="10">
        <v>300</v>
      </c>
      <c r="B1049" s="10">
        <v>619</v>
      </c>
      <c r="C10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49" s="10"/>
      <c r="E1049" s="10"/>
      <c r="F104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4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49" s="11"/>
      <c r="I1049" s="10"/>
      <c r="J1049" s="10"/>
      <c r="K1049" s="10"/>
    </row>
    <row r="1050" spans="1:11" x14ac:dyDescent="0.45">
      <c r="A1050" s="10">
        <v>300</v>
      </c>
      <c r="B1050" s="10">
        <v>145</v>
      </c>
      <c r="C10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0" s="10"/>
      <c r="E1050" s="10"/>
      <c r="F105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0" s="11"/>
      <c r="I1050" s="10"/>
      <c r="J1050" s="10"/>
      <c r="K1050" s="10"/>
    </row>
    <row r="1051" spans="1:11" x14ac:dyDescent="0.45">
      <c r="A1051" s="10">
        <v>301</v>
      </c>
      <c r="B1051" s="10">
        <v>145</v>
      </c>
      <c r="C10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1" s="10"/>
      <c r="E1051" s="10"/>
      <c r="F105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1" s="11"/>
      <c r="I1051" s="10"/>
      <c r="J1051" s="10"/>
      <c r="K1051" s="10"/>
    </row>
    <row r="1052" spans="1:11" x14ac:dyDescent="0.45">
      <c r="A1052" s="10">
        <v>301</v>
      </c>
      <c r="B1052" s="10">
        <v>243</v>
      </c>
      <c r="C10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2" s="10"/>
      <c r="E1052" s="10"/>
      <c r="F105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2" s="11"/>
      <c r="I1052" s="10"/>
      <c r="J1052" s="10"/>
      <c r="K1052" s="10"/>
    </row>
    <row r="1053" spans="1:11" x14ac:dyDescent="0.45">
      <c r="A1053" s="10">
        <v>300</v>
      </c>
      <c r="B1053" s="10">
        <v>243</v>
      </c>
      <c r="C10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3" s="10"/>
      <c r="E1053" s="10"/>
      <c r="F105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3" s="11"/>
      <c r="I1053" s="10"/>
      <c r="J1053" s="10"/>
      <c r="K1053" s="10"/>
    </row>
    <row r="1054" spans="1:11" x14ac:dyDescent="0.45">
      <c r="A1054" s="10">
        <v>303</v>
      </c>
      <c r="B1054" s="10">
        <v>352</v>
      </c>
      <c r="C10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4" s="10"/>
      <c r="E1054" s="10"/>
      <c r="F105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4" s="11"/>
      <c r="I1054" s="10"/>
      <c r="J1054" s="10"/>
      <c r="K1054" s="10"/>
    </row>
    <row r="1055" spans="1:11" x14ac:dyDescent="0.45">
      <c r="A1055" s="10">
        <v>303</v>
      </c>
      <c r="B1055" s="10">
        <v>318</v>
      </c>
      <c r="C10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5" s="10"/>
      <c r="E1055" s="10"/>
      <c r="F105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5" s="11"/>
      <c r="I1055" s="10"/>
      <c r="J1055" s="10"/>
      <c r="K1055" s="10"/>
    </row>
    <row r="1056" spans="1:11" x14ac:dyDescent="0.45">
      <c r="A1056" s="10">
        <v>302</v>
      </c>
      <c r="B1056" s="10">
        <v>318</v>
      </c>
      <c r="C10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6" s="10"/>
      <c r="E1056" s="10"/>
      <c r="F105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6" s="11"/>
      <c r="I1056" s="10"/>
      <c r="J1056" s="10"/>
      <c r="K1056" s="10"/>
    </row>
    <row r="1057" spans="1:11" x14ac:dyDescent="0.45">
      <c r="A1057" s="10">
        <v>302</v>
      </c>
      <c r="B1057" s="10">
        <v>352</v>
      </c>
      <c r="C10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7" s="10"/>
      <c r="E1057" s="10"/>
      <c r="F105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7" s="11"/>
      <c r="I1057" s="10"/>
      <c r="J1057" s="10"/>
      <c r="K1057" s="10"/>
    </row>
    <row r="1058" spans="1:11" x14ac:dyDescent="0.45">
      <c r="A1058" s="10">
        <v>302</v>
      </c>
      <c r="B1058" s="10">
        <v>573</v>
      </c>
      <c r="C10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8" s="10"/>
      <c r="E1058" s="10"/>
      <c r="F105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8" s="11"/>
      <c r="I1058" s="10"/>
      <c r="J1058" s="10"/>
      <c r="K1058" s="10"/>
    </row>
    <row r="1059" spans="1:11" x14ac:dyDescent="0.45">
      <c r="A1059" s="10">
        <v>302</v>
      </c>
      <c r="B1059" s="10">
        <v>673</v>
      </c>
      <c r="C10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59" s="10"/>
      <c r="E1059" s="10"/>
      <c r="F105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5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59" s="11"/>
      <c r="I1059" s="10"/>
      <c r="J1059" s="10"/>
      <c r="K1059" s="10"/>
    </row>
    <row r="1060" spans="1:11" x14ac:dyDescent="0.45">
      <c r="A1060" s="10">
        <v>303</v>
      </c>
      <c r="B1060" s="10">
        <v>573</v>
      </c>
      <c r="C10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0" s="10"/>
      <c r="E1060" s="10"/>
      <c r="F106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0" s="11"/>
      <c r="I1060" s="10"/>
      <c r="J1060" s="10"/>
      <c r="K1060" s="10"/>
    </row>
    <row r="1061" spans="1:11" x14ac:dyDescent="0.45">
      <c r="A1061" s="10">
        <v>303</v>
      </c>
      <c r="B1061" s="10">
        <v>673</v>
      </c>
      <c r="C10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1" s="10"/>
      <c r="E1061" s="10"/>
      <c r="F106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1" s="11"/>
      <c r="I1061" s="10"/>
      <c r="J1061" s="10"/>
      <c r="K1061" s="10"/>
    </row>
    <row r="1062" spans="1:11" x14ac:dyDescent="0.45">
      <c r="A1062" s="10">
        <v>304</v>
      </c>
      <c r="B1062" s="10">
        <v>323</v>
      </c>
      <c r="C10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2" s="10"/>
      <c r="E1062" s="10"/>
      <c r="F106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2" s="11"/>
      <c r="I1062" s="10"/>
      <c r="J1062" s="10"/>
      <c r="K1062" s="10"/>
    </row>
    <row r="1063" spans="1:11" x14ac:dyDescent="0.45">
      <c r="A1063" s="10">
        <v>304</v>
      </c>
      <c r="B1063" s="10">
        <v>672</v>
      </c>
      <c r="C10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3" s="10"/>
      <c r="E1063" s="10"/>
      <c r="F10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3" s="11"/>
      <c r="I1063" s="10"/>
      <c r="J1063" s="10"/>
      <c r="K1063" s="10"/>
    </row>
    <row r="1064" spans="1:11" x14ac:dyDescent="0.45">
      <c r="A1064" s="10">
        <v>305</v>
      </c>
      <c r="B1064" s="10">
        <v>672</v>
      </c>
      <c r="C10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4" s="10"/>
      <c r="E1064" s="10"/>
      <c r="F106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4" s="11"/>
      <c r="I1064" s="10"/>
      <c r="J1064" s="10"/>
      <c r="K1064" s="10"/>
    </row>
    <row r="1065" spans="1:11" x14ac:dyDescent="0.45">
      <c r="A1065" s="10">
        <v>304</v>
      </c>
      <c r="B1065" s="10">
        <v>362</v>
      </c>
      <c r="C10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5" s="10"/>
      <c r="E1065" s="10"/>
      <c r="F106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5" s="11"/>
      <c r="I1065" s="10"/>
      <c r="J1065" s="10"/>
      <c r="K1065" s="10"/>
    </row>
    <row r="1066" spans="1:11" x14ac:dyDescent="0.45">
      <c r="A1066" s="10">
        <v>305</v>
      </c>
      <c r="B1066" s="10">
        <v>341</v>
      </c>
      <c r="C10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6" s="10"/>
      <c r="E1066" s="10"/>
      <c r="F106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6" s="11"/>
      <c r="I1066" s="10"/>
      <c r="J1066" s="10"/>
      <c r="K1066" s="10"/>
    </row>
    <row r="1067" spans="1:11" x14ac:dyDescent="0.45">
      <c r="A1067" s="10">
        <v>304</v>
      </c>
      <c r="B1067" s="10">
        <v>341</v>
      </c>
      <c r="C10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7" s="10"/>
      <c r="E1067" s="10"/>
      <c r="F106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7" s="11"/>
      <c r="I1067" s="10"/>
      <c r="J1067" s="10"/>
      <c r="K1067" s="10"/>
    </row>
    <row r="1068" spans="1:11" x14ac:dyDescent="0.45">
      <c r="A1068" s="10">
        <v>305</v>
      </c>
      <c r="B1068" s="10">
        <v>323</v>
      </c>
      <c r="C10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8" s="10"/>
      <c r="E1068" s="10"/>
      <c r="F106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8" s="11"/>
      <c r="I1068" s="10"/>
      <c r="J1068" s="10"/>
      <c r="K1068" s="10"/>
    </row>
    <row r="1069" spans="1:11" x14ac:dyDescent="0.45">
      <c r="A1069" s="10">
        <v>305</v>
      </c>
      <c r="B1069" s="10">
        <v>362</v>
      </c>
      <c r="C10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69" s="10"/>
      <c r="E1069" s="10"/>
      <c r="F106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6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69" s="11"/>
      <c r="I1069" s="10"/>
      <c r="J1069" s="10"/>
      <c r="K1069" s="10"/>
    </row>
    <row r="1070" spans="1:11" x14ac:dyDescent="0.45">
      <c r="A1070" s="10">
        <v>306</v>
      </c>
      <c r="B1070" s="10">
        <v>669</v>
      </c>
      <c r="C10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0" s="10"/>
      <c r="E1070" s="10"/>
      <c r="F107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0" s="11"/>
      <c r="I1070" s="10"/>
      <c r="J1070" s="10"/>
      <c r="K1070" s="10"/>
    </row>
    <row r="1071" spans="1:11" x14ac:dyDescent="0.45">
      <c r="A1071" s="10">
        <v>307</v>
      </c>
      <c r="B1071" s="10">
        <v>527</v>
      </c>
      <c r="C10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1" s="10"/>
      <c r="E1071" s="10"/>
      <c r="F107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1" s="11"/>
      <c r="I1071" s="10"/>
      <c r="J1071" s="10"/>
      <c r="K1071" s="10"/>
    </row>
    <row r="1072" spans="1:11" x14ac:dyDescent="0.45">
      <c r="A1072" s="10">
        <v>307</v>
      </c>
      <c r="B1072" s="10">
        <v>446</v>
      </c>
      <c r="C10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2" s="10"/>
      <c r="E1072" s="10"/>
      <c r="F10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2" s="11"/>
      <c r="I1072" s="10"/>
      <c r="J1072" s="10"/>
      <c r="K1072" s="10"/>
    </row>
    <row r="1073" spans="1:11" x14ac:dyDescent="0.45">
      <c r="A1073" s="10">
        <v>307</v>
      </c>
      <c r="B1073" s="10">
        <v>669</v>
      </c>
      <c r="C10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3" s="10"/>
      <c r="E1073" s="10"/>
      <c r="F107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3" s="11"/>
      <c r="I1073" s="10"/>
      <c r="J1073" s="10"/>
      <c r="K1073" s="10"/>
    </row>
    <row r="1074" spans="1:11" x14ac:dyDescent="0.45">
      <c r="A1074" s="10">
        <v>306</v>
      </c>
      <c r="B1074" s="10">
        <v>103</v>
      </c>
      <c r="C10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4" s="10"/>
      <c r="E1074" s="10"/>
      <c r="F107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4" s="11"/>
      <c r="I1074" s="10"/>
      <c r="J1074" s="10"/>
      <c r="K1074" s="10"/>
    </row>
    <row r="1075" spans="1:11" x14ac:dyDescent="0.45">
      <c r="A1075" s="10">
        <v>306</v>
      </c>
      <c r="B1075" s="10">
        <v>527</v>
      </c>
      <c r="C10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5" s="10"/>
      <c r="E1075" s="10"/>
      <c r="F107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5" s="11"/>
      <c r="I1075" s="10"/>
      <c r="J1075" s="10"/>
      <c r="K1075" s="10"/>
    </row>
    <row r="1076" spans="1:11" x14ac:dyDescent="0.45">
      <c r="A1076" s="10">
        <v>307</v>
      </c>
      <c r="B1076" s="10">
        <v>103</v>
      </c>
      <c r="C10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6" s="10"/>
      <c r="E1076" s="10"/>
      <c r="F107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6" s="11"/>
      <c r="I1076" s="10"/>
      <c r="J1076" s="10"/>
      <c r="K1076" s="10"/>
    </row>
    <row r="1077" spans="1:11" x14ac:dyDescent="0.45">
      <c r="A1077" s="10">
        <v>306</v>
      </c>
      <c r="B1077" s="10">
        <v>446</v>
      </c>
      <c r="C10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7" s="10"/>
      <c r="E1077" s="10"/>
      <c r="F107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7" s="11"/>
      <c r="I1077" s="10"/>
      <c r="J1077" s="10"/>
      <c r="K1077" s="10"/>
    </row>
    <row r="1078" spans="1:11" x14ac:dyDescent="0.45">
      <c r="A1078" s="10">
        <v>308</v>
      </c>
      <c r="B1078" s="10">
        <v>382</v>
      </c>
      <c r="C10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8" s="10"/>
      <c r="E1078" s="10"/>
      <c r="F107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8" s="11"/>
      <c r="I1078" s="10"/>
      <c r="J1078" s="10"/>
      <c r="K1078" s="10"/>
    </row>
    <row r="1079" spans="1:11" x14ac:dyDescent="0.45">
      <c r="A1079" s="10">
        <v>309</v>
      </c>
      <c r="B1079" s="10">
        <v>382</v>
      </c>
      <c r="C10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79" s="10"/>
      <c r="E1079" s="10"/>
      <c r="F107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7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79" s="11"/>
      <c r="I1079" s="10"/>
      <c r="J1079" s="10"/>
      <c r="K1079" s="10"/>
    </row>
    <row r="1080" spans="1:11" x14ac:dyDescent="0.45">
      <c r="A1080" s="10">
        <v>310</v>
      </c>
      <c r="B1080" s="10">
        <v>517</v>
      </c>
      <c r="C10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0" s="10"/>
      <c r="E1080" s="10"/>
      <c r="F108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0" s="11"/>
      <c r="I1080" s="10"/>
      <c r="J1080" s="10"/>
      <c r="K1080" s="10"/>
    </row>
    <row r="1081" spans="1:11" x14ac:dyDescent="0.45">
      <c r="A1081" s="10">
        <v>310</v>
      </c>
      <c r="B1081" s="10">
        <v>653</v>
      </c>
      <c r="C10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1" s="10"/>
      <c r="E1081" s="10"/>
      <c r="F108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1" s="11"/>
      <c r="I1081" s="10"/>
      <c r="J1081" s="10"/>
      <c r="K1081" s="10"/>
    </row>
    <row r="1082" spans="1:11" x14ac:dyDescent="0.45">
      <c r="A1082" s="10">
        <v>310</v>
      </c>
      <c r="B1082" s="10">
        <v>182</v>
      </c>
      <c r="C10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2" s="10"/>
      <c r="E1082" s="10"/>
      <c r="F108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2" s="11"/>
      <c r="I1082" s="10"/>
      <c r="J1082" s="10"/>
      <c r="K1082" s="10"/>
    </row>
    <row r="1083" spans="1:11" x14ac:dyDescent="0.45">
      <c r="A1083" s="10">
        <v>311</v>
      </c>
      <c r="B1083" s="10">
        <v>517</v>
      </c>
      <c r="C10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3" s="10"/>
      <c r="E1083" s="10"/>
      <c r="F108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3" s="11"/>
      <c r="I1083" s="10"/>
      <c r="J1083" s="10"/>
      <c r="K1083" s="10"/>
    </row>
    <row r="1084" spans="1:11" x14ac:dyDescent="0.45">
      <c r="A1084" s="10">
        <v>311</v>
      </c>
      <c r="B1084" s="10">
        <v>653</v>
      </c>
      <c r="C10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4" s="10"/>
      <c r="E1084" s="10"/>
      <c r="F108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4" s="11"/>
      <c r="I1084" s="10"/>
      <c r="J1084" s="10"/>
      <c r="K1084" s="10"/>
    </row>
    <row r="1085" spans="1:11" x14ac:dyDescent="0.45">
      <c r="A1085" s="10">
        <v>311</v>
      </c>
      <c r="B1085" s="10">
        <v>182</v>
      </c>
      <c r="C10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5" s="10"/>
      <c r="E1085" s="10"/>
      <c r="F108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5" s="11"/>
      <c r="I1085" s="10"/>
      <c r="J1085" s="10"/>
      <c r="K1085" s="10"/>
    </row>
    <row r="1086" spans="1:11" x14ac:dyDescent="0.45">
      <c r="A1086" s="10">
        <v>311</v>
      </c>
      <c r="B1086" s="10">
        <v>30</v>
      </c>
      <c r="C10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6" s="10"/>
      <c r="E1086" s="10"/>
      <c r="F10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6" s="11"/>
      <c r="I1086" s="10"/>
      <c r="J1086" s="10"/>
      <c r="K1086" s="10"/>
    </row>
    <row r="1087" spans="1:11" x14ac:dyDescent="0.45">
      <c r="A1087" s="10">
        <v>311</v>
      </c>
      <c r="B1087" s="10">
        <v>250</v>
      </c>
      <c r="C10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7" s="10"/>
      <c r="E1087" s="10"/>
      <c r="F108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7" s="11"/>
      <c r="I1087" s="10"/>
      <c r="J1087" s="10"/>
      <c r="K1087" s="10"/>
    </row>
    <row r="1088" spans="1:11" x14ac:dyDescent="0.45">
      <c r="A1088" s="10">
        <v>310</v>
      </c>
      <c r="B1088" s="10">
        <v>30</v>
      </c>
      <c r="C10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8" s="10"/>
      <c r="E1088" s="10"/>
      <c r="F108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8" s="11"/>
      <c r="I1088" s="10"/>
      <c r="J1088" s="10"/>
      <c r="K1088" s="10"/>
    </row>
    <row r="1089" spans="1:11" x14ac:dyDescent="0.45">
      <c r="A1089" s="10">
        <v>310</v>
      </c>
      <c r="B1089" s="10">
        <v>250</v>
      </c>
      <c r="C10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89" s="10"/>
      <c r="E1089" s="10"/>
      <c r="F108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8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89" s="11"/>
      <c r="I1089" s="10"/>
      <c r="J1089" s="10"/>
      <c r="K1089" s="10"/>
    </row>
    <row r="1090" spans="1:11" x14ac:dyDescent="0.45">
      <c r="A1090" s="10">
        <v>311</v>
      </c>
      <c r="B1090" s="10">
        <v>536</v>
      </c>
      <c r="C10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0" s="10"/>
      <c r="E1090" s="10"/>
      <c r="F109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0" s="11"/>
      <c r="I1090" s="10"/>
      <c r="J1090" s="10"/>
      <c r="K1090" s="10"/>
    </row>
    <row r="1091" spans="1:11" x14ac:dyDescent="0.45">
      <c r="A1091" s="10">
        <v>310</v>
      </c>
      <c r="B1091" s="10">
        <v>536</v>
      </c>
      <c r="C10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1" s="10"/>
      <c r="E1091" s="10"/>
      <c r="F109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1" s="11"/>
      <c r="I1091" s="10"/>
      <c r="J1091" s="10"/>
      <c r="K1091" s="10"/>
    </row>
    <row r="1092" spans="1:11" x14ac:dyDescent="0.45">
      <c r="A1092" s="10">
        <v>313</v>
      </c>
      <c r="B1092" s="10">
        <v>602</v>
      </c>
      <c r="C10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2" s="10"/>
      <c r="E1092" s="10"/>
      <c r="F109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2" s="11"/>
      <c r="I1092" s="10"/>
      <c r="J1092" s="10"/>
      <c r="K1092" s="10"/>
    </row>
    <row r="1093" spans="1:11" x14ac:dyDescent="0.45">
      <c r="A1093" s="10">
        <v>312</v>
      </c>
      <c r="B1093" s="10">
        <v>372</v>
      </c>
      <c r="C10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3" s="10"/>
      <c r="E1093" s="10"/>
      <c r="F109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3" s="11"/>
      <c r="I1093" s="10"/>
      <c r="J1093" s="10"/>
      <c r="K1093" s="10"/>
    </row>
    <row r="1094" spans="1:11" x14ac:dyDescent="0.45">
      <c r="A1094" s="10">
        <v>313</v>
      </c>
      <c r="B1094" s="10">
        <v>372</v>
      </c>
      <c r="C10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4" s="10"/>
      <c r="E1094" s="10"/>
      <c r="F109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4" s="11"/>
      <c r="I1094" s="10"/>
      <c r="J1094" s="10"/>
      <c r="K1094" s="10"/>
    </row>
    <row r="1095" spans="1:11" x14ac:dyDescent="0.45">
      <c r="A1095" s="10">
        <v>312</v>
      </c>
      <c r="B1095" s="10">
        <v>602</v>
      </c>
      <c r="C10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5" s="10"/>
      <c r="E1095" s="10"/>
      <c r="F109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5" s="11"/>
      <c r="I1095" s="10"/>
      <c r="J1095" s="10"/>
      <c r="K1095" s="10"/>
    </row>
    <row r="1096" spans="1:11" x14ac:dyDescent="0.45">
      <c r="A1096" s="10">
        <v>315</v>
      </c>
      <c r="B1096" s="10">
        <v>518</v>
      </c>
      <c r="C10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6" s="10"/>
      <c r="E1096" s="10"/>
      <c r="F109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6" s="11"/>
      <c r="I1096" s="10"/>
      <c r="J1096" s="10"/>
      <c r="K1096" s="10"/>
    </row>
    <row r="1097" spans="1:11" x14ac:dyDescent="0.45">
      <c r="A1097" s="10">
        <v>314</v>
      </c>
      <c r="B1097" s="10">
        <v>263</v>
      </c>
      <c r="C10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7" s="10"/>
      <c r="E1097" s="10"/>
      <c r="F109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7" s="11"/>
      <c r="I1097" s="10"/>
      <c r="J1097" s="10"/>
      <c r="K1097" s="10"/>
    </row>
    <row r="1098" spans="1:11" x14ac:dyDescent="0.45">
      <c r="A1098" s="10">
        <v>314</v>
      </c>
      <c r="B1098" s="10">
        <v>518</v>
      </c>
      <c r="C10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8" s="10"/>
      <c r="E1098" s="10"/>
      <c r="F109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8" s="11"/>
      <c r="I1098" s="10"/>
      <c r="J1098" s="10"/>
      <c r="K1098" s="10"/>
    </row>
    <row r="1099" spans="1:11" x14ac:dyDescent="0.45">
      <c r="A1099" s="10">
        <v>314</v>
      </c>
      <c r="B1099" s="10">
        <v>697</v>
      </c>
      <c r="C10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099" s="10"/>
      <c r="E1099" s="10"/>
      <c r="F109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09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099" s="11"/>
      <c r="I1099" s="10"/>
      <c r="J1099" s="10"/>
      <c r="K1099" s="10"/>
    </row>
    <row r="1100" spans="1:11" x14ac:dyDescent="0.45">
      <c r="A1100" s="10">
        <v>315</v>
      </c>
      <c r="B1100" s="10">
        <v>263</v>
      </c>
      <c r="C11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0" s="10"/>
      <c r="E1100" s="10"/>
      <c r="F11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0" s="11"/>
      <c r="I1100" s="10"/>
      <c r="J1100" s="10"/>
      <c r="K1100" s="10"/>
    </row>
    <row r="1101" spans="1:11" x14ac:dyDescent="0.45">
      <c r="A1101" s="10">
        <v>315</v>
      </c>
      <c r="B1101" s="10">
        <v>534</v>
      </c>
      <c r="C11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1" s="10"/>
      <c r="E1101" s="10"/>
      <c r="F110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1" s="11"/>
      <c r="I1101" s="10"/>
      <c r="J1101" s="10"/>
      <c r="K1101" s="10"/>
    </row>
    <row r="1102" spans="1:11" x14ac:dyDescent="0.45">
      <c r="A1102" s="10">
        <v>314</v>
      </c>
      <c r="B1102" s="10">
        <v>534</v>
      </c>
      <c r="C11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2" s="10"/>
      <c r="E1102" s="10"/>
      <c r="F110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2" s="11"/>
      <c r="I1102" s="10"/>
      <c r="J1102" s="10"/>
      <c r="K1102" s="10"/>
    </row>
    <row r="1103" spans="1:11" x14ac:dyDescent="0.45">
      <c r="A1103" s="10">
        <v>314</v>
      </c>
      <c r="B1103" s="10">
        <v>474</v>
      </c>
      <c r="C11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3" s="10"/>
      <c r="E1103" s="10"/>
      <c r="F11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3" s="11"/>
      <c r="I1103" s="10"/>
      <c r="J1103" s="10"/>
      <c r="K1103" s="10"/>
    </row>
    <row r="1104" spans="1:11" x14ac:dyDescent="0.45">
      <c r="A1104" s="10">
        <v>315</v>
      </c>
      <c r="B1104" s="10">
        <v>474</v>
      </c>
      <c r="C11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4" s="10"/>
      <c r="E1104" s="10"/>
      <c r="F110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4" s="11"/>
      <c r="I1104" s="10"/>
      <c r="J1104" s="10"/>
      <c r="K1104" s="10"/>
    </row>
    <row r="1105" spans="1:11" x14ac:dyDescent="0.45">
      <c r="A1105" s="10">
        <v>315</v>
      </c>
      <c r="B1105" s="10">
        <v>697</v>
      </c>
      <c r="C11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5" s="10"/>
      <c r="E1105" s="10"/>
      <c r="F110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5" s="11"/>
      <c r="I1105" s="10"/>
      <c r="J1105" s="10"/>
      <c r="K1105" s="10"/>
    </row>
    <row r="1106" spans="1:11" x14ac:dyDescent="0.45">
      <c r="A1106" s="10">
        <v>316</v>
      </c>
      <c r="B1106" s="10">
        <v>44</v>
      </c>
      <c r="C11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6" s="10"/>
      <c r="E1106" s="10"/>
      <c r="F110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6" s="11"/>
      <c r="I1106" s="10"/>
      <c r="J1106" s="10"/>
      <c r="K1106" s="10"/>
    </row>
    <row r="1107" spans="1:11" x14ac:dyDescent="0.45">
      <c r="A1107" s="10">
        <v>316</v>
      </c>
      <c r="B1107" s="10">
        <v>222</v>
      </c>
      <c r="C11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7" s="10"/>
      <c r="E1107" s="10"/>
      <c r="F110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7" s="11"/>
      <c r="I1107" s="10"/>
      <c r="J1107" s="10"/>
      <c r="K1107" s="10"/>
    </row>
    <row r="1108" spans="1:11" x14ac:dyDescent="0.45">
      <c r="A1108" s="10">
        <v>316</v>
      </c>
      <c r="B1108" s="10">
        <v>48</v>
      </c>
      <c r="C11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8" s="10"/>
      <c r="E1108" s="10"/>
      <c r="F110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8" s="11"/>
      <c r="I1108" s="10"/>
      <c r="J1108" s="10"/>
      <c r="K1108" s="10"/>
    </row>
    <row r="1109" spans="1:11" x14ac:dyDescent="0.45">
      <c r="A1109" s="10">
        <v>317</v>
      </c>
      <c r="B1109" s="10">
        <v>222</v>
      </c>
      <c r="C11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09" s="10"/>
      <c r="E1109" s="10"/>
      <c r="F110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0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09" s="11"/>
      <c r="I1109" s="10"/>
      <c r="J1109" s="10"/>
      <c r="K1109" s="10"/>
    </row>
    <row r="1110" spans="1:11" x14ac:dyDescent="0.45">
      <c r="A1110" s="10">
        <v>317</v>
      </c>
      <c r="B1110" s="10">
        <v>44</v>
      </c>
      <c r="C11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0" s="10"/>
      <c r="E1110" s="10"/>
      <c r="F111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0" s="11"/>
      <c r="I1110" s="10"/>
      <c r="J1110" s="10"/>
      <c r="K1110" s="10"/>
    </row>
    <row r="1111" spans="1:11" x14ac:dyDescent="0.45">
      <c r="A1111" s="10">
        <v>317</v>
      </c>
      <c r="B1111" s="10">
        <v>48</v>
      </c>
      <c r="C11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1" s="10"/>
      <c r="E1111" s="10"/>
      <c r="F111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1" s="11"/>
      <c r="I1111" s="10"/>
      <c r="J1111" s="10"/>
      <c r="K1111" s="10"/>
    </row>
    <row r="1112" spans="1:11" x14ac:dyDescent="0.45">
      <c r="A1112" s="10">
        <v>318</v>
      </c>
      <c r="B1112" s="10">
        <v>2</v>
      </c>
      <c r="C11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2" s="10"/>
      <c r="E1112" s="10"/>
      <c r="F111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2" s="11"/>
      <c r="I1112" s="10"/>
      <c r="J1112" s="10"/>
      <c r="K1112" s="10"/>
    </row>
    <row r="1113" spans="1:11" x14ac:dyDescent="0.45">
      <c r="A1113" s="10">
        <v>319</v>
      </c>
      <c r="B1113" s="10">
        <v>575</v>
      </c>
      <c r="C11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3" s="10"/>
      <c r="E1113" s="10"/>
      <c r="F111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3" s="11"/>
      <c r="I1113" s="10"/>
      <c r="J1113" s="10"/>
      <c r="K1113" s="10"/>
    </row>
    <row r="1114" spans="1:11" x14ac:dyDescent="0.45">
      <c r="A1114" s="10">
        <v>318</v>
      </c>
      <c r="B1114" s="10">
        <v>26</v>
      </c>
      <c r="C11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4" s="10"/>
      <c r="E1114" s="10"/>
      <c r="F111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4" s="11"/>
      <c r="I1114" s="10"/>
      <c r="J1114" s="10"/>
      <c r="K1114" s="10"/>
    </row>
    <row r="1115" spans="1:11" x14ac:dyDescent="0.45">
      <c r="A1115" s="10">
        <v>319</v>
      </c>
      <c r="B1115" s="10">
        <v>2</v>
      </c>
      <c r="C11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5" s="10"/>
      <c r="E1115" s="10"/>
      <c r="F111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5" s="11"/>
      <c r="I1115" s="10"/>
      <c r="J1115" s="10"/>
      <c r="K1115" s="10"/>
    </row>
    <row r="1116" spans="1:11" x14ac:dyDescent="0.45">
      <c r="A1116" s="10">
        <v>319</v>
      </c>
      <c r="B1116" s="10">
        <v>26</v>
      </c>
      <c r="C11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6" s="10"/>
      <c r="E1116" s="10"/>
      <c r="F111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6" s="11"/>
      <c r="I1116" s="10"/>
      <c r="J1116" s="10"/>
      <c r="K1116" s="10"/>
    </row>
    <row r="1117" spans="1:11" x14ac:dyDescent="0.45">
      <c r="A1117" s="10">
        <v>318</v>
      </c>
      <c r="B1117" s="10">
        <v>385</v>
      </c>
      <c r="C11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7" s="10"/>
      <c r="E1117" s="10"/>
      <c r="F111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7" s="11"/>
      <c r="I1117" s="10"/>
      <c r="J1117" s="10"/>
      <c r="K1117" s="10"/>
    </row>
    <row r="1118" spans="1:11" x14ac:dyDescent="0.45">
      <c r="A1118" s="10">
        <v>319</v>
      </c>
      <c r="B1118" s="10">
        <v>385</v>
      </c>
      <c r="C11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8" s="10"/>
      <c r="E1118" s="10"/>
      <c r="F111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8" s="11"/>
      <c r="I1118" s="10"/>
      <c r="J1118" s="10"/>
      <c r="K1118" s="10"/>
    </row>
    <row r="1119" spans="1:11" x14ac:dyDescent="0.45">
      <c r="A1119" s="10">
        <v>318</v>
      </c>
      <c r="B1119" s="10">
        <v>575</v>
      </c>
      <c r="C11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19" s="10"/>
      <c r="E1119" s="10"/>
      <c r="F111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1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19" s="11"/>
      <c r="I1119" s="10"/>
      <c r="J1119" s="10"/>
      <c r="K1119" s="10"/>
    </row>
    <row r="1120" spans="1:11" x14ac:dyDescent="0.45">
      <c r="A1120" s="10">
        <v>321</v>
      </c>
      <c r="B1120" s="10">
        <v>43</v>
      </c>
      <c r="C11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0" s="10"/>
      <c r="E1120" s="10"/>
      <c r="F112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0" s="11"/>
      <c r="I1120" s="10"/>
      <c r="J1120" s="10"/>
      <c r="K1120" s="10"/>
    </row>
    <row r="1121" spans="1:11" x14ac:dyDescent="0.45">
      <c r="A1121" s="10">
        <v>320</v>
      </c>
      <c r="B1121" s="10">
        <v>43</v>
      </c>
      <c r="C11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1" s="10"/>
      <c r="E1121" s="10"/>
      <c r="F112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1" s="11"/>
      <c r="I1121" s="10"/>
      <c r="J1121" s="10"/>
      <c r="K1121" s="10"/>
    </row>
    <row r="1122" spans="1:11" x14ac:dyDescent="0.45">
      <c r="A1122" s="10">
        <v>323</v>
      </c>
      <c r="B1122" s="10">
        <v>640</v>
      </c>
      <c r="C11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2" s="10"/>
      <c r="E1122" s="10"/>
      <c r="F112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2" s="11"/>
      <c r="I1122" s="10"/>
      <c r="J1122" s="10"/>
      <c r="K1122" s="10"/>
    </row>
    <row r="1123" spans="1:11" x14ac:dyDescent="0.45">
      <c r="A1123" s="10">
        <v>323</v>
      </c>
      <c r="B1123" s="10">
        <v>121</v>
      </c>
      <c r="C11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3" s="10"/>
      <c r="E1123" s="10"/>
      <c r="F112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3" s="11"/>
      <c r="I1123" s="10"/>
      <c r="J1123" s="10"/>
      <c r="K1123" s="10"/>
    </row>
    <row r="1124" spans="1:11" x14ac:dyDescent="0.45">
      <c r="A1124" s="10">
        <v>322</v>
      </c>
      <c r="B1124" s="10">
        <v>640</v>
      </c>
      <c r="C11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4" s="10"/>
      <c r="E1124" s="10"/>
      <c r="F112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4" s="11"/>
      <c r="I1124" s="10"/>
      <c r="J1124" s="10"/>
      <c r="K1124" s="10"/>
    </row>
    <row r="1125" spans="1:11" x14ac:dyDescent="0.45">
      <c r="A1125" s="10">
        <v>322</v>
      </c>
      <c r="B1125" s="10">
        <v>643</v>
      </c>
      <c r="C11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5" s="10"/>
      <c r="E1125" s="10"/>
      <c r="F112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5" s="11"/>
      <c r="I1125" s="10"/>
      <c r="J1125" s="10"/>
      <c r="K1125" s="10"/>
    </row>
    <row r="1126" spans="1:11" x14ac:dyDescent="0.45">
      <c r="A1126" s="10">
        <v>323</v>
      </c>
      <c r="B1126" s="10">
        <v>643</v>
      </c>
      <c r="C11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6" s="10"/>
      <c r="E1126" s="10"/>
      <c r="F112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6" s="11"/>
      <c r="I1126" s="10"/>
      <c r="J1126" s="10"/>
      <c r="K1126" s="10"/>
    </row>
    <row r="1127" spans="1:11" x14ac:dyDescent="0.45">
      <c r="A1127" s="10">
        <v>323</v>
      </c>
      <c r="B1127" s="10">
        <v>167</v>
      </c>
      <c r="C11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7" s="10"/>
      <c r="E1127" s="10"/>
      <c r="F112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7" s="11"/>
      <c r="I1127" s="10"/>
      <c r="J1127" s="10"/>
      <c r="K1127" s="10"/>
    </row>
    <row r="1128" spans="1:11" x14ac:dyDescent="0.45">
      <c r="A1128" s="10">
        <v>323</v>
      </c>
      <c r="B1128" s="10">
        <v>72</v>
      </c>
      <c r="C11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8" s="10"/>
      <c r="E1128" s="10"/>
      <c r="F112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8" s="11"/>
      <c r="I1128" s="10"/>
      <c r="J1128" s="10"/>
      <c r="K1128" s="10"/>
    </row>
    <row r="1129" spans="1:11" x14ac:dyDescent="0.45">
      <c r="A1129" s="10">
        <v>322</v>
      </c>
      <c r="B1129" s="10">
        <v>505</v>
      </c>
      <c r="C11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29" s="10"/>
      <c r="E1129" s="10"/>
      <c r="F11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29" s="11"/>
      <c r="I1129" s="10"/>
      <c r="J1129" s="10"/>
      <c r="K1129" s="10"/>
    </row>
    <row r="1130" spans="1:11" x14ac:dyDescent="0.45">
      <c r="A1130" s="10">
        <v>323</v>
      </c>
      <c r="B1130" s="10">
        <v>505</v>
      </c>
      <c r="C11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0" s="10"/>
      <c r="E1130" s="10"/>
      <c r="F113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0" s="11"/>
      <c r="I1130" s="10"/>
      <c r="J1130" s="10"/>
      <c r="K1130" s="10"/>
    </row>
    <row r="1131" spans="1:11" x14ac:dyDescent="0.45">
      <c r="A1131" s="10">
        <v>322</v>
      </c>
      <c r="B1131" s="10">
        <v>72</v>
      </c>
      <c r="C11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1" s="10"/>
      <c r="E1131" s="10"/>
      <c r="F113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1" s="11"/>
      <c r="I1131" s="10"/>
      <c r="J1131" s="10"/>
      <c r="K1131" s="10"/>
    </row>
    <row r="1132" spans="1:11" x14ac:dyDescent="0.45">
      <c r="A1132" s="10">
        <v>322</v>
      </c>
      <c r="B1132" s="10">
        <v>121</v>
      </c>
      <c r="C11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2" s="10"/>
      <c r="E1132" s="10"/>
      <c r="F113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2" s="11"/>
      <c r="I1132" s="10"/>
      <c r="J1132" s="10"/>
      <c r="K1132" s="10"/>
    </row>
    <row r="1133" spans="1:11" x14ac:dyDescent="0.45">
      <c r="A1133" s="10">
        <v>322</v>
      </c>
      <c r="B1133" s="10">
        <v>167</v>
      </c>
      <c r="C11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3" s="10"/>
      <c r="E1133" s="10"/>
      <c r="F113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3" s="11"/>
      <c r="I1133" s="10"/>
      <c r="J1133" s="10"/>
      <c r="K1133" s="10"/>
    </row>
    <row r="1134" spans="1:11" x14ac:dyDescent="0.45">
      <c r="A1134" s="10">
        <v>324</v>
      </c>
      <c r="B1134" s="10">
        <v>15</v>
      </c>
      <c r="C11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4" s="10"/>
      <c r="E1134" s="10"/>
      <c r="F113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4" s="11"/>
      <c r="I1134" s="10"/>
      <c r="J1134" s="10"/>
      <c r="K1134" s="10"/>
    </row>
    <row r="1135" spans="1:11" x14ac:dyDescent="0.45">
      <c r="A1135" s="10">
        <v>324</v>
      </c>
      <c r="B1135" s="10">
        <v>458</v>
      </c>
      <c r="C11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5" s="10"/>
      <c r="E1135" s="10"/>
      <c r="F113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5" s="11"/>
      <c r="I1135" s="10"/>
      <c r="J1135" s="10"/>
      <c r="K1135" s="10"/>
    </row>
    <row r="1136" spans="1:11" x14ac:dyDescent="0.45">
      <c r="A1136" s="10">
        <v>325</v>
      </c>
      <c r="B1136" s="10">
        <v>458</v>
      </c>
      <c r="C11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6" s="10"/>
      <c r="E1136" s="10"/>
      <c r="F113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6" s="11"/>
      <c r="I1136" s="10"/>
      <c r="J1136" s="10"/>
      <c r="K1136" s="10"/>
    </row>
    <row r="1137" spans="1:11" x14ac:dyDescent="0.45">
      <c r="A1137" s="10">
        <v>325</v>
      </c>
      <c r="B1137" s="10">
        <v>15</v>
      </c>
      <c r="C11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7" s="10"/>
      <c r="E1137" s="10"/>
      <c r="F113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7" s="11"/>
      <c r="I1137" s="10"/>
      <c r="J1137" s="10"/>
      <c r="K1137" s="10"/>
    </row>
    <row r="1138" spans="1:11" x14ac:dyDescent="0.45">
      <c r="A1138" s="10">
        <v>327</v>
      </c>
      <c r="B1138" s="10">
        <v>273</v>
      </c>
      <c r="C11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8" s="10"/>
      <c r="E1138" s="10"/>
      <c r="F113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8" s="11"/>
      <c r="I1138" s="10"/>
      <c r="J1138" s="10"/>
      <c r="K1138" s="10"/>
    </row>
    <row r="1139" spans="1:11" x14ac:dyDescent="0.45">
      <c r="A1139" s="10">
        <v>326</v>
      </c>
      <c r="B1139" s="10">
        <v>273</v>
      </c>
      <c r="C11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39" s="10"/>
      <c r="E1139" s="10"/>
      <c r="F113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3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39" s="11"/>
      <c r="I1139" s="10"/>
      <c r="J1139" s="10"/>
      <c r="K1139" s="10"/>
    </row>
    <row r="1140" spans="1:11" x14ac:dyDescent="0.45">
      <c r="A1140" s="10">
        <v>327</v>
      </c>
      <c r="B1140" s="10">
        <v>90</v>
      </c>
      <c r="C11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0" s="10"/>
      <c r="E1140" s="10"/>
      <c r="F114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0" s="11"/>
      <c r="I1140" s="10"/>
      <c r="J1140" s="10"/>
      <c r="K1140" s="10"/>
    </row>
    <row r="1141" spans="1:11" x14ac:dyDescent="0.45">
      <c r="A1141" s="10">
        <v>327</v>
      </c>
      <c r="B1141" s="10">
        <v>269</v>
      </c>
      <c r="C11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1" s="10"/>
      <c r="E1141" s="10"/>
      <c r="F114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1" s="11"/>
      <c r="I1141" s="10"/>
      <c r="J1141" s="10"/>
      <c r="K1141" s="10"/>
    </row>
    <row r="1142" spans="1:11" x14ac:dyDescent="0.45">
      <c r="A1142" s="10">
        <v>326</v>
      </c>
      <c r="B1142" s="10">
        <v>269</v>
      </c>
      <c r="C11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2" s="10"/>
      <c r="E1142" s="10"/>
      <c r="F114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2" s="11"/>
      <c r="I1142" s="10"/>
      <c r="J1142" s="10"/>
      <c r="K1142" s="10"/>
    </row>
    <row r="1143" spans="1:11" x14ac:dyDescent="0.45">
      <c r="A1143" s="10">
        <v>326</v>
      </c>
      <c r="B1143" s="10">
        <v>90</v>
      </c>
      <c r="C11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3" s="10"/>
      <c r="E1143" s="10"/>
      <c r="F114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3" s="11"/>
      <c r="I1143" s="10"/>
      <c r="J1143" s="10"/>
      <c r="K1143" s="10"/>
    </row>
    <row r="1144" spans="1:11" x14ac:dyDescent="0.45">
      <c r="A1144" s="10">
        <v>328</v>
      </c>
      <c r="B1144" s="10">
        <v>40</v>
      </c>
      <c r="C11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4" s="10"/>
      <c r="E1144" s="10"/>
      <c r="F114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4" s="11"/>
      <c r="I1144" s="10"/>
      <c r="J1144" s="10"/>
      <c r="K1144" s="10"/>
    </row>
    <row r="1145" spans="1:11" x14ac:dyDescent="0.45">
      <c r="A1145" s="10">
        <v>328</v>
      </c>
      <c r="B1145" s="10">
        <v>0</v>
      </c>
      <c r="C11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5" s="10"/>
      <c r="E1145" s="10"/>
      <c r="F114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5" s="11"/>
      <c r="I1145" s="10"/>
      <c r="J1145" s="10"/>
      <c r="K1145" s="10"/>
    </row>
    <row r="1146" spans="1:11" x14ac:dyDescent="0.45">
      <c r="A1146" s="10">
        <v>328</v>
      </c>
      <c r="B1146" s="10">
        <v>420</v>
      </c>
      <c r="C11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6" s="10"/>
      <c r="E1146" s="10"/>
      <c r="F114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6" s="11"/>
      <c r="I1146" s="10"/>
      <c r="J1146" s="10"/>
      <c r="K1146" s="10"/>
    </row>
    <row r="1147" spans="1:11" x14ac:dyDescent="0.45">
      <c r="A1147" s="10">
        <v>329</v>
      </c>
      <c r="B1147" s="10">
        <v>420</v>
      </c>
      <c r="C11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7" s="10"/>
      <c r="E1147" s="10"/>
      <c r="F114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7" s="11"/>
      <c r="I1147" s="10"/>
      <c r="J1147" s="10"/>
      <c r="K1147" s="10"/>
    </row>
    <row r="1148" spans="1:11" x14ac:dyDescent="0.45">
      <c r="A1148" s="10">
        <v>329</v>
      </c>
      <c r="B1148" s="10">
        <v>603</v>
      </c>
      <c r="C11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8" s="10"/>
      <c r="E1148" s="10"/>
      <c r="F114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8" s="11"/>
      <c r="I1148" s="10"/>
      <c r="J1148" s="10"/>
      <c r="K1148" s="10"/>
    </row>
    <row r="1149" spans="1:11" x14ac:dyDescent="0.45">
      <c r="A1149" s="10">
        <v>329</v>
      </c>
      <c r="B1149" s="10">
        <v>0</v>
      </c>
      <c r="C11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49" s="10"/>
      <c r="E1149" s="10"/>
      <c r="F114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4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49" s="11"/>
      <c r="I1149" s="10"/>
      <c r="J1149" s="10"/>
      <c r="K1149" s="10"/>
    </row>
    <row r="1150" spans="1:11" x14ac:dyDescent="0.45">
      <c r="A1150" s="10">
        <v>329</v>
      </c>
      <c r="B1150" s="10">
        <v>40</v>
      </c>
      <c r="C11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0" s="10"/>
      <c r="E1150" s="10"/>
      <c r="F115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0" s="11"/>
      <c r="I1150" s="10"/>
      <c r="J1150" s="10"/>
      <c r="K1150" s="10"/>
    </row>
    <row r="1151" spans="1:11" x14ac:dyDescent="0.45">
      <c r="A1151" s="10">
        <v>328</v>
      </c>
      <c r="B1151" s="10">
        <v>603</v>
      </c>
      <c r="C11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1" s="10"/>
      <c r="E1151" s="10"/>
      <c r="F115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1" s="11"/>
      <c r="I1151" s="10"/>
      <c r="J1151" s="10"/>
      <c r="K1151" s="10"/>
    </row>
    <row r="1152" spans="1:11" x14ac:dyDescent="0.45">
      <c r="A1152" s="10">
        <v>331</v>
      </c>
      <c r="B1152" s="10">
        <v>393</v>
      </c>
      <c r="C11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2" s="10"/>
      <c r="E1152" s="10"/>
      <c r="F115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2" s="11"/>
      <c r="I1152" s="10"/>
      <c r="J1152" s="10"/>
      <c r="K1152" s="10"/>
    </row>
    <row r="1153" spans="1:11" x14ac:dyDescent="0.45">
      <c r="A1153" s="10">
        <v>331</v>
      </c>
      <c r="B1153" s="10">
        <v>607</v>
      </c>
      <c r="C11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3" s="10"/>
      <c r="E1153" s="10"/>
      <c r="F115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3" s="11"/>
      <c r="I1153" s="10"/>
      <c r="J1153" s="10"/>
      <c r="K1153" s="10"/>
    </row>
    <row r="1154" spans="1:11" x14ac:dyDescent="0.45">
      <c r="A1154" s="10">
        <v>330</v>
      </c>
      <c r="B1154" s="10">
        <v>393</v>
      </c>
      <c r="C11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4" s="10"/>
      <c r="E1154" s="10"/>
      <c r="F115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4" s="11"/>
      <c r="I1154" s="10"/>
      <c r="J1154" s="10"/>
      <c r="K1154" s="10"/>
    </row>
    <row r="1155" spans="1:11" x14ac:dyDescent="0.45">
      <c r="A1155" s="10">
        <v>330</v>
      </c>
      <c r="B1155" s="10">
        <v>607</v>
      </c>
      <c r="C11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5" s="10"/>
      <c r="E1155" s="10"/>
      <c r="F115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5" s="11"/>
      <c r="I1155" s="10"/>
      <c r="J1155" s="10"/>
      <c r="K1155" s="10"/>
    </row>
    <row r="1156" spans="1:11" x14ac:dyDescent="0.45">
      <c r="A1156" s="10">
        <v>330</v>
      </c>
      <c r="B1156" s="10">
        <v>213</v>
      </c>
      <c r="C11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6" s="10"/>
      <c r="E1156" s="10"/>
      <c r="F115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6" s="11"/>
      <c r="I1156" s="10"/>
      <c r="J1156" s="10"/>
      <c r="K1156" s="10"/>
    </row>
    <row r="1157" spans="1:11" x14ac:dyDescent="0.45">
      <c r="A1157" s="10">
        <v>331</v>
      </c>
      <c r="B1157" s="10">
        <v>213</v>
      </c>
      <c r="C11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7" s="10"/>
      <c r="E1157" s="10"/>
      <c r="F115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7" s="11"/>
      <c r="I1157" s="10"/>
      <c r="J1157" s="10"/>
      <c r="K1157" s="10"/>
    </row>
    <row r="1158" spans="1:11" x14ac:dyDescent="0.45">
      <c r="A1158" s="10">
        <v>331</v>
      </c>
      <c r="B1158" s="10">
        <v>369</v>
      </c>
      <c r="C11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8" s="10"/>
      <c r="E1158" s="10"/>
      <c r="F115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8" s="11"/>
      <c r="I1158" s="10"/>
      <c r="J1158" s="10"/>
      <c r="K1158" s="10"/>
    </row>
    <row r="1159" spans="1:11" x14ac:dyDescent="0.45">
      <c r="A1159" s="10">
        <v>330</v>
      </c>
      <c r="B1159" s="10">
        <v>369</v>
      </c>
      <c r="C11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59" s="10"/>
      <c r="E1159" s="10"/>
      <c r="F115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5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59" s="11"/>
      <c r="I1159" s="10"/>
      <c r="J1159" s="10"/>
      <c r="K1159" s="10"/>
    </row>
    <row r="1160" spans="1:11" x14ac:dyDescent="0.45">
      <c r="A1160" s="10">
        <v>332</v>
      </c>
      <c r="B1160" s="10">
        <v>686</v>
      </c>
      <c r="C11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0" s="10"/>
      <c r="E1160" s="10"/>
      <c r="F116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0" s="11"/>
      <c r="I1160" s="10"/>
      <c r="J1160" s="10"/>
      <c r="K1160" s="10"/>
    </row>
    <row r="1161" spans="1:11" x14ac:dyDescent="0.45">
      <c r="A1161" s="10">
        <v>332</v>
      </c>
      <c r="B1161" s="10">
        <v>671</v>
      </c>
      <c r="C11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1" s="10"/>
      <c r="E1161" s="10"/>
      <c r="F116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1" s="11"/>
      <c r="I1161" s="10"/>
      <c r="J1161" s="10"/>
      <c r="K1161" s="10"/>
    </row>
    <row r="1162" spans="1:11" x14ac:dyDescent="0.45">
      <c r="A1162" s="10">
        <v>333</v>
      </c>
      <c r="B1162" s="10">
        <v>671</v>
      </c>
      <c r="C11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2" s="10"/>
      <c r="E1162" s="10"/>
      <c r="F116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2" s="11"/>
      <c r="I1162" s="10"/>
      <c r="J1162" s="10"/>
      <c r="K1162" s="10"/>
    </row>
    <row r="1163" spans="1:11" x14ac:dyDescent="0.45">
      <c r="A1163" s="10">
        <v>332</v>
      </c>
      <c r="B1163" s="10">
        <v>694</v>
      </c>
      <c r="C11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3" s="10"/>
      <c r="E1163" s="10"/>
      <c r="F11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3" s="11"/>
      <c r="I1163" s="10"/>
      <c r="J1163" s="10"/>
      <c r="K1163" s="10"/>
    </row>
    <row r="1164" spans="1:11" x14ac:dyDescent="0.45">
      <c r="A1164" s="10">
        <v>333</v>
      </c>
      <c r="B1164" s="10">
        <v>694</v>
      </c>
      <c r="C11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4" s="10"/>
      <c r="E1164" s="10"/>
      <c r="F116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4" s="11"/>
      <c r="I1164" s="10"/>
      <c r="J1164" s="10"/>
      <c r="K1164" s="10"/>
    </row>
    <row r="1165" spans="1:11" x14ac:dyDescent="0.45">
      <c r="A1165" s="10">
        <v>333</v>
      </c>
      <c r="B1165" s="10">
        <v>686</v>
      </c>
      <c r="C11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5" s="10"/>
      <c r="E1165" s="10"/>
      <c r="F116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5" s="11"/>
      <c r="I1165" s="10"/>
      <c r="J1165" s="10"/>
      <c r="K1165" s="10"/>
    </row>
    <row r="1166" spans="1:11" x14ac:dyDescent="0.45">
      <c r="A1166" s="10">
        <v>335</v>
      </c>
      <c r="B1166" s="10">
        <v>633</v>
      </c>
      <c r="C11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6" s="10"/>
      <c r="E1166" s="10"/>
      <c r="F116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6" s="11"/>
      <c r="I1166" s="10"/>
      <c r="J1166" s="10"/>
      <c r="K1166" s="10"/>
    </row>
    <row r="1167" spans="1:11" x14ac:dyDescent="0.45">
      <c r="A1167" s="10">
        <v>335</v>
      </c>
      <c r="B1167" s="10">
        <v>360</v>
      </c>
      <c r="C11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7" s="10"/>
      <c r="E1167" s="10"/>
      <c r="F116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7" s="11"/>
      <c r="I1167" s="10"/>
      <c r="J1167" s="10"/>
      <c r="K1167" s="10"/>
    </row>
    <row r="1168" spans="1:11" x14ac:dyDescent="0.45">
      <c r="A1168" s="10">
        <v>334</v>
      </c>
      <c r="B1168" s="10">
        <v>360</v>
      </c>
      <c r="C11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8" s="10"/>
      <c r="E1168" s="10"/>
      <c r="F116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8" s="11"/>
      <c r="I1168" s="10"/>
      <c r="J1168" s="10"/>
      <c r="K1168" s="10"/>
    </row>
    <row r="1169" spans="1:11" x14ac:dyDescent="0.45">
      <c r="A1169" s="10">
        <v>334</v>
      </c>
      <c r="B1169" s="10">
        <v>290</v>
      </c>
      <c r="C11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69" s="10"/>
      <c r="E1169" s="10"/>
      <c r="F116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6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69" s="11"/>
      <c r="I1169" s="10"/>
      <c r="J1169" s="10"/>
      <c r="K1169" s="10"/>
    </row>
    <row r="1170" spans="1:11" x14ac:dyDescent="0.45">
      <c r="A1170" s="10">
        <v>334</v>
      </c>
      <c r="B1170" s="10">
        <v>123</v>
      </c>
      <c r="C11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0" s="10"/>
      <c r="E1170" s="10"/>
      <c r="F117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0" s="11"/>
      <c r="I1170" s="10"/>
      <c r="J1170" s="10"/>
      <c r="K1170" s="10"/>
    </row>
    <row r="1171" spans="1:11" x14ac:dyDescent="0.45">
      <c r="A1171" s="10">
        <v>335</v>
      </c>
      <c r="B1171" s="10">
        <v>290</v>
      </c>
      <c r="C11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1" s="10"/>
      <c r="E1171" s="10"/>
      <c r="F117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1" s="11"/>
      <c r="I1171" s="10"/>
      <c r="J1171" s="10"/>
      <c r="K1171" s="10"/>
    </row>
    <row r="1172" spans="1:11" x14ac:dyDescent="0.45">
      <c r="A1172" s="10">
        <v>335</v>
      </c>
      <c r="B1172" s="10">
        <v>123</v>
      </c>
      <c r="C11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2" s="10"/>
      <c r="E1172" s="10"/>
      <c r="F11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2" s="11"/>
      <c r="I1172" s="10"/>
      <c r="J1172" s="10"/>
      <c r="K1172" s="10"/>
    </row>
    <row r="1173" spans="1:11" x14ac:dyDescent="0.45">
      <c r="A1173" s="10">
        <v>334</v>
      </c>
      <c r="B1173" s="10">
        <v>633</v>
      </c>
      <c r="C11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3" s="10"/>
      <c r="E1173" s="10"/>
      <c r="F11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3" s="11"/>
      <c r="I1173" s="10"/>
      <c r="J1173" s="10"/>
      <c r="K1173" s="10"/>
    </row>
    <row r="1174" spans="1:11" x14ac:dyDescent="0.45">
      <c r="A1174" s="10">
        <v>337</v>
      </c>
      <c r="B1174" s="10">
        <v>241</v>
      </c>
      <c r="C11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4" s="10"/>
      <c r="E1174" s="10"/>
      <c r="F117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4" s="11"/>
      <c r="I1174" s="10"/>
      <c r="J1174" s="10"/>
      <c r="K1174" s="10"/>
    </row>
    <row r="1175" spans="1:11" x14ac:dyDescent="0.45">
      <c r="A1175" s="10">
        <v>337</v>
      </c>
      <c r="B1175" s="10">
        <v>110</v>
      </c>
      <c r="C11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5" s="10"/>
      <c r="E1175" s="10"/>
      <c r="F117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5" s="11"/>
      <c r="I1175" s="10"/>
      <c r="J1175" s="10"/>
      <c r="K1175" s="10"/>
    </row>
    <row r="1176" spans="1:11" x14ac:dyDescent="0.45">
      <c r="A1176" s="10">
        <v>336</v>
      </c>
      <c r="B1176" s="10">
        <v>241</v>
      </c>
      <c r="C11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6" s="10"/>
      <c r="E1176" s="10"/>
      <c r="F117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6" s="11"/>
      <c r="I1176" s="10"/>
      <c r="J1176" s="10"/>
      <c r="K1176" s="10"/>
    </row>
    <row r="1177" spans="1:11" x14ac:dyDescent="0.45">
      <c r="A1177" s="10">
        <v>336</v>
      </c>
      <c r="B1177" s="10">
        <v>110</v>
      </c>
      <c r="C11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7" s="10"/>
      <c r="E1177" s="10"/>
      <c r="F117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7" s="11"/>
      <c r="I1177" s="10"/>
      <c r="J1177" s="10"/>
      <c r="K1177" s="10"/>
    </row>
    <row r="1178" spans="1:11" x14ac:dyDescent="0.45">
      <c r="A1178" s="10">
        <v>337</v>
      </c>
      <c r="B1178" s="10">
        <v>547</v>
      </c>
      <c r="C11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8" s="10"/>
      <c r="E1178" s="10"/>
      <c r="F117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8" s="11"/>
      <c r="I1178" s="10"/>
      <c r="J1178" s="10"/>
      <c r="K1178" s="10"/>
    </row>
    <row r="1179" spans="1:11" x14ac:dyDescent="0.45">
      <c r="A1179" s="10">
        <v>336</v>
      </c>
      <c r="B1179" s="10">
        <v>547</v>
      </c>
      <c r="C11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79" s="10"/>
      <c r="E1179" s="10"/>
      <c r="F117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7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79" s="11"/>
      <c r="I1179" s="10"/>
      <c r="J1179" s="10"/>
      <c r="K1179" s="10"/>
    </row>
    <row r="1180" spans="1:11" x14ac:dyDescent="0.45">
      <c r="A1180" s="10">
        <v>338</v>
      </c>
      <c r="B1180" s="10">
        <v>398</v>
      </c>
      <c r="C11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0" s="10"/>
      <c r="E1180" s="10"/>
      <c r="F118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0" s="11"/>
      <c r="I1180" s="10"/>
      <c r="J1180" s="10"/>
      <c r="K1180" s="10"/>
    </row>
    <row r="1181" spans="1:11" x14ac:dyDescent="0.45">
      <c r="A1181" s="10">
        <v>339</v>
      </c>
      <c r="B1181" s="10">
        <v>398</v>
      </c>
      <c r="C11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1" s="10"/>
      <c r="E1181" s="10"/>
      <c r="F118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1" s="11"/>
      <c r="I1181" s="10"/>
      <c r="J1181" s="10"/>
      <c r="K1181" s="10"/>
    </row>
    <row r="1182" spans="1:11" x14ac:dyDescent="0.45">
      <c r="A1182" s="10">
        <v>338</v>
      </c>
      <c r="B1182" s="10">
        <v>622</v>
      </c>
      <c r="C11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2" s="10"/>
      <c r="E1182" s="10"/>
      <c r="F118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2" s="11"/>
      <c r="I1182" s="10"/>
      <c r="J1182" s="10"/>
      <c r="K1182" s="10"/>
    </row>
    <row r="1183" spans="1:11" x14ac:dyDescent="0.45">
      <c r="A1183" s="10">
        <v>339</v>
      </c>
      <c r="B1183" s="10">
        <v>622</v>
      </c>
      <c r="C11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3" s="10"/>
      <c r="E1183" s="10"/>
      <c r="F118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3" s="11"/>
      <c r="I1183" s="10"/>
      <c r="J1183" s="10"/>
      <c r="K1183" s="10"/>
    </row>
    <row r="1184" spans="1:11" x14ac:dyDescent="0.45">
      <c r="A1184" s="10">
        <v>338</v>
      </c>
      <c r="B1184" s="10">
        <v>468</v>
      </c>
      <c r="C11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4" s="10"/>
      <c r="E1184" s="10"/>
      <c r="F118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4" s="11"/>
      <c r="I1184" s="10"/>
      <c r="J1184" s="10"/>
      <c r="K1184" s="10"/>
    </row>
    <row r="1185" spans="1:11" x14ac:dyDescent="0.45">
      <c r="A1185" s="10">
        <v>339</v>
      </c>
      <c r="B1185" s="10">
        <v>468</v>
      </c>
      <c r="C11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5" s="10"/>
      <c r="E1185" s="10"/>
      <c r="F118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5" s="11"/>
      <c r="I1185" s="10"/>
      <c r="J1185" s="10"/>
      <c r="K1185" s="10"/>
    </row>
    <row r="1186" spans="1:11" x14ac:dyDescent="0.45">
      <c r="A1186" s="10">
        <v>341</v>
      </c>
      <c r="B1186" s="10">
        <v>596</v>
      </c>
      <c r="C11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6" s="10"/>
      <c r="E1186" s="10"/>
      <c r="F11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6" s="11"/>
      <c r="I1186" s="10"/>
      <c r="J1186" s="10"/>
      <c r="K1186" s="10"/>
    </row>
    <row r="1187" spans="1:11" x14ac:dyDescent="0.45">
      <c r="A1187" s="10">
        <v>341</v>
      </c>
      <c r="B1187" s="10">
        <v>480</v>
      </c>
      <c r="C11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7" s="10"/>
      <c r="E1187" s="10"/>
      <c r="F118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7" s="11"/>
      <c r="I1187" s="10"/>
      <c r="J1187" s="10"/>
      <c r="K1187" s="10"/>
    </row>
    <row r="1188" spans="1:11" x14ac:dyDescent="0.45">
      <c r="A1188" s="10">
        <v>340</v>
      </c>
      <c r="B1188" s="10">
        <v>596</v>
      </c>
      <c r="C11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8" s="10"/>
      <c r="E1188" s="10"/>
      <c r="F118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8" s="11"/>
      <c r="I1188" s="10"/>
      <c r="J1188" s="10"/>
      <c r="K1188" s="10"/>
    </row>
    <row r="1189" spans="1:11" x14ac:dyDescent="0.45">
      <c r="A1189" s="10">
        <v>340</v>
      </c>
      <c r="B1189" s="10">
        <v>196</v>
      </c>
      <c r="C11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89" s="10"/>
      <c r="E1189" s="10"/>
      <c r="F118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8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89" s="11"/>
      <c r="I1189" s="10"/>
      <c r="J1189" s="10"/>
      <c r="K1189" s="10"/>
    </row>
    <row r="1190" spans="1:11" x14ac:dyDescent="0.45">
      <c r="A1190" s="10">
        <v>341</v>
      </c>
      <c r="B1190" s="10">
        <v>56</v>
      </c>
      <c r="C11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0" s="10"/>
      <c r="E1190" s="10"/>
      <c r="F119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0" s="11"/>
      <c r="I1190" s="10"/>
      <c r="J1190" s="10"/>
      <c r="K1190" s="10"/>
    </row>
    <row r="1191" spans="1:11" x14ac:dyDescent="0.45">
      <c r="A1191" s="10">
        <v>341</v>
      </c>
      <c r="B1191" s="10">
        <v>196</v>
      </c>
      <c r="C11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1" s="10"/>
      <c r="E1191" s="10"/>
      <c r="F119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1" s="11"/>
      <c r="I1191" s="10"/>
      <c r="J1191" s="10"/>
      <c r="K1191" s="10"/>
    </row>
    <row r="1192" spans="1:11" x14ac:dyDescent="0.45">
      <c r="A1192" s="10">
        <v>340</v>
      </c>
      <c r="B1192" s="10">
        <v>480</v>
      </c>
      <c r="C11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2" s="10"/>
      <c r="E1192" s="10"/>
      <c r="F119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2" s="11"/>
      <c r="I1192" s="10"/>
      <c r="J1192" s="10"/>
      <c r="K1192" s="10"/>
    </row>
    <row r="1193" spans="1:11" x14ac:dyDescent="0.45">
      <c r="A1193" s="10">
        <v>340</v>
      </c>
      <c r="B1193" s="10">
        <v>56</v>
      </c>
      <c r="C11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3" s="10"/>
      <c r="E1193" s="10"/>
      <c r="F119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3" s="11"/>
      <c r="I1193" s="10"/>
      <c r="J1193" s="10"/>
      <c r="K1193" s="10"/>
    </row>
    <row r="1194" spans="1:11" x14ac:dyDescent="0.45">
      <c r="A1194" s="10">
        <v>343</v>
      </c>
      <c r="B1194" s="10">
        <v>42</v>
      </c>
      <c r="C11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4" s="10"/>
      <c r="E1194" s="10"/>
      <c r="F119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4" s="11"/>
      <c r="I1194" s="10"/>
      <c r="J1194" s="10"/>
      <c r="K1194" s="10"/>
    </row>
    <row r="1195" spans="1:11" x14ac:dyDescent="0.45">
      <c r="A1195" s="10">
        <v>342</v>
      </c>
      <c r="B1195" s="10">
        <v>42</v>
      </c>
      <c r="C11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5" s="10"/>
      <c r="E1195" s="10"/>
      <c r="F119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5" s="11"/>
      <c r="I1195" s="10"/>
      <c r="J1195" s="10"/>
      <c r="K1195" s="10"/>
    </row>
    <row r="1196" spans="1:11" x14ac:dyDescent="0.45">
      <c r="A1196" s="10">
        <v>342</v>
      </c>
      <c r="B1196" s="10">
        <v>666</v>
      </c>
      <c r="C11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6" s="10"/>
      <c r="E1196" s="10"/>
      <c r="F119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6" s="11"/>
      <c r="I1196" s="10"/>
      <c r="J1196" s="10"/>
      <c r="K1196" s="10"/>
    </row>
    <row r="1197" spans="1:11" x14ac:dyDescent="0.45">
      <c r="A1197" s="10">
        <v>343</v>
      </c>
      <c r="B1197" s="10">
        <v>666</v>
      </c>
      <c r="C11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7" s="10"/>
      <c r="E1197" s="10"/>
      <c r="F119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7" s="11"/>
      <c r="I1197" s="10"/>
      <c r="J1197" s="10"/>
      <c r="K1197" s="10"/>
    </row>
    <row r="1198" spans="1:11" x14ac:dyDescent="0.45">
      <c r="A1198" s="10">
        <v>343</v>
      </c>
      <c r="B1198" s="10">
        <v>482</v>
      </c>
      <c r="C11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8" s="10"/>
      <c r="E1198" s="10"/>
      <c r="F119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8" s="11"/>
      <c r="I1198" s="10"/>
      <c r="J1198" s="10"/>
      <c r="K1198" s="10"/>
    </row>
    <row r="1199" spans="1:11" x14ac:dyDescent="0.45">
      <c r="A1199" s="10">
        <v>342</v>
      </c>
      <c r="B1199" s="10">
        <v>482</v>
      </c>
      <c r="C11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199" s="10"/>
      <c r="E1199" s="10"/>
      <c r="F119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19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199" s="11"/>
      <c r="I1199" s="10"/>
      <c r="J1199" s="10"/>
      <c r="K1199" s="10"/>
    </row>
    <row r="1200" spans="1:11" x14ac:dyDescent="0.45">
      <c r="A1200" s="10">
        <v>345</v>
      </c>
      <c r="B1200" s="10">
        <v>449</v>
      </c>
      <c r="C12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0" s="10"/>
      <c r="E1200" s="10"/>
      <c r="F120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0" s="11"/>
      <c r="I1200" s="10"/>
      <c r="J1200" s="10"/>
      <c r="K1200" s="10"/>
    </row>
    <row r="1201" spans="1:11" x14ac:dyDescent="0.45">
      <c r="A1201" s="10">
        <v>344</v>
      </c>
      <c r="B1201" s="10">
        <v>8</v>
      </c>
      <c r="C12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1" s="10"/>
      <c r="E1201" s="10"/>
      <c r="F120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1" s="11"/>
      <c r="I1201" s="10"/>
      <c r="J1201" s="10"/>
      <c r="K1201" s="10"/>
    </row>
    <row r="1202" spans="1:11" x14ac:dyDescent="0.45">
      <c r="A1202" s="10">
        <v>344</v>
      </c>
      <c r="B1202" s="10">
        <v>5</v>
      </c>
      <c r="C12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2" s="10"/>
      <c r="E1202" s="10"/>
      <c r="F120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2" s="11"/>
      <c r="I1202" s="10"/>
      <c r="J1202" s="10"/>
      <c r="K1202" s="10"/>
    </row>
    <row r="1203" spans="1:11" x14ac:dyDescent="0.45">
      <c r="A1203" s="10">
        <v>344</v>
      </c>
      <c r="B1203" s="10">
        <v>449</v>
      </c>
      <c r="C12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3" s="10"/>
      <c r="E1203" s="10"/>
      <c r="F12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3" s="11"/>
      <c r="I1203" s="10"/>
      <c r="J1203" s="10"/>
      <c r="K1203" s="10"/>
    </row>
    <row r="1204" spans="1:11" x14ac:dyDescent="0.45">
      <c r="A1204" s="10">
        <v>344</v>
      </c>
      <c r="B1204" s="10">
        <v>163</v>
      </c>
      <c r="C12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4" s="10"/>
      <c r="E1204" s="10"/>
      <c r="F120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4" s="11"/>
      <c r="I1204" s="10"/>
      <c r="J1204" s="10"/>
      <c r="K1204" s="10"/>
    </row>
    <row r="1205" spans="1:11" x14ac:dyDescent="0.45">
      <c r="A1205" s="10">
        <v>345</v>
      </c>
      <c r="B1205" s="10">
        <v>8</v>
      </c>
      <c r="C12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5" s="10"/>
      <c r="E1205" s="10"/>
      <c r="F120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5" s="11"/>
      <c r="I1205" s="10"/>
      <c r="J1205" s="10"/>
      <c r="K1205" s="10"/>
    </row>
    <row r="1206" spans="1:11" x14ac:dyDescent="0.45">
      <c r="A1206" s="10">
        <v>345</v>
      </c>
      <c r="B1206" s="10">
        <v>5</v>
      </c>
      <c r="C12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6" s="10"/>
      <c r="E1206" s="10"/>
      <c r="F120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6" s="11"/>
      <c r="I1206" s="10"/>
      <c r="J1206" s="10"/>
      <c r="K1206" s="10"/>
    </row>
    <row r="1207" spans="1:11" x14ac:dyDescent="0.45">
      <c r="A1207" s="10">
        <v>345</v>
      </c>
      <c r="B1207" s="10">
        <v>163</v>
      </c>
      <c r="C12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7" s="10"/>
      <c r="E1207" s="10"/>
      <c r="F120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7" s="11"/>
      <c r="I1207" s="10"/>
      <c r="J1207" s="10"/>
      <c r="K1207" s="10"/>
    </row>
    <row r="1208" spans="1:11" x14ac:dyDescent="0.45">
      <c r="A1208" s="10">
        <v>346</v>
      </c>
      <c r="B1208" s="10">
        <v>178</v>
      </c>
      <c r="C12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8" s="10"/>
      <c r="E1208" s="10"/>
      <c r="F120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8" s="11"/>
      <c r="I1208" s="10"/>
      <c r="J1208" s="10"/>
      <c r="K1208" s="10"/>
    </row>
    <row r="1209" spans="1:11" x14ac:dyDescent="0.45">
      <c r="A1209" s="10">
        <v>347</v>
      </c>
      <c r="B1209" s="10">
        <v>554</v>
      </c>
      <c r="C12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09" s="10"/>
      <c r="E1209" s="10"/>
      <c r="F120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0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09" s="11"/>
      <c r="I1209" s="10"/>
      <c r="J1209" s="10"/>
      <c r="K1209" s="10"/>
    </row>
    <row r="1210" spans="1:11" x14ac:dyDescent="0.45">
      <c r="A1210" s="10">
        <v>346</v>
      </c>
      <c r="B1210" s="10">
        <v>81</v>
      </c>
      <c r="C12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0" s="10"/>
      <c r="E1210" s="10"/>
      <c r="F121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0" s="11"/>
      <c r="I1210" s="10"/>
      <c r="J1210" s="10"/>
      <c r="K1210" s="10"/>
    </row>
    <row r="1211" spans="1:11" x14ac:dyDescent="0.45">
      <c r="A1211" s="10">
        <v>346</v>
      </c>
      <c r="B1211" s="10">
        <v>85</v>
      </c>
      <c r="C12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1" s="10"/>
      <c r="E1211" s="10"/>
      <c r="F121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1" s="11"/>
      <c r="I1211" s="10"/>
      <c r="J1211" s="10"/>
      <c r="K1211" s="10"/>
    </row>
    <row r="1212" spans="1:11" x14ac:dyDescent="0.45">
      <c r="A1212" s="10">
        <v>346</v>
      </c>
      <c r="B1212" s="10">
        <v>554</v>
      </c>
      <c r="C12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2" s="10"/>
      <c r="E1212" s="10"/>
      <c r="F121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2" s="11"/>
      <c r="I1212" s="10"/>
      <c r="J1212" s="10"/>
      <c r="K1212" s="10"/>
    </row>
    <row r="1213" spans="1:11" x14ac:dyDescent="0.45">
      <c r="A1213" s="10">
        <v>347</v>
      </c>
      <c r="B1213" s="10">
        <v>85</v>
      </c>
      <c r="C12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3" s="10"/>
      <c r="E1213" s="10"/>
      <c r="F121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3" s="11"/>
      <c r="I1213" s="10"/>
      <c r="J1213" s="10"/>
      <c r="K1213" s="10"/>
    </row>
    <row r="1214" spans="1:11" x14ac:dyDescent="0.45">
      <c r="A1214" s="10">
        <v>347</v>
      </c>
      <c r="B1214" s="10">
        <v>395</v>
      </c>
      <c r="C12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4" s="10"/>
      <c r="E1214" s="10"/>
      <c r="F121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4" s="11"/>
      <c r="I1214" s="10"/>
      <c r="J1214" s="10"/>
      <c r="K1214" s="10"/>
    </row>
    <row r="1215" spans="1:11" x14ac:dyDescent="0.45">
      <c r="A1215" s="10">
        <v>346</v>
      </c>
      <c r="B1215" s="10">
        <v>395</v>
      </c>
      <c r="C12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5" s="10"/>
      <c r="E1215" s="10"/>
      <c r="F121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5" s="11"/>
      <c r="I1215" s="10"/>
      <c r="J1215" s="10"/>
      <c r="K1215" s="10"/>
    </row>
    <row r="1216" spans="1:11" x14ac:dyDescent="0.45">
      <c r="A1216" s="10">
        <v>347</v>
      </c>
      <c r="B1216" s="10">
        <v>81</v>
      </c>
      <c r="C12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6" s="10"/>
      <c r="E1216" s="10"/>
      <c r="F121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6" s="11"/>
      <c r="I1216" s="10"/>
      <c r="J1216" s="10"/>
      <c r="K1216" s="10"/>
    </row>
    <row r="1217" spans="1:11" x14ac:dyDescent="0.45">
      <c r="A1217" s="10">
        <v>347</v>
      </c>
      <c r="B1217" s="10">
        <v>178</v>
      </c>
      <c r="C12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7" s="10"/>
      <c r="E1217" s="10"/>
      <c r="F121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7" s="11"/>
      <c r="I1217" s="10"/>
      <c r="J1217" s="10"/>
      <c r="K1217" s="10"/>
    </row>
    <row r="1218" spans="1:11" x14ac:dyDescent="0.45">
      <c r="A1218" s="10">
        <v>348</v>
      </c>
      <c r="B1218" s="10">
        <v>0</v>
      </c>
      <c r="C12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8" s="10"/>
      <c r="E1218" s="10"/>
      <c r="F121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8" s="11"/>
      <c r="I1218" s="10"/>
      <c r="J1218" s="10"/>
      <c r="K1218" s="10"/>
    </row>
    <row r="1219" spans="1:11" x14ac:dyDescent="0.45">
      <c r="A1219" s="10">
        <v>349</v>
      </c>
      <c r="B1219" s="10">
        <v>0</v>
      </c>
      <c r="C12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19" s="10"/>
      <c r="E1219" s="10"/>
      <c r="F121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1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19" s="11"/>
      <c r="I1219" s="10"/>
      <c r="J1219" s="10"/>
      <c r="K1219" s="10"/>
    </row>
    <row r="1220" spans="1:11" x14ac:dyDescent="0.45">
      <c r="A1220" s="10">
        <v>349</v>
      </c>
      <c r="B1220" s="10">
        <v>443</v>
      </c>
      <c r="C12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0" s="10"/>
      <c r="E1220" s="10"/>
      <c r="F122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0" s="11"/>
      <c r="I1220" s="10"/>
      <c r="J1220" s="10"/>
      <c r="K1220" s="10"/>
    </row>
    <row r="1221" spans="1:11" x14ac:dyDescent="0.45">
      <c r="A1221" s="10">
        <v>348</v>
      </c>
      <c r="B1221" s="10">
        <v>443</v>
      </c>
      <c r="C12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1" s="10"/>
      <c r="E1221" s="10"/>
      <c r="F122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1" s="11"/>
      <c r="I1221" s="10"/>
      <c r="J1221" s="10"/>
      <c r="K1221" s="10"/>
    </row>
    <row r="1222" spans="1:11" x14ac:dyDescent="0.45">
      <c r="A1222" s="10">
        <v>350</v>
      </c>
      <c r="B1222" s="10">
        <v>397</v>
      </c>
      <c r="C12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2" s="10"/>
      <c r="E1222" s="10"/>
      <c r="F122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2" s="11"/>
      <c r="I1222" s="10"/>
      <c r="J1222" s="10"/>
      <c r="K1222" s="10"/>
    </row>
    <row r="1223" spans="1:11" x14ac:dyDescent="0.45">
      <c r="A1223" s="10">
        <v>351</v>
      </c>
      <c r="B1223" s="10">
        <v>679</v>
      </c>
      <c r="C12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3" s="10"/>
      <c r="E1223" s="10"/>
      <c r="F122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3" s="11"/>
      <c r="I1223" s="10"/>
      <c r="J1223" s="10"/>
      <c r="K1223" s="10"/>
    </row>
    <row r="1224" spans="1:11" x14ac:dyDescent="0.45">
      <c r="A1224" s="10">
        <v>351</v>
      </c>
      <c r="B1224" s="10">
        <v>525</v>
      </c>
      <c r="C12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4" s="10"/>
      <c r="E1224" s="10"/>
      <c r="F122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4" s="11"/>
      <c r="I1224" s="10"/>
      <c r="J1224" s="10"/>
      <c r="K1224" s="10"/>
    </row>
    <row r="1225" spans="1:11" x14ac:dyDescent="0.45">
      <c r="A1225" s="10">
        <v>350</v>
      </c>
      <c r="B1225" s="10">
        <v>679</v>
      </c>
      <c r="C12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5" s="10"/>
      <c r="E1225" s="10"/>
      <c r="F122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5" s="11"/>
      <c r="I1225" s="10"/>
      <c r="J1225" s="10"/>
      <c r="K1225" s="10"/>
    </row>
    <row r="1226" spans="1:11" x14ac:dyDescent="0.45">
      <c r="A1226" s="10">
        <v>350</v>
      </c>
      <c r="B1226" s="10">
        <v>525</v>
      </c>
      <c r="C12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6" s="10"/>
      <c r="E1226" s="10"/>
      <c r="F122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6" s="11"/>
      <c r="I1226" s="10"/>
      <c r="J1226" s="10"/>
      <c r="K1226" s="10"/>
    </row>
    <row r="1227" spans="1:11" x14ac:dyDescent="0.45">
      <c r="A1227" s="10">
        <v>351</v>
      </c>
      <c r="B1227" s="10">
        <v>397</v>
      </c>
      <c r="C12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7" s="10"/>
      <c r="E1227" s="10"/>
      <c r="F122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7" s="11"/>
      <c r="I1227" s="10"/>
      <c r="J1227" s="10"/>
      <c r="K1227" s="10"/>
    </row>
    <row r="1228" spans="1:11" x14ac:dyDescent="0.45">
      <c r="A1228" s="10">
        <v>351</v>
      </c>
      <c r="B1228" s="10">
        <v>46</v>
      </c>
      <c r="C12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8" s="10"/>
      <c r="E1228" s="10"/>
      <c r="F122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8" s="11"/>
      <c r="I1228" s="10"/>
      <c r="J1228" s="10"/>
      <c r="K1228" s="10"/>
    </row>
    <row r="1229" spans="1:11" x14ac:dyDescent="0.45">
      <c r="A1229" s="10">
        <v>350</v>
      </c>
      <c r="B1229" s="10">
        <v>46</v>
      </c>
      <c r="C12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29" s="10"/>
      <c r="E1229" s="10"/>
      <c r="F12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29" s="11"/>
      <c r="I1229" s="10"/>
      <c r="J1229" s="10"/>
      <c r="K1229" s="10"/>
    </row>
    <row r="1230" spans="1:11" x14ac:dyDescent="0.45">
      <c r="A1230" s="10">
        <v>353</v>
      </c>
      <c r="B1230" s="10">
        <v>42</v>
      </c>
      <c r="C12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0" s="10"/>
      <c r="E1230" s="10"/>
      <c r="F123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0" s="11"/>
      <c r="I1230" s="10"/>
      <c r="J1230" s="10"/>
      <c r="K1230" s="10"/>
    </row>
    <row r="1231" spans="1:11" x14ac:dyDescent="0.45">
      <c r="A1231" s="10">
        <v>352</v>
      </c>
      <c r="B1231" s="10">
        <v>15</v>
      </c>
      <c r="C12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1" s="10"/>
      <c r="E1231" s="10"/>
      <c r="F123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1" s="11"/>
      <c r="I1231" s="10"/>
      <c r="J1231" s="10"/>
      <c r="K1231" s="10"/>
    </row>
    <row r="1232" spans="1:11" x14ac:dyDescent="0.45">
      <c r="A1232" s="10">
        <v>353</v>
      </c>
      <c r="B1232" s="10">
        <v>15</v>
      </c>
      <c r="C12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2" s="10"/>
      <c r="E1232" s="10"/>
      <c r="F123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2" s="11"/>
      <c r="I1232" s="10"/>
      <c r="J1232" s="10"/>
      <c r="K1232" s="10"/>
    </row>
    <row r="1233" spans="1:11" x14ac:dyDescent="0.45">
      <c r="A1233" s="10">
        <v>352</v>
      </c>
      <c r="B1233" s="10">
        <v>42</v>
      </c>
      <c r="C12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3" s="10"/>
      <c r="E1233" s="10"/>
      <c r="F123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3" s="11"/>
      <c r="I1233" s="10"/>
      <c r="J1233" s="10"/>
      <c r="K1233" s="10"/>
    </row>
    <row r="1234" spans="1:11" x14ac:dyDescent="0.45">
      <c r="A1234" s="10">
        <v>355</v>
      </c>
      <c r="B1234" s="10">
        <v>169</v>
      </c>
      <c r="C12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4" s="10"/>
      <c r="E1234" s="10"/>
      <c r="F123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4" s="11"/>
      <c r="I1234" s="10"/>
      <c r="J1234" s="10"/>
      <c r="K1234" s="10"/>
    </row>
    <row r="1235" spans="1:11" x14ac:dyDescent="0.45">
      <c r="A1235" s="10">
        <v>355</v>
      </c>
      <c r="B1235" s="10">
        <v>665</v>
      </c>
      <c r="C12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5" s="10"/>
      <c r="E1235" s="10"/>
      <c r="F123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5" s="11"/>
      <c r="I1235" s="10"/>
      <c r="J1235" s="10"/>
      <c r="K1235" s="10"/>
    </row>
    <row r="1236" spans="1:11" x14ac:dyDescent="0.45">
      <c r="A1236" s="10">
        <v>354</v>
      </c>
      <c r="B1236" s="10">
        <v>3</v>
      </c>
      <c r="C12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6" s="10"/>
      <c r="E1236" s="10"/>
      <c r="F123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6" s="11"/>
      <c r="I1236" s="10"/>
      <c r="J1236" s="10"/>
      <c r="K1236" s="10"/>
    </row>
    <row r="1237" spans="1:11" x14ac:dyDescent="0.45">
      <c r="A1237" s="10">
        <v>354</v>
      </c>
      <c r="B1237" s="10">
        <v>665</v>
      </c>
      <c r="C12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7" s="10"/>
      <c r="E1237" s="10"/>
      <c r="F12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7" s="11"/>
      <c r="I1237" s="10"/>
      <c r="J1237" s="10"/>
      <c r="K1237" s="10"/>
    </row>
    <row r="1238" spans="1:11" x14ac:dyDescent="0.45">
      <c r="A1238" s="10">
        <v>355</v>
      </c>
      <c r="B1238" s="10">
        <v>608</v>
      </c>
      <c r="C12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8" s="10"/>
      <c r="E1238" s="10"/>
      <c r="F123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8" s="11"/>
      <c r="I1238" s="10"/>
      <c r="J1238" s="10"/>
      <c r="K1238" s="10"/>
    </row>
    <row r="1239" spans="1:11" x14ac:dyDescent="0.45">
      <c r="A1239" s="10">
        <v>354</v>
      </c>
      <c r="B1239" s="10">
        <v>608</v>
      </c>
      <c r="C12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39" s="10"/>
      <c r="E1239" s="10"/>
      <c r="F123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3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39" s="11"/>
      <c r="I1239" s="10"/>
      <c r="J1239" s="10"/>
      <c r="K1239" s="10"/>
    </row>
    <row r="1240" spans="1:11" x14ac:dyDescent="0.45">
      <c r="A1240" s="10">
        <v>355</v>
      </c>
      <c r="B1240" s="10">
        <v>3</v>
      </c>
      <c r="C12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0" s="10"/>
      <c r="E1240" s="10"/>
      <c r="F124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0" s="11"/>
      <c r="I1240" s="10"/>
      <c r="J1240" s="10"/>
      <c r="K1240" s="10"/>
    </row>
    <row r="1241" spans="1:11" x14ac:dyDescent="0.45">
      <c r="A1241" s="10">
        <v>354</v>
      </c>
      <c r="B1241" s="10">
        <v>659</v>
      </c>
      <c r="C12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1" s="10"/>
      <c r="E1241" s="10"/>
      <c r="F124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1" s="11"/>
      <c r="I1241" s="10"/>
      <c r="J1241" s="10"/>
      <c r="K1241" s="10"/>
    </row>
    <row r="1242" spans="1:11" x14ac:dyDescent="0.45">
      <c r="A1242" s="10">
        <v>354</v>
      </c>
      <c r="B1242" s="10">
        <v>169</v>
      </c>
      <c r="C12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2" s="10"/>
      <c r="E1242" s="10"/>
      <c r="F124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2" s="11"/>
      <c r="I1242" s="10"/>
      <c r="J1242" s="10"/>
      <c r="K1242" s="10"/>
    </row>
    <row r="1243" spans="1:11" x14ac:dyDescent="0.45">
      <c r="A1243" s="10">
        <v>355</v>
      </c>
      <c r="B1243" s="10">
        <v>659</v>
      </c>
      <c r="C12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3" s="10"/>
      <c r="E1243" s="10"/>
      <c r="F124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3" s="11"/>
      <c r="I1243" s="10"/>
      <c r="J1243" s="10"/>
      <c r="K1243" s="10"/>
    </row>
    <row r="1244" spans="1:11" x14ac:dyDescent="0.45">
      <c r="A1244" s="10">
        <v>357</v>
      </c>
      <c r="B1244" s="10">
        <v>6</v>
      </c>
      <c r="C12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4" s="10"/>
      <c r="E1244" s="10"/>
      <c r="F124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4" s="11"/>
      <c r="I1244" s="10"/>
      <c r="J1244" s="10"/>
      <c r="K1244" s="10"/>
    </row>
    <row r="1245" spans="1:11" x14ac:dyDescent="0.45">
      <c r="A1245" s="10">
        <v>356</v>
      </c>
      <c r="B1245" s="10">
        <v>6</v>
      </c>
      <c r="C12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5" s="10"/>
      <c r="E1245" s="10"/>
      <c r="F124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5" s="11"/>
      <c r="I1245" s="10"/>
      <c r="J1245" s="10"/>
      <c r="K1245" s="10"/>
    </row>
    <row r="1246" spans="1:11" x14ac:dyDescent="0.45">
      <c r="A1246" s="10">
        <v>357</v>
      </c>
      <c r="B1246" s="10">
        <v>285</v>
      </c>
      <c r="C12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6" s="10"/>
      <c r="E1246" s="10"/>
      <c r="F124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6" s="11"/>
      <c r="I1246" s="10"/>
      <c r="J1246" s="10"/>
      <c r="K1246" s="10"/>
    </row>
    <row r="1247" spans="1:11" x14ac:dyDescent="0.45">
      <c r="A1247" s="10">
        <v>356</v>
      </c>
      <c r="B1247" s="10">
        <v>285</v>
      </c>
      <c r="C12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7" s="10"/>
      <c r="E1247" s="10"/>
      <c r="F124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7" s="11"/>
      <c r="I1247" s="10"/>
      <c r="J1247" s="10"/>
      <c r="K1247" s="10"/>
    </row>
    <row r="1248" spans="1:11" x14ac:dyDescent="0.45">
      <c r="A1248" s="10">
        <v>358</v>
      </c>
      <c r="B1248" s="10">
        <v>519</v>
      </c>
      <c r="C12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8" s="10"/>
      <c r="E1248" s="10"/>
      <c r="F124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8" s="11"/>
      <c r="I1248" s="10"/>
      <c r="J1248" s="10"/>
      <c r="K1248" s="10"/>
    </row>
    <row r="1249" spans="1:11" x14ac:dyDescent="0.45">
      <c r="A1249" s="10">
        <v>359</v>
      </c>
      <c r="B1249" s="10">
        <v>545</v>
      </c>
      <c r="C12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49" s="10"/>
      <c r="E1249" s="10"/>
      <c r="F124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4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49" s="11"/>
      <c r="I1249" s="10"/>
      <c r="J1249" s="10"/>
      <c r="K1249" s="10"/>
    </row>
    <row r="1250" spans="1:11" x14ac:dyDescent="0.45">
      <c r="A1250" s="10">
        <v>358</v>
      </c>
      <c r="B1250" s="10">
        <v>545</v>
      </c>
      <c r="C12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0" s="10"/>
      <c r="E1250" s="10"/>
      <c r="F125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0" s="11"/>
      <c r="I1250" s="10"/>
      <c r="J1250" s="10"/>
      <c r="K1250" s="10"/>
    </row>
    <row r="1251" spans="1:11" x14ac:dyDescent="0.45">
      <c r="A1251" s="10">
        <v>359</v>
      </c>
      <c r="B1251" s="10">
        <v>519</v>
      </c>
      <c r="C12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1" s="10"/>
      <c r="E1251" s="10"/>
      <c r="F125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1" s="11"/>
      <c r="I1251" s="10"/>
      <c r="J1251" s="10"/>
      <c r="K1251" s="10"/>
    </row>
    <row r="1252" spans="1:11" x14ac:dyDescent="0.45">
      <c r="A1252" s="10">
        <v>358</v>
      </c>
      <c r="B1252" s="10">
        <v>172</v>
      </c>
      <c r="C12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2" s="10"/>
      <c r="E1252" s="10"/>
      <c r="F125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2" s="11"/>
      <c r="I1252" s="10"/>
      <c r="J1252" s="10"/>
      <c r="K1252" s="10"/>
    </row>
    <row r="1253" spans="1:11" x14ac:dyDescent="0.45">
      <c r="A1253" s="10">
        <v>359</v>
      </c>
      <c r="B1253" s="10">
        <v>172</v>
      </c>
      <c r="C12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3" s="10"/>
      <c r="E1253" s="10"/>
      <c r="F125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3" s="11"/>
      <c r="I1253" s="10"/>
      <c r="J1253" s="10"/>
      <c r="K1253" s="10"/>
    </row>
    <row r="1254" spans="1:11" x14ac:dyDescent="0.45">
      <c r="A1254" s="10">
        <v>359</v>
      </c>
      <c r="B1254" s="10">
        <v>299</v>
      </c>
      <c r="C12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4" s="10"/>
      <c r="E1254" s="10"/>
      <c r="F125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4" s="11"/>
      <c r="I1254" s="10"/>
      <c r="J1254" s="10"/>
      <c r="K1254" s="10"/>
    </row>
    <row r="1255" spans="1:11" x14ac:dyDescent="0.45">
      <c r="A1255" s="10">
        <v>358</v>
      </c>
      <c r="B1255" s="10">
        <v>299</v>
      </c>
      <c r="C12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5" s="10"/>
      <c r="E1255" s="10"/>
      <c r="F125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5" s="11"/>
      <c r="I1255" s="10"/>
      <c r="J1255" s="10"/>
      <c r="K1255" s="10"/>
    </row>
    <row r="1256" spans="1:11" x14ac:dyDescent="0.45">
      <c r="A1256" s="10">
        <v>360</v>
      </c>
      <c r="B1256" s="10">
        <v>265</v>
      </c>
      <c r="C12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6" s="10"/>
      <c r="E1256" s="10"/>
      <c r="F125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6" s="11"/>
      <c r="I1256" s="10"/>
      <c r="J1256" s="10"/>
      <c r="K1256" s="10"/>
    </row>
    <row r="1257" spans="1:11" x14ac:dyDescent="0.45">
      <c r="A1257" s="10">
        <v>360</v>
      </c>
      <c r="B1257" s="10">
        <v>625</v>
      </c>
      <c r="C12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7" s="10"/>
      <c r="E1257" s="10"/>
      <c r="F125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7" s="11"/>
      <c r="I1257" s="10"/>
      <c r="J1257" s="10"/>
      <c r="K1257" s="10"/>
    </row>
    <row r="1258" spans="1:11" x14ac:dyDescent="0.45">
      <c r="A1258" s="10">
        <v>360</v>
      </c>
      <c r="B1258" s="10">
        <v>409</v>
      </c>
      <c r="C12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8" s="10"/>
      <c r="E1258" s="10"/>
      <c r="F125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8" s="11"/>
      <c r="I1258" s="10"/>
      <c r="J1258" s="10"/>
      <c r="K1258" s="10"/>
    </row>
    <row r="1259" spans="1:11" x14ac:dyDescent="0.45">
      <c r="A1259" s="10">
        <v>361</v>
      </c>
      <c r="B1259" s="10">
        <v>409</v>
      </c>
      <c r="C12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59" s="10"/>
      <c r="E1259" s="10"/>
      <c r="F125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5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59" s="11"/>
      <c r="I1259" s="10"/>
      <c r="J1259" s="10"/>
      <c r="K1259" s="10"/>
    </row>
    <row r="1260" spans="1:11" x14ac:dyDescent="0.45">
      <c r="A1260" s="10">
        <v>361</v>
      </c>
      <c r="B1260" s="10">
        <v>625</v>
      </c>
      <c r="C12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0" s="10"/>
      <c r="E1260" s="10"/>
      <c r="F126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0" s="11"/>
      <c r="I1260" s="10"/>
      <c r="J1260" s="10"/>
      <c r="K1260" s="10"/>
    </row>
    <row r="1261" spans="1:11" x14ac:dyDescent="0.45">
      <c r="A1261" s="10">
        <v>361</v>
      </c>
      <c r="B1261" s="10">
        <v>265</v>
      </c>
      <c r="C12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1" s="10"/>
      <c r="E1261" s="10"/>
      <c r="F126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1" s="11"/>
      <c r="I1261" s="10"/>
      <c r="J1261" s="10"/>
      <c r="K1261" s="10"/>
    </row>
    <row r="1262" spans="1:11" x14ac:dyDescent="0.45">
      <c r="A1262" s="10">
        <v>362</v>
      </c>
      <c r="B1262" s="10">
        <v>26</v>
      </c>
      <c r="C12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2" s="10"/>
      <c r="E1262" s="10"/>
      <c r="F126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2" s="11"/>
      <c r="I1262" s="10"/>
      <c r="J1262" s="10"/>
      <c r="K1262" s="10"/>
    </row>
    <row r="1263" spans="1:11" x14ac:dyDescent="0.45">
      <c r="A1263" s="10">
        <v>362</v>
      </c>
      <c r="B1263" s="10">
        <v>118</v>
      </c>
      <c r="C12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3" s="10"/>
      <c r="E1263" s="10"/>
      <c r="F12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3" s="11"/>
      <c r="I1263" s="10"/>
      <c r="J1263" s="10"/>
      <c r="K1263" s="10"/>
    </row>
    <row r="1264" spans="1:11" x14ac:dyDescent="0.45">
      <c r="A1264" s="10">
        <v>363</v>
      </c>
      <c r="B1264" s="10">
        <v>400</v>
      </c>
      <c r="C12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4" s="10"/>
      <c r="E1264" s="10"/>
      <c r="F126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4" s="11"/>
      <c r="I1264" s="10"/>
      <c r="J1264" s="10"/>
      <c r="K1264" s="10"/>
    </row>
    <row r="1265" spans="1:11" x14ac:dyDescent="0.45">
      <c r="A1265" s="10">
        <v>362</v>
      </c>
      <c r="B1265" s="10">
        <v>400</v>
      </c>
      <c r="C12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5" s="10"/>
      <c r="E1265" s="10"/>
      <c r="F126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5" s="11"/>
      <c r="I1265" s="10"/>
      <c r="J1265" s="10"/>
      <c r="K1265" s="10"/>
    </row>
    <row r="1266" spans="1:11" x14ac:dyDescent="0.45">
      <c r="A1266" s="10">
        <v>362</v>
      </c>
      <c r="B1266" s="10">
        <v>294</v>
      </c>
      <c r="C12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6" s="10"/>
      <c r="E1266" s="10"/>
      <c r="F126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6" s="11"/>
      <c r="I1266" s="10"/>
      <c r="J1266" s="10"/>
      <c r="K1266" s="10"/>
    </row>
    <row r="1267" spans="1:11" x14ac:dyDescent="0.45">
      <c r="A1267" s="10">
        <v>362</v>
      </c>
      <c r="B1267" s="10">
        <v>442</v>
      </c>
      <c r="C12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7" s="10"/>
      <c r="E1267" s="10"/>
      <c r="F126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7" s="11"/>
      <c r="I1267" s="10"/>
      <c r="J1267" s="10"/>
      <c r="K1267" s="10"/>
    </row>
    <row r="1268" spans="1:11" x14ac:dyDescent="0.45">
      <c r="A1268" s="10">
        <v>363</v>
      </c>
      <c r="B1268" s="10">
        <v>118</v>
      </c>
      <c r="C12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8" s="10"/>
      <c r="E1268" s="10"/>
      <c r="F126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8" s="11"/>
      <c r="I1268" s="10"/>
      <c r="J1268" s="10"/>
      <c r="K1268" s="10"/>
    </row>
    <row r="1269" spans="1:11" x14ac:dyDescent="0.45">
      <c r="A1269" s="10">
        <v>363</v>
      </c>
      <c r="B1269" s="10">
        <v>442</v>
      </c>
      <c r="C12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69" s="10"/>
      <c r="E1269" s="10"/>
      <c r="F126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6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69" s="11"/>
      <c r="I1269" s="10"/>
      <c r="J1269" s="10"/>
      <c r="K1269" s="10"/>
    </row>
    <row r="1270" spans="1:11" x14ac:dyDescent="0.45">
      <c r="A1270" s="10">
        <v>363</v>
      </c>
      <c r="B1270" s="10">
        <v>294</v>
      </c>
      <c r="C12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0" s="10"/>
      <c r="E1270" s="10"/>
      <c r="F127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0" s="11"/>
      <c r="I1270" s="10"/>
      <c r="J1270" s="10"/>
      <c r="K1270" s="10"/>
    </row>
    <row r="1271" spans="1:11" x14ac:dyDescent="0.45">
      <c r="A1271" s="10">
        <v>363</v>
      </c>
      <c r="B1271" s="10">
        <v>26</v>
      </c>
      <c r="C12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1" s="10"/>
      <c r="E1271" s="10"/>
      <c r="F127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1" s="11"/>
      <c r="I1271" s="10"/>
      <c r="J1271" s="10"/>
      <c r="K1271" s="10"/>
    </row>
    <row r="1272" spans="1:11" x14ac:dyDescent="0.45">
      <c r="A1272" s="10">
        <v>365</v>
      </c>
      <c r="B1272" s="10">
        <v>28</v>
      </c>
      <c r="C12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2" s="10"/>
      <c r="E1272" s="10"/>
      <c r="F12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2" s="11"/>
      <c r="I1272" s="10"/>
      <c r="J1272" s="10"/>
      <c r="K1272" s="10"/>
    </row>
    <row r="1273" spans="1:11" x14ac:dyDescent="0.45">
      <c r="A1273" s="10">
        <v>364</v>
      </c>
      <c r="B1273" s="10">
        <v>28</v>
      </c>
      <c r="C12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3" s="10"/>
      <c r="E1273" s="10"/>
      <c r="F12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3" s="11"/>
      <c r="I1273" s="10"/>
      <c r="J1273" s="10"/>
      <c r="K1273" s="10"/>
    </row>
    <row r="1274" spans="1:11" x14ac:dyDescent="0.45">
      <c r="A1274" s="10">
        <v>364</v>
      </c>
      <c r="B1274" s="10">
        <v>76</v>
      </c>
      <c r="C12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4" s="10"/>
      <c r="E1274" s="10"/>
      <c r="F127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4" s="11"/>
      <c r="I1274" s="10"/>
      <c r="J1274" s="10"/>
      <c r="K1274" s="10"/>
    </row>
    <row r="1275" spans="1:11" x14ac:dyDescent="0.45">
      <c r="A1275" s="10">
        <v>365</v>
      </c>
      <c r="B1275" s="10">
        <v>76</v>
      </c>
      <c r="C12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5" s="10"/>
      <c r="E1275" s="10"/>
      <c r="F127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5" s="11"/>
      <c r="I1275" s="10"/>
      <c r="J1275" s="10"/>
      <c r="K1275" s="10"/>
    </row>
    <row r="1276" spans="1:11" x14ac:dyDescent="0.45">
      <c r="A1276" s="10">
        <v>364</v>
      </c>
      <c r="B1276" s="10">
        <v>660</v>
      </c>
      <c r="C12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6" s="10"/>
      <c r="E1276" s="10"/>
      <c r="F127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6" s="11"/>
      <c r="I1276" s="10"/>
      <c r="J1276" s="10"/>
      <c r="K1276" s="10"/>
    </row>
    <row r="1277" spans="1:11" x14ac:dyDescent="0.45">
      <c r="A1277" s="10">
        <v>365</v>
      </c>
      <c r="B1277" s="10">
        <v>660</v>
      </c>
      <c r="C12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7" s="10"/>
      <c r="E1277" s="10"/>
      <c r="F127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7" s="11"/>
      <c r="I1277" s="10"/>
      <c r="J1277" s="10"/>
      <c r="K1277" s="10"/>
    </row>
    <row r="1278" spans="1:11" x14ac:dyDescent="0.45">
      <c r="A1278" s="10">
        <v>367</v>
      </c>
      <c r="B1278" s="10">
        <v>681</v>
      </c>
      <c r="C12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8" s="10"/>
      <c r="E1278" s="10"/>
      <c r="F127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8" s="11"/>
      <c r="I1278" s="10"/>
      <c r="J1278" s="10"/>
      <c r="K1278" s="10"/>
    </row>
    <row r="1279" spans="1:11" x14ac:dyDescent="0.45">
      <c r="A1279" s="10">
        <v>367</v>
      </c>
      <c r="B1279" s="10">
        <v>507</v>
      </c>
      <c r="C12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79" s="10"/>
      <c r="E1279" s="10"/>
      <c r="F127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7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79" s="11"/>
      <c r="I1279" s="10"/>
      <c r="J1279" s="10"/>
      <c r="K1279" s="10"/>
    </row>
    <row r="1280" spans="1:11" x14ac:dyDescent="0.45">
      <c r="A1280" s="10">
        <v>367</v>
      </c>
      <c r="B1280" s="10">
        <v>13</v>
      </c>
      <c r="C12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0" s="10"/>
      <c r="E1280" s="10"/>
      <c r="F128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0" s="11"/>
      <c r="I1280" s="10"/>
      <c r="J1280" s="10"/>
      <c r="K1280" s="10"/>
    </row>
    <row r="1281" spans="1:11" x14ac:dyDescent="0.45">
      <c r="A1281" s="10">
        <v>366</v>
      </c>
      <c r="B1281" s="10">
        <v>681</v>
      </c>
      <c r="C12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1" s="10"/>
      <c r="E1281" s="10"/>
      <c r="F128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1" s="11"/>
      <c r="I1281" s="10"/>
      <c r="J1281" s="10"/>
      <c r="K1281" s="10"/>
    </row>
    <row r="1282" spans="1:11" x14ac:dyDescent="0.45">
      <c r="A1282" s="10">
        <v>366</v>
      </c>
      <c r="B1282" s="10">
        <v>533</v>
      </c>
      <c r="C12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2" s="10"/>
      <c r="E1282" s="10"/>
      <c r="F128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2" s="11"/>
      <c r="I1282" s="10"/>
      <c r="J1282" s="10"/>
      <c r="K1282" s="10"/>
    </row>
    <row r="1283" spans="1:11" x14ac:dyDescent="0.45">
      <c r="A1283" s="10">
        <v>366</v>
      </c>
      <c r="B1283" s="10">
        <v>13</v>
      </c>
      <c r="C12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3" s="10"/>
      <c r="E1283" s="10"/>
      <c r="F128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3" s="11"/>
      <c r="I1283" s="10"/>
      <c r="J1283" s="10"/>
      <c r="K1283" s="10"/>
    </row>
    <row r="1284" spans="1:11" x14ac:dyDescent="0.45">
      <c r="A1284" s="10">
        <v>366</v>
      </c>
      <c r="B1284" s="10">
        <v>507</v>
      </c>
      <c r="C12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4" s="10"/>
      <c r="E1284" s="10"/>
      <c r="F128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4" s="11"/>
      <c r="I1284" s="10"/>
      <c r="J1284" s="10"/>
      <c r="K1284" s="10"/>
    </row>
    <row r="1285" spans="1:11" x14ac:dyDescent="0.45">
      <c r="A1285" s="10">
        <v>367</v>
      </c>
      <c r="B1285" s="10">
        <v>533</v>
      </c>
      <c r="C12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5" s="10"/>
      <c r="E1285" s="10"/>
      <c r="F128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5" s="11"/>
      <c r="I1285" s="10"/>
      <c r="J1285" s="10"/>
      <c r="K1285" s="10"/>
    </row>
    <row r="1286" spans="1:11" x14ac:dyDescent="0.45">
      <c r="A1286" s="10">
        <v>367</v>
      </c>
      <c r="B1286" s="10">
        <v>407</v>
      </c>
      <c r="C12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6" s="10"/>
      <c r="E1286" s="10"/>
      <c r="F12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6" s="11"/>
      <c r="I1286" s="10"/>
      <c r="J1286" s="10"/>
      <c r="K1286" s="10"/>
    </row>
    <row r="1287" spans="1:11" x14ac:dyDescent="0.45">
      <c r="A1287" s="10">
        <v>366</v>
      </c>
      <c r="B1287" s="10">
        <v>407</v>
      </c>
      <c r="C12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7" s="10"/>
      <c r="E1287" s="10"/>
      <c r="F128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7" s="11"/>
      <c r="I1287" s="10"/>
      <c r="J1287" s="10"/>
      <c r="K1287" s="10"/>
    </row>
    <row r="1288" spans="1:11" x14ac:dyDescent="0.45">
      <c r="A1288" s="10">
        <v>369</v>
      </c>
      <c r="B1288" s="10">
        <v>433</v>
      </c>
      <c r="C12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8" s="10"/>
      <c r="E1288" s="10"/>
      <c r="F128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8" s="11"/>
      <c r="I1288" s="10"/>
      <c r="J1288" s="10"/>
      <c r="K1288" s="10"/>
    </row>
    <row r="1289" spans="1:11" x14ac:dyDescent="0.45">
      <c r="A1289" s="10">
        <v>368</v>
      </c>
      <c r="B1289" s="10">
        <v>28</v>
      </c>
      <c r="C12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89" s="10"/>
      <c r="E1289" s="10"/>
      <c r="F128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8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89" s="11"/>
      <c r="I1289" s="10"/>
      <c r="J1289" s="10"/>
      <c r="K1289" s="10"/>
    </row>
    <row r="1290" spans="1:11" x14ac:dyDescent="0.45">
      <c r="A1290" s="10">
        <v>368</v>
      </c>
      <c r="B1290" s="10">
        <v>83</v>
      </c>
      <c r="C12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0" s="10"/>
      <c r="E1290" s="10"/>
      <c r="F129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0" s="11"/>
      <c r="I1290" s="10"/>
      <c r="J1290" s="10"/>
      <c r="K1290" s="10"/>
    </row>
    <row r="1291" spans="1:11" x14ac:dyDescent="0.45">
      <c r="A1291" s="10">
        <v>368</v>
      </c>
      <c r="B1291" s="10">
        <v>433</v>
      </c>
      <c r="C12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1" s="10"/>
      <c r="E1291" s="10"/>
      <c r="F129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1" s="11"/>
      <c r="I1291" s="10"/>
      <c r="J1291" s="10"/>
      <c r="K1291" s="10"/>
    </row>
    <row r="1292" spans="1:11" x14ac:dyDescent="0.45">
      <c r="A1292" s="10">
        <v>369</v>
      </c>
      <c r="B1292" s="10">
        <v>28</v>
      </c>
      <c r="C12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2" s="10"/>
      <c r="E1292" s="10"/>
      <c r="F129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2" s="11"/>
      <c r="I1292" s="10"/>
      <c r="J1292" s="10"/>
      <c r="K1292" s="10"/>
    </row>
    <row r="1293" spans="1:11" x14ac:dyDescent="0.45">
      <c r="A1293" s="10">
        <v>369</v>
      </c>
      <c r="B1293" s="10">
        <v>83</v>
      </c>
      <c r="C12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3" s="10"/>
      <c r="E1293" s="10"/>
      <c r="F129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3" s="11"/>
      <c r="I1293" s="10"/>
      <c r="J1293" s="10"/>
      <c r="K1293" s="10"/>
    </row>
    <row r="1294" spans="1:11" x14ac:dyDescent="0.45">
      <c r="A1294" s="10">
        <v>370</v>
      </c>
      <c r="B1294" s="10">
        <v>193</v>
      </c>
      <c r="C12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4" s="10"/>
      <c r="E1294" s="10"/>
      <c r="F129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4" s="11"/>
      <c r="I1294" s="10"/>
      <c r="J1294" s="10"/>
      <c r="K1294" s="10"/>
    </row>
    <row r="1295" spans="1:11" x14ac:dyDescent="0.45">
      <c r="A1295" s="10">
        <v>370</v>
      </c>
      <c r="B1295" s="10">
        <v>48</v>
      </c>
      <c r="C12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5" s="10"/>
      <c r="E1295" s="10"/>
      <c r="F129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5" s="11"/>
      <c r="I1295" s="10"/>
      <c r="J1295" s="10"/>
      <c r="K1295" s="10"/>
    </row>
    <row r="1296" spans="1:11" x14ac:dyDescent="0.45">
      <c r="A1296" s="10">
        <v>371</v>
      </c>
      <c r="B1296" s="10">
        <v>193</v>
      </c>
      <c r="C12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6" s="10"/>
      <c r="E1296" s="10"/>
      <c r="F129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6" s="11"/>
      <c r="I1296" s="10"/>
      <c r="J1296" s="10"/>
      <c r="K1296" s="10"/>
    </row>
    <row r="1297" spans="1:11" x14ac:dyDescent="0.45">
      <c r="A1297" s="10">
        <v>371</v>
      </c>
      <c r="B1297" s="10">
        <v>48</v>
      </c>
      <c r="C12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7" s="10"/>
      <c r="E1297" s="10"/>
      <c r="F129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7" s="11"/>
      <c r="I1297" s="10"/>
      <c r="J1297" s="10"/>
      <c r="K1297" s="10"/>
    </row>
    <row r="1298" spans="1:11" x14ac:dyDescent="0.45">
      <c r="A1298" s="10">
        <v>373</v>
      </c>
      <c r="B1298" s="10">
        <v>1</v>
      </c>
      <c r="C12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8" s="10"/>
      <c r="E1298" s="10"/>
      <c r="F129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8" s="11"/>
      <c r="I1298" s="10"/>
      <c r="J1298" s="10"/>
      <c r="K1298" s="10"/>
    </row>
    <row r="1299" spans="1:11" x14ac:dyDescent="0.45">
      <c r="A1299" s="10">
        <v>373</v>
      </c>
      <c r="B1299" s="10">
        <v>25</v>
      </c>
      <c r="C12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299" s="10"/>
      <c r="E1299" s="10"/>
      <c r="F129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29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299" s="11"/>
      <c r="I1299" s="10"/>
      <c r="J1299" s="10"/>
      <c r="K1299" s="10"/>
    </row>
    <row r="1300" spans="1:11" x14ac:dyDescent="0.45">
      <c r="A1300" s="10">
        <v>372</v>
      </c>
      <c r="B1300" s="10">
        <v>274</v>
      </c>
      <c r="C13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0" s="10"/>
      <c r="E1300" s="10"/>
      <c r="F130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0" s="11"/>
      <c r="I1300" s="10"/>
      <c r="J1300" s="10"/>
      <c r="K1300" s="10"/>
    </row>
    <row r="1301" spans="1:11" x14ac:dyDescent="0.45">
      <c r="A1301" s="10">
        <v>372</v>
      </c>
      <c r="B1301" s="10">
        <v>1</v>
      </c>
      <c r="C13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1" s="10"/>
      <c r="E1301" s="10"/>
      <c r="F130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1" s="11"/>
      <c r="I1301" s="10"/>
      <c r="J1301" s="10"/>
      <c r="K1301" s="10"/>
    </row>
    <row r="1302" spans="1:11" x14ac:dyDescent="0.45">
      <c r="A1302" s="10">
        <v>372</v>
      </c>
      <c r="B1302" s="10">
        <v>25</v>
      </c>
      <c r="C13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2" s="10"/>
      <c r="E1302" s="10"/>
      <c r="F130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2" s="11"/>
      <c r="I1302" s="10"/>
      <c r="J1302" s="10"/>
      <c r="K1302" s="10"/>
    </row>
    <row r="1303" spans="1:11" x14ac:dyDescent="0.45">
      <c r="A1303" s="10">
        <v>373</v>
      </c>
      <c r="B1303" s="10">
        <v>274</v>
      </c>
      <c r="C13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3" s="10"/>
      <c r="E1303" s="10"/>
      <c r="F130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3" s="11"/>
      <c r="I1303" s="10"/>
      <c r="J1303" s="10"/>
      <c r="K1303" s="10"/>
    </row>
    <row r="1304" spans="1:11" x14ac:dyDescent="0.45">
      <c r="A1304" s="10">
        <v>372</v>
      </c>
      <c r="B1304" s="10">
        <v>419</v>
      </c>
      <c r="C13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4" s="10"/>
      <c r="E1304" s="10"/>
      <c r="F130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4" s="11"/>
      <c r="I1304" s="10"/>
      <c r="J1304" s="10"/>
      <c r="K1304" s="10"/>
    </row>
    <row r="1305" spans="1:11" x14ac:dyDescent="0.45">
      <c r="A1305" s="10">
        <v>373</v>
      </c>
      <c r="B1305" s="10">
        <v>419</v>
      </c>
      <c r="C13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5" s="10"/>
      <c r="E1305" s="10"/>
      <c r="F130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5" s="11"/>
      <c r="I1305" s="10"/>
      <c r="J1305" s="10"/>
      <c r="K1305" s="10"/>
    </row>
    <row r="1306" spans="1:11" x14ac:dyDescent="0.45">
      <c r="A1306" s="10">
        <v>374</v>
      </c>
      <c r="B1306" s="10">
        <v>359</v>
      </c>
      <c r="C13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6" s="10"/>
      <c r="E1306" s="10"/>
      <c r="F130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6" s="11"/>
      <c r="I1306" s="10"/>
      <c r="J1306" s="10"/>
      <c r="K1306" s="10"/>
    </row>
    <row r="1307" spans="1:11" x14ac:dyDescent="0.45">
      <c r="A1307" s="10">
        <v>375</v>
      </c>
      <c r="B1307" s="10">
        <v>551</v>
      </c>
      <c r="C13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7" s="10"/>
      <c r="E1307" s="10"/>
      <c r="F130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7" s="11"/>
      <c r="I1307" s="10"/>
      <c r="J1307" s="10"/>
      <c r="K1307" s="10"/>
    </row>
    <row r="1308" spans="1:11" x14ac:dyDescent="0.45">
      <c r="A1308" s="10">
        <v>374</v>
      </c>
      <c r="B1308" s="10">
        <v>551</v>
      </c>
      <c r="C13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8" s="10"/>
      <c r="E1308" s="10"/>
      <c r="F130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8" s="11"/>
      <c r="I1308" s="10"/>
      <c r="J1308" s="10"/>
      <c r="K1308" s="10"/>
    </row>
    <row r="1309" spans="1:11" x14ac:dyDescent="0.45">
      <c r="A1309" s="10">
        <v>375</v>
      </c>
      <c r="B1309" s="10">
        <v>383</v>
      </c>
      <c r="C13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09" s="10"/>
      <c r="E1309" s="10"/>
      <c r="F130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0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09" s="11"/>
      <c r="I1309" s="10"/>
      <c r="J1309" s="10"/>
      <c r="K1309" s="10"/>
    </row>
    <row r="1310" spans="1:11" x14ac:dyDescent="0.45">
      <c r="A1310" s="10">
        <v>374</v>
      </c>
      <c r="B1310" s="10">
        <v>637</v>
      </c>
      <c r="C13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0" s="10"/>
      <c r="E1310" s="10"/>
      <c r="F131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0" s="11"/>
      <c r="I1310" s="10"/>
      <c r="J1310" s="10"/>
      <c r="K1310" s="10"/>
    </row>
    <row r="1311" spans="1:11" x14ac:dyDescent="0.45">
      <c r="A1311" s="10">
        <v>375</v>
      </c>
      <c r="B1311" s="10">
        <v>637</v>
      </c>
      <c r="C13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1" s="10"/>
      <c r="E1311" s="10"/>
      <c r="F131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1" s="11"/>
      <c r="I1311" s="10"/>
      <c r="J1311" s="10"/>
      <c r="K1311" s="10"/>
    </row>
    <row r="1312" spans="1:11" x14ac:dyDescent="0.45">
      <c r="A1312" s="10">
        <v>374</v>
      </c>
      <c r="B1312" s="10">
        <v>383</v>
      </c>
      <c r="C13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2" s="10"/>
      <c r="E1312" s="10"/>
      <c r="F131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2" s="11"/>
      <c r="I1312" s="10"/>
      <c r="J1312" s="10"/>
      <c r="K1312" s="10"/>
    </row>
    <row r="1313" spans="1:11" x14ac:dyDescent="0.45">
      <c r="A1313" s="10">
        <v>374</v>
      </c>
      <c r="B1313" s="10">
        <v>601</v>
      </c>
      <c r="C13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3" s="10"/>
      <c r="E1313" s="10"/>
      <c r="F131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3" s="11"/>
      <c r="I1313" s="10"/>
      <c r="J1313" s="10"/>
      <c r="K1313" s="10"/>
    </row>
    <row r="1314" spans="1:11" x14ac:dyDescent="0.45">
      <c r="A1314" s="10">
        <v>375</v>
      </c>
      <c r="B1314" s="10">
        <v>601</v>
      </c>
      <c r="C13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4" s="10"/>
      <c r="E1314" s="10"/>
      <c r="F131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4" s="11"/>
      <c r="I1314" s="10"/>
      <c r="J1314" s="10"/>
      <c r="K1314" s="10"/>
    </row>
    <row r="1315" spans="1:11" x14ac:dyDescent="0.45">
      <c r="A1315" s="10">
        <v>375</v>
      </c>
      <c r="B1315" s="10">
        <v>359</v>
      </c>
      <c r="C13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5" s="10"/>
      <c r="E1315" s="10"/>
      <c r="F131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5" s="11"/>
      <c r="I1315" s="10"/>
      <c r="J1315" s="10"/>
      <c r="K1315" s="10"/>
    </row>
    <row r="1316" spans="1:11" x14ac:dyDescent="0.45">
      <c r="A1316" s="10">
        <v>377</v>
      </c>
      <c r="B1316" s="10">
        <v>281</v>
      </c>
      <c r="C13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6" s="10"/>
      <c r="E1316" s="10"/>
      <c r="F131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6" s="11"/>
      <c r="I1316" s="10"/>
      <c r="J1316" s="10"/>
      <c r="K1316" s="10"/>
    </row>
    <row r="1317" spans="1:11" x14ac:dyDescent="0.45">
      <c r="A1317" s="10">
        <v>376</v>
      </c>
      <c r="B1317" s="10">
        <v>281</v>
      </c>
      <c r="C13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7" s="10"/>
      <c r="E1317" s="10"/>
      <c r="F131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7" s="11"/>
      <c r="I1317" s="10"/>
      <c r="J1317" s="10"/>
      <c r="K1317" s="10"/>
    </row>
    <row r="1318" spans="1:11" x14ac:dyDescent="0.45">
      <c r="A1318" s="10">
        <v>376</v>
      </c>
      <c r="B1318" s="10">
        <v>198</v>
      </c>
      <c r="C13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8" s="10"/>
      <c r="E1318" s="10"/>
      <c r="F131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8" s="11"/>
      <c r="I1318" s="10"/>
      <c r="J1318" s="10"/>
      <c r="K1318" s="10"/>
    </row>
    <row r="1319" spans="1:11" x14ac:dyDescent="0.45">
      <c r="A1319" s="10">
        <v>377</v>
      </c>
      <c r="B1319" s="10">
        <v>198</v>
      </c>
      <c r="C13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19" s="10"/>
      <c r="E1319" s="10"/>
      <c r="F131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1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19" s="11"/>
      <c r="I1319" s="10"/>
      <c r="J1319" s="10"/>
      <c r="K1319" s="10"/>
    </row>
    <row r="1320" spans="1:11" x14ac:dyDescent="0.45">
      <c r="A1320" s="10">
        <v>378</v>
      </c>
      <c r="B1320" s="10">
        <v>201</v>
      </c>
      <c r="C13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0" s="10"/>
      <c r="E1320" s="10"/>
      <c r="F132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0" s="11"/>
      <c r="I1320" s="10"/>
      <c r="J1320" s="10"/>
      <c r="K1320" s="10"/>
    </row>
    <row r="1321" spans="1:11" x14ac:dyDescent="0.45">
      <c r="A1321" s="10">
        <v>378</v>
      </c>
      <c r="B1321" s="10">
        <v>10</v>
      </c>
      <c r="C13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1" s="10"/>
      <c r="E1321" s="10"/>
      <c r="F132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1" s="11"/>
      <c r="I1321" s="10"/>
      <c r="J1321" s="10"/>
      <c r="K1321" s="10"/>
    </row>
    <row r="1322" spans="1:11" x14ac:dyDescent="0.45">
      <c r="A1322" s="10">
        <v>379</v>
      </c>
      <c r="B1322" s="10">
        <v>10</v>
      </c>
      <c r="C13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2" s="10"/>
      <c r="E1322" s="10"/>
      <c r="F132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2" s="11"/>
      <c r="I1322" s="10"/>
      <c r="J1322" s="10"/>
      <c r="K1322" s="10"/>
    </row>
    <row r="1323" spans="1:11" x14ac:dyDescent="0.45">
      <c r="A1323" s="10">
        <v>378</v>
      </c>
      <c r="B1323" s="10">
        <v>32</v>
      </c>
      <c r="C13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3" s="10"/>
      <c r="E1323" s="10"/>
      <c r="F132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3" s="11"/>
      <c r="I1323" s="10"/>
      <c r="J1323" s="10"/>
      <c r="K1323" s="10"/>
    </row>
    <row r="1324" spans="1:11" x14ac:dyDescent="0.45">
      <c r="A1324" s="10">
        <v>379</v>
      </c>
      <c r="B1324" s="10">
        <v>314</v>
      </c>
      <c r="C13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4" s="10"/>
      <c r="E1324" s="10"/>
      <c r="F132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4" s="11"/>
      <c r="I1324" s="10"/>
      <c r="J1324" s="10"/>
      <c r="K1324" s="10"/>
    </row>
    <row r="1325" spans="1:11" x14ac:dyDescent="0.45">
      <c r="A1325" s="10">
        <v>378</v>
      </c>
      <c r="B1325" s="10">
        <v>314</v>
      </c>
      <c r="C13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5" s="10"/>
      <c r="E1325" s="10"/>
      <c r="F132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5" s="11"/>
      <c r="I1325" s="10"/>
      <c r="J1325" s="10"/>
      <c r="K1325" s="10"/>
    </row>
    <row r="1326" spans="1:11" x14ac:dyDescent="0.45">
      <c r="A1326" s="10">
        <v>379</v>
      </c>
      <c r="B1326" s="10">
        <v>32</v>
      </c>
      <c r="C13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6" s="10"/>
      <c r="E1326" s="10"/>
      <c r="F132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6" s="11"/>
      <c r="I1326" s="10"/>
      <c r="J1326" s="10"/>
      <c r="K1326" s="10"/>
    </row>
    <row r="1327" spans="1:11" x14ac:dyDescent="0.45">
      <c r="A1327" s="10">
        <v>379</v>
      </c>
      <c r="B1327" s="10">
        <v>201</v>
      </c>
      <c r="C13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7" s="10"/>
      <c r="E1327" s="10"/>
      <c r="F132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7" s="11"/>
      <c r="I1327" s="10"/>
      <c r="J1327" s="10"/>
      <c r="K1327" s="10"/>
    </row>
    <row r="1328" spans="1:11" x14ac:dyDescent="0.45">
      <c r="A1328" s="10">
        <v>380</v>
      </c>
      <c r="B1328" s="10">
        <v>73</v>
      </c>
      <c r="C13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8" s="10"/>
      <c r="E1328" s="10"/>
      <c r="F132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8" s="11"/>
      <c r="I1328" s="10"/>
      <c r="J1328" s="10"/>
      <c r="K1328" s="10"/>
    </row>
    <row r="1329" spans="1:11" x14ac:dyDescent="0.45">
      <c r="A1329" s="10">
        <v>380</v>
      </c>
      <c r="B1329" s="10">
        <v>200</v>
      </c>
      <c r="C13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29" s="10"/>
      <c r="E1329" s="10"/>
      <c r="F132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2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29" s="11"/>
      <c r="I1329" s="10"/>
      <c r="J1329" s="10"/>
      <c r="K1329" s="10"/>
    </row>
    <row r="1330" spans="1:11" x14ac:dyDescent="0.45">
      <c r="A1330" s="10">
        <v>381</v>
      </c>
      <c r="B1330" s="10">
        <v>200</v>
      </c>
      <c r="C13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0" s="10"/>
      <c r="E1330" s="10"/>
      <c r="F133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0" s="11"/>
      <c r="I1330" s="10"/>
      <c r="J1330" s="10"/>
      <c r="K1330" s="10"/>
    </row>
    <row r="1331" spans="1:11" x14ac:dyDescent="0.45">
      <c r="A1331" s="10">
        <v>381</v>
      </c>
      <c r="B1331" s="10">
        <v>73</v>
      </c>
      <c r="C13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1" s="10"/>
      <c r="E1331" s="10"/>
      <c r="F133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1" s="11"/>
      <c r="I1331" s="10"/>
      <c r="J1331" s="10"/>
      <c r="K1331" s="10"/>
    </row>
    <row r="1332" spans="1:11" x14ac:dyDescent="0.45">
      <c r="A1332" s="10">
        <v>383</v>
      </c>
      <c r="B1332" s="10">
        <v>467</v>
      </c>
      <c r="C13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2" s="10"/>
      <c r="E1332" s="10"/>
      <c r="F133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2" s="11"/>
      <c r="I1332" s="10"/>
      <c r="J1332" s="10"/>
      <c r="K1332" s="10"/>
    </row>
    <row r="1333" spans="1:11" x14ac:dyDescent="0.45">
      <c r="A1333" s="10">
        <v>382</v>
      </c>
      <c r="B1333" s="10">
        <v>467</v>
      </c>
      <c r="C13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3" s="10"/>
      <c r="E1333" s="10"/>
      <c r="F133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3" s="11"/>
      <c r="I1333" s="10"/>
      <c r="J1333" s="10"/>
      <c r="K1333" s="10"/>
    </row>
    <row r="1334" spans="1:11" x14ac:dyDescent="0.45">
      <c r="A1334" s="10">
        <v>383</v>
      </c>
      <c r="B1334" s="10">
        <v>208</v>
      </c>
      <c r="C13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4" s="10"/>
      <c r="E1334" s="10"/>
      <c r="F133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4" s="11"/>
      <c r="I1334" s="10"/>
      <c r="J1334" s="10"/>
      <c r="K1334" s="10"/>
    </row>
    <row r="1335" spans="1:11" x14ac:dyDescent="0.45">
      <c r="A1335" s="10">
        <v>382</v>
      </c>
      <c r="B1335" s="10">
        <v>339</v>
      </c>
      <c r="C13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5" s="10"/>
      <c r="E1335" s="10"/>
      <c r="F133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5" s="11"/>
      <c r="I1335" s="10"/>
      <c r="J1335" s="10"/>
      <c r="K1335" s="10"/>
    </row>
    <row r="1336" spans="1:11" x14ac:dyDescent="0.45">
      <c r="A1336" s="10">
        <v>383</v>
      </c>
      <c r="B1336" s="10">
        <v>88</v>
      </c>
      <c r="C13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6" s="10"/>
      <c r="E1336" s="10"/>
      <c r="F133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6" s="11"/>
      <c r="I1336" s="10"/>
      <c r="J1336" s="10"/>
      <c r="K1336" s="10"/>
    </row>
    <row r="1337" spans="1:11" x14ac:dyDescent="0.45">
      <c r="A1337" s="10">
        <v>382</v>
      </c>
      <c r="B1337" s="10">
        <v>208</v>
      </c>
      <c r="C13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7" s="10"/>
      <c r="E1337" s="10"/>
      <c r="F13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7" s="11"/>
      <c r="I1337" s="10"/>
      <c r="J1337" s="10"/>
      <c r="K1337" s="10"/>
    </row>
    <row r="1338" spans="1:11" x14ac:dyDescent="0.45">
      <c r="A1338" s="10">
        <v>382</v>
      </c>
      <c r="B1338" s="10">
        <v>88</v>
      </c>
      <c r="C13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8" s="10"/>
      <c r="E1338" s="10"/>
      <c r="F133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8" s="11"/>
      <c r="I1338" s="10"/>
      <c r="J1338" s="10"/>
      <c r="K1338" s="10"/>
    </row>
    <row r="1339" spans="1:11" x14ac:dyDescent="0.45">
      <c r="A1339" s="10">
        <v>383</v>
      </c>
      <c r="B1339" s="10">
        <v>339</v>
      </c>
      <c r="C13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39" s="10"/>
      <c r="E1339" s="10"/>
      <c r="F133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3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39" s="11"/>
      <c r="I1339" s="10"/>
      <c r="J1339" s="10"/>
      <c r="K1339" s="10"/>
    </row>
    <row r="1340" spans="1:11" x14ac:dyDescent="0.45">
      <c r="A1340" s="10">
        <v>385</v>
      </c>
      <c r="B1340" s="10">
        <v>106</v>
      </c>
      <c r="C13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0" s="10"/>
      <c r="E1340" s="10"/>
      <c r="F134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0" s="11"/>
      <c r="I1340" s="10"/>
      <c r="J1340" s="10"/>
      <c r="K1340" s="10"/>
    </row>
    <row r="1341" spans="1:11" x14ac:dyDescent="0.45">
      <c r="A1341" s="10">
        <v>385</v>
      </c>
      <c r="B1341" s="10">
        <v>344</v>
      </c>
      <c r="C13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1" s="10"/>
      <c r="E1341" s="10"/>
      <c r="F134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1" s="11"/>
      <c r="I1341" s="10"/>
      <c r="J1341" s="10"/>
      <c r="K1341" s="10"/>
    </row>
    <row r="1342" spans="1:11" x14ac:dyDescent="0.45">
      <c r="A1342" s="10">
        <v>384</v>
      </c>
      <c r="B1342" s="10">
        <v>649</v>
      </c>
      <c r="C13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2" s="10"/>
      <c r="E1342" s="10"/>
      <c r="F134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2" s="11"/>
      <c r="I1342" s="10"/>
      <c r="J1342" s="10"/>
      <c r="K1342" s="10"/>
    </row>
    <row r="1343" spans="1:11" x14ac:dyDescent="0.45">
      <c r="A1343" s="10">
        <v>385</v>
      </c>
      <c r="B1343" s="10">
        <v>668</v>
      </c>
      <c r="C13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3" s="10"/>
      <c r="E1343" s="10"/>
      <c r="F134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3" s="11"/>
      <c r="I1343" s="10"/>
      <c r="J1343" s="10"/>
      <c r="K1343" s="10"/>
    </row>
    <row r="1344" spans="1:11" x14ac:dyDescent="0.45">
      <c r="A1344" s="10">
        <v>385</v>
      </c>
      <c r="B1344" s="10">
        <v>649</v>
      </c>
      <c r="C13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4" s="10"/>
      <c r="E1344" s="10"/>
      <c r="F134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4" s="11"/>
      <c r="I1344" s="10"/>
      <c r="J1344" s="10"/>
      <c r="K1344" s="10"/>
    </row>
    <row r="1345" spans="1:11" x14ac:dyDescent="0.45">
      <c r="A1345" s="10">
        <v>384</v>
      </c>
      <c r="B1345" s="10">
        <v>668</v>
      </c>
      <c r="C13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5" s="10"/>
      <c r="E1345" s="10"/>
      <c r="F134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5" s="11"/>
      <c r="I1345" s="10"/>
      <c r="J1345" s="10"/>
      <c r="K1345" s="10"/>
    </row>
    <row r="1346" spans="1:11" x14ac:dyDescent="0.45">
      <c r="A1346" s="10">
        <v>384</v>
      </c>
      <c r="B1346" s="10">
        <v>344</v>
      </c>
      <c r="C13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6" s="10"/>
      <c r="E1346" s="10"/>
      <c r="F134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6" s="11"/>
      <c r="I1346" s="10"/>
      <c r="J1346" s="10"/>
      <c r="K1346" s="10"/>
    </row>
    <row r="1347" spans="1:11" x14ac:dyDescent="0.45">
      <c r="A1347" s="10">
        <v>384</v>
      </c>
      <c r="B1347" s="10">
        <v>106</v>
      </c>
      <c r="C13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7" s="10"/>
      <c r="E1347" s="10"/>
      <c r="F134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7" s="11"/>
      <c r="I1347" s="10"/>
      <c r="J1347" s="10"/>
      <c r="K1347" s="10"/>
    </row>
    <row r="1348" spans="1:11" x14ac:dyDescent="0.45">
      <c r="A1348" s="10">
        <v>386</v>
      </c>
      <c r="B1348" s="10">
        <v>506</v>
      </c>
      <c r="C13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8" s="10"/>
      <c r="E1348" s="10"/>
      <c r="F134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8" s="11"/>
      <c r="I1348" s="10"/>
      <c r="J1348" s="10"/>
      <c r="K1348" s="10"/>
    </row>
    <row r="1349" spans="1:11" x14ac:dyDescent="0.45">
      <c r="A1349" s="10">
        <v>387</v>
      </c>
      <c r="B1349" s="10">
        <v>148</v>
      </c>
      <c r="C13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49" s="10"/>
      <c r="E1349" s="10"/>
      <c r="F134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4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49" s="11"/>
      <c r="I1349" s="10"/>
      <c r="J1349" s="10"/>
      <c r="K1349" s="10"/>
    </row>
    <row r="1350" spans="1:11" x14ac:dyDescent="0.45">
      <c r="A1350" s="10">
        <v>386</v>
      </c>
      <c r="B1350" s="10">
        <v>322</v>
      </c>
      <c r="C13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0" s="10"/>
      <c r="E1350" s="10"/>
      <c r="F135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0" s="11"/>
      <c r="I1350" s="10"/>
      <c r="J1350" s="10"/>
      <c r="K1350" s="10"/>
    </row>
    <row r="1351" spans="1:11" x14ac:dyDescent="0.45">
      <c r="A1351" s="10">
        <v>387</v>
      </c>
      <c r="B1351" s="10">
        <v>506</v>
      </c>
      <c r="C13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1" s="10"/>
      <c r="E1351" s="10"/>
      <c r="F135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1" s="11"/>
      <c r="I1351" s="10"/>
      <c r="J1351" s="10"/>
      <c r="K1351" s="10"/>
    </row>
    <row r="1352" spans="1:11" x14ac:dyDescent="0.45">
      <c r="A1352" s="10">
        <v>386</v>
      </c>
      <c r="B1352" s="10">
        <v>148</v>
      </c>
      <c r="C13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2" s="10"/>
      <c r="E1352" s="10"/>
      <c r="F135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2" s="11"/>
      <c r="I1352" s="10"/>
      <c r="J1352" s="10"/>
      <c r="K1352" s="10"/>
    </row>
    <row r="1353" spans="1:11" x14ac:dyDescent="0.45">
      <c r="A1353" s="10">
        <v>387</v>
      </c>
      <c r="B1353" s="10">
        <v>618</v>
      </c>
      <c r="C13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3" s="10"/>
      <c r="E1353" s="10"/>
      <c r="F135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3" s="11"/>
      <c r="I1353" s="10"/>
      <c r="J1353" s="10"/>
      <c r="K1353" s="10"/>
    </row>
    <row r="1354" spans="1:11" x14ac:dyDescent="0.45">
      <c r="A1354" s="10">
        <v>386</v>
      </c>
      <c r="B1354" s="10">
        <v>618</v>
      </c>
      <c r="C13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4" s="10"/>
      <c r="E1354" s="10"/>
      <c r="F135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4" s="11"/>
      <c r="I1354" s="10"/>
      <c r="J1354" s="10"/>
      <c r="K1354" s="10"/>
    </row>
    <row r="1355" spans="1:11" x14ac:dyDescent="0.45">
      <c r="A1355" s="10">
        <v>387</v>
      </c>
      <c r="B1355" s="10">
        <v>322</v>
      </c>
      <c r="C13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5" s="10"/>
      <c r="E1355" s="10"/>
      <c r="F135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5" s="11"/>
      <c r="I1355" s="10"/>
      <c r="J1355" s="10"/>
      <c r="K1355" s="10"/>
    </row>
    <row r="1356" spans="1:11" x14ac:dyDescent="0.45">
      <c r="A1356" s="10">
        <v>389</v>
      </c>
      <c r="B1356" s="10">
        <v>52</v>
      </c>
      <c r="C13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6" s="10"/>
      <c r="E1356" s="10"/>
      <c r="F135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6" s="11"/>
      <c r="I1356" s="10"/>
      <c r="J1356" s="10"/>
      <c r="K1356" s="10"/>
    </row>
    <row r="1357" spans="1:11" x14ac:dyDescent="0.45">
      <c r="A1357" s="10">
        <v>388</v>
      </c>
      <c r="B1357" s="10">
        <v>317</v>
      </c>
      <c r="C13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7" s="10"/>
      <c r="E1357" s="10"/>
      <c r="F135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7" s="11"/>
      <c r="I1357" s="10"/>
      <c r="J1357" s="10"/>
      <c r="K1357" s="10"/>
    </row>
    <row r="1358" spans="1:11" x14ac:dyDescent="0.45">
      <c r="A1358" s="10">
        <v>389</v>
      </c>
      <c r="B1358" s="10">
        <v>317</v>
      </c>
      <c r="C13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8" s="10"/>
      <c r="E1358" s="10"/>
      <c r="F135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8" s="11"/>
      <c r="I1358" s="10"/>
      <c r="J1358" s="10"/>
      <c r="K1358" s="10"/>
    </row>
    <row r="1359" spans="1:11" x14ac:dyDescent="0.45">
      <c r="A1359" s="10">
        <v>389</v>
      </c>
      <c r="B1359" s="10">
        <v>266</v>
      </c>
      <c r="C13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59" s="10"/>
      <c r="E1359" s="10"/>
      <c r="F135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5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59" s="11"/>
      <c r="I1359" s="10"/>
      <c r="J1359" s="10"/>
      <c r="K1359" s="10"/>
    </row>
    <row r="1360" spans="1:11" x14ac:dyDescent="0.45">
      <c r="A1360" s="10">
        <v>388</v>
      </c>
      <c r="B1360" s="10">
        <v>266</v>
      </c>
      <c r="C13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0" s="10"/>
      <c r="E1360" s="10"/>
      <c r="F136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0" s="11"/>
      <c r="I1360" s="10"/>
      <c r="J1360" s="10"/>
      <c r="K1360" s="10"/>
    </row>
    <row r="1361" spans="1:11" x14ac:dyDescent="0.45">
      <c r="A1361" s="10">
        <v>388</v>
      </c>
      <c r="B1361" s="10">
        <v>52</v>
      </c>
      <c r="C13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1" s="10"/>
      <c r="E1361" s="10"/>
      <c r="F136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1" s="11"/>
      <c r="I1361" s="10"/>
      <c r="J1361" s="10"/>
      <c r="K1361" s="10"/>
    </row>
    <row r="1362" spans="1:11" x14ac:dyDescent="0.45">
      <c r="A1362" s="10">
        <v>390</v>
      </c>
      <c r="B1362" s="10">
        <v>133</v>
      </c>
      <c r="C13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2" s="10"/>
      <c r="E1362" s="10"/>
      <c r="F136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2" s="11"/>
      <c r="I1362" s="10"/>
      <c r="J1362" s="10"/>
      <c r="K1362" s="10"/>
    </row>
    <row r="1363" spans="1:11" x14ac:dyDescent="0.45">
      <c r="A1363" s="10">
        <v>390</v>
      </c>
      <c r="B1363" s="10">
        <v>286</v>
      </c>
      <c r="C13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3" s="10"/>
      <c r="E1363" s="10"/>
      <c r="F13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3" s="11"/>
      <c r="I1363" s="10"/>
      <c r="J1363" s="10"/>
      <c r="K1363" s="10"/>
    </row>
    <row r="1364" spans="1:11" x14ac:dyDescent="0.45">
      <c r="A1364" s="10">
        <v>390</v>
      </c>
      <c r="B1364" s="10">
        <v>491</v>
      </c>
      <c r="C13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4" s="10"/>
      <c r="E1364" s="10"/>
      <c r="F136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4" s="11"/>
      <c r="I1364" s="10"/>
      <c r="J1364" s="10"/>
      <c r="K1364" s="10"/>
    </row>
    <row r="1365" spans="1:11" x14ac:dyDescent="0.45">
      <c r="A1365" s="10">
        <v>391</v>
      </c>
      <c r="B1365" s="10">
        <v>491</v>
      </c>
      <c r="C13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5" s="10"/>
      <c r="E1365" s="10"/>
      <c r="F136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5" s="11"/>
      <c r="I1365" s="10"/>
      <c r="J1365" s="10"/>
      <c r="K1365" s="10"/>
    </row>
    <row r="1366" spans="1:11" x14ac:dyDescent="0.45">
      <c r="A1366" s="10">
        <v>391</v>
      </c>
      <c r="B1366" s="10">
        <v>133</v>
      </c>
      <c r="C13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6" s="10"/>
      <c r="E1366" s="10"/>
      <c r="F136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6" s="11"/>
      <c r="I1366" s="10"/>
      <c r="J1366" s="10"/>
      <c r="K1366" s="10"/>
    </row>
    <row r="1367" spans="1:11" x14ac:dyDescent="0.45">
      <c r="A1367" s="10">
        <v>390</v>
      </c>
      <c r="B1367" s="10">
        <v>379</v>
      </c>
      <c r="C13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7" s="10"/>
      <c r="E1367" s="10"/>
      <c r="F136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7" s="11"/>
      <c r="I1367" s="10"/>
      <c r="J1367" s="10"/>
      <c r="K1367" s="10"/>
    </row>
    <row r="1368" spans="1:11" x14ac:dyDescent="0.45">
      <c r="A1368" s="10">
        <v>391</v>
      </c>
      <c r="B1368" s="10">
        <v>286</v>
      </c>
      <c r="C13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8" s="10"/>
      <c r="E1368" s="10"/>
      <c r="F136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8" s="11"/>
      <c r="I1368" s="10"/>
      <c r="J1368" s="10"/>
      <c r="K1368" s="10"/>
    </row>
    <row r="1369" spans="1:11" x14ac:dyDescent="0.45">
      <c r="A1369" s="10">
        <v>391</v>
      </c>
      <c r="B1369" s="10">
        <v>379</v>
      </c>
      <c r="C13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69" s="10"/>
      <c r="E1369" s="10"/>
      <c r="F136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6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69" s="11"/>
      <c r="I1369" s="10"/>
      <c r="J1369" s="10"/>
      <c r="K1369" s="10"/>
    </row>
    <row r="1370" spans="1:11" x14ac:dyDescent="0.45">
      <c r="A1370" s="10">
        <v>391</v>
      </c>
      <c r="B1370" s="10">
        <v>456</v>
      </c>
      <c r="C13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0" s="10"/>
      <c r="E1370" s="10"/>
      <c r="F137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0" s="11"/>
      <c r="I1370" s="10"/>
      <c r="J1370" s="10"/>
      <c r="K1370" s="10"/>
    </row>
    <row r="1371" spans="1:11" x14ac:dyDescent="0.45">
      <c r="A1371" s="10">
        <v>390</v>
      </c>
      <c r="B1371" s="10">
        <v>456</v>
      </c>
      <c r="C13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1" s="10"/>
      <c r="E1371" s="10"/>
      <c r="F137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1" s="11"/>
      <c r="I1371" s="10"/>
      <c r="J1371" s="10"/>
      <c r="K1371" s="10"/>
    </row>
    <row r="1372" spans="1:11" x14ac:dyDescent="0.45">
      <c r="A1372" s="10">
        <v>393</v>
      </c>
      <c r="B1372" s="10">
        <v>157</v>
      </c>
      <c r="C13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2" s="10"/>
      <c r="E1372" s="10"/>
      <c r="F137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2" s="11"/>
      <c r="I1372" s="10"/>
      <c r="J1372" s="10"/>
      <c r="K1372" s="10"/>
    </row>
    <row r="1373" spans="1:11" x14ac:dyDescent="0.45">
      <c r="A1373" s="10">
        <v>393</v>
      </c>
      <c r="B1373" s="10">
        <v>58</v>
      </c>
      <c r="C13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3" s="10"/>
      <c r="E1373" s="10"/>
      <c r="F137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3" s="11"/>
      <c r="I1373" s="10"/>
      <c r="J1373" s="10"/>
      <c r="K1373" s="10"/>
    </row>
    <row r="1374" spans="1:11" x14ac:dyDescent="0.45">
      <c r="A1374" s="10">
        <v>392</v>
      </c>
      <c r="B1374" s="10">
        <v>58</v>
      </c>
      <c r="C13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4" s="10"/>
      <c r="E1374" s="10"/>
      <c r="F137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4" s="11"/>
      <c r="I1374" s="10"/>
      <c r="J1374" s="10"/>
      <c r="K1374" s="10"/>
    </row>
    <row r="1375" spans="1:11" x14ac:dyDescent="0.45">
      <c r="A1375" s="10">
        <v>392</v>
      </c>
      <c r="B1375" s="10">
        <v>157</v>
      </c>
      <c r="C13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5" s="10"/>
      <c r="E1375" s="10"/>
      <c r="F137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5" s="11"/>
      <c r="I1375" s="10"/>
      <c r="J1375" s="10"/>
      <c r="K1375" s="10"/>
    </row>
    <row r="1376" spans="1:11" x14ac:dyDescent="0.45">
      <c r="A1376" s="10">
        <v>394</v>
      </c>
      <c r="B1376" s="10">
        <v>140</v>
      </c>
      <c r="C13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6" s="10"/>
      <c r="E1376" s="10"/>
      <c r="F137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6" s="11"/>
      <c r="I1376" s="10"/>
      <c r="J1376" s="10"/>
      <c r="K1376" s="10"/>
    </row>
    <row r="1377" spans="1:11" x14ac:dyDescent="0.45">
      <c r="A1377" s="10">
        <v>395</v>
      </c>
      <c r="B1377" s="10">
        <v>29</v>
      </c>
      <c r="C13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7" s="10"/>
      <c r="E1377" s="10"/>
      <c r="F137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7" s="11"/>
      <c r="I1377" s="10"/>
      <c r="J1377" s="10"/>
      <c r="K1377" s="10"/>
    </row>
    <row r="1378" spans="1:11" x14ac:dyDescent="0.45">
      <c r="A1378" s="10">
        <v>395</v>
      </c>
      <c r="B1378" s="10">
        <v>140</v>
      </c>
      <c r="C13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8" s="10"/>
      <c r="E1378" s="10"/>
      <c r="F137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8" s="11"/>
      <c r="I1378" s="10"/>
      <c r="J1378" s="10"/>
      <c r="K1378" s="10"/>
    </row>
    <row r="1379" spans="1:11" x14ac:dyDescent="0.45">
      <c r="A1379" s="10">
        <v>394</v>
      </c>
      <c r="B1379" s="10">
        <v>20</v>
      </c>
      <c r="C13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79" s="10"/>
      <c r="E1379" s="10"/>
      <c r="F137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7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79" s="11"/>
      <c r="I1379" s="10"/>
      <c r="J1379" s="10"/>
      <c r="K1379" s="10"/>
    </row>
    <row r="1380" spans="1:11" x14ac:dyDescent="0.45">
      <c r="A1380" s="10">
        <v>395</v>
      </c>
      <c r="B1380" s="10">
        <v>315</v>
      </c>
      <c r="C13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0" s="10"/>
      <c r="E1380" s="10"/>
      <c r="F138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0" s="11"/>
      <c r="I1380" s="10"/>
      <c r="J1380" s="10"/>
      <c r="K1380" s="10"/>
    </row>
    <row r="1381" spans="1:11" x14ac:dyDescent="0.45">
      <c r="A1381" s="10">
        <v>394</v>
      </c>
      <c r="B1381" s="10">
        <v>29</v>
      </c>
      <c r="C13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1" s="10"/>
      <c r="E1381" s="10"/>
      <c r="F138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1" s="11"/>
      <c r="I1381" s="10"/>
      <c r="J1381" s="10"/>
      <c r="K1381" s="10"/>
    </row>
    <row r="1382" spans="1:11" x14ac:dyDescent="0.45">
      <c r="A1382" s="10">
        <v>395</v>
      </c>
      <c r="B1382" s="10">
        <v>20</v>
      </c>
      <c r="C13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2" s="10"/>
      <c r="E1382" s="10"/>
      <c r="F138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2" s="11"/>
      <c r="I1382" s="10"/>
      <c r="J1382" s="10"/>
      <c r="K1382" s="10"/>
    </row>
    <row r="1383" spans="1:11" x14ac:dyDescent="0.45">
      <c r="A1383" s="10">
        <v>394</v>
      </c>
      <c r="B1383" s="10">
        <v>315</v>
      </c>
      <c r="C13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3" s="10"/>
      <c r="E1383" s="10"/>
      <c r="F138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3" s="11"/>
      <c r="I1383" s="10"/>
      <c r="J1383" s="10"/>
      <c r="K1383" s="10"/>
    </row>
    <row r="1384" spans="1:11" x14ac:dyDescent="0.45">
      <c r="A1384" s="10">
        <v>397</v>
      </c>
      <c r="B1384" s="10">
        <v>513</v>
      </c>
      <c r="C13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4" s="10"/>
      <c r="E1384" s="10"/>
      <c r="F138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4" s="11"/>
      <c r="I1384" s="10"/>
      <c r="J1384" s="10"/>
      <c r="K1384" s="10"/>
    </row>
    <row r="1385" spans="1:11" x14ac:dyDescent="0.45">
      <c r="A1385" s="10">
        <v>397</v>
      </c>
      <c r="B1385" s="10">
        <v>161</v>
      </c>
      <c r="C13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5" s="10"/>
      <c r="E1385" s="10"/>
      <c r="F138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5" s="11"/>
      <c r="I1385" s="10"/>
      <c r="J1385" s="10"/>
      <c r="K1385" s="10"/>
    </row>
    <row r="1386" spans="1:11" x14ac:dyDescent="0.45">
      <c r="A1386" s="10">
        <v>397</v>
      </c>
      <c r="B1386" s="10">
        <v>440</v>
      </c>
      <c r="C13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6" s="10"/>
      <c r="E1386" s="10"/>
      <c r="F138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6" s="11"/>
      <c r="I1386" s="10"/>
      <c r="J1386" s="10"/>
      <c r="K1386" s="10"/>
    </row>
    <row r="1387" spans="1:11" x14ac:dyDescent="0.45">
      <c r="A1387" s="10">
        <v>396</v>
      </c>
      <c r="B1387" s="10">
        <v>440</v>
      </c>
      <c r="C13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7" s="10"/>
      <c r="E1387" s="10"/>
      <c r="F138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7" s="11"/>
      <c r="I1387" s="10"/>
      <c r="J1387" s="10"/>
      <c r="K1387" s="10"/>
    </row>
    <row r="1388" spans="1:11" x14ac:dyDescent="0.45">
      <c r="A1388" s="10">
        <v>396</v>
      </c>
      <c r="B1388" s="10">
        <v>513</v>
      </c>
      <c r="C13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8" s="10"/>
      <c r="E1388" s="10"/>
      <c r="F138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8" s="11"/>
      <c r="I1388" s="10"/>
      <c r="J1388" s="10"/>
      <c r="K1388" s="10"/>
    </row>
    <row r="1389" spans="1:11" x14ac:dyDescent="0.45">
      <c r="A1389" s="10">
        <v>397</v>
      </c>
      <c r="B1389" s="10">
        <v>532</v>
      </c>
      <c r="C13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89" s="10"/>
      <c r="E1389" s="10"/>
      <c r="F138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8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89" s="11"/>
      <c r="I1389" s="10"/>
      <c r="J1389" s="10"/>
      <c r="K1389" s="10"/>
    </row>
    <row r="1390" spans="1:11" x14ac:dyDescent="0.45">
      <c r="A1390" s="10">
        <v>396</v>
      </c>
      <c r="B1390" s="10">
        <v>161</v>
      </c>
      <c r="C13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0" s="10"/>
      <c r="E1390" s="10"/>
      <c r="F139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0" s="11"/>
      <c r="I1390" s="10"/>
      <c r="J1390" s="10"/>
      <c r="K1390" s="10"/>
    </row>
    <row r="1391" spans="1:11" x14ac:dyDescent="0.45">
      <c r="A1391" s="10">
        <v>396</v>
      </c>
      <c r="B1391" s="10">
        <v>532</v>
      </c>
      <c r="C13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1" s="10"/>
      <c r="E1391" s="10"/>
      <c r="F139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1" s="11"/>
      <c r="I1391" s="10"/>
      <c r="J1391" s="10"/>
      <c r="K1391" s="10"/>
    </row>
    <row r="1392" spans="1:11" x14ac:dyDescent="0.45">
      <c r="A1392" s="10">
        <v>398</v>
      </c>
      <c r="B1392" s="10">
        <v>469</v>
      </c>
      <c r="C13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2" s="10"/>
      <c r="E1392" s="10"/>
      <c r="F139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2" s="11"/>
      <c r="I1392" s="10"/>
      <c r="J1392" s="10"/>
      <c r="K1392" s="10"/>
    </row>
    <row r="1393" spans="1:11" x14ac:dyDescent="0.45">
      <c r="A1393" s="10">
        <v>398</v>
      </c>
      <c r="B1393" s="10">
        <v>688</v>
      </c>
      <c r="C13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3" s="10"/>
      <c r="E1393" s="10"/>
      <c r="F139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3" s="11"/>
      <c r="I1393" s="10"/>
      <c r="J1393" s="10"/>
      <c r="K1393" s="10"/>
    </row>
    <row r="1394" spans="1:11" x14ac:dyDescent="0.45">
      <c r="A1394" s="10">
        <v>399</v>
      </c>
      <c r="B1394" s="10">
        <v>688</v>
      </c>
      <c r="C13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4" s="10"/>
      <c r="E1394" s="10"/>
      <c r="F139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4" s="11"/>
      <c r="I1394" s="10"/>
      <c r="J1394" s="10"/>
      <c r="K1394" s="10"/>
    </row>
    <row r="1395" spans="1:11" x14ac:dyDescent="0.45">
      <c r="A1395" s="10">
        <v>398</v>
      </c>
      <c r="B1395" s="10">
        <v>25</v>
      </c>
      <c r="C13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5" s="10"/>
      <c r="E1395" s="10"/>
      <c r="F139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5" s="11"/>
      <c r="I1395" s="10"/>
      <c r="J1395" s="10"/>
      <c r="K1395" s="10"/>
    </row>
    <row r="1396" spans="1:11" x14ac:dyDescent="0.45">
      <c r="A1396" s="10">
        <v>398</v>
      </c>
      <c r="B1396" s="10">
        <v>685</v>
      </c>
      <c r="C13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6" s="10"/>
      <c r="E1396" s="10"/>
      <c r="F139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6" s="11"/>
      <c r="I1396" s="10"/>
      <c r="J1396" s="10"/>
      <c r="K1396" s="10"/>
    </row>
    <row r="1397" spans="1:11" x14ac:dyDescent="0.45">
      <c r="A1397" s="10">
        <v>399</v>
      </c>
      <c r="B1397" s="10">
        <v>685</v>
      </c>
      <c r="C13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7" s="10"/>
      <c r="E1397" s="10"/>
      <c r="F139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7" s="11"/>
      <c r="I1397" s="10"/>
      <c r="J1397" s="10"/>
      <c r="K1397" s="10"/>
    </row>
    <row r="1398" spans="1:11" x14ac:dyDescent="0.45">
      <c r="A1398" s="10">
        <v>399</v>
      </c>
      <c r="B1398" s="10">
        <v>469</v>
      </c>
      <c r="C13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8" s="10"/>
      <c r="E1398" s="10"/>
      <c r="F139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8" s="11"/>
      <c r="I1398" s="10"/>
      <c r="J1398" s="10"/>
      <c r="K1398" s="10"/>
    </row>
    <row r="1399" spans="1:11" x14ac:dyDescent="0.45">
      <c r="A1399" s="10">
        <v>398</v>
      </c>
      <c r="B1399" s="10">
        <v>500</v>
      </c>
      <c r="C13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399" s="10"/>
      <c r="E1399" s="10"/>
      <c r="F139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39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399" s="11"/>
      <c r="I1399" s="10"/>
      <c r="J1399" s="10"/>
      <c r="K1399" s="10"/>
    </row>
    <row r="1400" spans="1:11" x14ac:dyDescent="0.45">
      <c r="A1400" s="10">
        <v>398</v>
      </c>
      <c r="B1400" s="10">
        <v>36</v>
      </c>
      <c r="C14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0" s="10"/>
      <c r="E1400" s="10"/>
      <c r="F140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0" s="11"/>
      <c r="I1400" s="10"/>
      <c r="J1400" s="10"/>
      <c r="K1400" s="10"/>
    </row>
    <row r="1401" spans="1:11" x14ac:dyDescent="0.45">
      <c r="A1401" s="10">
        <v>398</v>
      </c>
      <c r="B1401" s="10">
        <v>37</v>
      </c>
      <c r="C14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1" s="10"/>
      <c r="E1401" s="10"/>
      <c r="F140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1" s="11"/>
      <c r="I1401" s="10"/>
      <c r="J1401" s="10"/>
      <c r="K1401" s="10"/>
    </row>
    <row r="1402" spans="1:11" x14ac:dyDescent="0.45">
      <c r="A1402" s="10">
        <v>399</v>
      </c>
      <c r="B1402" s="10">
        <v>700</v>
      </c>
      <c r="C14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2" s="10"/>
      <c r="E1402" s="10"/>
      <c r="F140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2" s="11"/>
      <c r="I1402" s="10"/>
      <c r="J1402" s="10"/>
      <c r="K1402" s="10"/>
    </row>
    <row r="1403" spans="1:11" x14ac:dyDescent="0.45">
      <c r="A1403" s="10">
        <v>398</v>
      </c>
      <c r="B1403" s="10">
        <v>700</v>
      </c>
      <c r="C14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3" s="10"/>
      <c r="E1403" s="10"/>
      <c r="F140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3" s="11"/>
      <c r="I1403" s="10"/>
      <c r="J1403" s="10"/>
      <c r="K1403" s="10"/>
    </row>
    <row r="1404" spans="1:11" x14ac:dyDescent="0.45">
      <c r="A1404" s="10">
        <v>399</v>
      </c>
      <c r="B1404" s="10">
        <v>664</v>
      </c>
      <c r="C14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4" s="10"/>
      <c r="E1404" s="10"/>
      <c r="F140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4" s="11"/>
      <c r="I1404" s="10"/>
      <c r="J1404" s="10"/>
      <c r="K1404" s="10"/>
    </row>
    <row r="1405" spans="1:11" x14ac:dyDescent="0.45">
      <c r="A1405" s="10">
        <v>399</v>
      </c>
      <c r="B1405" s="10">
        <v>500</v>
      </c>
      <c r="C14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5" s="10"/>
      <c r="E1405" s="10"/>
      <c r="F140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5" s="11"/>
      <c r="I1405" s="10"/>
      <c r="J1405" s="10"/>
      <c r="K1405" s="10"/>
    </row>
    <row r="1406" spans="1:11" x14ac:dyDescent="0.45">
      <c r="A1406" s="10">
        <v>398</v>
      </c>
      <c r="B1406" s="10">
        <v>664</v>
      </c>
      <c r="C140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6" s="10"/>
      <c r="E1406" s="10"/>
      <c r="F140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6" s="11"/>
      <c r="I1406" s="10"/>
      <c r="J1406" s="10"/>
      <c r="K1406" s="10"/>
    </row>
    <row r="1407" spans="1:11" x14ac:dyDescent="0.45">
      <c r="A1407" s="10">
        <v>398</v>
      </c>
      <c r="B1407" s="10">
        <v>35</v>
      </c>
      <c r="C140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7" s="10"/>
      <c r="E1407" s="10"/>
      <c r="F140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7" s="11"/>
      <c r="I1407" s="10"/>
      <c r="J1407" s="10"/>
      <c r="K1407" s="10"/>
    </row>
    <row r="1408" spans="1:11" x14ac:dyDescent="0.45">
      <c r="A1408" s="10">
        <v>398</v>
      </c>
      <c r="B1408" s="10">
        <v>34</v>
      </c>
      <c r="C140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8" s="10"/>
      <c r="E1408" s="10"/>
      <c r="F140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8" s="11"/>
      <c r="I1408" s="10"/>
      <c r="J1408" s="10"/>
      <c r="K1408" s="10"/>
    </row>
    <row r="1409" spans="1:11" x14ac:dyDescent="0.45">
      <c r="A1409" s="10">
        <v>399</v>
      </c>
      <c r="B1409" s="10">
        <v>445</v>
      </c>
      <c r="C140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09" s="10"/>
      <c r="E1409" s="10"/>
      <c r="F140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0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09" s="11"/>
      <c r="I1409" s="10"/>
      <c r="J1409" s="10"/>
      <c r="K1409" s="10"/>
    </row>
    <row r="1410" spans="1:11" x14ac:dyDescent="0.45">
      <c r="A1410" s="10">
        <v>398</v>
      </c>
      <c r="B1410" s="10">
        <v>445</v>
      </c>
      <c r="C141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0" s="10"/>
      <c r="E1410" s="10"/>
      <c r="F141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0" s="11"/>
      <c r="I1410" s="10"/>
      <c r="J1410" s="10"/>
      <c r="K1410" s="10"/>
    </row>
    <row r="1411" spans="1:11" x14ac:dyDescent="0.45">
      <c r="A1411" s="10">
        <v>398</v>
      </c>
      <c r="B1411" s="10">
        <v>548</v>
      </c>
      <c r="C141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1" s="10"/>
      <c r="E1411" s="10"/>
      <c r="F141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1" s="11"/>
      <c r="I1411" s="10"/>
      <c r="J1411" s="10"/>
      <c r="K1411" s="10"/>
    </row>
    <row r="1412" spans="1:11" x14ac:dyDescent="0.45">
      <c r="A1412" s="10">
        <v>398</v>
      </c>
      <c r="B1412" s="10">
        <v>682</v>
      </c>
      <c r="C141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2" s="10"/>
      <c r="E1412" s="10"/>
      <c r="F141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2" s="11"/>
      <c r="I1412" s="10"/>
      <c r="J1412" s="10"/>
      <c r="K1412" s="10"/>
    </row>
    <row r="1413" spans="1:11" x14ac:dyDescent="0.45">
      <c r="A1413" s="10">
        <v>398</v>
      </c>
      <c r="B1413" s="10">
        <v>676</v>
      </c>
      <c r="C141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3" s="10"/>
      <c r="E1413" s="10"/>
      <c r="F141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3" s="11"/>
      <c r="I1413" s="10"/>
      <c r="J1413" s="10"/>
      <c r="K1413" s="10"/>
    </row>
    <row r="1414" spans="1:11" x14ac:dyDescent="0.45">
      <c r="A1414" s="10">
        <v>399</v>
      </c>
      <c r="B1414" s="10">
        <v>676</v>
      </c>
      <c r="C141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4" s="10"/>
      <c r="E1414" s="10"/>
      <c r="F141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4" s="11"/>
      <c r="I1414" s="10"/>
      <c r="J1414" s="10"/>
      <c r="K1414" s="10"/>
    </row>
    <row r="1415" spans="1:11" x14ac:dyDescent="0.45">
      <c r="A1415" s="10">
        <v>398</v>
      </c>
      <c r="B1415" s="10">
        <v>528</v>
      </c>
      <c r="C141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5" s="10"/>
      <c r="E1415" s="10"/>
      <c r="F141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5" s="11"/>
      <c r="I1415" s="10"/>
      <c r="J1415" s="10"/>
      <c r="K1415" s="10"/>
    </row>
    <row r="1416" spans="1:11" x14ac:dyDescent="0.45">
      <c r="A1416" s="10">
        <v>399</v>
      </c>
      <c r="B1416" s="10">
        <v>528</v>
      </c>
      <c r="C141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6" s="10"/>
      <c r="E1416" s="10"/>
      <c r="F141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6" s="11"/>
      <c r="I1416" s="10"/>
      <c r="J1416" s="10"/>
      <c r="K1416" s="10"/>
    </row>
    <row r="1417" spans="1:11" x14ac:dyDescent="0.45">
      <c r="A1417" s="10">
        <v>399</v>
      </c>
      <c r="B1417" s="10">
        <v>548</v>
      </c>
      <c r="C141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7" s="10"/>
      <c r="E1417" s="10"/>
      <c r="F141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7" s="11"/>
      <c r="I1417" s="10"/>
      <c r="J1417" s="10"/>
      <c r="K1417" s="10"/>
    </row>
    <row r="1418" spans="1:11" x14ac:dyDescent="0.45">
      <c r="A1418" s="10">
        <v>399</v>
      </c>
      <c r="B1418" s="10">
        <v>682</v>
      </c>
      <c r="C141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8" s="10"/>
      <c r="E1418" s="10"/>
      <c r="F141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8" s="11"/>
      <c r="I1418" s="10"/>
      <c r="J1418" s="10"/>
      <c r="K1418" s="10"/>
    </row>
    <row r="1419" spans="1:11" x14ac:dyDescent="0.45">
      <c r="A1419" s="10">
        <v>398</v>
      </c>
      <c r="B1419" s="10">
        <v>558</v>
      </c>
      <c r="C141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19" s="10"/>
      <c r="E1419" s="10"/>
      <c r="F141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1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19" s="11"/>
      <c r="I1419" s="10"/>
      <c r="J1419" s="10"/>
      <c r="K1419" s="10"/>
    </row>
    <row r="1420" spans="1:11" x14ac:dyDescent="0.45">
      <c r="A1420" s="10">
        <v>398</v>
      </c>
      <c r="B1420" s="10">
        <v>24</v>
      </c>
      <c r="C142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0" s="10"/>
      <c r="E1420" s="10"/>
      <c r="F142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0" s="11"/>
      <c r="I1420" s="10"/>
      <c r="J1420" s="10"/>
      <c r="K1420" s="10"/>
    </row>
    <row r="1421" spans="1:11" x14ac:dyDescent="0.45">
      <c r="A1421" s="10">
        <v>399</v>
      </c>
      <c r="B1421" s="10">
        <v>558</v>
      </c>
      <c r="C142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1" s="10"/>
      <c r="E1421" s="10"/>
      <c r="F142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1" s="11"/>
      <c r="I1421" s="10"/>
      <c r="J1421" s="10"/>
      <c r="K1421" s="10"/>
    </row>
    <row r="1422" spans="1:11" x14ac:dyDescent="0.45">
      <c r="A1422" s="10">
        <v>399</v>
      </c>
      <c r="B1422" s="10">
        <v>556</v>
      </c>
      <c r="C142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2" s="10"/>
      <c r="E1422" s="10"/>
      <c r="F142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2" s="11"/>
      <c r="I1422" s="10"/>
      <c r="J1422" s="10"/>
      <c r="K1422" s="10"/>
    </row>
    <row r="1423" spans="1:11" x14ac:dyDescent="0.45">
      <c r="A1423" s="10">
        <v>398</v>
      </c>
      <c r="B1423" s="10">
        <v>556</v>
      </c>
      <c r="C142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3" s="10"/>
      <c r="E1423" s="10"/>
      <c r="F142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3" s="11"/>
      <c r="I1423" s="10"/>
      <c r="J1423" s="10"/>
      <c r="K1423" s="10"/>
    </row>
    <row r="1424" spans="1:11" x14ac:dyDescent="0.45">
      <c r="A1424" s="10">
        <v>398</v>
      </c>
      <c r="B1424" s="10">
        <v>14</v>
      </c>
      <c r="C142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4" s="10"/>
      <c r="E1424" s="10"/>
      <c r="F142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4" s="11"/>
      <c r="I1424" s="10"/>
      <c r="J1424" s="10"/>
      <c r="K1424" s="10"/>
    </row>
    <row r="1425" spans="1:11" x14ac:dyDescent="0.45">
      <c r="A1425" s="10">
        <v>398</v>
      </c>
      <c r="B1425" s="10">
        <v>4</v>
      </c>
      <c r="C142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5" s="10"/>
      <c r="E1425" s="10"/>
      <c r="F142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5" s="11"/>
      <c r="I1425" s="10"/>
      <c r="J1425" s="10"/>
      <c r="K1425" s="10"/>
    </row>
    <row r="1426" spans="1:11" x14ac:dyDescent="0.45">
      <c r="A1426" s="10">
        <v>399</v>
      </c>
      <c r="B1426" s="10">
        <v>36</v>
      </c>
      <c r="C142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6" s="10"/>
      <c r="E1426" s="10"/>
      <c r="F142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6" s="11"/>
      <c r="I1426" s="10"/>
      <c r="J1426" s="10"/>
      <c r="K1426" s="10"/>
    </row>
    <row r="1427" spans="1:11" x14ac:dyDescent="0.45">
      <c r="A1427" s="10">
        <v>399</v>
      </c>
      <c r="B1427" s="10">
        <v>37</v>
      </c>
      <c r="C142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7" s="10"/>
      <c r="E1427" s="10"/>
      <c r="F142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7" s="11"/>
      <c r="I1427" s="10"/>
      <c r="J1427" s="10"/>
      <c r="K1427" s="10"/>
    </row>
    <row r="1428" spans="1:11" x14ac:dyDescent="0.45">
      <c r="A1428" s="10">
        <v>399</v>
      </c>
      <c r="B1428" s="10">
        <v>34</v>
      </c>
      <c r="C142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8" s="10"/>
      <c r="E1428" s="10"/>
      <c r="F142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8" s="11"/>
      <c r="I1428" s="10"/>
      <c r="J1428" s="10"/>
      <c r="K1428" s="10"/>
    </row>
    <row r="1429" spans="1:11" x14ac:dyDescent="0.45">
      <c r="A1429" s="10">
        <v>399</v>
      </c>
      <c r="B1429" s="10">
        <v>35</v>
      </c>
      <c r="C142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29" s="10"/>
      <c r="E1429" s="10"/>
      <c r="F142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2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29" s="11"/>
      <c r="I1429" s="10"/>
      <c r="J1429" s="10"/>
      <c r="K1429" s="10"/>
    </row>
    <row r="1430" spans="1:11" x14ac:dyDescent="0.45">
      <c r="A1430" s="10">
        <v>399</v>
      </c>
      <c r="B1430" s="10">
        <v>37</v>
      </c>
      <c r="C143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0" s="10"/>
      <c r="E1430" s="10"/>
      <c r="F143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0" s="11"/>
      <c r="I1430" s="10"/>
      <c r="J1430" s="10"/>
      <c r="K1430" s="10"/>
    </row>
    <row r="1431" spans="1:11" x14ac:dyDescent="0.45">
      <c r="A1431" s="10">
        <v>399</v>
      </c>
      <c r="B1431" s="10">
        <v>586</v>
      </c>
      <c r="C143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1" s="10"/>
      <c r="E1431" s="10"/>
      <c r="F143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1" s="11"/>
      <c r="I1431" s="10"/>
      <c r="J1431" s="10"/>
      <c r="K1431" s="10"/>
    </row>
    <row r="1432" spans="1:11" x14ac:dyDescent="0.45">
      <c r="A1432" s="10">
        <v>399</v>
      </c>
      <c r="B1432" s="10">
        <v>124</v>
      </c>
      <c r="C143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2" s="10"/>
      <c r="E1432" s="10"/>
      <c r="F143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2" s="11"/>
      <c r="I1432" s="10"/>
      <c r="J1432" s="10"/>
      <c r="K1432" s="10"/>
    </row>
    <row r="1433" spans="1:11" x14ac:dyDescent="0.45">
      <c r="A1433" s="10">
        <v>399</v>
      </c>
      <c r="B1433" s="10">
        <v>55</v>
      </c>
      <c r="C143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3" s="10"/>
      <c r="E1433" s="10"/>
      <c r="F143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3" s="11"/>
      <c r="I1433" s="10"/>
      <c r="J1433" s="10"/>
      <c r="K1433" s="10"/>
    </row>
    <row r="1434" spans="1:11" x14ac:dyDescent="0.45">
      <c r="A1434" s="10">
        <v>399</v>
      </c>
      <c r="B1434" s="10">
        <v>99</v>
      </c>
      <c r="C143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4" s="10"/>
      <c r="E1434" s="10"/>
      <c r="F143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4" s="11"/>
      <c r="I1434" s="10"/>
      <c r="J1434" s="10"/>
      <c r="K1434" s="10"/>
    </row>
    <row r="1435" spans="1:11" x14ac:dyDescent="0.45">
      <c r="A1435" s="10">
        <v>398</v>
      </c>
      <c r="B1435" s="10">
        <v>371</v>
      </c>
      <c r="C143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5" s="10"/>
      <c r="E1435" s="10"/>
      <c r="F143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5" s="11"/>
      <c r="I1435" s="10"/>
      <c r="J1435" s="10"/>
      <c r="K1435" s="10"/>
    </row>
    <row r="1436" spans="1:11" x14ac:dyDescent="0.45">
      <c r="A1436" s="10">
        <v>399</v>
      </c>
      <c r="B1436" s="10">
        <v>371</v>
      </c>
      <c r="C143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6" s="10"/>
      <c r="E1436" s="10"/>
      <c r="F143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6" s="11"/>
      <c r="I1436" s="10"/>
      <c r="J1436" s="10"/>
      <c r="K1436" s="10"/>
    </row>
    <row r="1437" spans="1:11" x14ac:dyDescent="0.45">
      <c r="A1437" s="10">
        <v>398</v>
      </c>
      <c r="B1437" s="10">
        <v>580</v>
      </c>
      <c r="C143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7" s="10"/>
      <c r="E1437" s="10"/>
      <c r="F143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7" s="11"/>
      <c r="I1437" s="10"/>
      <c r="J1437" s="10"/>
      <c r="K1437" s="10"/>
    </row>
    <row r="1438" spans="1:11" x14ac:dyDescent="0.45">
      <c r="A1438" s="10">
        <v>399</v>
      </c>
      <c r="B1438" s="10">
        <v>370</v>
      </c>
      <c r="C143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8" s="10"/>
      <c r="E1438" s="10"/>
      <c r="F143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8" s="11"/>
      <c r="I1438" s="10"/>
      <c r="J1438" s="10"/>
      <c r="K1438" s="10"/>
    </row>
    <row r="1439" spans="1:11" x14ac:dyDescent="0.45">
      <c r="A1439" s="10">
        <v>399</v>
      </c>
      <c r="B1439" s="10">
        <v>580</v>
      </c>
      <c r="C143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39" s="10"/>
      <c r="E1439" s="10"/>
      <c r="F143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3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39" s="11"/>
      <c r="I1439" s="10"/>
      <c r="J1439" s="10"/>
      <c r="K1439" s="10"/>
    </row>
    <row r="1440" spans="1:11" x14ac:dyDescent="0.45">
      <c r="A1440" s="10">
        <v>398</v>
      </c>
      <c r="B1440" s="10">
        <v>586</v>
      </c>
      <c r="C144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0" s="10"/>
      <c r="E1440" s="10"/>
      <c r="F144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0" s="11"/>
      <c r="I1440" s="10"/>
      <c r="J1440" s="10"/>
      <c r="K1440" s="10"/>
    </row>
    <row r="1441" spans="1:11" x14ac:dyDescent="0.45">
      <c r="A1441" s="10">
        <v>399</v>
      </c>
      <c r="B1441" s="10">
        <v>25</v>
      </c>
      <c r="C144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1" s="10"/>
      <c r="E1441" s="10"/>
      <c r="F144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1" s="11"/>
      <c r="I1441" s="10"/>
      <c r="J1441" s="10"/>
      <c r="K1441" s="10"/>
    </row>
    <row r="1442" spans="1:11" x14ac:dyDescent="0.45">
      <c r="A1442" s="10">
        <v>399</v>
      </c>
      <c r="B1442" s="10">
        <v>406</v>
      </c>
      <c r="C144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2" s="10"/>
      <c r="E1442" s="10"/>
      <c r="F144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2" s="11"/>
      <c r="I1442" s="10"/>
      <c r="J1442" s="10"/>
      <c r="K1442" s="10"/>
    </row>
    <row r="1443" spans="1:11" x14ac:dyDescent="0.45">
      <c r="A1443" s="10">
        <v>398</v>
      </c>
      <c r="B1443" s="10">
        <v>406</v>
      </c>
      <c r="C144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3" s="10"/>
      <c r="E1443" s="10"/>
      <c r="F144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3" s="11"/>
      <c r="I1443" s="10"/>
      <c r="J1443" s="10"/>
      <c r="K1443" s="10"/>
    </row>
    <row r="1444" spans="1:11" x14ac:dyDescent="0.45">
      <c r="A1444" s="10">
        <v>399</v>
      </c>
      <c r="B1444" s="10">
        <v>162</v>
      </c>
      <c r="C144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4" s="10"/>
      <c r="E1444" s="10"/>
      <c r="F144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4" s="11"/>
      <c r="I1444" s="10"/>
      <c r="J1444" s="10"/>
      <c r="K1444" s="10"/>
    </row>
    <row r="1445" spans="1:11" x14ac:dyDescent="0.45">
      <c r="A1445" s="10">
        <v>399</v>
      </c>
      <c r="B1445" s="10">
        <v>310</v>
      </c>
      <c r="C144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5" s="10"/>
      <c r="E1445" s="10"/>
      <c r="F144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5" s="11"/>
      <c r="I1445" s="10"/>
      <c r="J1445" s="10"/>
      <c r="K1445" s="10"/>
    </row>
    <row r="1446" spans="1:11" x14ac:dyDescent="0.45">
      <c r="A1446" s="10">
        <v>399</v>
      </c>
      <c r="B1446" s="10">
        <v>325</v>
      </c>
      <c r="C144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6" s="10"/>
      <c r="E1446" s="10"/>
      <c r="F144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6" s="11"/>
      <c r="I1446" s="10"/>
      <c r="J1446" s="10"/>
      <c r="K1446" s="10"/>
    </row>
    <row r="1447" spans="1:11" x14ac:dyDescent="0.45">
      <c r="A1447" s="10">
        <v>399</v>
      </c>
      <c r="B1447" s="10">
        <v>302</v>
      </c>
      <c r="C144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7" s="10"/>
      <c r="E1447" s="10"/>
      <c r="F144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7" s="11"/>
      <c r="I1447" s="10"/>
      <c r="J1447" s="10"/>
      <c r="K1447" s="10"/>
    </row>
    <row r="1448" spans="1:11" x14ac:dyDescent="0.45">
      <c r="A1448" s="10">
        <v>399</v>
      </c>
      <c r="B1448" s="10">
        <v>304</v>
      </c>
      <c r="C144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8" s="10"/>
      <c r="E1448" s="10"/>
      <c r="F144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8" s="11"/>
      <c r="I1448" s="10"/>
      <c r="J1448" s="10"/>
      <c r="K1448" s="10"/>
    </row>
    <row r="1449" spans="1:11" x14ac:dyDescent="0.45">
      <c r="A1449" s="10">
        <v>399</v>
      </c>
      <c r="B1449" s="10">
        <v>332</v>
      </c>
      <c r="C144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49" s="10"/>
      <c r="E1449" s="10"/>
      <c r="F144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4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49" s="11"/>
      <c r="I1449" s="10"/>
      <c r="J1449" s="10"/>
      <c r="K1449" s="10"/>
    </row>
    <row r="1450" spans="1:11" x14ac:dyDescent="0.45">
      <c r="A1450" s="10">
        <v>398</v>
      </c>
      <c r="B1450" s="10">
        <v>604</v>
      </c>
      <c r="C145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0" s="10"/>
      <c r="E1450" s="10"/>
      <c r="F145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0" s="11"/>
      <c r="I1450" s="10"/>
      <c r="J1450" s="10"/>
      <c r="K1450" s="10"/>
    </row>
    <row r="1451" spans="1:11" x14ac:dyDescent="0.45">
      <c r="A1451" s="10">
        <v>399</v>
      </c>
      <c r="B1451" s="10">
        <v>604</v>
      </c>
      <c r="C145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1" s="10"/>
      <c r="E1451" s="10"/>
      <c r="F145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1" s="11"/>
      <c r="I1451" s="10"/>
      <c r="J1451" s="10"/>
      <c r="K1451" s="10"/>
    </row>
    <row r="1452" spans="1:11" x14ac:dyDescent="0.45">
      <c r="A1452" s="10">
        <v>399</v>
      </c>
      <c r="B1452" s="10">
        <v>391</v>
      </c>
      <c r="C145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2" s="10"/>
      <c r="E1452" s="10"/>
      <c r="F145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2" s="11"/>
      <c r="I1452" s="10"/>
      <c r="J1452" s="10"/>
      <c r="K1452" s="10"/>
    </row>
    <row r="1453" spans="1:11" x14ac:dyDescent="0.45">
      <c r="A1453" s="10">
        <v>398</v>
      </c>
      <c r="B1453" s="10">
        <v>391</v>
      </c>
      <c r="C145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3" s="10"/>
      <c r="E1453" s="10"/>
      <c r="F145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3" s="11"/>
      <c r="I1453" s="10"/>
      <c r="J1453" s="10"/>
      <c r="K1453" s="10"/>
    </row>
    <row r="1454" spans="1:11" x14ac:dyDescent="0.45">
      <c r="A1454" s="10">
        <v>399</v>
      </c>
      <c r="B1454" s="10">
        <v>224</v>
      </c>
      <c r="C145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4" s="10"/>
      <c r="E1454" s="10"/>
      <c r="F145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4" s="11"/>
      <c r="I1454" s="10"/>
      <c r="J1454" s="10"/>
      <c r="K1454" s="10"/>
    </row>
    <row r="1455" spans="1:11" x14ac:dyDescent="0.45">
      <c r="A1455" s="10">
        <v>399</v>
      </c>
      <c r="B1455" s="10">
        <v>237</v>
      </c>
      <c r="C145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5" s="10"/>
      <c r="E1455" s="10"/>
      <c r="F145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5" s="11"/>
      <c r="I1455" s="10"/>
      <c r="J1455" s="10"/>
      <c r="K1455" s="10"/>
    </row>
    <row r="1456" spans="1:11" x14ac:dyDescent="0.45">
      <c r="A1456" s="10">
        <v>399</v>
      </c>
      <c r="B1456" s="10">
        <v>173</v>
      </c>
      <c r="C145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6" s="10"/>
      <c r="E1456" s="10"/>
      <c r="F145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6" s="11"/>
      <c r="I1456" s="10"/>
      <c r="J1456" s="10"/>
      <c r="K1456" s="10"/>
    </row>
    <row r="1457" spans="1:11" x14ac:dyDescent="0.45">
      <c r="A1457" s="10">
        <v>399</v>
      </c>
      <c r="B1457" s="10">
        <v>184</v>
      </c>
      <c r="C145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7" s="10"/>
      <c r="E1457" s="10"/>
      <c r="F1457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7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7" s="11"/>
      <c r="I1457" s="10"/>
      <c r="J1457" s="10"/>
      <c r="K1457" s="10"/>
    </row>
    <row r="1458" spans="1:11" x14ac:dyDescent="0.45">
      <c r="A1458" s="10">
        <v>399</v>
      </c>
      <c r="B1458" s="10">
        <v>244</v>
      </c>
      <c r="C145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8" s="10"/>
      <c r="E1458" s="10"/>
      <c r="F145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8" s="11"/>
      <c r="I1458" s="10"/>
      <c r="J1458" s="10"/>
      <c r="K1458" s="10"/>
    </row>
    <row r="1459" spans="1:11" x14ac:dyDescent="0.45">
      <c r="A1459" s="10">
        <v>399</v>
      </c>
      <c r="B1459" s="10">
        <v>262</v>
      </c>
      <c r="C145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59" s="10"/>
      <c r="E1459" s="10"/>
      <c r="F145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5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59" s="11"/>
      <c r="I1459" s="10"/>
      <c r="J1459" s="10"/>
      <c r="K1459" s="10"/>
    </row>
    <row r="1460" spans="1:11" x14ac:dyDescent="0.45">
      <c r="A1460" s="10">
        <v>399</v>
      </c>
      <c r="B1460" s="10">
        <v>300</v>
      </c>
      <c r="C146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0" s="10"/>
      <c r="E1460" s="10"/>
      <c r="F1460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0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0" s="11"/>
      <c r="I1460" s="10"/>
      <c r="J1460" s="10"/>
      <c r="K1460" s="10"/>
    </row>
    <row r="1461" spans="1:11" x14ac:dyDescent="0.45">
      <c r="A1461" s="10">
        <v>399</v>
      </c>
      <c r="B1461" s="10">
        <v>246</v>
      </c>
      <c r="C146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1" s="10"/>
      <c r="E1461" s="10"/>
      <c r="F146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1" s="11"/>
      <c r="I1461" s="10"/>
      <c r="J1461" s="10"/>
      <c r="K1461" s="10"/>
    </row>
    <row r="1462" spans="1:11" x14ac:dyDescent="0.45">
      <c r="A1462" s="10">
        <v>399</v>
      </c>
      <c r="B1462" s="10">
        <v>255</v>
      </c>
      <c r="C146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2" s="10"/>
      <c r="E1462" s="10"/>
      <c r="F146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2" s="11"/>
      <c r="I1462" s="10"/>
      <c r="J1462" s="10"/>
      <c r="K1462" s="10"/>
    </row>
    <row r="1463" spans="1:11" x14ac:dyDescent="0.45">
      <c r="A1463" s="10">
        <v>398</v>
      </c>
      <c r="B1463" s="10">
        <v>184</v>
      </c>
      <c r="C146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3" s="10"/>
      <c r="E1463" s="10"/>
      <c r="F146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3" s="11"/>
      <c r="I1463" s="10"/>
      <c r="J1463" s="10"/>
      <c r="K1463" s="10"/>
    </row>
    <row r="1464" spans="1:11" x14ac:dyDescent="0.45">
      <c r="A1464" s="10">
        <v>398</v>
      </c>
      <c r="B1464" s="10">
        <v>224</v>
      </c>
      <c r="C146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4" s="10"/>
      <c r="E1464" s="10"/>
      <c r="F146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4" s="11"/>
      <c r="I1464" s="10"/>
      <c r="J1464" s="10"/>
      <c r="K1464" s="10"/>
    </row>
    <row r="1465" spans="1:11" x14ac:dyDescent="0.45">
      <c r="A1465" s="10">
        <v>398</v>
      </c>
      <c r="B1465" s="10">
        <v>569</v>
      </c>
      <c r="C146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5" s="10"/>
      <c r="E1465" s="10"/>
      <c r="F146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5" s="11"/>
      <c r="I1465" s="10"/>
      <c r="J1465" s="10"/>
      <c r="K1465" s="10"/>
    </row>
    <row r="1466" spans="1:11" x14ac:dyDescent="0.45">
      <c r="A1466" s="10">
        <v>399</v>
      </c>
      <c r="B1466" s="10">
        <v>569</v>
      </c>
      <c r="C146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6" s="10"/>
      <c r="E1466" s="10"/>
      <c r="F146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6" s="11"/>
      <c r="I1466" s="10"/>
      <c r="J1466" s="10"/>
      <c r="K1466" s="10"/>
    </row>
    <row r="1467" spans="1:11" x14ac:dyDescent="0.45">
      <c r="A1467" s="10">
        <v>398</v>
      </c>
      <c r="B1467" s="10">
        <v>246</v>
      </c>
      <c r="C146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7" s="10"/>
      <c r="E1467" s="10"/>
      <c r="F146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7" s="11"/>
      <c r="I1467" s="10"/>
      <c r="J1467" s="10"/>
      <c r="K1467" s="10"/>
    </row>
    <row r="1468" spans="1:11" x14ac:dyDescent="0.45">
      <c r="A1468" s="10">
        <v>398</v>
      </c>
      <c r="B1468" s="10">
        <v>255</v>
      </c>
      <c r="C146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8" s="10"/>
      <c r="E1468" s="10"/>
      <c r="F146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8" s="11"/>
      <c r="I1468" s="10"/>
      <c r="J1468" s="10"/>
      <c r="K1468" s="10"/>
    </row>
    <row r="1469" spans="1:11" x14ac:dyDescent="0.45">
      <c r="A1469" s="10">
        <v>398</v>
      </c>
      <c r="B1469" s="10">
        <v>237</v>
      </c>
      <c r="C146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69" s="10"/>
      <c r="E1469" s="10"/>
      <c r="F146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6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69" s="11"/>
      <c r="I1469" s="10"/>
      <c r="J1469" s="10"/>
      <c r="K1469" s="10"/>
    </row>
    <row r="1470" spans="1:11" x14ac:dyDescent="0.45">
      <c r="A1470" s="10">
        <v>398</v>
      </c>
      <c r="B1470" s="10">
        <v>244</v>
      </c>
      <c r="C147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0" s="10"/>
      <c r="E1470" s="10"/>
      <c r="F147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0" s="11"/>
      <c r="I1470" s="10"/>
      <c r="J1470" s="10"/>
      <c r="K1470" s="10"/>
    </row>
    <row r="1471" spans="1:11" x14ac:dyDescent="0.45">
      <c r="A1471" s="10">
        <v>399</v>
      </c>
      <c r="B1471" s="10">
        <v>414</v>
      </c>
      <c r="C147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1" s="10"/>
      <c r="E1471" s="10"/>
      <c r="F1471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1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1" s="11"/>
      <c r="I1471" s="10"/>
      <c r="J1471" s="10"/>
      <c r="K1471" s="10"/>
    </row>
    <row r="1472" spans="1:11" x14ac:dyDescent="0.45">
      <c r="A1472" s="10">
        <v>398</v>
      </c>
      <c r="B1472" s="10">
        <v>55</v>
      </c>
      <c r="C147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2" s="10"/>
      <c r="E1472" s="10"/>
      <c r="F147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2" s="11"/>
      <c r="I1472" s="10"/>
      <c r="J1472" s="10"/>
      <c r="K1472" s="10"/>
    </row>
    <row r="1473" spans="1:11" x14ac:dyDescent="0.45">
      <c r="A1473" s="10">
        <v>398</v>
      </c>
      <c r="B1473" s="10">
        <v>99</v>
      </c>
      <c r="C147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3" s="10"/>
      <c r="E1473" s="10"/>
      <c r="F147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3" s="11"/>
      <c r="I1473" s="10"/>
      <c r="J1473" s="10"/>
      <c r="K1473" s="10"/>
    </row>
    <row r="1474" spans="1:11" x14ac:dyDescent="0.45">
      <c r="A1474" s="10">
        <v>399</v>
      </c>
      <c r="B1474" s="10">
        <v>418</v>
      </c>
      <c r="C147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4" s="10"/>
      <c r="E1474" s="10"/>
      <c r="F147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4" s="11"/>
      <c r="I1474" s="10"/>
      <c r="J1474" s="10"/>
      <c r="K1474" s="10"/>
    </row>
    <row r="1475" spans="1:11" x14ac:dyDescent="0.45">
      <c r="A1475" s="10">
        <v>398</v>
      </c>
      <c r="B1475" s="10">
        <v>37</v>
      </c>
      <c r="C147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5" s="10"/>
      <c r="E1475" s="10"/>
      <c r="F147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5" s="11"/>
      <c r="I1475" s="10"/>
      <c r="J1475" s="10"/>
      <c r="K1475" s="10"/>
    </row>
    <row r="1476" spans="1:11" x14ac:dyDescent="0.45">
      <c r="A1476" s="10">
        <v>398</v>
      </c>
      <c r="B1476" s="10">
        <v>162</v>
      </c>
      <c r="C147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6" s="10"/>
      <c r="E1476" s="10"/>
      <c r="F147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6" s="11"/>
      <c r="I1476" s="10"/>
      <c r="J1476" s="10"/>
      <c r="K1476" s="10"/>
    </row>
    <row r="1477" spans="1:11" x14ac:dyDescent="0.45">
      <c r="A1477" s="10">
        <v>398</v>
      </c>
      <c r="B1477" s="10">
        <v>173</v>
      </c>
      <c r="C147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7" s="10"/>
      <c r="E1477" s="10"/>
      <c r="F147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7" s="11"/>
      <c r="I1477" s="10"/>
      <c r="J1477" s="10"/>
      <c r="K1477" s="10"/>
    </row>
    <row r="1478" spans="1:11" x14ac:dyDescent="0.45">
      <c r="A1478" s="10">
        <v>398</v>
      </c>
      <c r="B1478" s="10">
        <v>124</v>
      </c>
      <c r="C147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8" s="10"/>
      <c r="E1478" s="10"/>
      <c r="F147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8" s="11"/>
      <c r="I1478" s="10"/>
      <c r="J1478" s="10"/>
      <c r="K1478" s="10"/>
    </row>
    <row r="1479" spans="1:11" x14ac:dyDescent="0.45">
      <c r="A1479" s="10">
        <v>398</v>
      </c>
      <c r="B1479" s="10">
        <v>418</v>
      </c>
      <c r="C147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79" s="10"/>
      <c r="E1479" s="10"/>
      <c r="F147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7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79" s="11"/>
      <c r="I1479" s="10"/>
      <c r="J1479" s="10"/>
      <c r="K1479" s="10"/>
    </row>
    <row r="1480" spans="1:11" x14ac:dyDescent="0.45">
      <c r="A1480" s="10">
        <v>398</v>
      </c>
      <c r="B1480" s="10">
        <v>262</v>
      </c>
      <c r="C148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0" s="10"/>
      <c r="E1480" s="10"/>
      <c r="F148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0" s="11"/>
      <c r="I1480" s="10"/>
      <c r="J1480" s="10"/>
      <c r="K1480" s="10"/>
    </row>
    <row r="1481" spans="1:11" x14ac:dyDescent="0.45">
      <c r="A1481" s="10">
        <v>398</v>
      </c>
      <c r="B1481" s="10">
        <v>578</v>
      </c>
      <c r="C148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1" s="10"/>
      <c r="E1481" s="10"/>
      <c r="F148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1" s="11"/>
      <c r="I1481" s="10"/>
      <c r="J1481" s="10"/>
      <c r="K1481" s="10"/>
    </row>
    <row r="1482" spans="1:11" x14ac:dyDescent="0.45">
      <c r="A1482" s="10">
        <v>399</v>
      </c>
      <c r="B1482" s="10">
        <v>578</v>
      </c>
      <c r="C148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2" s="10"/>
      <c r="E1482" s="10"/>
      <c r="F148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2" s="11"/>
      <c r="I1482" s="10"/>
      <c r="J1482" s="10"/>
      <c r="K1482" s="10"/>
    </row>
    <row r="1483" spans="1:11" x14ac:dyDescent="0.45">
      <c r="A1483" s="10">
        <v>399</v>
      </c>
      <c r="B1483" s="10">
        <v>4</v>
      </c>
      <c r="C148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3" s="10"/>
      <c r="E1483" s="10"/>
      <c r="F148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3" s="11"/>
      <c r="I1483" s="10"/>
      <c r="J1483" s="10"/>
      <c r="K1483" s="10"/>
    </row>
    <row r="1484" spans="1:11" x14ac:dyDescent="0.45">
      <c r="A1484" s="10">
        <v>399</v>
      </c>
      <c r="B1484" s="10">
        <v>410</v>
      </c>
      <c r="C148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4" s="10"/>
      <c r="E1484" s="10"/>
      <c r="F1484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4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4" s="11"/>
      <c r="I1484" s="10"/>
      <c r="J1484" s="10"/>
      <c r="K1484" s="10"/>
    </row>
    <row r="1485" spans="1:11" x14ac:dyDescent="0.45">
      <c r="A1485" s="10">
        <v>399</v>
      </c>
      <c r="B1485" s="10">
        <v>24</v>
      </c>
      <c r="C148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5" s="10"/>
      <c r="E1485" s="10"/>
      <c r="F148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5" s="11"/>
      <c r="I1485" s="10"/>
      <c r="J1485" s="10"/>
      <c r="K1485" s="10"/>
    </row>
    <row r="1486" spans="1:11" x14ac:dyDescent="0.45">
      <c r="A1486" s="10">
        <v>398</v>
      </c>
      <c r="B1486" s="10">
        <v>410</v>
      </c>
      <c r="C148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6" s="10"/>
      <c r="E1486" s="10"/>
      <c r="F1486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6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6" s="11"/>
      <c r="I1486" s="10"/>
      <c r="J1486" s="10"/>
      <c r="K1486" s="10"/>
    </row>
    <row r="1487" spans="1:11" x14ac:dyDescent="0.45">
      <c r="A1487" s="10">
        <v>398</v>
      </c>
      <c r="B1487" s="10">
        <v>370</v>
      </c>
      <c r="C148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7" s="10"/>
      <c r="E1487" s="10"/>
      <c r="F148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7" s="11"/>
      <c r="I1487" s="10"/>
      <c r="J1487" s="10"/>
      <c r="K1487" s="10"/>
    </row>
    <row r="1488" spans="1:11" x14ac:dyDescent="0.45">
      <c r="A1488" s="10">
        <v>399</v>
      </c>
      <c r="B1488" s="10">
        <v>14</v>
      </c>
      <c r="C148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8" s="10"/>
      <c r="E1488" s="10"/>
      <c r="F1488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8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8" s="11"/>
      <c r="I1488" s="10"/>
      <c r="J1488" s="10"/>
      <c r="K1488" s="10"/>
    </row>
    <row r="1489" spans="1:11" x14ac:dyDescent="0.45">
      <c r="A1489" s="10">
        <v>398</v>
      </c>
      <c r="B1489" s="10">
        <v>332</v>
      </c>
      <c r="C148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89" s="10"/>
      <c r="E1489" s="10"/>
      <c r="F1489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89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89" s="11"/>
      <c r="I1489" s="10"/>
      <c r="J1489" s="10"/>
      <c r="K1489" s="10"/>
    </row>
    <row r="1490" spans="1:11" x14ac:dyDescent="0.45">
      <c r="A1490" s="10">
        <v>398</v>
      </c>
      <c r="B1490" s="10">
        <v>300</v>
      </c>
      <c r="C149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0" s="10"/>
      <c r="E1490" s="10"/>
      <c r="F149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0" s="11"/>
      <c r="I1490" s="10"/>
      <c r="J1490" s="10"/>
      <c r="K1490" s="10"/>
    </row>
    <row r="1491" spans="1:11" x14ac:dyDescent="0.45">
      <c r="A1491" s="10">
        <v>398</v>
      </c>
      <c r="B1491" s="10">
        <v>304</v>
      </c>
      <c r="C149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1" s="10"/>
      <c r="E1491" s="10"/>
      <c r="F149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1" s="11"/>
      <c r="I1491" s="10"/>
      <c r="J1491" s="10"/>
      <c r="K1491" s="10"/>
    </row>
    <row r="1492" spans="1:11" x14ac:dyDescent="0.45">
      <c r="A1492" s="10">
        <v>398</v>
      </c>
      <c r="B1492" s="10">
        <v>302</v>
      </c>
      <c r="C149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2" s="10"/>
      <c r="E1492" s="10"/>
      <c r="F1492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2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2" s="11"/>
      <c r="I1492" s="10"/>
      <c r="J1492" s="10"/>
      <c r="K1492" s="10"/>
    </row>
    <row r="1493" spans="1:11" x14ac:dyDescent="0.45">
      <c r="A1493" s="10">
        <v>398</v>
      </c>
      <c r="B1493" s="10">
        <v>325</v>
      </c>
      <c r="C149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3" s="10"/>
      <c r="E1493" s="10"/>
      <c r="F1493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3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3" s="11"/>
      <c r="I1493" s="10"/>
      <c r="J1493" s="10"/>
      <c r="K1493" s="10"/>
    </row>
    <row r="1494" spans="1:11" x14ac:dyDescent="0.45">
      <c r="A1494" s="10">
        <v>398</v>
      </c>
      <c r="B1494" s="10">
        <v>310</v>
      </c>
      <c r="C149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4" s="10"/>
      <c r="E1494" s="10"/>
      <c r="F149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4" s="11"/>
      <c r="I1494" s="10"/>
      <c r="J1494" s="10"/>
      <c r="K1494" s="10"/>
    </row>
    <row r="1495" spans="1:11" x14ac:dyDescent="0.45">
      <c r="A1495" s="10">
        <v>398</v>
      </c>
      <c r="B1495" s="10">
        <v>414</v>
      </c>
      <c r="C149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5" s="10"/>
      <c r="E1495" s="10"/>
      <c r="F1495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5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5" s="11"/>
      <c r="I1495" s="10"/>
      <c r="J1495" s="10"/>
      <c r="K1495" s="10"/>
    </row>
    <row r="1496" spans="1:11" x14ac:dyDescent="0.45">
      <c r="A1496" s="10">
        <v>401</v>
      </c>
      <c r="B1496" s="10">
        <v>657</v>
      </c>
      <c r="C1496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6" s="10"/>
      <c r="E1496" s="10"/>
      <c r="F1496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6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6" s="11"/>
      <c r="I1496" s="10"/>
      <c r="J1496" s="10"/>
      <c r="K1496" s="10"/>
    </row>
    <row r="1497" spans="1:11" x14ac:dyDescent="0.45">
      <c r="A1497" s="10">
        <v>400</v>
      </c>
      <c r="B1497" s="10">
        <v>663</v>
      </c>
      <c r="C1497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7" s="10"/>
      <c r="E1497" s="10"/>
      <c r="F1497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7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7" s="11"/>
      <c r="I1497" s="10"/>
      <c r="J1497" s="10"/>
      <c r="K1497" s="10"/>
    </row>
    <row r="1498" spans="1:11" x14ac:dyDescent="0.45">
      <c r="A1498" s="10">
        <v>400</v>
      </c>
      <c r="B1498" s="10">
        <v>481</v>
      </c>
      <c r="C1498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8" s="10"/>
      <c r="E1498" s="10"/>
      <c r="F1498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8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8" s="11"/>
      <c r="I1498" s="10"/>
      <c r="J1498" s="10"/>
      <c r="K1498" s="10"/>
    </row>
    <row r="1499" spans="1:11" x14ac:dyDescent="0.45">
      <c r="A1499" s="10">
        <v>401</v>
      </c>
      <c r="B1499" s="10">
        <v>481</v>
      </c>
      <c r="C1499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499" s="10"/>
      <c r="E1499" s="10"/>
      <c r="F1499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499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499" s="11"/>
      <c r="I1499" s="10"/>
      <c r="J1499" s="10"/>
      <c r="K1499" s="10"/>
    </row>
    <row r="1500" spans="1:11" x14ac:dyDescent="0.45">
      <c r="A1500" s="10">
        <v>400</v>
      </c>
      <c r="B1500" s="10">
        <v>657</v>
      </c>
      <c r="C1500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00" s="10"/>
      <c r="E1500" s="10"/>
      <c r="F1500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00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00" s="11"/>
      <c r="I1500" s="10"/>
      <c r="J1500" s="10"/>
      <c r="K1500" s="10"/>
    </row>
    <row r="1501" spans="1:11" x14ac:dyDescent="0.45">
      <c r="A1501" s="10">
        <v>400</v>
      </c>
      <c r="B1501" s="10">
        <v>630</v>
      </c>
      <c r="C1501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01" s="10"/>
      <c r="E1501" s="10"/>
      <c r="F1501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01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01" s="11"/>
      <c r="I1501" s="10"/>
      <c r="J1501" s="10"/>
      <c r="K1501" s="10"/>
    </row>
    <row r="1502" spans="1:11" x14ac:dyDescent="0.45">
      <c r="A1502" s="10">
        <v>401</v>
      </c>
      <c r="B1502" s="10">
        <v>630</v>
      </c>
      <c r="C1502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02" s="10"/>
      <c r="E1502" s="10"/>
      <c r="F1502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02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02" s="11"/>
      <c r="I1502" s="10"/>
      <c r="J1502" s="10"/>
      <c r="K1502" s="10"/>
    </row>
    <row r="1503" spans="1:11" x14ac:dyDescent="0.45">
      <c r="A1503" s="10">
        <v>401</v>
      </c>
      <c r="B1503" s="10">
        <v>43</v>
      </c>
      <c r="C1503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03" s="10"/>
      <c r="E1503" s="10"/>
      <c r="F1503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03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03" s="11"/>
      <c r="I1503" s="10"/>
      <c r="J1503" s="10"/>
      <c r="K1503" s="10"/>
    </row>
    <row r="1504" spans="1:11" x14ac:dyDescent="0.45">
      <c r="A1504" s="10">
        <v>400</v>
      </c>
      <c r="B1504" s="10">
        <v>43</v>
      </c>
      <c r="C1504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04" s="10"/>
      <c r="E1504" s="10"/>
      <c r="F1504" s="11">
        <f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04" s="11">
        <f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04" s="11"/>
      <c r="I1504" s="10"/>
      <c r="J1504" s="10"/>
      <c r="K1504" s="10"/>
    </row>
    <row r="1505" spans="1:11" x14ac:dyDescent="0.45">
      <c r="A1505" s="10">
        <v>401</v>
      </c>
      <c r="B1505" s="10">
        <v>663</v>
      </c>
      <c r="C1505" s="10" t="b">
        <f ca="1">IFERROR(IF(AND(VLOOKUP(dict_zuord_DQ_Meth[[#This Row],[ID_DataQualities]],table_DataQualities[],14,FALSE),MIN(SUMPRODUCT(SUBTOTAL(103,OFFSET(table_Methods[ID],ROW(table_Methods[ID])-MIN(ROW(table_Methods[ID])),,1))*(table_Methods[ID]=dict_zuord_DQ_Meth[[#This Row],[ID_Methods]])))&gt;0),TRUE,FALSE),FALSE)</f>
        <v>1</v>
      </c>
      <c r="D1505" s="10"/>
      <c r="E1505" s="10"/>
      <c r="F1505" s="11">
        <f ca="1">IF(VLOOKUP(VLOOKUP(dict_zuord_DQ_Meth[[#This Row],[ID_DataQualities]],table_DataQualities[],3),table_Units[],5)&gt;0,dict_zuord_DQ_Meth[[#This Row],[z_J_worst]],IF(VLOOKUP(VLOOKUP(dict_zuord_DQ_Meth[[#This Row],[ID_DataQualities]],table_DataQualities[],3),table_Units[],6)=1,dict_zuord_DQ_Meth[[#This Row],[z_J_best]]))</f>
        <v>0</v>
      </c>
      <c r="G1505" s="11">
        <f ca="1">IF(VLOOKUP(VLOOKUP(dict_zuord_DQ_Meth[[#This Row],[ID_DataQualities]],table_DataQualities[],3),table_Units[],5)&gt;0,dict_zuord_DQ_Meth[[#This Row],[z_J_best]],IF(VLOOKUP(VLOOKUP(dict_zuord_DQ_Meth[[#This Row],[ID_DataQualities]],table_DataQualities[],3),table_Units[],6)=1,dict_zuord_DQ_Meth[[#This Row],[z_J_worst]]))</f>
        <v>0</v>
      </c>
      <c r="H1505" s="11"/>
      <c r="I1505" s="10"/>
      <c r="J1505" s="10"/>
      <c r="K1505" s="10"/>
    </row>
  </sheetData>
  <conditionalFormatting sqref="G1:G1048576">
    <cfRule type="cellIs" dxfId="12" priority="1" operator="greaterThan">
      <formula>$M1</formula>
    </cfRule>
    <cfRule type="cellIs" dxfId="11" priority="3" operator="lessThan">
      <formula>$F1</formula>
    </cfRule>
  </conditionalFormatting>
  <conditionalFormatting sqref="F1:F1048576">
    <cfRule type="cellIs" dxfId="10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53"/>
  <sheetViews>
    <sheetView workbookViewId="0">
      <selection activeCell="F5" sqref="F5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5" width="6.796875" bestFit="1" customWidth="1"/>
    <col min="6" max="6" width="12.9296875" bestFit="1" customWidth="1"/>
    <col min="7" max="7" width="11.9296875" bestFit="1" customWidth="1"/>
    <col min="8" max="8" width="13.86328125" bestFit="1" customWidth="1"/>
    <col min="9" max="9" width="13.73046875" bestFit="1" customWidth="1"/>
  </cols>
  <sheetData>
    <row r="1" spans="1:2" x14ac:dyDescent="0.45">
      <c r="A1" s="10" t="s">
        <v>29</v>
      </c>
      <c r="B1" s="10" t="s">
        <v>30</v>
      </c>
    </row>
    <row r="2" spans="1:2" x14ac:dyDescent="0.45">
      <c r="A2" s="10">
        <v>80</v>
      </c>
      <c r="B2" s="10">
        <v>0</v>
      </c>
    </row>
    <row r="3" spans="1:2" x14ac:dyDescent="0.45">
      <c r="A3" s="10">
        <v>177</v>
      </c>
      <c r="B3" s="10">
        <v>0</v>
      </c>
    </row>
    <row r="4" spans="1:2" x14ac:dyDescent="0.45">
      <c r="A4" s="10">
        <v>187</v>
      </c>
      <c r="B4" s="10">
        <v>1</v>
      </c>
    </row>
    <row r="5" spans="1:2" x14ac:dyDescent="0.45">
      <c r="A5" s="10">
        <v>199</v>
      </c>
      <c r="B5" s="10">
        <v>1</v>
      </c>
    </row>
    <row r="6" spans="1:2" x14ac:dyDescent="0.45">
      <c r="A6" s="10">
        <v>199</v>
      </c>
      <c r="B6" s="10">
        <v>2</v>
      </c>
    </row>
    <row r="7" spans="1:2" x14ac:dyDescent="0.45">
      <c r="A7" s="10">
        <v>25</v>
      </c>
      <c r="B7" s="10">
        <v>2</v>
      </c>
    </row>
    <row r="8" spans="1:2" x14ac:dyDescent="0.45">
      <c r="A8" s="10">
        <v>62</v>
      </c>
      <c r="B8" s="10">
        <v>3</v>
      </c>
    </row>
    <row r="9" spans="1:2" x14ac:dyDescent="0.45">
      <c r="A9" s="10">
        <v>135</v>
      </c>
      <c r="B9" s="10">
        <v>3</v>
      </c>
    </row>
    <row r="10" spans="1:2" x14ac:dyDescent="0.45">
      <c r="A10" s="10">
        <v>199</v>
      </c>
      <c r="B10" s="10">
        <v>4</v>
      </c>
    </row>
    <row r="11" spans="1:2" x14ac:dyDescent="0.45">
      <c r="A11" s="10">
        <v>172</v>
      </c>
      <c r="B11" s="10">
        <v>4</v>
      </c>
    </row>
    <row r="12" spans="1:2" x14ac:dyDescent="0.45">
      <c r="A12" s="10">
        <v>106</v>
      </c>
      <c r="B12" s="10">
        <v>5</v>
      </c>
    </row>
    <row r="13" spans="1:2" x14ac:dyDescent="0.45">
      <c r="A13" s="10">
        <v>184</v>
      </c>
      <c r="B13" s="10">
        <v>5</v>
      </c>
    </row>
    <row r="14" spans="1:2" x14ac:dyDescent="0.45">
      <c r="A14" s="10">
        <v>58</v>
      </c>
      <c r="B14" s="10">
        <v>6</v>
      </c>
    </row>
    <row r="15" spans="1:2" x14ac:dyDescent="0.45">
      <c r="A15" s="10">
        <v>68</v>
      </c>
      <c r="B15" s="10">
        <v>6</v>
      </c>
    </row>
    <row r="16" spans="1:2" x14ac:dyDescent="0.45">
      <c r="A16" s="10">
        <v>130</v>
      </c>
      <c r="B16" s="10">
        <v>7</v>
      </c>
    </row>
    <row r="17" spans="1:2" x14ac:dyDescent="0.45">
      <c r="A17" s="10">
        <v>166</v>
      </c>
      <c r="B17" s="10">
        <v>7</v>
      </c>
    </row>
    <row r="18" spans="1:2" x14ac:dyDescent="0.45">
      <c r="A18" s="10">
        <v>136</v>
      </c>
      <c r="B18" s="10">
        <v>8</v>
      </c>
    </row>
    <row r="19" spans="1:2" x14ac:dyDescent="0.45">
      <c r="A19" s="10">
        <v>110</v>
      </c>
      <c r="B19" s="10">
        <v>8</v>
      </c>
    </row>
    <row r="20" spans="1:2" x14ac:dyDescent="0.45">
      <c r="A20" s="10">
        <v>194</v>
      </c>
      <c r="B20" s="10">
        <v>9</v>
      </c>
    </row>
    <row r="21" spans="1:2" x14ac:dyDescent="0.45">
      <c r="A21" s="10">
        <v>138</v>
      </c>
      <c r="B21" s="10">
        <v>9</v>
      </c>
    </row>
    <row r="22" spans="1:2" x14ac:dyDescent="0.45">
      <c r="A22" s="10">
        <v>136</v>
      </c>
      <c r="B22" s="10">
        <v>10</v>
      </c>
    </row>
    <row r="23" spans="1:2" x14ac:dyDescent="0.45">
      <c r="A23" s="10">
        <v>183</v>
      </c>
      <c r="B23" s="10">
        <v>10</v>
      </c>
    </row>
    <row r="24" spans="1:2" x14ac:dyDescent="0.45">
      <c r="A24" s="10">
        <v>192</v>
      </c>
      <c r="B24" s="10">
        <v>11</v>
      </c>
    </row>
    <row r="25" spans="1:2" x14ac:dyDescent="0.45">
      <c r="A25" s="10">
        <v>118</v>
      </c>
      <c r="B25" s="10">
        <v>11</v>
      </c>
    </row>
    <row r="26" spans="1:2" x14ac:dyDescent="0.45">
      <c r="A26" s="10">
        <v>66</v>
      </c>
      <c r="B26" s="10">
        <v>12</v>
      </c>
    </row>
    <row r="27" spans="1:2" x14ac:dyDescent="0.45">
      <c r="A27" s="10">
        <v>17</v>
      </c>
      <c r="B27" s="10">
        <v>12</v>
      </c>
    </row>
    <row r="28" spans="1:2" x14ac:dyDescent="0.45">
      <c r="A28" s="10">
        <v>183</v>
      </c>
      <c r="B28" s="10">
        <v>13</v>
      </c>
    </row>
    <row r="29" spans="1:2" x14ac:dyDescent="0.45">
      <c r="A29" s="10">
        <v>140</v>
      </c>
      <c r="B29" s="10">
        <v>13</v>
      </c>
    </row>
    <row r="30" spans="1:2" x14ac:dyDescent="0.45">
      <c r="A30" s="10">
        <v>7</v>
      </c>
      <c r="B30" s="10">
        <v>14</v>
      </c>
    </row>
    <row r="31" spans="1:2" x14ac:dyDescent="0.45">
      <c r="A31" s="10">
        <v>32</v>
      </c>
      <c r="B31" s="10">
        <v>14</v>
      </c>
    </row>
    <row r="32" spans="1:2" x14ac:dyDescent="0.45">
      <c r="A32" s="10">
        <v>34</v>
      </c>
      <c r="B32" s="10">
        <v>15</v>
      </c>
    </row>
    <row r="33" spans="1:2" x14ac:dyDescent="0.45">
      <c r="A33" s="10">
        <v>57</v>
      </c>
      <c r="B33" s="10">
        <v>15</v>
      </c>
    </row>
    <row r="34" spans="1:2" x14ac:dyDescent="0.45">
      <c r="A34" s="10">
        <v>160</v>
      </c>
      <c r="B34" s="10">
        <v>16</v>
      </c>
    </row>
    <row r="35" spans="1:2" x14ac:dyDescent="0.45">
      <c r="A35" s="10">
        <v>104</v>
      </c>
      <c r="B35" s="10">
        <v>16</v>
      </c>
    </row>
    <row r="36" spans="1:2" x14ac:dyDescent="0.45">
      <c r="A36" s="10">
        <v>176</v>
      </c>
      <c r="B36" s="10">
        <v>17</v>
      </c>
    </row>
    <row r="37" spans="1:2" x14ac:dyDescent="0.45">
      <c r="A37" s="10">
        <v>199</v>
      </c>
      <c r="B37" s="10">
        <v>17</v>
      </c>
    </row>
    <row r="38" spans="1:2" x14ac:dyDescent="0.45">
      <c r="A38" s="10">
        <v>143</v>
      </c>
      <c r="B38" s="10">
        <v>18</v>
      </c>
    </row>
    <row r="39" spans="1:2" x14ac:dyDescent="0.45">
      <c r="A39" s="10">
        <v>199</v>
      </c>
      <c r="B39" s="10">
        <v>18</v>
      </c>
    </row>
    <row r="40" spans="1:2" x14ac:dyDescent="0.45">
      <c r="A40" s="10">
        <v>73</v>
      </c>
      <c r="B40" s="10">
        <v>19</v>
      </c>
    </row>
    <row r="41" spans="1:2" x14ac:dyDescent="0.45">
      <c r="A41" s="10">
        <v>191</v>
      </c>
      <c r="B41" s="10">
        <v>19</v>
      </c>
    </row>
    <row r="42" spans="1:2" x14ac:dyDescent="0.45">
      <c r="A42" s="10">
        <v>113</v>
      </c>
      <c r="B42" s="10">
        <v>20</v>
      </c>
    </row>
    <row r="43" spans="1:2" x14ac:dyDescent="0.45">
      <c r="A43" s="10">
        <v>188</v>
      </c>
      <c r="B43" s="10">
        <v>20</v>
      </c>
    </row>
    <row r="44" spans="1:2" x14ac:dyDescent="0.45">
      <c r="A44" s="10">
        <v>95</v>
      </c>
      <c r="B44" s="10">
        <v>21</v>
      </c>
    </row>
    <row r="45" spans="1:2" x14ac:dyDescent="0.45">
      <c r="A45" s="10">
        <v>56</v>
      </c>
      <c r="B45" s="10">
        <v>21</v>
      </c>
    </row>
    <row r="46" spans="1:2" x14ac:dyDescent="0.45">
      <c r="A46" s="10">
        <v>199</v>
      </c>
      <c r="B46" s="10">
        <v>22</v>
      </c>
    </row>
    <row r="47" spans="1:2" x14ac:dyDescent="0.45">
      <c r="A47" s="10">
        <v>188</v>
      </c>
      <c r="B47" s="10">
        <v>22</v>
      </c>
    </row>
    <row r="48" spans="1:2" x14ac:dyDescent="0.45">
      <c r="A48" s="10">
        <v>69</v>
      </c>
      <c r="B48" s="10">
        <v>23</v>
      </c>
    </row>
    <row r="49" spans="1:2" x14ac:dyDescent="0.45">
      <c r="A49" s="10">
        <v>120</v>
      </c>
      <c r="B49" s="10">
        <v>23</v>
      </c>
    </row>
    <row r="50" spans="1:2" x14ac:dyDescent="0.45">
      <c r="A50" s="10">
        <v>44</v>
      </c>
      <c r="B50" s="10">
        <v>24</v>
      </c>
    </row>
    <row r="51" spans="1:2" x14ac:dyDescent="0.45">
      <c r="A51" s="10">
        <v>146</v>
      </c>
      <c r="B51" s="10">
        <v>24</v>
      </c>
    </row>
    <row r="52" spans="1:2" x14ac:dyDescent="0.45">
      <c r="A52" s="10">
        <v>148</v>
      </c>
      <c r="B52" s="10">
        <v>25</v>
      </c>
    </row>
    <row r="53" spans="1:2" x14ac:dyDescent="0.45">
      <c r="A53" s="10">
        <v>199</v>
      </c>
      <c r="B53" s="10">
        <v>25</v>
      </c>
    </row>
    <row r="54" spans="1:2" x14ac:dyDescent="0.45">
      <c r="A54" s="10">
        <v>27</v>
      </c>
      <c r="B54" s="10">
        <v>26</v>
      </c>
    </row>
    <row r="55" spans="1:2" x14ac:dyDescent="0.45">
      <c r="A55" s="10">
        <v>141</v>
      </c>
      <c r="B55" s="10">
        <v>26</v>
      </c>
    </row>
    <row r="56" spans="1:2" x14ac:dyDescent="0.45">
      <c r="A56" s="10">
        <v>73</v>
      </c>
      <c r="B56" s="10">
        <v>27</v>
      </c>
    </row>
    <row r="57" spans="1:2" x14ac:dyDescent="0.45">
      <c r="A57" s="10">
        <v>87</v>
      </c>
      <c r="B57" s="10">
        <v>27</v>
      </c>
    </row>
    <row r="58" spans="1:2" x14ac:dyDescent="0.45">
      <c r="A58" s="10">
        <v>175</v>
      </c>
      <c r="B58" s="10">
        <v>28</v>
      </c>
    </row>
    <row r="59" spans="1:2" x14ac:dyDescent="0.45">
      <c r="A59" s="10">
        <v>111</v>
      </c>
      <c r="B59" s="10">
        <v>28</v>
      </c>
    </row>
    <row r="60" spans="1:2" x14ac:dyDescent="0.45">
      <c r="A60" s="10">
        <v>37</v>
      </c>
      <c r="B60" s="10">
        <v>29</v>
      </c>
    </row>
    <row r="61" spans="1:2" x14ac:dyDescent="0.45">
      <c r="A61" s="10">
        <v>14</v>
      </c>
      <c r="B61" s="10">
        <v>29</v>
      </c>
    </row>
    <row r="62" spans="1:2" x14ac:dyDescent="0.45">
      <c r="A62" s="10">
        <v>133</v>
      </c>
      <c r="B62" s="10">
        <v>30</v>
      </c>
    </row>
    <row r="63" spans="1:2" x14ac:dyDescent="0.45">
      <c r="A63" s="10">
        <v>171</v>
      </c>
      <c r="B63" s="10">
        <v>30</v>
      </c>
    </row>
    <row r="64" spans="1:2" x14ac:dyDescent="0.45">
      <c r="A64" s="10">
        <v>184</v>
      </c>
      <c r="B64" s="10">
        <v>31</v>
      </c>
    </row>
    <row r="65" spans="1:2" x14ac:dyDescent="0.45">
      <c r="A65" s="10">
        <v>199</v>
      </c>
      <c r="B65" s="10">
        <v>31</v>
      </c>
    </row>
    <row r="66" spans="1:2" x14ac:dyDescent="0.45">
      <c r="A66" s="10">
        <v>129</v>
      </c>
      <c r="B66" s="10">
        <v>32</v>
      </c>
    </row>
    <row r="67" spans="1:2" x14ac:dyDescent="0.45">
      <c r="A67" s="10">
        <v>185</v>
      </c>
      <c r="B67" s="10">
        <v>32</v>
      </c>
    </row>
    <row r="68" spans="1:2" x14ac:dyDescent="0.45">
      <c r="A68" s="10">
        <v>65</v>
      </c>
      <c r="B68" s="10">
        <v>33</v>
      </c>
    </row>
    <row r="69" spans="1:2" x14ac:dyDescent="0.45">
      <c r="A69" s="10">
        <v>90</v>
      </c>
      <c r="B69" s="10">
        <v>33</v>
      </c>
    </row>
    <row r="70" spans="1:2" x14ac:dyDescent="0.45">
      <c r="A70" s="10">
        <v>130</v>
      </c>
      <c r="B70" s="10">
        <v>34</v>
      </c>
    </row>
    <row r="71" spans="1:2" x14ac:dyDescent="0.45">
      <c r="A71" s="10">
        <v>94</v>
      </c>
      <c r="B71" s="10">
        <v>34</v>
      </c>
    </row>
    <row r="72" spans="1:2" x14ac:dyDescent="0.45">
      <c r="A72" s="10">
        <v>10</v>
      </c>
      <c r="B72" s="10">
        <v>35</v>
      </c>
    </row>
    <row r="73" spans="1:2" x14ac:dyDescent="0.45">
      <c r="A73" s="10">
        <v>51</v>
      </c>
      <c r="B73" s="10">
        <v>35</v>
      </c>
    </row>
    <row r="74" spans="1:2" x14ac:dyDescent="0.45">
      <c r="A74" s="10">
        <v>197</v>
      </c>
      <c r="B74" s="10">
        <v>36</v>
      </c>
    </row>
    <row r="75" spans="1:2" x14ac:dyDescent="0.45">
      <c r="A75" s="10">
        <v>199</v>
      </c>
      <c r="B75" s="10">
        <v>36</v>
      </c>
    </row>
    <row r="76" spans="1:2" x14ac:dyDescent="0.45">
      <c r="A76" s="10">
        <v>83</v>
      </c>
      <c r="B76" s="10">
        <v>37</v>
      </c>
    </row>
    <row r="77" spans="1:2" x14ac:dyDescent="0.45">
      <c r="A77" s="10">
        <v>171</v>
      </c>
      <c r="B77" s="10">
        <v>37</v>
      </c>
    </row>
    <row r="78" spans="1:2" x14ac:dyDescent="0.45">
      <c r="A78" s="10">
        <v>65</v>
      </c>
      <c r="B78" s="10">
        <v>38</v>
      </c>
    </row>
    <row r="79" spans="1:2" x14ac:dyDescent="0.45">
      <c r="A79" s="10">
        <v>170</v>
      </c>
      <c r="B79" s="10">
        <v>38</v>
      </c>
    </row>
    <row r="80" spans="1:2" x14ac:dyDescent="0.45">
      <c r="A80" s="10">
        <v>167</v>
      </c>
      <c r="B80" s="10">
        <v>39</v>
      </c>
    </row>
    <row r="81" spans="1:2" x14ac:dyDescent="0.45">
      <c r="A81" s="10">
        <v>93</v>
      </c>
      <c r="B81" s="10">
        <v>39</v>
      </c>
    </row>
    <row r="82" spans="1:2" x14ac:dyDescent="0.45">
      <c r="A82" s="10">
        <v>107</v>
      </c>
      <c r="B82" s="10">
        <v>40</v>
      </c>
    </row>
    <row r="83" spans="1:2" x14ac:dyDescent="0.45">
      <c r="A83" s="10">
        <v>164</v>
      </c>
      <c r="B83" s="10">
        <v>40</v>
      </c>
    </row>
    <row r="84" spans="1:2" x14ac:dyDescent="0.45">
      <c r="A84" s="10">
        <v>165</v>
      </c>
      <c r="B84" s="10">
        <v>41</v>
      </c>
    </row>
    <row r="85" spans="1:2" x14ac:dyDescent="0.45">
      <c r="A85" s="10">
        <v>45</v>
      </c>
      <c r="B85" s="10">
        <v>41</v>
      </c>
    </row>
    <row r="86" spans="1:2" x14ac:dyDescent="0.45">
      <c r="A86" s="10">
        <v>25</v>
      </c>
      <c r="B86" s="10">
        <v>42</v>
      </c>
    </row>
    <row r="87" spans="1:2" x14ac:dyDescent="0.45">
      <c r="A87" s="10">
        <v>70</v>
      </c>
      <c r="B87" s="10">
        <v>42</v>
      </c>
    </row>
    <row r="88" spans="1:2" x14ac:dyDescent="0.45">
      <c r="A88" s="10">
        <v>89</v>
      </c>
      <c r="B88" s="10">
        <v>43</v>
      </c>
    </row>
    <row r="89" spans="1:2" x14ac:dyDescent="0.45">
      <c r="A89" s="10">
        <v>175</v>
      </c>
      <c r="B89" s="10">
        <v>43</v>
      </c>
    </row>
    <row r="90" spans="1:2" x14ac:dyDescent="0.45">
      <c r="A90" s="10">
        <v>177</v>
      </c>
      <c r="B90" s="10">
        <v>44</v>
      </c>
    </row>
    <row r="91" spans="1:2" x14ac:dyDescent="0.45">
      <c r="A91" s="10">
        <v>47</v>
      </c>
      <c r="B91" s="10">
        <v>44</v>
      </c>
    </row>
    <row r="92" spans="1:2" x14ac:dyDescent="0.45">
      <c r="A92" s="10">
        <v>199</v>
      </c>
      <c r="B92" s="10">
        <v>45</v>
      </c>
    </row>
    <row r="93" spans="1:2" x14ac:dyDescent="0.45">
      <c r="A93" s="10">
        <v>103</v>
      </c>
      <c r="B93" s="10">
        <v>45</v>
      </c>
    </row>
    <row r="94" spans="1:2" x14ac:dyDescent="0.45">
      <c r="A94" s="10">
        <v>97</v>
      </c>
      <c r="B94" s="10">
        <v>46</v>
      </c>
    </row>
    <row r="95" spans="1:2" x14ac:dyDescent="0.45">
      <c r="A95" s="10">
        <v>44</v>
      </c>
      <c r="B95" s="10">
        <v>46</v>
      </c>
    </row>
    <row r="96" spans="1:2" x14ac:dyDescent="0.45">
      <c r="A96" s="10">
        <v>153</v>
      </c>
      <c r="B96" s="10">
        <v>47</v>
      </c>
    </row>
    <row r="97" spans="1:2" x14ac:dyDescent="0.45">
      <c r="A97" s="10">
        <v>198</v>
      </c>
      <c r="B97" s="10">
        <v>47</v>
      </c>
    </row>
    <row r="98" spans="1:2" x14ac:dyDescent="0.45">
      <c r="A98" s="10">
        <v>53</v>
      </c>
      <c r="B98" s="10">
        <v>48</v>
      </c>
    </row>
    <row r="99" spans="1:2" x14ac:dyDescent="0.45">
      <c r="A99" s="10">
        <v>185</v>
      </c>
      <c r="B99" s="10">
        <v>48</v>
      </c>
    </row>
    <row r="100" spans="1:2" x14ac:dyDescent="0.45">
      <c r="A100" s="10">
        <v>30</v>
      </c>
      <c r="B100" s="10">
        <v>49</v>
      </c>
    </row>
    <row r="101" spans="1:2" x14ac:dyDescent="0.45">
      <c r="A101" s="10">
        <v>152</v>
      </c>
      <c r="B101" s="10">
        <v>49</v>
      </c>
    </row>
    <row r="102" spans="1:2" x14ac:dyDescent="0.45">
      <c r="A102" s="10">
        <v>47</v>
      </c>
      <c r="B102" s="10">
        <v>50</v>
      </c>
    </row>
    <row r="103" spans="1:2" x14ac:dyDescent="0.45">
      <c r="A103" s="10">
        <v>174</v>
      </c>
      <c r="B103" s="10">
        <v>50</v>
      </c>
    </row>
    <row r="104" spans="1:2" x14ac:dyDescent="0.45">
      <c r="A104" s="10">
        <v>153</v>
      </c>
      <c r="B104" s="10">
        <v>51</v>
      </c>
    </row>
    <row r="105" spans="1:2" x14ac:dyDescent="0.45">
      <c r="A105" s="10">
        <v>191</v>
      </c>
      <c r="B105" s="10">
        <v>52</v>
      </c>
    </row>
    <row r="106" spans="1:2" x14ac:dyDescent="0.45">
      <c r="A106" s="10">
        <v>131</v>
      </c>
      <c r="B106" s="10">
        <v>53</v>
      </c>
    </row>
    <row r="107" spans="1:2" x14ac:dyDescent="0.45">
      <c r="A107" s="10">
        <v>173</v>
      </c>
      <c r="B107" s="10">
        <v>54</v>
      </c>
    </row>
    <row r="108" spans="1:2" x14ac:dyDescent="0.45">
      <c r="A108" s="10">
        <v>120</v>
      </c>
      <c r="B108" s="10">
        <v>55</v>
      </c>
    </row>
    <row r="109" spans="1:2" x14ac:dyDescent="0.45">
      <c r="A109" s="10">
        <v>145</v>
      </c>
      <c r="B109" s="10">
        <v>56</v>
      </c>
    </row>
    <row r="110" spans="1:2" x14ac:dyDescent="0.45">
      <c r="A110" s="10">
        <v>143</v>
      </c>
      <c r="B110" s="10">
        <v>57</v>
      </c>
    </row>
    <row r="111" spans="1:2" x14ac:dyDescent="0.45">
      <c r="A111" s="10">
        <v>81</v>
      </c>
      <c r="B111" s="10">
        <v>58</v>
      </c>
    </row>
    <row r="112" spans="1:2" x14ac:dyDescent="0.45">
      <c r="A112" s="10">
        <v>1</v>
      </c>
      <c r="B112" s="10">
        <v>59</v>
      </c>
    </row>
    <row r="113" spans="1:2" x14ac:dyDescent="0.45">
      <c r="A113" s="10">
        <v>59</v>
      </c>
      <c r="B113" s="10">
        <v>60</v>
      </c>
    </row>
    <row r="114" spans="1:2" x14ac:dyDescent="0.45">
      <c r="A114" s="10">
        <v>68</v>
      </c>
      <c r="B114" s="10">
        <v>61</v>
      </c>
    </row>
    <row r="115" spans="1:2" x14ac:dyDescent="0.45">
      <c r="A115" s="10">
        <v>80</v>
      </c>
      <c r="B115" s="10">
        <v>62</v>
      </c>
    </row>
    <row r="116" spans="1:2" x14ac:dyDescent="0.45">
      <c r="A116" s="10">
        <v>192</v>
      </c>
      <c r="B116" s="10">
        <v>63</v>
      </c>
    </row>
    <row r="117" spans="1:2" x14ac:dyDescent="0.45">
      <c r="A117" s="10">
        <v>199</v>
      </c>
      <c r="B117" s="10">
        <v>64</v>
      </c>
    </row>
    <row r="118" spans="1:2" x14ac:dyDescent="0.45">
      <c r="A118" s="10">
        <v>22</v>
      </c>
      <c r="B118" s="10">
        <v>65</v>
      </c>
    </row>
    <row r="119" spans="1:2" x14ac:dyDescent="0.45">
      <c r="A119" s="10">
        <v>199</v>
      </c>
      <c r="B119" s="10">
        <v>66</v>
      </c>
    </row>
    <row r="120" spans="1:2" x14ac:dyDescent="0.45">
      <c r="A120" s="10">
        <v>13</v>
      </c>
      <c r="B120" s="10">
        <v>67</v>
      </c>
    </row>
    <row r="121" spans="1:2" x14ac:dyDescent="0.45">
      <c r="A121" s="10">
        <v>155</v>
      </c>
      <c r="B121" s="10">
        <v>68</v>
      </c>
    </row>
    <row r="122" spans="1:2" x14ac:dyDescent="0.45">
      <c r="A122" s="10">
        <v>126</v>
      </c>
      <c r="B122" s="10">
        <v>69</v>
      </c>
    </row>
    <row r="123" spans="1:2" x14ac:dyDescent="0.45">
      <c r="A123" s="10">
        <v>0</v>
      </c>
      <c r="B123" s="10">
        <v>70</v>
      </c>
    </row>
    <row r="124" spans="1:2" x14ac:dyDescent="0.45">
      <c r="A124" s="10">
        <v>101</v>
      </c>
      <c r="B124" s="10">
        <v>71</v>
      </c>
    </row>
    <row r="125" spans="1:2" x14ac:dyDescent="0.45">
      <c r="A125" s="10">
        <v>105</v>
      </c>
      <c r="B125" s="10">
        <v>72</v>
      </c>
    </row>
    <row r="126" spans="1:2" x14ac:dyDescent="0.45">
      <c r="A126" s="10">
        <v>117</v>
      </c>
      <c r="B126" s="10">
        <v>73</v>
      </c>
    </row>
    <row r="127" spans="1:2" x14ac:dyDescent="0.45">
      <c r="A127" s="10">
        <v>149</v>
      </c>
      <c r="B127" s="10">
        <v>74</v>
      </c>
    </row>
    <row r="128" spans="1:2" x14ac:dyDescent="0.45">
      <c r="A128" s="10">
        <v>197</v>
      </c>
      <c r="B128" s="10">
        <v>75</v>
      </c>
    </row>
    <row r="129" spans="1:2" x14ac:dyDescent="0.45">
      <c r="A129" s="10">
        <v>6</v>
      </c>
      <c r="B129" s="10">
        <v>76</v>
      </c>
    </row>
    <row r="130" spans="1:2" x14ac:dyDescent="0.45">
      <c r="A130" s="10">
        <v>87</v>
      </c>
      <c r="B130" s="10">
        <v>77</v>
      </c>
    </row>
    <row r="131" spans="1:2" x14ac:dyDescent="0.45">
      <c r="A131" s="10">
        <v>52</v>
      </c>
      <c r="B131" s="10">
        <v>78</v>
      </c>
    </row>
    <row r="132" spans="1:2" x14ac:dyDescent="0.45">
      <c r="A132" s="10">
        <v>161</v>
      </c>
      <c r="B132" s="10">
        <v>79</v>
      </c>
    </row>
    <row r="133" spans="1:2" x14ac:dyDescent="0.45">
      <c r="A133" s="10">
        <v>189</v>
      </c>
      <c r="B133" s="10">
        <v>80</v>
      </c>
    </row>
    <row r="134" spans="1:2" x14ac:dyDescent="0.45">
      <c r="A134" s="10">
        <v>59</v>
      </c>
      <c r="B134" s="10">
        <v>81</v>
      </c>
    </row>
    <row r="135" spans="1:2" x14ac:dyDescent="0.45">
      <c r="A135" s="10">
        <v>56</v>
      </c>
      <c r="B135" s="10">
        <v>82</v>
      </c>
    </row>
    <row r="136" spans="1:2" x14ac:dyDescent="0.45">
      <c r="A136" s="10">
        <v>15</v>
      </c>
      <c r="B136" s="10">
        <v>83</v>
      </c>
    </row>
    <row r="137" spans="1:2" x14ac:dyDescent="0.45">
      <c r="A137" s="10">
        <v>58</v>
      </c>
      <c r="B137" s="10">
        <v>84</v>
      </c>
    </row>
    <row r="138" spans="1:2" x14ac:dyDescent="0.45">
      <c r="A138" s="10">
        <v>34</v>
      </c>
      <c r="B138" s="10">
        <v>85</v>
      </c>
    </row>
    <row r="139" spans="1:2" x14ac:dyDescent="0.45">
      <c r="A139" s="10">
        <v>50</v>
      </c>
      <c r="B139" s="10">
        <v>86</v>
      </c>
    </row>
    <row r="140" spans="1:2" x14ac:dyDescent="0.45">
      <c r="A140" s="10">
        <v>94</v>
      </c>
      <c r="B140" s="10">
        <v>87</v>
      </c>
    </row>
    <row r="141" spans="1:2" x14ac:dyDescent="0.45">
      <c r="A141" s="10">
        <v>40</v>
      </c>
      <c r="B141" s="10">
        <v>88</v>
      </c>
    </row>
    <row r="142" spans="1:2" x14ac:dyDescent="0.45">
      <c r="A142" s="10">
        <v>199</v>
      </c>
      <c r="B142" s="10">
        <v>89</v>
      </c>
    </row>
    <row r="143" spans="1:2" x14ac:dyDescent="0.45">
      <c r="A143" s="10">
        <v>39</v>
      </c>
      <c r="B143" s="10">
        <v>90</v>
      </c>
    </row>
    <row r="144" spans="1:2" x14ac:dyDescent="0.45">
      <c r="A144" s="10">
        <v>72</v>
      </c>
      <c r="B144" s="10">
        <v>91</v>
      </c>
    </row>
    <row r="145" spans="1:2" x14ac:dyDescent="0.45">
      <c r="A145" s="10">
        <v>186</v>
      </c>
      <c r="B145" s="10">
        <v>92</v>
      </c>
    </row>
    <row r="146" spans="1:2" x14ac:dyDescent="0.45">
      <c r="A146" s="10">
        <v>99</v>
      </c>
      <c r="B146" s="10">
        <v>93</v>
      </c>
    </row>
    <row r="147" spans="1:2" x14ac:dyDescent="0.45">
      <c r="A147" s="10">
        <v>95</v>
      </c>
      <c r="B147" s="10">
        <v>94</v>
      </c>
    </row>
    <row r="148" spans="1:2" x14ac:dyDescent="0.45">
      <c r="A148" s="10">
        <v>123</v>
      </c>
      <c r="B148" s="10">
        <v>95</v>
      </c>
    </row>
    <row r="149" spans="1:2" x14ac:dyDescent="0.45">
      <c r="A149" s="10">
        <v>86</v>
      </c>
      <c r="B149" s="10">
        <v>96</v>
      </c>
    </row>
    <row r="150" spans="1:2" x14ac:dyDescent="0.45">
      <c r="A150" s="10">
        <v>150</v>
      </c>
      <c r="B150" s="10">
        <v>97</v>
      </c>
    </row>
    <row r="151" spans="1:2" x14ac:dyDescent="0.45">
      <c r="A151" s="10">
        <v>129</v>
      </c>
      <c r="B151" s="10">
        <v>98</v>
      </c>
    </row>
    <row r="152" spans="1:2" x14ac:dyDescent="0.45">
      <c r="A152" s="10">
        <v>196</v>
      </c>
      <c r="B152" s="10">
        <v>99</v>
      </c>
    </row>
    <row r="153" spans="1:2" x14ac:dyDescent="0.45">
      <c r="A153" s="10">
        <v>151</v>
      </c>
      <c r="B153" s="10">
        <v>100</v>
      </c>
    </row>
    <row r="154" spans="1:2" x14ac:dyDescent="0.45">
      <c r="A154" s="10">
        <v>36</v>
      </c>
      <c r="B154" s="10">
        <v>101</v>
      </c>
    </row>
    <row r="155" spans="1:2" x14ac:dyDescent="0.45">
      <c r="A155" s="10">
        <v>19</v>
      </c>
      <c r="B155" s="10">
        <v>102</v>
      </c>
    </row>
    <row r="156" spans="1:2" x14ac:dyDescent="0.45">
      <c r="A156" s="10">
        <v>168</v>
      </c>
      <c r="B156" s="10">
        <v>103</v>
      </c>
    </row>
    <row r="157" spans="1:2" x14ac:dyDescent="0.45">
      <c r="A157" s="10">
        <v>180</v>
      </c>
      <c r="B157" s="10">
        <v>104</v>
      </c>
    </row>
    <row r="158" spans="1:2" x14ac:dyDescent="0.45">
      <c r="A158" s="10">
        <v>84</v>
      </c>
      <c r="B158" s="10">
        <v>105</v>
      </c>
    </row>
    <row r="159" spans="1:2" x14ac:dyDescent="0.45">
      <c r="A159" s="10">
        <v>164</v>
      </c>
      <c r="B159" s="10">
        <v>106</v>
      </c>
    </row>
    <row r="160" spans="1:2" x14ac:dyDescent="0.45">
      <c r="A160" s="10">
        <v>85</v>
      </c>
      <c r="B160" s="10">
        <v>107</v>
      </c>
    </row>
    <row r="161" spans="1:2" x14ac:dyDescent="0.45">
      <c r="A161" s="10">
        <v>108</v>
      </c>
      <c r="B161" s="10">
        <v>108</v>
      </c>
    </row>
    <row r="162" spans="1:2" x14ac:dyDescent="0.45">
      <c r="A162" s="10">
        <v>178</v>
      </c>
      <c r="B162" s="10">
        <v>109</v>
      </c>
    </row>
    <row r="163" spans="1:2" x14ac:dyDescent="0.45">
      <c r="A163" s="10">
        <v>6</v>
      </c>
      <c r="B163" s="10">
        <v>110</v>
      </c>
    </row>
    <row r="164" spans="1:2" x14ac:dyDescent="0.45">
      <c r="A164" s="10">
        <v>87</v>
      </c>
      <c r="B164" s="10">
        <v>111</v>
      </c>
    </row>
    <row r="165" spans="1:2" x14ac:dyDescent="0.45">
      <c r="A165" s="10">
        <v>147</v>
      </c>
      <c r="B165" s="10">
        <v>112</v>
      </c>
    </row>
    <row r="166" spans="1:2" x14ac:dyDescent="0.45">
      <c r="A166" s="10">
        <v>126</v>
      </c>
      <c r="B166" s="10">
        <v>113</v>
      </c>
    </row>
    <row r="167" spans="1:2" x14ac:dyDescent="0.45">
      <c r="A167" s="10">
        <v>98</v>
      </c>
      <c r="B167" s="10">
        <v>114</v>
      </c>
    </row>
    <row r="168" spans="1:2" x14ac:dyDescent="0.45">
      <c r="A168" s="10">
        <v>136</v>
      </c>
      <c r="B168" s="10">
        <v>115</v>
      </c>
    </row>
    <row r="169" spans="1:2" x14ac:dyDescent="0.45">
      <c r="A169" s="10">
        <v>145</v>
      </c>
      <c r="B169" s="10">
        <v>116</v>
      </c>
    </row>
    <row r="170" spans="1:2" x14ac:dyDescent="0.45">
      <c r="A170" s="10">
        <v>104</v>
      </c>
      <c r="B170" s="10">
        <v>117</v>
      </c>
    </row>
    <row r="171" spans="1:2" x14ac:dyDescent="0.45">
      <c r="A171" s="10">
        <v>199</v>
      </c>
      <c r="B171" s="10">
        <v>118</v>
      </c>
    </row>
    <row r="172" spans="1:2" x14ac:dyDescent="0.45">
      <c r="A172" s="10">
        <v>179</v>
      </c>
      <c r="B172" s="10">
        <v>119</v>
      </c>
    </row>
    <row r="173" spans="1:2" x14ac:dyDescent="0.45">
      <c r="A173" s="10">
        <v>159</v>
      </c>
      <c r="B173" s="10">
        <v>120</v>
      </c>
    </row>
    <row r="174" spans="1:2" x14ac:dyDescent="0.45">
      <c r="A174" s="10">
        <v>99</v>
      </c>
      <c r="B174" s="10">
        <v>121</v>
      </c>
    </row>
    <row r="175" spans="1:2" x14ac:dyDescent="0.45">
      <c r="A175" s="10">
        <v>106</v>
      </c>
      <c r="B175" s="10">
        <v>122</v>
      </c>
    </row>
    <row r="176" spans="1:2" x14ac:dyDescent="0.45">
      <c r="A176" s="10">
        <v>53</v>
      </c>
      <c r="B176" s="10">
        <v>123</v>
      </c>
    </row>
    <row r="177" spans="1:2" x14ac:dyDescent="0.45">
      <c r="A177" s="10">
        <v>38</v>
      </c>
      <c r="B177" s="10">
        <v>124</v>
      </c>
    </row>
    <row r="178" spans="1:2" x14ac:dyDescent="0.45">
      <c r="A178" s="10">
        <v>199</v>
      </c>
      <c r="B178" s="10">
        <v>125</v>
      </c>
    </row>
    <row r="179" spans="1:2" x14ac:dyDescent="0.45">
      <c r="A179" s="10">
        <v>104</v>
      </c>
      <c r="B179" s="10">
        <v>126</v>
      </c>
    </row>
    <row r="180" spans="1:2" x14ac:dyDescent="0.45">
      <c r="A180" s="10">
        <v>125</v>
      </c>
      <c r="B180" s="10">
        <v>127</v>
      </c>
    </row>
    <row r="181" spans="1:2" x14ac:dyDescent="0.45">
      <c r="A181" s="10">
        <v>134</v>
      </c>
      <c r="B181" s="10">
        <v>128</v>
      </c>
    </row>
    <row r="182" spans="1:2" x14ac:dyDescent="0.45">
      <c r="A182" s="10">
        <v>114</v>
      </c>
      <c r="B182" s="10">
        <v>129</v>
      </c>
    </row>
    <row r="183" spans="1:2" x14ac:dyDescent="0.45">
      <c r="A183" s="10">
        <v>53</v>
      </c>
      <c r="B183" s="10">
        <v>130</v>
      </c>
    </row>
    <row r="184" spans="1:2" x14ac:dyDescent="0.45">
      <c r="A184" s="10">
        <v>111</v>
      </c>
      <c r="B184" s="10">
        <v>131</v>
      </c>
    </row>
    <row r="185" spans="1:2" x14ac:dyDescent="0.45">
      <c r="A185" s="10">
        <v>49</v>
      </c>
      <c r="B185" s="10">
        <v>132</v>
      </c>
    </row>
    <row r="186" spans="1:2" x14ac:dyDescent="0.45">
      <c r="A186" s="10">
        <v>150</v>
      </c>
      <c r="B186" s="10">
        <v>133</v>
      </c>
    </row>
    <row r="187" spans="1:2" x14ac:dyDescent="0.45">
      <c r="A187" s="10">
        <v>142</v>
      </c>
      <c r="B187" s="10">
        <v>134</v>
      </c>
    </row>
    <row r="188" spans="1:2" x14ac:dyDescent="0.45">
      <c r="A188" s="10">
        <v>147</v>
      </c>
      <c r="B188" s="10">
        <v>135</v>
      </c>
    </row>
    <row r="189" spans="1:2" x14ac:dyDescent="0.45">
      <c r="A189" s="10">
        <v>65</v>
      </c>
      <c r="B189" s="10">
        <v>136</v>
      </c>
    </row>
    <row r="190" spans="1:2" x14ac:dyDescent="0.45">
      <c r="A190" s="10">
        <v>64</v>
      </c>
      <c r="B190" s="10">
        <v>137</v>
      </c>
    </row>
    <row r="191" spans="1:2" x14ac:dyDescent="0.45">
      <c r="A191" s="10">
        <v>106</v>
      </c>
      <c r="B191" s="10">
        <v>138</v>
      </c>
    </row>
    <row r="192" spans="1:2" x14ac:dyDescent="0.45">
      <c r="A192" s="10">
        <v>132</v>
      </c>
      <c r="B192" s="10">
        <v>139</v>
      </c>
    </row>
    <row r="193" spans="1:2" x14ac:dyDescent="0.45">
      <c r="A193" s="10">
        <v>105</v>
      </c>
      <c r="B193" s="10">
        <v>140</v>
      </c>
    </row>
    <row r="194" spans="1:2" x14ac:dyDescent="0.45">
      <c r="A194" s="10">
        <v>187</v>
      </c>
      <c r="B194" s="10">
        <v>141</v>
      </c>
    </row>
    <row r="195" spans="1:2" x14ac:dyDescent="0.45">
      <c r="A195" s="10">
        <v>4</v>
      </c>
      <c r="B195" s="10">
        <v>142</v>
      </c>
    </row>
    <row r="196" spans="1:2" x14ac:dyDescent="0.45">
      <c r="A196" s="10">
        <v>32</v>
      </c>
      <c r="B196" s="10">
        <v>143</v>
      </c>
    </row>
    <row r="197" spans="1:2" x14ac:dyDescent="0.45">
      <c r="A197" s="10">
        <v>17</v>
      </c>
      <c r="B197" s="10">
        <v>144</v>
      </c>
    </row>
    <row r="198" spans="1:2" x14ac:dyDescent="0.45">
      <c r="A198" s="10">
        <v>189</v>
      </c>
      <c r="B198" s="10">
        <v>145</v>
      </c>
    </row>
    <row r="199" spans="1:2" x14ac:dyDescent="0.45">
      <c r="A199" s="10">
        <v>199</v>
      </c>
      <c r="B199" s="10">
        <v>146</v>
      </c>
    </row>
    <row r="200" spans="1:2" x14ac:dyDescent="0.45">
      <c r="A200" s="10">
        <v>59</v>
      </c>
      <c r="B200" s="10">
        <v>147</v>
      </c>
    </row>
    <row r="201" spans="1:2" x14ac:dyDescent="0.45">
      <c r="A201" s="10">
        <v>175</v>
      </c>
      <c r="B201" s="10">
        <v>148</v>
      </c>
    </row>
    <row r="202" spans="1:2" x14ac:dyDescent="0.45">
      <c r="A202" s="10">
        <v>72</v>
      </c>
      <c r="B202" s="10">
        <v>149</v>
      </c>
    </row>
    <row r="203" spans="1:2" x14ac:dyDescent="0.45">
      <c r="A203" s="10">
        <v>51</v>
      </c>
      <c r="B203" s="10">
        <v>150</v>
      </c>
    </row>
    <row r="204" spans="1:2" x14ac:dyDescent="0.45">
      <c r="A204" s="10">
        <v>110</v>
      </c>
      <c r="B204" s="10">
        <v>151</v>
      </c>
    </row>
    <row r="205" spans="1:2" x14ac:dyDescent="0.45">
      <c r="A205" s="10">
        <v>194</v>
      </c>
      <c r="B205" s="10">
        <v>152</v>
      </c>
    </row>
    <row r="206" spans="1:2" x14ac:dyDescent="0.45">
      <c r="A206" s="10">
        <v>88</v>
      </c>
      <c r="B206" s="10">
        <v>153</v>
      </c>
    </row>
    <row r="207" spans="1:2" x14ac:dyDescent="0.45">
      <c r="A207" s="10">
        <v>39</v>
      </c>
      <c r="B207" s="10">
        <v>154</v>
      </c>
    </row>
    <row r="208" spans="1:2" x14ac:dyDescent="0.45">
      <c r="A208" s="10">
        <v>187</v>
      </c>
      <c r="B208" s="10">
        <v>155</v>
      </c>
    </row>
    <row r="209" spans="1:2" x14ac:dyDescent="0.45">
      <c r="A209" s="10">
        <v>200</v>
      </c>
      <c r="B209" s="10">
        <v>156</v>
      </c>
    </row>
    <row r="210" spans="1:2" x14ac:dyDescent="0.45">
      <c r="A210" s="10">
        <v>199</v>
      </c>
      <c r="B210" s="10">
        <v>157</v>
      </c>
    </row>
    <row r="211" spans="1:2" x14ac:dyDescent="0.45">
      <c r="A211" s="10">
        <v>11</v>
      </c>
      <c r="B211" s="10">
        <v>158</v>
      </c>
    </row>
    <row r="212" spans="1:2" x14ac:dyDescent="0.45">
      <c r="A212" s="10">
        <v>44</v>
      </c>
      <c r="B212" s="10">
        <v>159</v>
      </c>
    </row>
    <row r="213" spans="1:2" x14ac:dyDescent="0.45">
      <c r="A213" s="10">
        <v>26</v>
      </c>
      <c r="B213" s="10">
        <v>160</v>
      </c>
    </row>
    <row r="214" spans="1:2" x14ac:dyDescent="0.45">
      <c r="A214" s="10">
        <v>21</v>
      </c>
      <c r="B214" s="10">
        <v>161</v>
      </c>
    </row>
    <row r="215" spans="1:2" x14ac:dyDescent="0.45">
      <c r="A215" s="10">
        <v>127</v>
      </c>
      <c r="B215" s="10">
        <v>162</v>
      </c>
    </row>
    <row r="216" spans="1:2" x14ac:dyDescent="0.45">
      <c r="A216" s="10">
        <v>64</v>
      </c>
      <c r="B216" s="10">
        <v>163</v>
      </c>
    </row>
    <row r="217" spans="1:2" x14ac:dyDescent="0.45">
      <c r="A217" s="10">
        <v>110</v>
      </c>
      <c r="B217" s="10">
        <v>164</v>
      </c>
    </row>
    <row r="218" spans="1:2" x14ac:dyDescent="0.45">
      <c r="A218" s="10">
        <v>4</v>
      </c>
      <c r="B218" s="10">
        <v>165</v>
      </c>
    </row>
    <row r="219" spans="1:2" x14ac:dyDescent="0.45">
      <c r="A219" s="10">
        <v>124</v>
      </c>
      <c r="B219" s="10">
        <v>166</v>
      </c>
    </row>
    <row r="220" spans="1:2" x14ac:dyDescent="0.45">
      <c r="A220" s="10">
        <v>160</v>
      </c>
      <c r="B220" s="10">
        <v>167</v>
      </c>
    </row>
    <row r="221" spans="1:2" x14ac:dyDescent="0.45">
      <c r="A221" s="10">
        <v>29</v>
      </c>
      <c r="B221" s="10">
        <v>168</v>
      </c>
    </row>
    <row r="222" spans="1:2" x14ac:dyDescent="0.45">
      <c r="A222" s="10">
        <v>40</v>
      </c>
      <c r="B222" s="10">
        <v>169</v>
      </c>
    </row>
    <row r="223" spans="1:2" x14ac:dyDescent="0.45">
      <c r="A223" s="10">
        <v>95</v>
      </c>
      <c r="B223" s="10">
        <v>170</v>
      </c>
    </row>
    <row r="224" spans="1:2" x14ac:dyDescent="0.45">
      <c r="A224" s="10">
        <v>16</v>
      </c>
      <c r="B224" s="10">
        <v>171</v>
      </c>
    </row>
    <row r="225" spans="1:2" x14ac:dyDescent="0.45">
      <c r="A225" s="10">
        <v>60</v>
      </c>
      <c r="B225" s="10">
        <v>172</v>
      </c>
    </row>
    <row r="226" spans="1:2" x14ac:dyDescent="0.45">
      <c r="A226" s="10">
        <v>47</v>
      </c>
      <c r="B226" s="10">
        <v>173</v>
      </c>
    </row>
    <row r="227" spans="1:2" x14ac:dyDescent="0.45">
      <c r="A227" s="10">
        <v>89</v>
      </c>
      <c r="B227" s="10">
        <v>174</v>
      </c>
    </row>
    <row r="228" spans="1:2" x14ac:dyDescent="0.45">
      <c r="A228" s="10">
        <v>153</v>
      </c>
      <c r="B228" s="10">
        <v>175</v>
      </c>
    </row>
    <row r="229" spans="1:2" x14ac:dyDescent="0.45">
      <c r="A229" s="10">
        <v>155</v>
      </c>
      <c r="B229" s="10">
        <v>176</v>
      </c>
    </row>
    <row r="230" spans="1:2" x14ac:dyDescent="0.45">
      <c r="A230" s="10">
        <v>76</v>
      </c>
      <c r="B230" s="10">
        <v>177</v>
      </c>
    </row>
    <row r="231" spans="1:2" x14ac:dyDescent="0.45">
      <c r="A231" s="10">
        <v>126</v>
      </c>
      <c r="B231" s="10">
        <v>178</v>
      </c>
    </row>
    <row r="232" spans="1:2" x14ac:dyDescent="0.45">
      <c r="A232" s="10">
        <v>185</v>
      </c>
      <c r="B232" s="10">
        <v>179</v>
      </c>
    </row>
    <row r="233" spans="1:2" x14ac:dyDescent="0.45">
      <c r="A233" s="10">
        <v>138</v>
      </c>
      <c r="B233" s="10">
        <v>180</v>
      </c>
    </row>
    <row r="234" spans="1:2" x14ac:dyDescent="0.45">
      <c r="A234" s="10">
        <v>173</v>
      </c>
      <c r="B234" s="10">
        <v>181</v>
      </c>
    </row>
    <row r="235" spans="1:2" x14ac:dyDescent="0.45">
      <c r="A235" s="10">
        <v>199</v>
      </c>
      <c r="B235" s="10">
        <v>182</v>
      </c>
    </row>
    <row r="236" spans="1:2" x14ac:dyDescent="0.45">
      <c r="A236" s="10">
        <v>199</v>
      </c>
      <c r="B236" s="10">
        <v>183</v>
      </c>
    </row>
    <row r="237" spans="1:2" x14ac:dyDescent="0.45">
      <c r="A237" s="10">
        <v>199</v>
      </c>
      <c r="B237" s="10">
        <v>184</v>
      </c>
    </row>
    <row r="238" spans="1:2" x14ac:dyDescent="0.45">
      <c r="A238" s="10">
        <v>12</v>
      </c>
      <c r="B238" s="10">
        <v>185</v>
      </c>
    </row>
    <row r="239" spans="1:2" x14ac:dyDescent="0.45">
      <c r="A239" s="10">
        <v>119</v>
      </c>
      <c r="B239" s="10">
        <v>186</v>
      </c>
    </row>
    <row r="240" spans="1:2" x14ac:dyDescent="0.45">
      <c r="A240" s="10">
        <v>111</v>
      </c>
      <c r="B240" s="10">
        <v>187</v>
      </c>
    </row>
    <row r="241" spans="1:2" x14ac:dyDescent="0.45">
      <c r="A241" s="10">
        <v>116</v>
      </c>
      <c r="B241" s="10">
        <v>188</v>
      </c>
    </row>
    <row r="242" spans="1:2" x14ac:dyDescent="0.45">
      <c r="A242" s="10">
        <v>163</v>
      </c>
      <c r="B242" s="10">
        <v>189</v>
      </c>
    </row>
    <row r="243" spans="1:2" x14ac:dyDescent="0.45">
      <c r="A243" s="10">
        <v>80</v>
      </c>
      <c r="B243" s="10">
        <v>190</v>
      </c>
    </row>
    <row r="244" spans="1:2" x14ac:dyDescent="0.45">
      <c r="A244" s="10">
        <v>14</v>
      </c>
      <c r="B244" s="10">
        <v>191</v>
      </c>
    </row>
    <row r="245" spans="1:2" x14ac:dyDescent="0.45">
      <c r="A245" s="10">
        <v>126</v>
      </c>
      <c r="B245" s="10">
        <v>192</v>
      </c>
    </row>
    <row r="246" spans="1:2" x14ac:dyDescent="0.45">
      <c r="A246" s="10">
        <v>82</v>
      </c>
      <c r="B246" s="10">
        <v>193</v>
      </c>
    </row>
    <row r="247" spans="1:2" x14ac:dyDescent="0.45">
      <c r="A247" s="10">
        <v>140</v>
      </c>
      <c r="B247" s="10">
        <v>194</v>
      </c>
    </row>
    <row r="248" spans="1:2" x14ac:dyDescent="0.45">
      <c r="A248" s="10">
        <v>135</v>
      </c>
      <c r="B248" s="10">
        <v>195</v>
      </c>
    </row>
    <row r="249" spans="1:2" x14ac:dyDescent="0.45">
      <c r="A249" s="10">
        <v>100</v>
      </c>
      <c r="B249" s="10">
        <v>196</v>
      </c>
    </row>
    <row r="250" spans="1:2" x14ac:dyDescent="0.45">
      <c r="A250" s="10">
        <v>195</v>
      </c>
      <c r="B250" s="10">
        <v>197</v>
      </c>
    </row>
    <row r="251" spans="1:2" x14ac:dyDescent="0.45">
      <c r="A251" s="10">
        <v>57</v>
      </c>
      <c r="B251" s="10">
        <v>198</v>
      </c>
    </row>
    <row r="252" spans="1:2" x14ac:dyDescent="0.45">
      <c r="A252" s="10">
        <v>44</v>
      </c>
      <c r="B252" s="10">
        <v>199</v>
      </c>
    </row>
    <row r="253" spans="1:2" x14ac:dyDescent="0.45">
      <c r="A253" s="10">
        <v>20</v>
      </c>
      <c r="B253" s="10">
        <v>200</v>
      </c>
    </row>
    <row r="254" spans="1:2" x14ac:dyDescent="0.45">
      <c r="A254" s="10">
        <v>138</v>
      </c>
      <c r="B254" s="10">
        <v>201</v>
      </c>
    </row>
    <row r="255" spans="1:2" x14ac:dyDescent="0.45">
      <c r="A255" s="10">
        <v>30</v>
      </c>
      <c r="B255" s="10">
        <v>202</v>
      </c>
    </row>
    <row r="256" spans="1:2" x14ac:dyDescent="0.45">
      <c r="A256" s="10">
        <v>52</v>
      </c>
      <c r="B256" s="10">
        <v>203</v>
      </c>
    </row>
    <row r="257" spans="1:2" x14ac:dyDescent="0.45">
      <c r="A257" s="10">
        <v>45</v>
      </c>
      <c r="B257" s="10">
        <v>204</v>
      </c>
    </row>
    <row r="258" spans="1:2" x14ac:dyDescent="0.45">
      <c r="A258" s="10">
        <v>123</v>
      </c>
      <c r="B258" s="10">
        <v>205</v>
      </c>
    </row>
    <row r="259" spans="1:2" x14ac:dyDescent="0.45">
      <c r="A259" s="10">
        <v>120</v>
      </c>
      <c r="B259" s="10">
        <v>206</v>
      </c>
    </row>
    <row r="260" spans="1:2" x14ac:dyDescent="0.45">
      <c r="A260" s="10">
        <v>103</v>
      </c>
      <c r="B260" s="10">
        <v>207</v>
      </c>
    </row>
    <row r="261" spans="1:2" x14ac:dyDescent="0.45">
      <c r="A261" s="10">
        <v>74</v>
      </c>
      <c r="B261" s="10">
        <v>208</v>
      </c>
    </row>
    <row r="262" spans="1:2" x14ac:dyDescent="0.45">
      <c r="A262" s="10">
        <v>53</v>
      </c>
      <c r="B262" s="10">
        <v>209</v>
      </c>
    </row>
    <row r="263" spans="1:2" x14ac:dyDescent="0.45">
      <c r="A263" s="10">
        <v>77</v>
      </c>
      <c r="B263" s="10">
        <v>210</v>
      </c>
    </row>
    <row r="264" spans="1:2" x14ac:dyDescent="0.45">
      <c r="A264" s="10">
        <v>142</v>
      </c>
      <c r="B264" s="10">
        <v>211</v>
      </c>
    </row>
    <row r="265" spans="1:2" x14ac:dyDescent="0.45">
      <c r="A265" s="10">
        <v>46</v>
      </c>
      <c r="B265" s="10">
        <v>212</v>
      </c>
    </row>
    <row r="266" spans="1:2" x14ac:dyDescent="0.45">
      <c r="A266" s="10">
        <v>27</v>
      </c>
      <c r="B266" s="10">
        <v>213</v>
      </c>
    </row>
    <row r="267" spans="1:2" x14ac:dyDescent="0.45">
      <c r="A267" s="10">
        <v>167</v>
      </c>
      <c r="B267" s="10">
        <v>214</v>
      </c>
    </row>
    <row r="268" spans="1:2" x14ac:dyDescent="0.45">
      <c r="A268" s="10">
        <v>8</v>
      </c>
      <c r="B268" s="10">
        <v>215</v>
      </c>
    </row>
    <row r="269" spans="1:2" x14ac:dyDescent="0.45">
      <c r="A269" s="10">
        <v>55</v>
      </c>
      <c r="B269" s="10">
        <v>216</v>
      </c>
    </row>
    <row r="270" spans="1:2" x14ac:dyDescent="0.45">
      <c r="A270" s="10">
        <v>45</v>
      </c>
      <c r="B270" s="10">
        <v>217</v>
      </c>
    </row>
    <row r="271" spans="1:2" x14ac:dyDescent="0.45">
      <c r="A271" s="10">
        <v>178</v>
      </c>
      <c r="B271" s="10">
        <v>218</v>
      </c>
    </row>
    <row r="272" spans="1:2" x14ac:dyDescent="0.45">
      <c r="A272" s="10">
        <v>2</v>
      </c>
      <c r="B272" s="10">
        <v>219</v>
      </c>
    </row>
    <row r="273" spans="1:2" x14ac:dyDescent="0.45">
      <c r="A273" s="10">
        <v>86</v>
      </c>
      <c r="B273" s="10">
        <v>220</v>
      </c>
    </row>
    <row r="274" spans="1:2" x14ac:dyDescent="0.45">
      <c r="A274" s="10">
        <v>181</v>
      </c>
      <c r="B274" s="10">
        <v>221</v>
      </c>
    </row>
    <row r="275" spans="1:2" x14ac:dyDescent="0.45">
      <c r="A275" s="10">
        <v>125</v>
      </c>
      <c r="B275" s="10">
        <v>222</v>
      </c>
    </row>
    <row r="276" spans="1:2" x14ac:dyDescent="0.45">
      <c r="A276" s="10">
        <v>197</v>
      </c>
      <c r="B276" s="10">
        <v>223</v>
      </c>
    </row>
    <row r="277" spans="1:2" x14ac:dyDescent="0.45">
      <c r="A277" s="10">
        <v>57</v>
      </c>
      <c r="B277" s="10">
        <v>224</v>
      </c>
    </row>
    <row r="278" spans="1:2" x14ac:dyDescent="0.45">
      <c r="A278" s="10">
        <v>199</v>
      </c>
      <c r="B278" s="10">
        <v>225</v>
      </c>
    </row>
    <row r="279" spans="1:2" x14ac:dyDescent="0.45">
      <c r="A279" s="10">
        <v>148</v>
      </c>
      <c r="B279" s="10">
        <v>226</v>
      </c>
    </row>
    <row r="280" spans="1:2" x14ac:dyDescent="0.45">
      <c r="A280" s="10">
        <v>83</v>
      </c>
      <c r="B280" s="10">
        <v>227</v>
      </c>
    </row>
    <row r="281" spans="1:2" x14ac:dyDescent="0.45">
      <c r="A281" s="10">
        <v>117</v>
      </c>
      <c r="B281" s="10">
        <v>228</v>
      </c>
    </row>
    <row r="282" spans="1:2" x14ac:dyDescent="0.45">
      <c r="A282" s="10">
        <v>180</v>
      </c>
      <c r="B282" s="10">
        <v>229</v>
      </c>
    </row>
    <row r="283" spans="1:2" x14ac:dyDescent="0.45">
      <c r="A283" s="10">
        <v>116</v>
      </c>
      <c r="B283" s="10">
        <v>230</v>
      </c>
    </row>
    <row r="284" spans="1:2" x14ac:dyDescent="0.45">
      <c r="A284" s="10">
        <v>75</v>
      </c>
      <c r="B284" s="10">
        <v>231</v>
      </c>
    </row>
    <row r="285" spans="1:2" x14ac:dyDescent="0.45">
      <c r="A285" s="10">
        <v>77</v>
      </c>
      <c r="B285" s="10">
        <v>232</v>
      </c>
    </row>
    <row r="286" spans="1:2" x14ac:dyDescent="0.45">
      <c r="A286" s="10">
        <v>42</v>
      </c>
      <c r="B286" s="10">
        <v>233</v>
      </c>
    </row>
    <row r="287" spans="1:2" x14ac:dyDescent="0.45">
      <c r="A287" s="10">
        <v>166</v>
      </c>
      <c r="B287" s="10">
        <v>234</v>
      </c>
    </row>
    <row r="288" spans="1:2" x14ac:dyDescent="0.45">
      <c r="A288" s="10">
        <v>67</v>
      </c>
      <c r="B288" s="10">
        <v>235</v>
      </c>
    </row>
    <row r="289" spans="1:2" x14ac:dyDescent="0.45">
      <c r="A289" s="10">
        <v>199</v>
      </c>
      <c r="B289" s="10">
        <v>236</v>
      </c>
    </row>
    <row r="290" spans="1:2" x14ac:dyDescent="0.45">
      <c r="A290" s="10">
        <v>99</v>
      </c>
      <c r="B290" s="10">
        <v>237</v>
      </c>
    </row>
    <row r="291" spans="1:2" x14ac:dyDescent="0.45">
      <c r="A291" s="10">
        <v>50</v>
      </c>
      <c r="B291" s="10">
        <v>238</v>
      </c>
    </row>
    <row r="292" spans="1:2" x14ac:dyDescent="0.45">
      <c r="A292" s="10">
        <v>191</v>
      </c>
      <c r="B292" s="10">
        <v>239</v>
      </c>
    </row>
    <row r="293" spans="1:2" x14ac:dyDescent="0.45">
      <c r="A293" s="10">
        <v>195</v>
      </c>
      <c r="B293" s="10">
        <v>240</v>
      </c>
    </row>
    <row r="294" spans="1:2" x14ac:dyDescent="0.45">
      <c r="A294" s="10">
        <v>38</v>
      </c>
      <c r="B294" s="10">
        <v>241</v>
      </c>
    </row>
    <row r="295" spans="1:2" x14ac:dyDescent="0.45">
      <c r="A295" s="10">
        <v>34</v>
      </c>
      <c r="B295" s="10">
        <v>242</v>
      </c>
    </row>
    <row r="296" spans="1:2" x14ac:dyDescent="0.45">
      <c r="A296" s="10">
        <v>8</v>
      </c>
      <c r="B296" s="10">
        <v>243</v>
      </c>
    </row>
    <row r="297" spans="1:2" x14ac:dyDescent="0.45">
      <c r="A297" s="10">
        <v>90</v>
      </c>
      <c r="B297" s="10">
        <v>244</v>
      </c>
    </row>
    <row r="298" spans="1:2" x14ac:dyDescent="0.45">
      <c r="A298" s="10">
        <v>157</v>
      </c>
      <c r="B298" s="10">
        <v>245</v>
      </c>
    </row>
    <row r="299" spans="1:2" x14ac:dyDescent="0.45">
      <c r="A299" s="10">
        <v>34</v>
      </c>
      <c r="B299" s="10">
        <v>246</v>
      </c>
    </row>
    <row r="300" spans="1:2" x14ac:dyDescent="0.45">
      <c r="A300" s="10">
        <v>199</v>
      </c>
      <c r="B300" s="10">
        <v>247</v>
      </c>
    </row>
    <row r="301" spans="1:2" x14ac:dyDescent="0.45">
      <c r="A301" s="10">
        <v>55</v>
      </c>
      <c r="B301" s="10">
        <v>248</v>
      </c>
    </row>
    <row r="302" spans="1:2" x14ac:dyDescent="0.45">
      <c r="A302" s="10">
        <v>30</v>
      </c>
      <c r="B302" s="10">
        <v>249</v>
      </c>
    </row>
    <row r="303" spans="1:2" x14ac:dyDescent="0.45">
      <c r="A303" s="10">
        <v>18</v>
      </c>
      <c r="B303" s="10">
        <v>250</v>
      </c>
    </row>
    <row r="304" spans="1:2" x14ac:dyDescent="0.45">
      <c r="A304" s="10">
        <v>199</v>
      </c>
      <c r="B304" s="10">
        <v>251</v>
      </c>
    </row>
    <row r="305" spans="1:2" x14ac:dyDescent="0.45">
      <c r="A305" s="10">
        <v>199</v>
      </c>
      <c r="B305" s="10">
        <v>252</v>
      </c>
    </row>
    <row r="306" spans="1:2" x14ac:dyDescent="0.45">
      <c r="A306" s="10">
        <v>143</v>
      </c>
      <c r="B306" s="10">
        <v>253</v>
      </c>
    </row>
    <row r="307" spans="1:2" x14ac:dyDescent="0.45">
      <c r="A307" s="10">
        <v>104</v>
      </c>
      <c r="B307" s="10">
        <v>254</v>
      </c>
    </row>
    <row r="308" spans="1:2" x14ac:dyDescent="0.45">
      <c r="A308" s="10">
        <v>96</v>
      </c>
      <c r="B308" s="10">
        <v>255</v>
      </c>
    </row>
    <row r="309" spans="1:2" x14ac:dyDescent="0.45">
      <c r="A309" s="10">
        <v>158</v>
      </c>
      <c r="B309" s="10">
        <v>256</v>
      </c>
    </row>
    <row r="310" spans="1:2" x14ac:dyDescent="0.45">
      <c r="A310" s="10">
        <v>199</v>
      </c>
      <c r="B310" s="10">
        <v>257</v>
      </c>
    </row>
    <row r="311" spans="1:2" x14ac:dyDescent="0.45">
      <c r="A311" s="10">
        <v>106</v>
      </c>
      <c r="B311" s="10">
        <v>258</v>
      </c>
    </row>
    <row r="312" spans="1:2" x14ac:dyDescent="0.45">
      <c r="A312" s="10">
        <v>12</v>
      </c>
      <c r="B312" s="10">
        <v>259</v>
      </c>
    </row>
    <row r="313" spans="1:2" x14ac:dyDescent="0.45">
      <c r="A313" s="10">
        <v>97</v>
      </c>
      <c r="B313" s="10">
        <v>260</v>
      </c>
    </row>
    <row r="314" spans="1:2" x14ac:dyDescent="0.45">
      <c r="A314" s="10">
        <v>10</v>
      </c>
      <c r="B314" s="10">
        <v>261</v>
      </c>
    </row>
    <row r="315" spans="1:2" x14ac:dyDescent="0.45">
      <c r="A315" s="10">
        <v>54</v>
      </c>
      <c r="B315" s="10">
        <v>262</v>
      </c>
    </row>
    <row r="316" spans="1:2" x14ac:dyDescent="0.45">
      <c r="A316" s="10">
        <v>118</v>
      </c>
      <c r="B316" s="10">
        <v>263</v>
      </c>
    </row>
    <row r="317" spans="1:2" x14ac:dyDescent="0.45">
      <c r="A317" s="10">
        <v>169</v>
      </c>
      <c r="B317" s="10">
        <v>264</v>
      </c>
    </row>
    <row r="318" spans="1:2" x14ac:dyDescent="0.45">
      <c r="A318" s="10">
        <v>88</v>
      </c>
      <c r="B318" s="10">
        <v>265</v>
      </c>
    </row>
    <row r="319" spans="1:2" x14ac:dyDescent="0.45">
      <c r="A319" s="10">
        <v>51</v>
      </c>
      <c r="B319" s="10">
        <v>266</v>
      </c>
    </row>
    <row r="320" spans="1:2" x14ac:dyDescent="0.45">
      <c r="A320" s="10">
        <v>3</v>
      </c>
      <c r="B320" s="10">
        <v>267</v>
      </c>
    </row>
    <row r="321" spans="1:2" x14ac:dyDescent="0.45">
      <c r="A321" s="10">
        <v>181</v>
      </c>
      <c r="B321" s="10">
        <v>268</v>
      </c>
    </row>
    <row r="322" spans="1:2" x14ac:dyDescent="0.45">
      <c r="A322" s="10">
        <v>85</v>
      </c>
      <c r="B322" s="10">
        <v>269</v>
      </c>
    </row>
    <row r="323" spans="1:2" x14ac:dyDescent="0.45">
      <c r="A323" s="10">
        <v>199</v>
      </c>
      <c r="B323" s="10">
        <v>270</v>
      </c>
    </row>
    <row r="324" spans="1:2" x14ac:dyDescent="0.45">
      <c r="A324" s="10">
        <v>149</v>
      </c>
      <c r="B324" s="10">
        <v>271</v>
      </c>
    </row>
    <row r="325" spans="1:2" x14ac:dyDescent="0.45">
      <c r="A325" s="10">
        <v>20</v>
      </c>
      <c r="B325" s="10">
        <v>272</v>
      </c>
    </row>
    <row r="326" spans="1:2" x14ac:dyDescent="0.45">
      <c r="A326" s="10">
        <v>37</v>
      </c>
      <c r="B326" s="10">
        <v>273</v>
      </c>
    </row>
    <row r="327" spans="1:2" x14ac:dyDescent="0.45">
      <c r="A327" s="10">
        <v>138</v>
      </c>
      <c r="B327" s="10">
        <v>274</v>
      </c>
    </row>
    <row r="328" spans="1:2" x14ac:dyDescent="0.45">
      <c r="A328" s="10">
        <v>157</v>
      </c>
      <c r="B328" s="10">
        <v>275</v>
      </c>
    </row>
    <row r="329" spans="1:2" x14ac:dyDescent="0.45">
      <c r="A329" s="10">
        <v>18</v>
      </c>
      <c r="B329" s="10">
        <v>276</v>
      </c>
    </row>
    <row r="330" spans="1:2" x14ac:dyDescent="0.45">
      <c r="A330" s="10">
        <v>194</v>
      </c>
      <c r="B330" s="10">
        <v>277</v>
      </c>
    </row>
    <row r="331" spans="1:2" x14ac:dyDescent="0.45">
      <c r="A331" s="10">
        <v>156</v>
      </c>
      <c r="B331" s="10">
        <v>278</v>
      </c>
    </row>
    <row r="332" spans="1:2" x14ac:dyDescent="0.45">
      <c r="A332" s="10">
        <v>112</v>
      </c>
      <c r="B332" s="10">
        <v>279</v>
      </c>
    </row>
    <row r="333" spans="1:2" x14ac:dyDescent="0.45">
      <c r="A333" s="10">
        <v>93</v>
      </c>
      <c r="B333" s="10">
        <v>280</v>
      </c>
    </row>
    <row r="334" spans="1:2" x14ac:dyDescent="0.45">
      <c r="A334" s="10">
        <v>139</v>
      </c>
      <c r="B334" s="10">
        <v>281</v>
      </c>
    </row>
    <row r="335" spans="1:2" x14ac:dyDescent="0.45">
      <c r="A335" s="10">
        <v>179</v>
      </c>
      <c r="B335" s="10">
        <v>282</v>
      </c>
    </row>
    <row r="336" spans="1:2" x14ac:dyDescent="0.45">
      <c r="A336" s="10">
        <v>174</v>
      </c>
      <c r="B336" s="10">
        <v>283</v>
      </c>
    </row>
    <row r="337" spans="1:2" x14ac:dyDescent="0.45">
      <c r="A337" s="10">
        <v>89</v>
      </c>
      <c r="B337" s="10">
        <v>284</v>
      </c>
    </row>
    <row r="338" spans="1:2" x14ac:dyDescent="0.45">
      <c r="A338" s="10">
        <v>195</v>
      </c>
      <c r="B338" s="10">
        <v>285</v>
      </c>
    </row>
    <row r="339" spans="1:2" x14ac:dyDescent="0.45">
      <c r="A339" s="10">
        <v>45</v>
      </c>
      <c r="B339" s="10">
        <v>286</v>
      </c>
    </row>
    <row r="340" spans="1:2" x14ac:dyDescent="0.45">
      <c r="A340" s="10">
        <v>27</v>
      </c>
      <c r="B340" s="10">
        <v>287</v>
      </c>
    </row>
    <row r="341" spans="1:2" x14ac:dyDescent="0.45">
      <c r="A341" s="10">
        <v>33</v>
      </c>
      <c r="B341" s="10">
        <v>288</v>
      </c>
    </row>
    <row r="342" spans="1:2" x14ac:dyDescent="0.45">
      <c r="A342" s="10">
        <v>122</v>
      </c>
      <c r="B342" s="10">
        <v>289</v>
      </c>
    </row>
    <row r="343" spans="1:2" x14ac:dyDescent="0.45">
      <c r="A343" s="10">
        <v>147</v>
      </c>
      <c r="B343" s="10">
        <v>290</v>
      </c>
    </row>
    <row r="344" spans="1:2" x14ac:dyDescent="0.45">
      <c r="A344" s="10">
        <v>194</v>
      </c>
      <c r="B344" s="10">
        <v>291</v>
      </c>
    </row>
    <row r="345" spans="1:2" x14ac:dyDescent="0.45">
      <c r="A345" s="10">
        <v>187</v>
      </c>
      <c r="B345" s="10">
        <v>292</v>
      </c>
    </row>
    <row r="346" spans="1:2" x14ac:dyDescent="0.45">
      <c r="A346" s="10">
        <v>165</v>
      </c>
      <c r="B346" s="10">
        <v>293</v>
      </c>
    </row>
    <row r="347" spans="1:2" x14ac:dyDescent="0.45">
      <c r="A347" s="10">
        <v>106</v>
      </c>
      <c r="B347" s="10">
        <v>294</v>
      </c>
    </row>
    <row r="348" spans="1:2" x14ac:dyDescent="0.45">
      <c r="A348" s="10">
        <v>90</v>
      </c>
      <c r="B348" s="10">
        <v>295</v>
      </c>
    </row>
    <row r="349" spans="1:2" x14ac:dyDescent="0.45">
      <c r="A349" s="10">
        <v>168</v>
      </c>
      <c r="B349" s="10">
        <v>296</v>
      </c>
    </row>
    <row r="350" spans="1:2" x14ac:dyDescent="0.45">
      <c r="A350" s="10">
        <v>24</v>
      </c>
      <c r="B350" s="10">
        <v>297</v>
      </c>
    </row>
    <row r="351" spans="1:2" x14ac:dyDescent="0.45">
      <c r="A351" s="10">
        <v>71</v>
      </c>
      <c r="B351" s="10">
        <v>298</v>
      </c>
    </row>
    <row r="352" spans="1:2" x14ac:dyDescent="0.45">
      <c r="A352" s="10">
        <v>91</v>
      </c>
      <c r="B352" s="10">
        <v>299</v>
      </c>
    </row>
    <row r="353" spans="1:2" x14ac:dyDescent="0.45">
      <c r="A353" s="10">
        <v>93</v>
      </c>
      <c r="B353" s="10">
        <v>300</v>
      </c>
    </row>
    <row r="354" spans="1:2" x14ac:dyDescent="0.45">
      <c r="A354" s="10">
        <v>2</v>
      </c>
      <c r="B354" s="10">
        <v>301</v>
      </c>
    </row>
    <row r="355" spans="1:2" x14ac:dyDescent="0.45">
      <c r="A355" s="10">
        <v>199</v>
      </c>
      <c r="B355" s="10">
        <v>302</v>
      </c>
    </row>
    <row r="356" spans="1:2" x14ac:dyDescent="0.45">
      <c r="A356" s="10">
        <v>156</v>
      </c>
      <c r="B356" s="10">
        <v>303</v>
      </c>
    </row>
    <row r="357" spans="1:2" x14ac:dyDescent="0.45">
      <c r="A357" s="10">
        <v>21</v>
      </c>
      <c r="B357" s="10">
        <v>304</v>
      </c>
    </row>
    <row r="358" spans="1:2" x14ac:dyDescent="0.45">
      <c r="A358" s="10">
        <v>161</v>
      </c>
      <c r="B358" s="10">
        <v>305</v>
      </c>
    </row>
    <row r="359" spans="1:2" x14ac:dyDescent="0.45">
      <c r="A359" s="10">
        <v>88</v>
      </c>
      <c r="B359" s="10">
        <v>306</v>
      </c>
    </row>
    <row r="360" spans="1:2" x14ac:dyDescent="0.45">
      <c r="A360" s="10">
        <v>24</v>
      </c>
      <c r="B360" s="10">
        <v>307</v>
      </c>
    </row>
    <row r="361" spans="1:2" x14ac:dyDescent="0.45">
      <c r="A361" s="10">
        <v>190</v>
      </c>
      <c r="B361" s="10">
        <v>308</v>
      </c>
    </row>
    <row r="362" spans="1:2" x14ac:dyDescent="0.45">
      <c r="A362" s="10">
        <v>138</v>
      </c>
      <c r="B362" s="10">
        <v>309</v>
      </c>
    </row>
    <row r="363" spans="1:2" x14ac:dyDescent="0.45">
      <c r="A363" s="10">
        <v>171</v>
      </c>
      <c r="B363" s="10">
        <v>310</v>
      </c>
    </row>
    <row r="364" spans="1:2" x14ac:dyDescent="0.45">
      <c r="A364" s="10">
        <v>100</v>
      </c>
      <c r="B364" s="10">
        <v>311</v>
      </c>
    </row>
    <row r="365" spans="1:2" x14ac:dyDescent="0.45">
      <c r="A365" s="10">
        <v>75</v>
      </c>
      <c r="B365" s="10">
        <v>312</v>
      </c>
    </row>
    <row r="366" spans="1:2" x14ac:dyDescent="0.45">
      <c r="A366" s="10">
        <v>67</v>
      </c>
      <c r="B366" s="10">
        <v>313</v>
      </c>
    </row>
    <row r="367" spans="1:2" x14ac:dyDescent="0.45">
      <c r="A367" s="10">
        <v>117</v>
      </c>
      <c r="B367" s="10">
        <v>314</v>
      </c>
    </row>
    <row r="368" spans="1:2" x14ac:dyDescent="0.45">
      <c r="A368" s="10">
        <v>46</v>
      </c>
      <c r="B368" s="10">
        <v>315</v>
      </c>
    </row>
    <row r="369" spans="1:2" x14ac:dyDescent="0.45">
      <c r="A369" s="10">
        <v>176</v>
      </c>
      <c r="B369" s="10">
        <v>316</v>
      </c>
    </row>
    <row r="370" spans="1:2" x14ac:dyDescent="0.45">
      <c r="A370" s="10">
        <v>133</v>
      </c>
      <c r="B370" s="10">
        <v>317</v>
      </c>
    </row>
    <row r="371" spans="1:2" x14ac:dyDescent="0.45">
      <c r="A371" s="10">
        <v>7</v>
      </c>
      <c r="B371" s="10">
        <v>318</v>
      </c>
    </row>
    <row r="372" spans="1:2" x14ac:dyDescent="0.45">
      <c r="A372" s="10">
        <v>50</v>
      </c>
      <c r="B372" s="10">
        <v>319</v>
      </c>
    </row>
    <row r="373" spans="1:2" x14ac:dyDescent="0.45">
      <c r="A373" s="10">
        <v>51</v>
      </c>
      <c r="B373" s="10">
        <v>320</v>
      </c>
    </row>
    <row r="374" spans="1:2" x14ac:dyDescent="0.45">
      <c r="A374" s="10">
        <v>193</v>
      </c>
      <c r="B374" s="10">
        <v>321</v>
      </c>
    </row>
    <row r="375" spans="1:2" x14ac:dyDescent="0.45">
      <c r="A375" s="10">
        <v>74</v>
      </c>
      <c r="B375" s="10">
        <v>322</v>
      </c>
    </row>
    <row r="376" spans="1:2" x14ac:dyDescent="0.45">
      <c r="A376" s="10">
        <v>85</v>
      </c>
      <c r="B376" s="10">
        <v>323</v>
      </c>
    </row>
    <row r="377" spans="1:2" x14ac:dyDescent="0.45">
      <c r="A377" s="10">
        <v>32</v>
      </c>
      <c r="B377" s="10">
        <v>324</v>
      </c>
    </row>
    <row r="378" spans="1:2" x14ac:dyDescent="0.45">
      <c r="A378" s="10">
        <v>137</v>
      </c>
      <c r="B378" s="10">
        <v>325</v>
      </c>
    </row>
    <row r="379" spans="1:2" x14ac:dyDescent="0.45">
      <c r="A379" s="10">
        <v>146</v>
      </c>
      <c r="B379" s="10">
        <v>326</v>
      </c>
    </row>
    <row r="380" spans="1:2" x14ac:dyDescent="0.45">
      <c r="A380" s="10">
        <v>169</v>
      </c>
      <c r="B380" s="10">
        <v>327</v>
      </c>
    </row>
    <row r="381" spans="1:2" x14ac:dyDescent="0.45">
      <c r="A381" s="10">
        <v>182</v>
      </c>
      <c r="B381" s="10">
        <v>328</v>
      </c>
    </row>
    <row r="382" spans="1:2" x14ac:dyDescent="0.45">
      <c r="A382" s="10">
        <v>101</v>
      </c>
      <c r="B382" s="10">
        <v>329</v>
      </c>
    </row>
    <row r="383" spans="1:2" x14ac:dyDescent="0.45">
      <c r="A383" s="10">
        <v>199</v>
      </c>
      <c r="B383" s="10">
        <v>330</v>
      </c>
    </row>
    <row r="384" spans="1:2" x14ac:dyDescent="0.45">
      <c r="A384" s="10">
        <v>65</v>
      </c>
      <c r="B384" s="10">
        <v>331</v>
      </c>
    </row>
    <row r="385" spans="1:2" x14ac:dyDescent="0.45">
      <c r="A385" s="10">
        <v>102</v>
      </c>
      <c r="B385" s="10">
        <v>332</v>
      </c>
    </row>
    <row r="386" spans="1:2" x14ac:dyDescent="0.45">
      <c r="A386" s="10">
        <v>111</v>
      </c>
      <c r="B386" s="10">
        <v>333</v>
      </c>
    </row>
    <row r="387" spans="1:2" x14ac:dyDescent="0.45">
      <c r="A387" s="10">
        <v>67</v>
      </c>
      <c r="B387" s="10">
        <v>334</v>
      </c>
    </row>
    <row r="388" spans="1:2" x14ac:dyDescent="0.45">
      <c r="A388" s="10">
        <v>199</v>
      </c>
      <c r="B388" s="10">
        <v>335</v>
      </c>
    </row>
    <row r="389" spans="1:2" x14ac:dyDescent="0.45">
      <c r="A389" s="10">
        <v>5</v>
      </c>
      <c r="B389" s="10">
        <v>336</v>
      </c>
    </row>
    <row r="390" spans="1:2" x14ac:dyDescent="0.45">
      <c r="A390" s="10">
        <v>23</v>
      </c>
      <c r="B390" s="10">
        <v>337</v>
      </c>
    </row>
    <row r="391" spans="1:2" x14ac:dyDescent="0.45">
      <c r="A391" s="10">
        <v>32</v>
      </c>
      <c r="B391" s="10">
        <v>338</v>
      </c>
    </row>
    <row r="392" spans="1:2" x14ac:dyDescent="0.45">
      <c r="A392" s="10">
        <v>190</v>
      </c>
      <c r="B392" s="10">
        <v>339</v>
      </c>
    </row>
    <row r="393" spans="1:2" x14ac:dyDescent="0.45">
      <c r="A393" s="10">
        <v>120</v>
      </c>
      <c r="B393" s="10">
        <v>340</v>
      </c>
    </row>
    <row r="394" spans="1:2" x14ac:dyDescent="0.45">
      <c r="A394" s="10">
        <v>116</v>
      </c>
      <c r="B394" s="10">
        <v>341</v>
      </c>
    </row>
    <row r="395" spans="1:2" x14ac:dyDescent="0.45">
      <c r="A395" s="10">
        <v>109</v>
      </c>
      <c r="B395" s="10">
        <v>342</v>
      </c>
    </row>
    <row r="396" spans="1:2" x14ac:dyDescent="0.45">
      <c r="A396" s="10">
        <v>82</v>
      </c>
      <c r="B396" s="10">
        <v>343</v>
      </c>
    </row>
    <row r="397" spans="1:2" x14ac:dyDescent="0.45">
      <c r="A397" s="10">
        <v>198</v>
      </c>
      <c r="B397" s="10">
        <v>344</v>
      </c>
    </row>
    <row r="398" spans="1:2" x14ac:dyDescent="0.45">
      <c r="A398" s="10">
        <v>76</v>
      </c>
      <c r="B398" s="10">
        <v>345</v>
      </c>
    </row>
    <row r="399" spans="1:2" x14ac:dyDescent="0.45">
      <c r="A399" s="10">
        <v>8</v>
      </c>
      <c r="B399" s="10">
        <v>346</v>
      </c>
    </row>
    <row r="400" spans="1:2" x14ac:dyDescent="0.45">
      <c r="A400" s="10">
        <v>101</v>
      </c>
      <c r="B400" s="10">
        <v>347</v>
      </c>
    </row>
    <row r="401" spans="1:2" x14ac:dyDescent="0.45">
      <c r="A401" s="10">
        <v>171</v>
      </c>
      <c r="B401" s="10">
        <v>348</v>
      </c>
    </row>
    <row r="402" spans="1:2" x14ac:dyDescent="0.45">
      <c r="A402" s="10">
        <v>131</v>
      </c>
      <c r="B402" s="10">
        <v>349</v>
      </c>
    </row>
    <row r="403" spans="1:2" x14ac:dyDescent="0.45">
      <c r="A403" s="10">
        <v>2</v>
      </c>
      <c r="B403" s="10">
        <v>350</v>
      </c>
    </row>
    <row r="404" spans="1:2" x14ac:dyDescent="0.45">
      <c r="A404" s="10">
        <v>83</v>
      </c>
      <c r="B404" s="10">
        <v>351</v>
      </c>
    </row>
    <row r="405" spans="1:2" x14ac:dyDescent="0.45">
      <c r="A405" s="10">
        <v>13</v>
      </c>
      <c r="B405" s="10">
        <v>352</v>
      </c>
    </row>
    <row r="406" spans="1:2" x14ac:dyDescent="0.45">
      <c r="A406" s="10">
        <v>70</v>
      </c>
      <c r="B406" s="10">
        <v>353</v>
      </c>
    </row>
    <row r="407" spans="1:2" x14ac:dyDescent="0.45">
      <c r="A407" s="10">
        <v>70</v>
      </c>
      <c r="B407" s="10">
        <v>354</v>
      </c>
    </row>
    <row r="408" spans="1:2" x14ac:dyDescent="0.45">
      <c r="A408" s="10">
        <v>143</v>
      </c>
      <c r="B408" s="10">
        <v>355</v>
      </c>
    </row>
    <row r="409" spans="1:2" x14ac:dyDescent="0.45">
      <c r="A409" s="10">
        <v>81</v>
      </c>
      <c r="B409" s="10">
        <v>356</v>
      </c>
    </row>
    <row r="410" spans="1:2" x14ac:dyDescent="0.45">
      <c r="A410" s="10">
        <v>123</v>
      </c>
      <c r="B410" s="10">
        <v>357</v>
      </c>
    </row>
    <row r="411" spans="1:2" x14ac:dyDescent="0.45">
      <c r="A411" s="10">
        <v>189</v>
      </c>
      <c r="B411" s="10">
        <v>358</v>
      </c>
    </row>
    <row r="412" spans="1:2" x14ac:dyDescent="0.45">
      <c r="A412" s="10">
        <v>182</v>
      </c>
      <c r="B412" s="10">
        <v>359</v>
      </c>
    </row>
    <row r="413" spans="1:2" x14ac:dyDescent="0.45">
      <c r="A413" s="10">
        <v>199</v>
      </c>
      <c r="B413" s="10">
        <v>360</v>
      </c>
    </row>
    <row r="414" spans="1:2" x14ac:dyDescent="0.45">
      <c r="A414" s="10">
        <v>25</v>
      </c>
      <c r="B414" s="10">
        <v>361</v>
      </c>
    </row>
    <row r="415" spans="1:2" x14ac:dyDescent="0.45">
      <c r="A415" s="10">
        <v>104</v>
      </c>
      <c r="B415" s="10">
        <v>362</v>
      </c>
    </row>
    <row r="416" spans="1:2" x14ac:dyDescent="0.45">
      <c r="A416" s="10">
        <v>162</v>
      </c>
      <c r="B416" s="10">
        <v>363</v>
      </c>
    </row>
    <row r="417" spans="1:2" x14ac:dyDescent="0.45">
      <c r="A417" s="10">
        <v>16</v>
      </c>
      <c r="B417" s="10">
        <v>364</v>
      </c>
    </row>
    <row r="418" spans="1:2" x14ac:dyDescent="0.45">
      <c r="A418" s="10">
        <v>199</v>
      </c>
      <c r="B418" s="10">
        <v>365</v>
      </c>
    </row>
    <row r="419" spans="1:2" x14ac:dyDescent="0.45">
      <c r="A419" s="10">
        <v>63</v>
      </c>
      <c r="B419" s="10">
        <v>366</v>
      </c>
    </row>
    <row r="420" spans="1:2" x14ac:dyDescent="0.45">
      <c r="A420" s="10">
        <v>11</v>
      </c>
      <c r="B420" s="10">
        <v>367</v>
      </c>
    </row>
    <row r="421" spans="1:2" x14ac:dyDescent="0.45">
      <c r="A421" s="10">
        <v>43</v>
      </c>
      <c r="B421" s="10">
        <v>368</v>
      </c>
    </row>
    <row r="422" spans="1:2" x14ac:dyDescent="0.45">
      <c r="A422" s="10">
        <v>197</v>
      </c>
      <c r="B422" s="10">
        <v>369</v>
      </c>
    </row>
    <row r="423" spans="1:2" x14ac:dyDescent="0.45">
      <c r="A423" s="10">
        <v>10</v>
      </c>
      <c r="B423" s="10">
        <v>370</v>
      </c>
    </row>
    <row r="424" spans="1:2" x14ac:dyDescent="0.45">
      <c r="A424" s="10">
        <v>102</v>
      </c>
      <c r="B424" s="10">
        <v>371</v>
      </c>
    </row>
    <row r="425" spans="1:2" x14ac:dyDescent="0.45">
      <c r="A425" s="10">
        <v>2</v>
      </c>
      <c r="B425" s="10">
        <v>372</v>
      </c>
    </row>
    <row r="426" spans="1:2" x14ac:dyDescent="0.45">
      <c r="A426" s="10">
        <v>199</v>
      </c>
      <c r="B426" s="10">
        <v>373</v>
      </c>
    </row>
    <row r="427" spans="1:2" x14ac:dyDescent="0.45">
      <c r="A427" s="10">
        <v>140</v>
      </c>
      <c r="B427" s="10">
        <v>374</v>
      </c>
    </row>
    <row r="428" spans="1:2" x14ac:dyDescent="0.45">
      <c r="A428" s="10">
        <v>19</v>
      </c>
      <c r="B428" s="10">
        <v>375</v>
      </c>
    </row>
    <row r="429" spans="1:2" x14ac:dyDescent="0.45">
      <c r="A429" s="10">
        <v>196</v>
      </c>
      <c r="B429" s="10">
        <v>376</v>
      </c>
    </row>
    <row r="430" spans="1:2" x14ac:dyDescent="0.45">
      <c r="A430" s="10">
        <v>82</v>
      </c>
      <c r="B430" s="10">
        <v>377</v>
      </c>
    </row>
    <row r="431" spans="1:2" x14ac:dyDescent="0.45">
      <c r="A431" s="10">
        <v>96</v>
      </c>
      <c r="B431" s="10">
        <v>378</v>
      </c>
    </row>
    <row r="432" spans="1:2" x14ac:dyDescent="0.45">
      <c r="A432" s="10">
        <v>66</v>
      </c>
      <c r="B432" s="10">
        <v>379</v>
      </c>
    </row>
    <row r="433" spans="1:2" x14ac:dyDescent="0.45">
      <c r="A433" s="10">
        <v>15</v>
      </c>
      <c r="B433" s="10">
        <v>380</v>
      </c>
    </row>
    <row r="434" spans="1:2" x14ac:dyDescent="0.45">
      <c r="A434" s="10">
        <v>1</v>
      </c>
      <c r="B434" s="10">
        <v>381</v>
      </c>
    </row>
    <row r="435" spans="1:2" x14ac:dyDescent="0.45">
      <c r="A435" s="10">
        <v>73</v>
      </c>
      <c r="B435" s="10">
        <v>382</v>
      </c>
    </row>
    <row r="436" spans="1:2" x14ac:dyDescent="0.45">
      <c r="A436" s="10">
        <v>14</v>
      </c>
      <c r="B436" s="10">
        <v>383</v>
      </c>
    </row>
    <row r="437" spans="1:2" x14ac:dyDescent="0.45">
      <c r="A437" s="10">
        <v>69</v>
      </c>
      <c r="B437" s="10">
        <v>384</v>
      </c>
    </row>
    <row r="438" spans="1:2" x14ac:dyDescent="0.45">
      <c r="A438" s="10">
        <v>61</v>
      </c>
      <c r="B438" s="10">
        <v>385</v>
      </c>
    </row>
    <row r="439" spans="1:2" x14ac:dyDescent="0.45">
      <c r="A439" s="10">
        <v>10</v>
      </c>
      <c r="B439" s="10">
        <v>386</v>
      </c>
    </row>
    <row r="440" spans="1:2" x14ac:dyDescent="0.45">
      <c r="A440" s="10">
        <v>40</v>
      </c>
      <c r="B440" s="10">
        <v>387</v>
      </c>
    </row>
    <row r="441" spans="1:2" x14ac:dyDescent="0.45">
      <c r="A441" s="10">
        <v>28</v>
      </c>
      <c r="B441" s="10">
        <v>388</v>
      </c>
    </row>
    <row r="442" spans="1:2" x14ac:dyDescent="0.45">
      <c r="A442" s="10">
        <v>42</v>
      </c>
      <c r="B442" s="10">
        <v>389</v>
      </c>
    </row>
    <row r="443" spans="1:2" x14ac:dyDescent="0.45">
      <c r="A443" s="10">
        <v>113</v>
      </c>
      <c r="B443" s="10">
        <v>390</v>
      </c>
    </row>
    <row r="444" spans="1:2" x14ac:dyDescent="0.45">
      <c r="A444" s="10">
        <v>155</v>
      </c>
      <c r="B444" s="10">
        <v>391</v>
      </c>
    </row>
    <row r="445" spans="1:2" x14ac:dyDescent="0.45">
      <c r="A445" s="10">
        <v>142</v>
      </c>
      <c r="B445" s="10">
        <v>392</v>
      </c>
    </row>
    <row r="446" spans="1:2" x14ac:dyDescent="0.45">
      <c r="A446" s="10">
        <v>162</v>
      </c>
      <c r="B446" s="10">
        <v>393</v>
      </c>
    </row>
    <row r="447" spans="1:2" x14ac:dyDescent="0.45">
      <c r="A447" s="10">
        <v>75</v>
      </c>
      <c r="B447" s="10">
        <v>394</v>
      </c>
    </row>
    <row r="448" spans="1:2" x14ac:dyDescent="0.45">
      <c r="A448" s="10">
        <v>21</v>
      </c>
      <c r="B448" s="10">
        <v>395</v>
      </c>
    </row>
    <row r="449" spans="1:2" x14ac:dyDescent="0.45">
      <c r="A449" s="10">
        <v>114</v>
      </c>
      <c r="B449" s="10">
        <v>396</v>
      </c>
    </row>
    <row r="450" spans="1:2" x14ac:dyDescent="0.45">
      <c r="A450" s="10">
        <v>31</v>
      </c>
      <c r="B450" s="10">
        <v>397</v>
      </c>
    </row>
    <row r="451" spans="1:2" x14ac:dyDescent="0.45">
      <c r="A451" s="10">
        <v>79</v>
      </c>
      <c r="B451" s="10">
        <v>398</v>
      </c>
    </row>
    <row r="452" spans="1:2" x14ac:dyDescent="0.45">
      <c r="A452" s="10">
        <v>115</v>
      </c>
      <c r="B452" s="10">
        <v>399</v>
      </c>
    </row>
    <row r="453" spans="1:2" x14ac:dyDescent="0.45">
      <c r="A453" s="10">
        <v>121</v>
      </c>
      <c r="B453" s="10">
        <v>400</v>
      </c>
    </row>
    <row r="454" spans="1:2" x14ac:dyDescent="0.45">
      <c r="A454" s="10">
        <v>199</v>
      </c>
      <c r="B454" s="10">
        <v>401</v>
      </c>
    </row>
    <row r="455" spans="1:2" x14ac:dyDescent="0.45">
      <c r="A455" s="10">
        <v>174</v>
      </c>
      <c r="B455" s="10">
        <v>402</v>
      </c>
    </row>
    <row r="456" spans="1:2" x14ac:dyDescent="0.45">
      <c r="A456" s="10">
        <v>29</v>
      </c>
      <c r="B456" s="10">
        <v>403</v>
      </c>
    </row>
    <row r="457" spans="1:2" x14ac:dyDescent="0.45">
      <c r="A457" s="10">
        <v>199</v>
      </c>
      <c r="B457" s="10">
        <v>404</v>
      </c>
    </row>
    <row r="458" spans="1:2" x14ac:dyDescent="0.45">
      <c r="A458" s="10">
        <v>96</v>
      </c>
      <c r="B458" s="10">
        <v>405</v>
      </c>
    </row>
    <row r="459" spans="1:2" x14ac:dyDescent="0.45">
      <c r="A459" s="10">
        <v>27</v>
      </c>
      <c r="B459" s="10">
        <v>406</v>
      </c>
    </row>
    <row r="460" spans="1:2" x14ac:dyDescent="0.45">
      <c r="A460" s="10">
        <v>3</v>
      </c>
      <c r="B460" s="10">
        <v>407</v>
      </c>
    </row>
    <row r="461" spans="1:2" x14ac:dyDescent="0.45">
      <c r="A461" s="10">
        <v>78</v>
      </c>
      <c r="B461" s="10">
        <v>408</v>
      </c>
    </row>
    <row r="462" spans="1:2" x14ac:dyDescent="0.45">
      <c r="A462" s="10">
        <v>133</v>
      </c>
      <c r="B462" s="10">
        <v>409</v>
      </c>
    </row>
    <row r="463" spans="1:2" x14ac:dyDescent="0.45">
      <c r="A463" s="10">
        <v>26</v>
      </c>
      <c r="B463" s="10">
        <v>410</v>
      </c>
    </row>
    <row r="464" spans="1:2" x14ac:dyDescent="0.45">
      <c r="A464" s="10">
        <v>62</v>
      </c>
      <c r="B464" s="10">
        <v>411</v>
      </c>
    </row>
    <row r="465" spans="1:2" x14ac:dyDescent="0.45">
      <c r="A465" s="10">
        <v>178</v>
      </c>
      <c r="B465" s="10">
        <v>412</v>
      </c>
    </row>
    <row r="466" spans="1:2" x14ac:dyDescent="0.45">
      <c r="A466" s="10">
        <v>91</v>
      </c>
      <c r="B466" s="10">
        <v>413</v>
      </c>
    </row>
    <row r="467" spans="1:2" x14ac:dyDescent="0.45">
      <c r="A467" s="10">
        <v>86</v>
      </c>
      <c r="B467" s="10">
        <v>414</v>
      </c>
    </row>
    <row r="468" spans="1:2" x14ac:dyDescent="0.45">
      <c r="A468" s="10">
        <v>92</v>
      </c>
      <c r="B468" s="10">
        <v>415</v>
      </c>
    </row>
    <row r="469" spans="1:2" x14ac:dyDescent="0.45">
      <c r="A469" s="10">
        <v>124</v>
      </c>
      <c r="B469" s="10">
        <v>416</v>
      </c>
    </row>
    <row r="470" spans="1:2" x14ac:dyDescent="0.45">
      <c r="A470" s="10">
        <v>19</v>
      </c>
      <c r="B470" s="10">
        <v>417</v>
      </c>
    </row>
    <row r="471" spans="1:2" x14ac:dyDescent="0.45">
      <c r="A471" s="10">
        <v>75</v>
      </c>
      <c r="B471" s="10">
        <v>418</v>
      </c>
    </row>
    <row r="472" spans="1:2" x14ac:dyDescent="0.45">
      <c r="A472" s="10">
        <v>11</v>
      </c>
      <c r="B472" s="10">
        <v>419</v>
      </c>
    </row>
    <row r="473" spans="1:2" x14ac:dyDescent="0.45">
      <c r="A473" s="10">
        <v>61</v>
      </c>
      <c r="B473" s="10">
        <v>420</v>
      </c>
    </row>
    <row r="474" spans="1:2" x14ac:dyDescent="0.45">
      <c r="A474" s="10">
        <v>42</v>
      </c>
      <c r="B474" s="10">
        <v>421</v>
      </c>
    </row>
    <row r="475" spans="1:2" x14ac:dyDescent="0.45">
      <c r="A475" s="10">
        <v>78</v>
      </c>
      <c r="B475" s="10">
        <v>422</v>
      </c>
    </row>
    <row r="476" spans="1:2" x14ac:dyDescent="0.45">
      <c r="A476" s="10">
        <v>12</v>
      </c>
      <c r="B476" s="10">
        <v>423</v>
      </c>
    </row>
    <row r="477" spans="1:2" x14ac:dyDescent="0.45">
      <c r="A477" s="10">
        <v>63</v>
      </c>
      <c r="B477" s="10">
        <v>424</v>
      </c>
    </row>
    <row r="478" spans="1:2" x14ac:dyDescent="0.45">
      <c r="A478" s="10">
        <v>179</v>
      </c>
      <c r="B478" s="10">
        <v>425</v>
      </c>
    </row>
    <row r="479" spans="1:2" x14ac:dyDescent="0.45">
      <c r="A479" s="10">
        <v>107</v>
      </c>
      <c r="B479" s="10">
        <v>426</v>
      </c>
    </row>
    <row r="480" spans="1:2" x14ac:dyDescent="0.45">
      <c r="A480" s="10">
        <v>128</v>
      </c>
      <c r="B480" s="10">
        <v>427</v>
      </c>
    </row>
    <row r="481" spans="1:2" x14ac:dyDescent="0.45">
      <c r="A481" s="10">
        <v>175</v>
      </c>
      <c r="B481" s="10">
        <v>428</v>
      </c>
    </row>
    <row r="482" spans="1:2" x14ac:dyDescent="0.45">
      <c r="A482" s="10">
        <v>0</v>
      </c>
      <c r="B482" s="10">
        <v>429</v>
      </c>
    </row>
    <row r="483" spans="1:2" x14ac:dyDescent="0.45">
      <c r="A483" s="10">
        <v>22</v>
      </c>
      <c r="B483" s="10">
        <v>430</v>
      </c>
    </row>
    <row r="484" spans="1:2" x14ac:dyDescent="0.45">
      <c r="A484" s="10">
        <v>48</v>
      </c>
      <c r="B484" s="10">
        <v>431</v>
      </c>
    </row>
    <row r="485" spans="1:2" x14ac:dyDescent="0.45">
      <c r="A485" s="10">
        <v>52</v>
      </c>
      <c r="B485" s="10">
        <v>432</v>
      </c>
    </row>
    <row r="486" spans="1:2" x14ac:dyDescent="0.45">
      <c r="A486" s="10">
        <v>195</v>
      </c>
      <c r="B486" s="10">
        <v>433</v>
      </c>
    </row>
    <row r="487" spans="1:2" x14ac:dyDescent="0.45">
      <c r="A487" s="10">
        <v>151</v>
      </c>
      <c r="B487" s="10">
        <v>434</v>
      </c>
    </row>
    <row r="488" spans="1:2" x14ac:dyDescent="0.45">
      <c r="A488" s="10">
        <v>149</v>
      </c>
      <c r="B488" s="10">
        <v>435</v>
      </c>
    </row>
    <row r="489" spans="1:2" x14ac:dyDescent="0.45">
      <c r="A489" s="10">
        <v>60</v>
      </c>
      <c r="B489" s="10">
        <v>436</v>
      </c>
    </row>
    <row r="490" spans="1:2" x14ac:dyDescent="0.45">
      <c r="A490" s="10">
        <v>35</v>
      </c>
      <c r="B490" s="10">
        <v>437</v>
      </c>
    </row>
    <row r="491" spans="1:2" x14ac:dyDescent="0.45">
      <c r="A491" s="10">
        <v>162</v>
      </c>
      <c r="B491" s="10">
        <v>438</v>
      </c>
    </row>
    <row r="492" spans="1:2" x14ac:dyDescent="0.45">
      <c r="A492" s="10">
        <v>5</v>
      </c>
      <c r="B492" s="10">
        <v>439</v>
      </c>
    </row>
    <row r="493" spans="1:2" x14ac:dyDescent="0.45">
      <c r="A493" s="10">
        <v>150</v>
      </c>
      <c r="B493" s="10">
        <v>440</v>
      </c>
    </row>
    <row r="494" spans="1:2" x14ac:dyDescent="0.45">
      <c r="A494" s="10">
        <v>122</v>
      </c>
      <c r="B494" s="10">
        <v>441</v>
      </c>
    </row>
    <row r="495" spans="1:2" x14ac:dyDescent="0.45">
      <c r="A495" s="10">
        <v>58</v>
      </c>
      <c r="B495" s="10">
        <v>442</v>
      </c>
    </row>
    <row r="496" spans="1:2" x14ac:dyDescent="0.45">
      <c r="A496" s="10">
        <v>55</v>
      </c>
      <c r="B496" s="10">
        <v>443</v>
      </c>
    </row>
    <row r="497" spans="1:2" x14ac:dyDescent="0.45">
      <c r="A497" s="10">
        <v>36</v>
      </c>
      <c r="B497" s="10">
        <v>444</v>
      </c>
    </row>
    <row r="498" spans="1:2" x14ac:dyDescent="0.45">
      <c r="A498" s="10">
        <v>112</v>
      </c>
      <c r="B498" s="10">
        <v>445</v>
      </c>
    </row>
    <row r="499" spans="1:2" x14ac:dyDescent="0.45">
      <c r="A499" s="10">
        <v>147</v>
      </c>
      <c r="B499" s="10">
        <v>446</v>
      </c>
    </row>
    <row r="500" spans="1:2" x14ac:dyDescent="0.45">
      <c r="A500" s="10">
        <v>129</v>
      </c>
      <c r="B500" s="10">
        <v>447</v>
      </c>
    </row>
    <row r="501" spans="1:2" x14ac:dyDescent="0.45">
      <c r="A501" s="10">
        <v>114</v>
      </c>
      <c r="B501" s="10">
        <v>448</v>
      </c>
    </row>
    <row r="502" spans="1:2" x14ac:dyDescent="0.45">
      <c r="A502" s="10">
        <v>142</v>
      </c>
      <c r="B502" s="10">
        <v>449</v>
      </c>
    </row>
    <row r="503" spans="1:2" x14ac:dyDescent="0.45">
      <c r="A503" s="10">
        <v>131</v>
      </c>
      <c r="B503" s="10">
        <v>450</v>
      </c>
    </row>
    <row r="504" spans="1:2" x14ac:dyDescent="0.45">
      <c r="A504" s="10">
        <v>166</v>
      </c>
      <c r="B504" s="10">
        <v>451</v>
      </c>
    </row>
    <row r="505" spans="1:2" x14ac:dyDescent="0.45">
      <c r="A505" s="10">
        <v>155</v>
      </c>
      <c r="B505" s="10">
        <v>452</v>
      </c>
    </row>
    <row r="506" spans="1:2" x14ac:dyDescent="0.45">
      <c r="A506" s="10">
        <v>186</v>
      </c>
      <c r="B506" s="10">
        <v>453</v>
      </c>
    </row>
    <row r="507" spans="1:2" x14ac:dyDescent="0.45">
      <c r="A507" s="10">
        <v>199</v>
      </c>
      <c r="B507" s="10">
        <v>454</v>
      </c>
    </row>
    <row r="508" spans="1:2" x14ac:dyDescent="0.45">
      <c r="A508" s="10">
        <v>37</v>
      </c>
      <c r="B508" s="10">
        <v>455</v>
      </c>
    </row>
    <row r="509" spans="1:2" x14ac:dyDescent="0.45">
      <c r="A509" s="10">
        <v>158</v>
      </c>
      <c r="B509" s="10">
        <v>456</v>
      </c>
    </row>
    <row r="510" spans="1:2" x14ac:dyDescent="0.45">
      <c r="A510" s="10">
        <v>122</v>
      </c>
      <c r="B510" s="10">
        <v>457</v>
      </c>
    </row>
    <row r="511" spans="1:2" x14ac:dyDescent="0.45">
      <c r="A511" s="10">
        <v>173</v>
      </c>
      <c r="B511" s="10">
        <v>458</v>
      </c>
    </row>
    <row r="512" spans="1:2" x14ac:dyDescent="0.45">
      <c r="A512" s="10">
        <v>6</v>
      </c>
      <c r="B512" s="10">
        <v>459</v>
      </c>
    </row>
    <row r="513" spans="1:2" x14ac:dyDescent="0.45">
      <c r="A513" s="10">
        <v>35</v>
      </c>
      <c r="B513" s="10">
        <v>460</v>
      </c>
    </row>
    <row r="514" spans="1:2" x14ac:dyDescent="0.45">
      <c r="A514" s="10">
        <v>121</v>
      </c>
      <c r="B514" s="10">
        <v>461</v>
      </c>
    </row>
    <row r="515" spans="1:2" x14ac:dyDescent="0.45">
      <c r="A515" s="10">
        <v>135</v>
      </c>
      <c r="B515" s="10">
        <v>462</v>
      </c>
    </row>
    <row r="516" spans="1:2" x14ac:dyDescent="0.45">
      <c r="A516" s="10">
        <v>145</v>
      </c>
      <c r="B516" s="10">
        <v>463</v>
      </c>
    </row>
    <row r="517" spans="1:2" x14ac:dyDescent="0.45">
      <c r="A517" s="10">
        <v>86</v>
      </c>
      <c r="B517" s="10">
        <v>464</v>
      </c>
    </row>
    <row r="518" spans="1:2" x14ac:dyDescent="0.45">
      <c r="A518" s="10">
        <v>0</v>
      </c>
      <c r="B518" s="10">
        <v>465</v>
      </c>
    </row>
    <row r="519" spans="1:2" x14ac:dyDescent="0.45">
      <c r="A519" s="10">
        <v>170</v>
      </c>
      <c r="B519" s="10">
        <v>466</v>
      </c>
    </row>
    <row r="520" spans="1:2" x14ac:dyDescent="0.45">
      <c r="A520" s="10">
        <v>171</v>
      </c>
      <c r="B520" s="10">
        <v>467</v>
      </c>
    </row>
    <row r="521" spans="1:2" x14ac:dyDescent="0.45">
      <c r="A521" s="10">
        <v>60</v>
      </c>
      <c r="B521" s="10">
        <v>468</v>
      </c>
    </row>
    <row r="522" spans="1:2" x14ac:dyDescent="0.45">
      <c r="A522" s="10">
        <v>1</v>
      </c>
      <c r="B522" s="10">
        <v>469</v>
      </c>
    </row>
    <row r="523" spans="1:2" x14ac:dyDescent="0.45">
      <c r="A523" s="10">
        <v>2</v>
      </c>
      <c r="B523" s="10">
        <v>470</v>
      </c>
    </row>
    <row r="524" spans="1:2" x14ac:dyDescent="0.45">
      <c r="A524" s="10">
        <v>136</v>
      </c>
      <c r="B524" s="10">
        <v>471</v>
      </c>
    </row>
    <row r="525" spans="1:2" x14ac:dyDescent="0.45">
      <c r="A525" s="10">
        <v>130</v>
      </c>
      <c r="B525" s="10">
        <v>472</v>
      </c>
    </row>
    <row r="526" spans="1:2" x14ac:dyDescent="0.45">
      <c r="A526" s="10">
        <v>158</v>
      </c>
      <c r="B526" s="10">
        <v>473</v>
      </c>
    </row>
    <row r="527" spans="1:2" x14ac:dyDescent="0.45">
      <c r="A527" s="10">
        <v>144</v>
      </c>
      <c r="B527" s="10">
        <v>474</v>
      </c>
    </row>
    <row r="528" spans="1:2" x14ac:dyDescent="0.45">
      <c r="A528" s="10">
        <v>160</v>
      </c>
      <c r="B528" s="10">
        <v>475</v>
      </c>
    </row>
    <row r="529" spans="1:2" x14ac:dyDescent="0.45">
      <c r="A529" s="10">
        <v>71</v>
      </c>
      <c r="B529" s="10">
        <v>476</v>
      </c>
    </row>
    <row r="530" spans="1:2" x14ac:dyDescent="0.45">
      <c r="A530" s="10">
        <v>159</v>
      </c>
      <c r="B530" s="10">
        <v>477</v>
      </c>
    </row>
    <row r="531" spans="1:2" x14ac:dyDescent="0.45">
      <c r="A531" s="10">
        <v>14</v>
      </c>
      <c r="B531" s="10">
        <v>478</v>
      </c>
    </row>
    <row r="532" spans="1:2" x14ac:dyDescent="0.45">
      <c r="A532" s="10">
        <v>193</v>
      </c>
      <c r="B532" s="10">
        <v>479</v>
      </c>
    </row>
    <row r="533" spans="1:2" x14ac:dyDescent="0.45">
      <c r="A533" s="10">
        <v>46</v>
      </c>
      <c r="B533" s="10">
        <v>480</v>
      </c>
    </row>
    <row r="534" spans="1:2" x14ac:dyDescent="0.45">
      <c r="A534" s="10">
        <v>191</v>
      </c>
      <c r="B534" s="10">
        <v>481</v>
      </c>
    </row>
    <row r="535" spans="1:2" x14ac:dyDescent="0.45">
      <c r="A535" s="10">
        <v>72</v>
      </c>
      <c r="B535" s="10">
        <v>482</v>
      </c>
    </row>
    <row r="536" spans="1:2" x14ac:dyDescent="0.45">
      <c r="A536" s="10">
        <v>81</v>
      </c>
      <c r="B536" s="10">
        <v>483</v>
      </c>
    </row>
    <row r="537" spans="1:2" x14ac:dyDescent="0.45">
      <c r="A537" s="10">
        <v>84</v>
      </c>
      <c r="B537" s="10">
        <v>484</v>
      </c>
    </row>
    <row r="538" spans="1:2" x14ac:dyDescent="0.45">
      <c r="A538" s="10">
        <v>102</v>
      </c>
      <c r="B538" s="10">
        <v>485</v>
      </c>
    </row>
    <row r="539" spans="1:2" x14ac:dyDescent="0.45">
      <c r="A539" s="10">
        <v>96</v>
      </c>
      <c r="B539" s="10">
        <v>486</v>
      </c>
    </row>
    <row r="540" spans="1:2" x14ac:dyDescent="0.45">
      <c r="A540" s="10">
        <v>9</v>
      </c>
      <c r="B540" s="10">
        <v>487</v>
      </c>
    </row>
    <row r="541" spans="1:2" x14ac:dyDescent="0.45">
      <c r="A541" s="10">
        <v>110</v>
      </c>
      <c r="B541" s="10">
        <v>488</v>
      </c>
    </row>
    <row r="542" spans="1:2" x14ac:dyDescent="0.45">
      <c r="A542" s="10">
        <v>108</v>
      </c>
      <c r="B542" s="10">
        <v>489</v>
      </c>
    </row>
    <row r="543" spans="1:2" x14ac:dyDescent="0.45">
      <c r="A543" s="10">
        <v>132</v>
      </c>
      <c r="B543" s="10">
        <v>490</v>
      </c>
    </row>
    <row r="544" spans="1:2" x14ac:dyDescent="0.45">
      <c r="A544" s="10">
        <v>95</v>
      </c>
      <c r="B544" s="10">
        <v>491</v>
      </c>
    </row>
    <row r="545" spans="1:2" x14ac:dyDescent="0.45">
      <c r="A545" s="10">
        <v>77</v>
      </c>
      <c r="B545" s="10">
        <v>492</v>
      </c>
    </row>
    <row r="546" spans="1:2" x14ac:dyDescent="0.45">
      <c r="A546" s="10">
        <v>32</v>
      </c>
      <c r="B546" s="10">
        <v>493</v>
      </c>
    </row>
    <row r="547" spans="1:2" x14ac:dyDescent="0.45">
      <c r="A547" s="10">
        <v>199</v>
      </c>
      <c r="B547" s="10">
        <v>494</v>
      </c>
    </row>
    <row r="548" spans="1:2" x14ac:dyDescent="0.45">
      <c r="A548" s="10">
        <v>38</v>
      </c>
      <c r="B548" s="10">
        <v>495</v>
      </c>
    </row>
    <row r="549" spans="1:2" x14ac:dyDescent="0.45">
      <c r="A549" s="10">
        <v>92</v>
      </c>
      <c r="B549" s="10">
        <v>496</v>
      </c>
    </row>
    <row r="550" spans="1:2" x14ac:dyDescent="0.45">
      <c r="A550" s="10">
        <v>119</v>
      </c>
      <c r="B550" s="10">
        <v>497</v>
      </c>
    </row>
    <row r="551" spans="1:2" x14ac:dyDescent="0.45">
      <c r="A551" s="10">
        <v>97</v>
      </c>
      <c r="B551" s="10">
        <v>498</v>
      </c>
    </row>
    <row r="552" spans="1:2" x14ac:dyDescent="0.45">
      <c r="A552" s="10">
        <v>100</v>
      </c>
      <c r="B552" s="10">
        <v>499</v>
      </c>
    </row>
    <row r="553" spans="1:2" x14ac:dyDescent="0.45">
      <c r="A553" s="10">
        <v>160</v>
      </c>
      <c r="B553" s="10">
        <v>500</v>
      </c>
    </row>
    <row r="554" spans="1:2" x14ac:dyDescent="0.45">
      <c r="A554" s="10">
        <v>25</v>
      </c>
      <c r="B554" s="10">
        <v>501</v>
      </c>
    </row>
    <row r="555" spans="1:2" x14ac:dyDescent="0.45">
      <c r="A555" s="10">
        <v>15</v>
      </c>
      <c r="B555" s="10">
        <v>502</v>
      </c>
    </row>
    <row r="556" spans="1:2" x14ac:dyDescent="0.45">
      <c r="A556" s="10">
        <v>24</v>
      </c>
      <c r="B556" s="10">
        <v>503</v>
      </c>
    </row>
    <row r="557" spans="1:2" x14ac:dyDescent="0.45">
      <c r="A557" s="10">
        <v>129</v>
      </c>
      <c r="B557" s="10">
        <v>504</v>
      </c>
    </row>
    <row r="558" spans="1:2" x14ac:dyDescent="0.45">
      <c r="A558" s="10">
        <v>44</v>
      </c>
      <c r="B558" s="10">
        <v>505</v>
      </c>
    </row>
    <row r="559" spans="1:2" x14ac:dyDescent="0.45">
      <c r="A559" s="10">
        <v>40</v>
      </c>
      <c r="B559" s="10">
        <v>506</v>
      </c>
    </row>
    <row r="560" spans="1:2" x14ac:dyDescent="0.45">
      <c r="A560" s="10">
        <v>55</v>
      </c>
      <c r="B560" s="10">
        <v>507</v>
      </c>
    </row>
    <row r="561" spans="1:2" x14ac:dyDescent="0.45">
      <c r="A561" s="10">
        <v>31</v>
      </c>
      <c r="B561" s="10">
        <v>508</v>
      </c>
    </row>
    <row r="562" spans="1:2" x14ac:dyDescent="0.45">
      <c r="A562" s="10">
        <v>199</v>
      </c>
      <c r="B562" s="10">
        <v>509</v>
      </c>
    </row>
    <row r="563" spans="1:2" x14ac:dyDescent="0.45">
      <c r="A563" s="10">
        <v>94</v>
      </c>
      <c r="B563" s="10">
        <v>510</v>
      </c>
    </row>
    <row r="564" spans="1:2" x14ac:dyDescent="0.45">
      <c r="A564" s="10">
        <v>59</v>
      </c>
      <c r="B564" s="10">
        <v>511</v>
      </c>
    </row>
    <row r="565" spans="1:2" x14ac:dyDescent="0.45">
      <c r="A565" s="10">
        <v>48</v>
      </c>
      <c r="B565" s="10">
        <v>512</v>
      </c>
    </row>
    <row r="566" spans="1:2" x14ac:dyDescent="0.45">
      <c r="A566" s="10">
        <v>183</v>
      </c>
      <c r="B566" s="10">
        <v>513</v>
      </c>
    </row>
    <row r="567" spans="1:2" x14ac:dyDescent="0.45">
      <c r="A567" s="10">
        <v>185</v>
      </c>
      <c r="B567" s="10">
        <v>514</v>
      </c>
    </row>
    <row r="568" spans="1:2" x14ac:dyDescent="0.45">
      <c r="A568" s="10">
        <v>28</v>
      </c>
      <c r="B568" s="10">
        <v>515</v>
      </c>
    </row>
    <row r="569" spans="1:2" x14ac:dyDescent="0.45">
      <c r="A569" s="10">
        <v>109</v>
      </c>
      <c r="B569" s="10">
        <v>516</v>
      </c>
    </row>
    <row r="570" spans="1:2" x14ac:dyDescent="0.45">
      <c r="A570" s="10">
        <v>157</v>
      </c>
      <c r="B570" s="10">
        <v>517</v>
      </c>
    </row>
    <row r="571" spans="1:2" x14ac:dyDescent="0.45">
      <c r="A571" s="10">
        <v>81</v>
      </c>
      <c r="B571" s="10">
        <v>518</v>
      </c>
    </row>
    <row r="572" spans="1:2" x14ac:dyDescent="0.45">
      <c r="A572" s="10">
        <v>84</v>
      </c>
      <c r="B572" s="10">
        <v>519</v>
      </c>
    </row>
    <row r="573" spans="1:2" x14ac:dyDescent="0.45">
      <c r="A573" s="10">
        <v>66</v>
      </c>
      <c r="B573" s="10">
        <v>520</v>
      </c>
    </row>
    <row r="574" spans="1:2" x14ac:dyDescent="0.45">
      <c r="A574" s="10">
        <v>123</v>
      </c>
      <c r="B574" s="10">
        <v>521</v>
      </c>
    </row>
    <row r="575" spans="1:2" x14ac:dyDescent="0.45">
      <c r="A575" s="10">
        <v>62</v>
      </c>
      <c r="B575" s="10">
        <v>522</v>
      </c>
    </row>
    <row r="576" spans="1:2" x14ac:dyDescent="0.45">
      <c r="A576" s="10">
        <v>41</v>
      </c>
      <c r="B576" s="10">
        <v>523</v>
      </c>
    </row>
    <row r="577" spans="1:2" x14ac:dyDescent="0.45">
      <c r="A577" s="10">
        <v>199</v>
      </c>
      <c r="B577" s="10">
        <v>524</v>
      </c>
    </row>
    <row r="578" spans="1:2" x14ac:dyDescent="0.45">
      <c r="A578" s="10">
        <v>71</v>
      </c>
      <c r="B578" s="10">
        <v>525</v>
      </c>
    </row>
    <row r="579" spans="1:2" x14ac:dyDescent="0.45">
      <c r="A579" s="10">
        <v>140</v>
      </c>
      <c r="B579" s="10">
        <v>526</v>
      </c>
    </row>
    <row r="580" spans="1:2" x14ac:dyDescent="0.45">
      <c r="A580" s="10">
        <v>69</v>
      </c>
      <c r="B580" s="10">
        <v>527</v>
      </c>
    </row>
    <row r="581" spans="1:2" x14ac:dyDescent="0.45">
      <c r="A581" s="10">
        <v>122</v>
      </c>
      <c r="B581" s="10">
        <v>528</v>
      </c>
    </row>
    <row r="582" spans="1:2" x14ac:dyDescent="0.45">
      <c r="A582" s="10">
        <v>97</v>
      </c>
      <c r="B582" s="10">
        <v>529</v>
      </c>
    </row>
    <row r="583" spans="1:2" x14ac:dyDescent="0.45">
      <c r="A583" s="10">
        <v>23</v>
      </c>
      <c r="B583" s="10">
        <v>530</v>
      </c>
    </row>
    <row r="584" spans="1:2" x14ac:dyDescent="0.45">
      <c r="A584" s="10">
        <v>199</v>
      </c>
      <c r="B584" s="10">
        <v>531</v>
      </c>
    </row>
    <row r="585" spans="1:2" x14ac:dyDescent="0.45">
      <c r="A585" s="10">
        <v>140</v>
      </c>
      <c r="B585" s="10">
        <v>532</v>
      </c>
    </row>
    <row r="586" spans="1:2" x14ac:dyDescent="0.45">
      <c r="A586" s="10">
        <v>48</v>
      </c>
      <c r="B586" s="10">
        <v>533</v>
      </c>
    </row>
    <row r="587" spans="1:2" x14ac:dyDescent="0.45">
      <c r="A587" s="10">
        <v>199</v>
      </c>
      <c r="B587" s="10">
        <v>534</v>
      </c>
    </row>
    <row r="588" spans="1:2" x14ac:dyDescent="0.45">
      <c r="A588" s="10">
        <v>127</v>
      </c>
      <c r="B588" s="10">
        <v>535</v>
      </c>
    </row>
    <row r="589" spans="1:2" x14ac:dyDescent="0.45">
      <c r="A589" s="10">
        <v>165</v>
      </c>
      <c r="B589" s="10">
        <v>536</v>
      </c>
    </row>
    <row r="590" spans="1:2" x14ac:dyDescent="0.45">
      <c r="A590" s="10">
        <v>55</v>
      </c>
      <c r="B590" s="10">
        <v>537</v>
      </c>
    </row>
    <row r="591" spans="1:2" x14ac:dyDescent="0.45">
      <c r="A591" s="10">
        <v>127</v>
      </c>
      <c r="B591" s="10">
        <v>538</v>
      </c>
    </row>
    <row r="592" spans="1:2" x14ac:dyDescent="0.45">
      <c r="A592" s="10">
        <v>43</v>
      </c>
      <c r="B592" s="10">
        <v>539</v>
      </c>
    </row>
    <row r="593" spans="1:2" x14ac:dyDescent="0.45">
      <c r="A593" s="10">
        <v>136</v>
      </c>
      <c r="B593" s="10">
        <v>540</v>
      </c>
    </row>
    <row r="594" spans="1:2" x14ac:dyDescent="0.45">
      <c r="A594" s="10">
        <v>167</v>
      </c>
      <c r="B594" s="10">
        <v>541</v>
      </c>
    </row>
    <row r="595" spans="1:2" x14ac:dyDescent="0.45">
      <c r="A595" s="10">
        <v>79</v>
      </c>
      <c r="B595" s="10">
        <v>542</v>
      </c>
    </row>
    <row r="596" spans="1:2" x14ac:dyDescent="0.45">
      <c r="A596" s="10">
        <v>98</v>
      </c>
      <c r="B596" s="10">
        <v>543</v>
      </c>
    </row>
    <row r="597" spans="1:2" x14ac:dyDescent="0.45">
      <c r="A597" s="10">
        <v>37</v>
      </c>
      <c r="B597" s="10">
        <v>544</v>
      </c>
    </row>
    <row r="598" spans="1:2" x14ac:dyDescent="0.45">
      <c r="A598" s="10">
        <v>107</v>
      </c>
      <c r="B598" s="10">
        <v>545</v>
      </c>
    </row>
    <row r="599" spans="1:2" x14ac:dyDescent="0.45">
      <c r="A599" s="10">
        <v>120</v>
      </c>
      <c r="B599" s="10">
        <v>546</v>
      </c>
    </row>
    <row r="600" spans="1:2" x14ac:dyDescent="0.45">
      <c r="A600" s="10">
        <v>157</v>
      </c>
      <c r="B600" s="10">
        <v>547</v>
      </c>
    </row>
    <row r="601" spans="1:2" x14ac:dyDescent="0.45">
      <c r="A601" s="10">
        <v>117</v>
      </c>
      <c r="B601" s="10">
        <v>548</v>
      </c>
    </row>
    <row r="602" spans="1:2" x14ac:dyDescent="0.45">
      <c r="A602" s="10">
        <v>132</v>
      </c>
      <c r="B602" s="10">
        <v>549</v>
      </c>
    </row>
    <row r="603" spans="1:2" x14ac:dyDescent="0.45">
      <c r="A603" s="10">
        <v>137</v>
      </c>
      <c r="B603" s="10">
        <v>550</v>
      </c>
    </row>
    <row r="604" spans="1:2" x14ac:dyDescent="0.45">
      <c r="A604" s="10">
        <v>179</v>
      </c>
      <c r="B604" s="10">
        <v>551</v>
      </c>
    </row>
    <row r="605" spans="1:2" x14ac:dyDescent="0.45">
      <c r="A605" s="10">
        <v>169</v>
      </c>
      <c r="B605" s="10">
        <v>552</v>
      </c>
    </row>
    <row r="606" spans="1:2" x14ac:dyDescent="0.45">
      <c r="A606" s="10">
        <v>190</v>
      </c>
      <c r="B606" s="10">
        <v>553</v>
      </c>
    </row>
    <row r="607" spans="1:2" x14ac:dyDescent="0.45">
      <c r="A607" s="10">
        <v>115</v>
      </c>
      <c r="B607" s="10">
        <v>554</v>
      </c>
    </row>
    <row r="608" spans="1:2" x14ac:dyDescent="0.45">
      <c r="A608" s="10">
        <v>199</v>
      </c>
      <c r="B608" s="10">
        <v>555</v>
      </c>
    </row>
    <row r="609" spans="1:2" x14ac:dyDescent="0.45">
      <c r="A609" s="10">
        <v>6</v>
      </c>
      <c r="B609" s="10">
        <v>556</v>
      </c>
    </row>
    <row r="610" spans="1:2" x14ac:dyDescent="0.45">
      <c r="A610" s="10">
        <v>41</v>
      </c>
      <c r="B610" s="10">
        <v>557</v>
      </c>
    </row>
    <row r="611" spans="1:2" x14ac:dyDescent="0.45">
      <c r="A611" s="10">
        <v>163</v>
      </c>
      <c r="B611" s="10">
        <v>558</v>
      </c>
    </row>
    <row r="612" spans="1:2" x14ac:dyDescent="0.45">
      <c r="A612" s="10">
        <v>112</v>
      </c>
      <c r="B612" s="10">
        <v>559</v>
      </c>
    </row>
    <row r="613" spans="1:2" x14ac:dyDescent="0.45">
      <c r="A613" s="10">
        <v>120</v>
      </c>
      <c r="B613" s="10">
        <v>560</v>
      </c>
    </row>
    <row r="614" spans="1:2" x14ac:dyDescent="0.45">
      <c r="A614" s="10">
        <v>128</v>
      </c>
      <c r="B614" s="10">
        <v>561</v>
      </c>
    </row>
    <row r="615" spans="1:2" x14ac:dyDescent="0.45">
      <c r="A615" s="10">
        <v>199</v>
      </c>
      <c r="B615" s="10">
        <v>562</v>
      </c>
    </row>
    <row r="616" spans="1:2" x14ac:dyDescent="0.45">
      <c r="A616" s="10">
        <v>29</v>
      </c>
      <c r="B616" s="10">
        <v>563</v>
      </c>
    </row>
    <row r="617" spans="1:2" x14ac:dyDescent="0.45">
      <c r="A617" s="10">
        <v>84</v>
      </c>
      <c r="B617" s="10">
        <v>564</v>
      </c>
    </row>
    <row r="618" spans="1:2" x14ac:dyDescent="0.45">
      <c r="A618" s="10">
        <v>164</v>
      </c>
      <c r="B618" s="10">
        <v>565</v>
      </c>
    </row>
    <row r="619" spans="1:2" x14ac:dyDescent="0.45">
      <c r="A619" s="10">
        <v>146</v>
      </c>
      <c r="B619" s="10">
        <v>566</v>
      </c>
    </row>
    <row r="620" spans="1:2" x14ac:dyDescent="0.45">
      <c r="A620" s="10">
        <v>111</v>
      </c>
      <c r="B620" s="10">
        <v>567</v>
      </c>
    </row>
    <row r="621" spans="1:2" x14ac:dyDescent="0.45">
      <c r="A621" s="10">
        <v>92</v>
      </c>
      <c r="B621" s="10">
        <v>568</v>
      </c>
    </row>
    <row r="622" spans="1:2" x14ac:dyDescent="0.45">
      <c r="A622" s="10">
        <v>79</v>
      </c>
      <c r="B622" s="10">
        <v>569</v>
      </c>
    </row>
    <row r="623" spans="1:2" x14ac:dyDescent="0.45">
      <c r="A623" s="10">
        <v>199</v>
      </c>
      <c r="B623" s="10">
        <v>570</v>
      </c>
    </row>
    <row r="624" spans="1:2" x14ac:dyDescent="0.45">
      <c r="A624" s="10">
        <v>43</v>
      </c>
      <c r="B624" s="10">
        <v>571</v>
      </c>
    </row>
    <row r="625" spans="1:2" x14ac:dyDescent="0.45">
      <c r="A625" s="10">
        <v>41</v>
      </c>
      <c r="B625" s="10">
        <v>572</v>
      </c>
    </row>
    <row r="626" spans="1:2" x14ac:dyDescent="0.45">
      <c r="A626" s="10">
        <v>78</v>
      </c>
      <c r="B626" s="10">
        <v>573</v>
      </c>
    </row>
    <row r="627" spans="1:2" x14ac:dyDescent="0.45">
      <c r="A627" s="10">
        <v>29</v>
      </c>
      <c r="B627" s="10">
        <v>574</v>
      </c>
    </row>
    <row r="628" spans="1:2" x14ac:dyDescent="0.45">
      <c r="A628" s="10">
        <v>9</v>
      </c>
      <c r="B628" s="10">
        <v>575</v>
      </c>
    </row>
    <row r="629" spans="1:2" x14ac:dyDescent="0.45">
      <c r="A629" s="10">
        <v>31</v>
      </c>
      <c r="B629" s="10">
        <v>576</v>
      </c>
    </row>
    <row r="630" spans="1:2" x14ac:dyDescent="0.45">
      <c r="A630" s="10">
        <v>61</v>
      </c>
      <c r="B630" s="10">
        <v>577</v>
      </c>
    </row>
    <row r="631" spans="1:2" x14ac:dyDescent="0.45">
      <c r="A631" s="10">
        <v>118</v>
      </c>
      <c r="B631" s="10">
        <v>578</v>
      </c>
    </row>
    <row r="632" spans="1:2" x14ac:dyDescent="0.45">
      <c r="A632" s="10">
        <v>168</v>
      </c>
      <c r="B632" s="10">
        <v>579</v>
      </c>
    </row>
    <row r="633" spans="1:2" x14ac:dyDescent="0.45">
      <c r="A633" s="10">
        <v>4</v>
      </c>
      <c r="B633" s="10">
        <v>580</v>
      </c>
    </row>
    <row r="634" spans="1:2" x14ac:dyDescent="0.45">
      <c r="A634" s="10">
        <v>179</v>
      </c>
      <c r="B634" s="10">
        <v>581</v>
      </c>
    </row>
    <row r="635" spans="1:2" x14ac:dyDescent="0.45">
      <c r="A635" s="10">
        <v>30</v>
      </c>
      <c r="B635" s="10">
        <v>582</v>
      </c>
    </row>
    <row r="636" spans="1:2" x14ac:dyDescent="0.45">
      <c r="A636" s="10">
        <v>61</v>
      </c>
      <c r="B636" s="10">
        <v>583</v>
      </c>
    </row>
    <row r="637" spans="1:2" x14ac:dyDescent="0.45">
      <c r="A637" s="10">
        <v>12</v>
      </c>
      <c r="B637" s="10">
        <v>584</v>
      </c>
    </row>
    <row r="638" spans="1:2" x14ac:dyDescent="0.45">
      <c r="A638" s="10">
        <v>149</v>
      </c>
      <c r="B638" s="10">
        <v>585</v>
      </c>
    </row>
    <row r="639" spans="1:2" x14ac:dyDescent="0.45">
      <c r="A639" s="10">
        <v>136</v>
      </c>
      <c r="B639" s="10">
        <v>586</v>
      </c>
    </row>
    <row r="640" spans="1:2" x14ac:dyDescent="0.45">
      <c r="A640" s="10">
        <v>22</v>
      </c>
      <c r="B640" s="10">
        <v>587</v>
      </c>
    </row>
    <row r="641" spans="1:2" x14ac:dyDescent="0.45">
      <c r="A641" s="10">
        <v>199</v>
      </c>
      <c r="B641" s="10">
        <v>588</v>
      </c>
    </row>
    <row r="642" spans="1:2" x14ac:dyDescent="0.45">
      <c r="A642" s="10">
        <v>165</v>
      </c>
      <c r="B642" s="10">
        <v>589</v>
      </c>
    </row>
    <row r="643" spans="1:2" x14ac:dyDescent="0.45">
      <c r="A643" s="10">
        <v>176</v>
      </c>
      <c r="B643" s="10">
        <v>590</v>
      </c>
    </row>
    <row r="644" spans="1:2" x14ac:dyDescent="0.45">
      <c r="A644" s="10">
        <v>68</v>
      </c>
      <c r="B644" s="10">
        <v>591</v>
      </c>
    </row>
    <row r="645" spans="1:2" x14ac:dyDescent="0.45">
      <c r="A645" s="10">
        <v>180</v>
      </c>
      <c r="B645" s="10">
        <v>592</v>
      </c>
    </row>
    <row r="646" spans="1:2" x14ac:dyDescent="0.45">
      <c r="A646" s="10">
        <v>154</v>
      </c>
      <c r="B646" s="10">
        <v>593</v>
      </c>
    </row>
    <row r="647" spans="1:2" x14ac:dyDescent="0.45">
      <c r="A647" s="10">
        <v>199</v>
      </c>
      <c r="B647" s="10">
        <v>594</v>
      </c>
    </row>
    <row r="648" spans="1:2" x14ac:dyDescent="0.45">
      <c r="A648" s="10">
        <v>199</v>
      </c>
      <c r="B648" s="10">
        <v>595</v>
      </c>
    </row>
    <row r="649" spans="1:2" x14ac:dyDescent="0.45">
      <c r="A649" s="10">
        <v>152</v>
      </c>
      <c r="B649" s="10">
        <v>596</v>
      </c>
    </row>
    <row r="650" spans="1:2" x14ac:dyDescent="0.45">
      <c r="A650" s="10">
        <v>81</v>
      </c>
      <c r="B650" s="10">
        <v>597</v>
      </c>
    </row>
    <row r="651" spans="1:2" x14ac:dyDescent="0.45">
      <c r="A651" s="10">
        <v>91</v>
      </c>
      <c r="B651" s="10">
        <v>598</v>
      </c>
    </row>
    <row r="652" spans="1:2" x14ac:dyDescent="0.45">
      <c r="A652" s="10">
        <v>131</v>
      </c>
      <c r="B652" s="10">
        <v>599</v>
      </c>
    </row>
    <row r="653" spans="1:2" x14ac:dyDescent="0.45">
      <c r="A653" s="10">
        <v>162</v>
      </c>
      <c r="B653" s="10">
        <v>600</v>
      </c>
    </row>
    <row r="654" spans="1:2" x14ac:dyDescent="0.45">
      <c r="A654" s="10">
        <v>173</v>
      </c>
      <c r="B654" s="10">
        <v>601</v>
      </c>
    </row>
    <row r="655" spans="1:2" x14ac:dyDescent="0.45">
      <c r="A655" s="10">
        <v>190</v>
      </c>
      <c r="B655" s="10">
        <v>602</v>
      </c>
    </row>
    <row r="656" spans="1:2" x14ac:dyDescent="0.45">
      <c r="A656" s="10">
        <v>182</v>
      </c>
      <c r="B656" s="10">
        <v>603</v>
      </c>
    </row>
    <row r="657" spans="1:2" x14ac:dyDescent="0.45">
      <c r="A657" s="10">
        <v>164</v>
      </c>
      <c r="B657" s="10">
        <v>604</v>
      </c>
    </row>
    <row r="658" spans="1:2" x14ac:dyDescent="0.45">
      <c r="A658" s="10">
        <v>199</v>
      </c>
      <c r="B658" s="10">
        <v>605</v>
      </c>
    </row>
    <row r="659" spans="1:2" x14ac:dyDescent="0.45">
      <c r="A659" s="10">
        <v>69</v>
      </c>
      <c r="B659" s="10">
        <v>606</v>
      </c>
    </row>
    <row r="660" spans="1:2" x14ac:dyDescent="0.45">
      <c r="A660" s="10">
        <v>14</v>
      </c>
      <c r="B660" s="10">
        <v>607</v>
      </c>
    </row>
    <row r="661" spans="1:2" x14ac:dyDescent="0.45">
      <c r="A661" s="10">
        <v>27</v>
      </c>
      <c r="B661" s="10">
        <v>608</v>
      </c>
    </row>
    <row r="662" spans="1:2" x14ac:dyDescent="0.45">
      <c r="A662" s="10">
        <v>153</v>
      </c>
      <c r="B662" s="10">
        <v>609</v>
      </c>
    </row>
    <row r="663" spans="1:2" x14ac:dyDescent="0.45">
      <c r="A663" s="10">
        <v>130</v>
      </c>
      <c r="B663" s="10">
        <v>610</v>
      </c>
    </row>
    <row r="664" spans="1:2" x14ac:dyDescent="0.45">
      <c r="A664" s="10">
        <v>18</v>
      </c>
      <c r="B664" s="10">
        <v>611</v>
      </c>
    </row>
    <row r="665" spans="1:2" x14ac:dyDescent="0.45">
      <c r="A665" s="10">
        <v>167</v>
      </c>
      <c r="B665" s="10">
        <v>612</v>
      </c>
    </row>
    <row r="666" spans="1:2" x14ac:dyDescent="0.45">
      <c r="A666" s="10">
        <v>146</v>
      </c>
      <c r="B666" s="10">
        <v>613</v>
      </c>
    </row>
    <row r="667" spans="1:2" x14ac:dyDescent="0.45">
      <c r="A667" s="10">
        <v>42</v>
      </c>
      <c r="B667" s="10">
        <v>614</v>
      </c>
    </row>
    <row r="668" spans="1:2" x14ac:dyDescent="0.45">
      <c r="A668" s="10">
        <v>159</v>
      </c>
      <c r="B668" s="10">
        <v>615</v>
      </c>
    </row>
    <row r="669" spans="1:2" x14ac:dyDescent="0.45">
      <c r="A669" s="10">
        <v>175</v>
      </c>
      <c r="B669" s="10">
        <v>616</v>
      </c>
    </row>
    <row r="670" spans="1:2" x14ac:dyDescent="0.45">
      <c r="A670" s="10">
        <v>55</v>
      </c>
      <c r="B670" s="10">
        <v>617</v>
      </c>
    </row>
    <row r="671" spans="1:2" x14ac:dyDescent="0.45">
      <c r="A671" s="10">
        <v>108</v>
      </c>
      <c r="B671" s="10">
        <v>618</v>
      </c>
    </row>
    <row r="672" spans="1:2" x14ac:dyDescent="0.45">
      <c r="A672" s="10">
        <v>116</v>
      </c>
      <c r="B672" s="10">
        <v>619</v>
      </c>
    </row>
    <row r="673" spans="1:2" x14ac:dyDescent="0.45">
      <c r="A673" s="10">
        <v>199</v>
      </c>
      <c r="B673" s="10">
        <v>620</v>
      </c>
    </row>
    <row r="674" spans="1:2" x14ac:dyDescent="0.45">
      <c r="A674" s="10">
        <v>48</v>
      </c>
      <c r="B674" s="10">
        <v>621</v>
      </c>
    </row>
    <row r="675" spans="1:2" x14ac:dyDescent="0.45">
      <c r="A675" s="10">
        <v>105</v>
      </c>
      <c r="B675" s="10">
        <v>622</v>
      </c>
    </row>
    <row r="676" spans="1:2" x14ac:dyDescent="0.45">
      <c r="A676" s="10">
        <v>53</v>
      </c>
      <c r="B676" s="10">
        <v>623</v>
      </c>
    </row>
    <row r="677" spans="1:2" x14ac:dyDescent="0.45">
      <c r="A677" s="10">
        <v>100</v>
      </c>
      <c r="B677" s="10">
        <v>624</v>
      </c>
    </row>
    <row r="678" spans="1:2" x14ac:dyDescent="0.45">
      <c r="A678" s="10">
        <v>127</v>
      </c>
      <c r="B678" s="10">
        <v>625</v>
      </c>
    </row>
    <row r="679" spans="1:2" x14ac:dyDescent="0.45">
      <c r="A679" s="10">
        <v>82</v>
      </c>
      <c r="B679" s="10">
        <v>626</v>
      </c>
    </row>
    <row r="680" spans="1:2" x14ac:dyDescent="0.45">
      <c r="A680" s="10">
        <v>89</v>
      </c>
      <c r="B680" s="10">
        <v>627</v>
      </c>
    </row>
    <row r="681" spans="1:2" x14ac:dyDescent="0.45">
      <c r="A681" s="10">
        <v>22</v>
      </c>
      <c r="B681" s="10">
        <v>628</v>
      </c>
    </row>
    <row r="682" spans="1:2" x14ac:dyDescent="0.45">
      <c r="A682" s="10">
        <v>6</v>
      </c>
      <c r="B682" s="10">
        <v>629</v>
      </c>
    </row>
    <row r="683" spans="1:2" x14ac:dyDescent="0.45">
      <c r="A683" s="10">
        <v>94</v>
      </c>
      <c r="B683" s="10">
        <v>630</v>
      </c>
    </row>
    <row r="684" spans="1:2" x14ac:dyDescent="0.45">
      <c r="A684" s="10">
        <v>14</v>
      </c>
      <c r="B684" s="10">
        <v>631</v>
      </c>
    </row>
    <row r="685" spans="1:2" x14ac:dyDescent="0.45">
      <c r="A685" s="10">
        <v>91</v>
      </c>
      <c r="B685" s="10">
        <v>632</v>
      </c>
    </row>
    <row r="686" spans="1:2" x14ac:dyDescent="0.45">
      <c r="A686" s="10">
        <v>145</v>
      </c>
      <c r="B686" s="10">
        <v>633</v>
      </c>
    </row>
    <row r="687" spans="1:2" x14ac:dyDescent="0.45">
      <c r="A687" s="10">
        <v>200</v>
      </c>
      <c r="B687" s="10">
        <v>634</v>
      </c>
    </row>
    <row r="688" spans="1:2" x14ac:dyDescent="0.45">
      <c r="A688" s="10">
        <v>63</v>
      </c>
      <c r="B688" s="10">
        <v>635</v>
      </c>
    </row>
    <row r="689" spans="1:2" x14ac:dyDescent="0.45">
      <c r="A689" s="10">
        <v>8</v>
      </c>
      <c r="B689" s="10">
        <v>636</v>
      </c>
    </row>
    <row r="690" spans="1:2" x14ac:dyDescent="0.45">
      <c r="A690" s="10">
        <v>49</v>
      </c>
      <c r="B690" s="10">
        <v>637</v>
      </c>
    </row>
    <row r="691" spans="1:2" x14ac:dyDescent="0.45">
      <c r="A691" s="10">
        <v>192</v>
      </c>
      <c r="B691" s="10">
        <v>638</v>
      </c>
    </row>
    <row r="692" spans="1:2" x14ac:dyDescent="0.45">
      <c r="A692" s="10">
        <v>173</v>
      </c>
      <c r="B692" s="10">
        <v>639</v>
      </c>
    </row>
    <row r="693" spans="1:2" x14ac:dyDescent="0.45">
      <c r="A693" s="10">
        <v>193</v>
      </c>
      <c r="B693" s="10">
        <v>640</v>
      </c>
    </row>
    <row r="694" spans="1:2" x14ac:dyDescent="0.45">
      <c r="A694" s="10">
        <v>134</v>
      </c>
      <c r="B694" s="10">
        <v>641</v>
      </c>
    </row>
    <row r="695" spans="1:2" x14ac:dyDescent="0.45">
      <c r="A695" s="10">
        <v>193</v>
      </c>
      <c r="B695" s="10">
        <v>642</v>
      </c>
    </row>
    <row r="696" spans="1:2" x14ac:dyDescent="0.45">
      <c r="A696" s="10">
        <v>34</v>
      </c>
      <c r="B696" s="10">
        <v>643</v>
      </c>
    </row>
    <row r="697" spans="1:2" x14ac:dyDescent="0.45">
      <c r="A697" s="10">
        <v>200</v>
      </c>
      <c r="B697" s="10">
        <v>644</v>
      </c>
    </row>
    <row r="698" spans="1:2" x14ac:dyDescent="0.45">
      <c r="A698" s="10">
        <v>19</v>
      </c>
      <c r="B698" s="10">
        <v>645</v>
      </c>
    </row>
    <row r="699" spans="1:2" x14ac:dyDescent="0.45">
      <c r="A699" s="10">
        <v>114</v>
      </c>
      <c r="B699" s="10">
        <v>646</v>
      </c>
    </row>
    <row r="700" spans="1:2" x14ac:dyDescent="0.45">
      <c r="A700" s="10">
        <v>153</v>
      </c>
      <c r="B700" s="10">
        <v>647</v>
      </c>
    </row>
    <row r="701" spans="1:2" x14ac:dyDescent="0.45">
      <c r="A701" s="10">
        <v>199</v>
      </c>
      <c r="B701" s="10">
        <v>648</v>
      </c>
    </row>
    <row r="702" spans="1:2" x14ac:dyDescent="0.45">
      <c r="A702" s="10">
        <v>199</v>
      </c>
      <c r="B702" s="10">
        <v>649</v>
      </c>
    </row>
    <row r="703" spans="1:2" x14ac:dyDescent="0.45">
      <c r="A703" s="10">
        <v>116</v>
      </c>
      <c r="B703" s="10">
        <v>650</v>
      </c>
    </row>
    <row r="704" spans="1:2" x14ac:dyDescent="0.45">
      <c r="A704" s="10">
        <v>181</v>
      </c>
      <c r="B704" s="10">
        <v>651</v>
      </c>
    </row>
    <row r="705" spans="1:2" x14ac:dyDescent="0.45">
      <c r="A705" s="10">
        <v>33</v>
      </c>
      <c r="B705" s="10">
        <v>652</v>
      </c>
    </row>
    <row r="706" spans="1:2" x14ac:dyDescent="0.45">
      <c r="A706" s="10">
        <v>140</v>
      </c>
      <c r="B706" s="10">
        <v>653</v>
      </c>
    </row>
    <row r="707" spans="1:2" x14ac:dyDescent="0.45">
      <c r="A707" s="10">
        <v>124</v>
      </c>
      <c r="B707" s="10">
        <v>654</v>
      </c>
    </row>
    <row r="708" spans="1:2" x14ac:dyDescent="0.45">
      <c r="A708" s="10">
        <v>76</v>
      </c>
      <c r="B708" s="10">
        <v>655</v>
      </c>
    </row>
    <row r="709" spans="1:2" x14ac:dyDescent="0.45">
      <c r="A709" s="10">
        <v>17</v>
      </c>
      <c r="B709" s="10">
        <v>656</v>
      </c>
    </row>
    <row r="710" spans="1:2" x14ac:dyDescent="0.45">
      <c r="A710" s="10">
        <v>200</v>
      </c>
      <c r="B710" s="10">
        <v>657</v>
      </c>
    </row>
    <row r="711" spans="1:2" x14ac:dyDescent="0.45">
      <c r="A711" s="10">
        <v>71</v>
      </c>
      <c r="B711" s="10">
        <v>658</v>
      </c>
    </row>
    <row r="712" spans="1:2" x14ac:dyDescent="0.45">
      <c r="A712" s="10">
        <v>154</v>
      </c>
      <c r="B712" s="10">
        <v>659</v>
      </c>
    </row>
    <row r="713" spans="1:2" x14ac:dyDescent="0.45">
      <c r="A713" s="10">
        <v>156</v>
      </c>
      <c r="B713" s="10">
        <v>660</v>
      </c>
    </row>
    <row r="714" spans="1:2" x14ac:dyDescent="0.45">
      <c r="A714" s="10">
        <v>126</v>
      </c>
      <c r="B714" s="10">
        <v>661</v>
      </c>
    </row>
    <row r="715" spans="1:2" x14ac:dyDescent="0.45">
      <c r="A715" s="10">
        <v>115</v>
      </c>
      <c r="B715" s="10">
        <v>662</v>
      </c>
    </row>
    <row r="716" spans="1:2" x14ac:dyDescent="0.45">
      <c r="A716" s="10">
        <v>76</v>
      </c>
      <c r="B716" s="10">
        <v>663</v>
      </c>
    </row>
    <row r="717" spans="1:2" x14ac:dyDescent="0.45">
      <c r="A717" s="10">
        <v>199</v>
      </c>
      <c r="B717" s="10">
        <v>664</v>
      </c>
    </row>
    <row r="718" spans="1:2" x14ac:dyDescent="0.45">
      <c r="A718" s="10">
        <v>185</v>
      </c>
      <c r="B718" s="10">
        <v>665</v>
      </c>
    </row>
    <row r="719" spans="1:2" x14ac:dyDescent="0.45">
      <c r="A719" s="10">
        <v>77</v>
      </c>
      <c r="B719" s="10">
        <v>666</v>
      </c>
    </row>
    <row r="720" spans="1:2" x14ac:dyDescent="0.45">
      <c r="A720" s="10">
        <v>144</v>
      </c>
      <c r="B720" s="10">
        <v>667</v>
      </c>
    </row>
    <row r="721" spans="1:2" x14ac:dyDescent="0.45">
      <c r="A721" s="10">
        <v>23</v>
      </c>
      <c r="B721" s="10">
        <v>668</v>
      </c>
    </row>
    <row r="722" spans="1:2" x14ac:dyDescent="0.45">
      <c r="A722" s="10">
        <v>49</v>
      </c>
      <c r="B722" s="10">
        <v>669</v>
      </c>
    </row>
    <row r="723" spans="1:2" x14ac:dyDescent="0.45">
      <c r="A723" s="10">
        <v>199</v>
      </c>
      <c r="B723" s="10">
        <v>670</v>
      </c>
    </row>
    <row r="724" spans="1:2" x14ac:dyDescent="0.45">
      <c r="A724" s="10">
        <v>177</v>
      </c>
      <c r="B724" s="10">
        <v>671</v>
      </c>
    </row>
    <row r="725" spans="1:2" x14ac:dyDescent="0.45">
      <c r="A725" s="10">
        <v>154</v>
      </c>
      <c r="B725" s="10">
        <v>672</v>
      </c>
    </row>
    <row r="726" spans="1:2" x14ac:dyDescent="0.45">
      <c r="A726" s="10">
        <v>160</v>
      </c>
      <c r="B726" s="10">
        <v>673</v>
      </c>
    </row>
    <row r="727" spans="1:2" x14ac:dyDescent="0.45">
      <c r="A727" s="10">
        <v>3</v>
      </c>
      <c r="B727" s="10">
        <v>674</v>
      </c>
    </row>
    <row r="728" spans="1:2" x14ac:dyDescent="0.45">
      <c r="A728" s="10">
        <v>184</v>
      </c>
      <c r="B728" s="10">
        <v>675</v>
      </c>
    </row>
    <row r="729" spans="1:2" x14ac:dyDescent="0.45">
      <c r="A729" s="10">
        <v>169</v>
      </c>
      <c r="B729" s="10">
        <v>676</v>
      </c>
    </row>
    <row r="730" spans="1:2" x14ac:dyDescent="0.45">
      <c r="A730" s="10">
        <v>13</v>
      </c>
      <c r="B730" s="10">
        <v>677</v>
      </c>
    </row>
    <row r="731" spans="1:2" x14ac:dyDescent="0.45">
      <c r="A731" s="10">
        <v>65</v>
      </c>
      <c r="B731" s="10">
        <v>678</v>
      </c>
    </row>
    <row r="732" spans="1:2" x14ac:dyDescent="0.45">
      <c r="A732" s="10">
        <v>71</v>
      </c>
      <c r="B732" s="10">
        <v>679</v>
      </c>
    </row>
    <row r="733" spans="1:2" x14ac:dyDescent="0.45">
      <c r="A733" s="10">
        <v>200</v>
      </c>
      <c r="B733" s="10">
        <v>680</v>
      </c>
    </row>
    <row r="734" spans="1:2" x14ac:dyDescent="0.45">
      <c r="A734" s="10">
        <v>142</v>
      </c>
      <c r="B734" s="10">
        <v>681</v>
      </c>
    </row>
    <row r="735" spans="1:2" x14ac:dyDescent="0.45">
      <c r="A735" s="10">
        <v>5</v>
      </c>
      <c r="B735" s="10">
        <v>682</v>
      </c>
    </row>
    <row r="736" spans="1:2" x14ac:dyDescent="0.45">
      <c r="A736" s="10">
        <v>161</v>
      </c>
      <c r="B736" s="10">
        <v>683</v>
      </c>
    </row>
    <row r="737" spans="1:2" x14ac:dyDescent="0.45">
      <c r="A737" s="10">
        <v>150</v>
      </c>
      <c r="B737" s="10">
        <v>684</v>
      </c>
    </row>
    <row r="738" spans="1:2" x14ac:dyDescent="0.45">
      <c r="A738" s="10">
        <v>67</v>
      </c>
      <c r="B738" s="10">
        <v>685</v>
      </c>
    </row>
    <row r="739" spans="1:2" x14ac:dyDescent="0.45">
      <c r="A739" s="10">
        <v>181</v>
      </c>
      <c r="B739" s="10">
        <v>686</v>
      </c>
    </row>
    <row r="740" spans="1:2" x14ac:dyDescent="0.45">
      <c r="A740" s="10">
        <v>26</v>
      </c>
      <c r="B740" s="10">
        <v>687</v>
      </c>
    </row>
    <row r="741" spans="1:2" x14ac:dyDescent="0.45">
      <c r="A741" s="10">
        <v>188</v>
      </c>
      <c r="B741" s="10">
        <v>688</v>
      </c>
    </row>
    <row r="742" spans="1:2" x14ac:dyDescent="0.45">
      <c r="A742" s="10">
        <v>132</v>
      </c>
      <c r="B742" s="10">
        <v>689</v>
      </c>
    </row>
    <row r="743" spans="1:2" x14ac:dyDescent="0.45">
      <c r="A743" s="10">
        <v>18</v>
      </c>
      <c r="B743" s="10">
        <v>690</v>
      </c>
    </row>
    <row r="744" spans="1:2" x14ac:dyDescent="0.45">
      <c r="A744" s="10">
        <v>21</v>
      </c>
      <c r="B744" s="10">
        <v>691</v>
      </c>
    </row>
    <row r="745" spans="1:2" x14ac:dyDescent="0.45">
      <c r="A745" s="10">
        <v>16</v>
      </c>
      <c r="B745" s="10">
        <v>692</v>
      </c>
    </row>
    <row r="746" spans="1:2" x14ac:dyDescent="0.45">
      <c r="A746" s="10">
        <v>61</v>
      </c>
      <c r="B746" s="10">
        <v>693</v>
      </c>
    </row>
    <row r="747" spans="1:2" x14ac:dyDescent="0.45">
      <c r="A747" s="10">
        <v>152</v>
      </c>
      <c r="B747" s="10">
        <v>694</v>
      </c>
    </row>
    <row r="748" spans="1:2" x14ac:dyDescent="0.45">
      <c r="A748" s="10">
        <v>199</v>
      </c>
      <c r="B748" s="10">
        <v>695</v>
      </c>
    </row>
    <row r="749" spans="1:2" x14ac:dyDescent="0.45">
      <c r="A749" s="10">
        <v>165</v>
      </c>
      <c r="B749" s="10">
        <v>696</v>
      </c>
    </row>
    <row r="750" spans="1:2" x14ac:dyDescent="0.45">
      <c r="A750" s="10">
        <v>57</v>
      </c>
      <c r="B750" s="10">
        <v>697</v>
      </c>
    </row>
    <row r="751" spans="1:2" x14ac:dyDescent="0.45">
      <c r="A751" s="10">
        <v>101</v>
      </c>
      <c r="B751" s="10">
        <v>698</v>
      </c>
    </row>
    <row r="752" spans="1:2" x14ac:dyDescent="0.45">
      <c r="A752" s="10">
        <v>36</v>
      </c>
      <c r="B752" s="10">
        <v>699</v>
      </c>
    </row>
    <row r="753" spans="1:2" x14ac:dyDescent="0.45">
      <c r="A753" s="10">
        <v>35</v>
      </c>
      <c r="B753" s="10">
        <v>700</v>
      </c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7804C6-E904-43B0-BA0D-358699C912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22</vt:i4>
      </vt:variant>
    </vt:vector>
  </HeadingPairs>
  <TitlesOfParts>
    <vt:vector size="22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dict_zuord_Meth_Pers</vt:lpstr>
      <vt:lpstr>dict_zuord_Meth_Pos</vt:lpstr>
      <vt:lpstr>dict_zuord_Meth_Transfers</vt:lpstr>
      <vt:lpstr>dict_zuord_Transfers_Storages</vt:lpstr>
      <vt:lpstr>dict_zuord_DQ_Units</vt:lpstr>
      <vt:lpstr>help_DQ_Meth</vt:lpstr>
      <vt:lpstr>Tabelle2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2019-03-19T22:48:55Z</dcterms:modified>
</cp:coreProperties>
</file>